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garciaa\DC\ACCDocs\ACCIONA SA\C3041 - UTE METRO BENGOETXE\Project Files\15 - CONSTRUCCIÓN\15.01 - Topografía\TOP_08 AUSCULTACIÓN\99-FORMATO ACO\"/>
    </mc:Choice>
  </mc:AlternateContent>
  <xr:revisionPtr revIDLastSave="0" documentId="13_ncr:1_{023FFAA8-CBD9-458F-AF4C-80F57BC63D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TOS NIVELACIÓN" sheetId="152" r:id="rId1"/>
    <sheet name="HITOS TOTAL_260409" sheetId="153" r:id="rId2"/>
  </sheets>
  <definedNames>
    <definedName name="_xlnm._FilterDatabase" localSheetId="0" hidden="1">'HITOS NIVELACIÓN'!$A$2:$C$101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6" i="153" l="1" a="1"/>
  <c r="I236" i="153" s="1"/>
  <c r="I235" i="153" a="1"/>
  <c r="I235" i="153" s="1"/>
  <c r="I234" i="153" a="1"/>
  <c r="I234" i="153" s="1"/>
  <c r="I233" i="153" a="1"/>
  <c r="I233" i="153" s="1"/>
  <c r="I232" i="153" a="1"/>
  <c r="I232" i="153" s="1"/>
  <c r="I231" i="153" a="1"/>
  <c r="I231" i="153" s="1"/>
  <c r="I230" i="153" a="1"/>
  <c r="I230" i="153" s="1"/>
  <c r="I229" i="153" a="1"/>
  <c r="I229" i="153" s="1"/>
  <c r="I228" i="153" a="1"/>
  <c r="I228" i="153" s="1"/>
  <c r="I227" i="153" a="1"/>
  <c r="I227" i="153" s="1"/>
  <c r="I226" i="153" a="1"/>
  <c r="I226" i="153" s="1"/>
  <c r="I225" i="153" a="1"/>
  <c r="I225" i="153" s="1"/>
  <c r="I224" i="153" a="1"/>
  <c r="I224" i="153" s="1"/>
  <c r="I223" i="153" a="1"/>
  <c r="I223" i="153" s="1"/>
  <c r="I222" i="153" a="1"/>
  <c r="I222" i="153" s="1"/>
  <c r="I221" i="153" a="1"/>
  <c r="I221" i="153" s="1"/>
  <c r="I220" i="153" a="1"/>
  <c r="I220" i="153" s="1"/>
  <c r="I219" i="153" a="1"/>
  <c r="I219" i="153" s="1"/>
  <c r="I218" i="153" a="1"/>
  <c r="I218" i="153" s="1"/>
  <c r="I217" i="153" a="1"/>
  <c r="I217" i="153" s="1"/>
  <c r="I216" i="153" a="1"/>
  <c r="I216" i="153" s="1"/>
  <c r="I215" i="153" a="1"/>
  <c r="I215" i="153" s="1"/>
  <c r="I214" i="153" a="1"/>
  <c r="I214" i="153" s="1"/>
  <c r="I213" i="153" a="1"/>
  <c r="I213" i="153" s="1"/>
  <c r="I212" i="153" a="1"/>
  <c r="I212" i="153" s="1"/>
  <c r="I211" i="153" a="1"/>
  <c r="I211" i="153" s="1"/>
  <c r="I210" i="153" a="1"/>
  <c r="I210" i="153" s="1"/>
  <c r="I209" i="153" a="1"/>
  <c r="I209" i="153" s="1"/>
  <c r="I208" i="153" a="1"/>
  <c r="I208" i="153" s="1"/>
  <c r="I207" i="153" a="1"/>
  <c r="I207" i="153" s="1"/>
  <c r="I206" i="153" a="1"/>
  <c r="I206" i="153" s="1"/>
  <c r="I205" i="153" a="1"/>
  <c r="I205" i="153" s="1"/>
  <c r="I204" i="153" a="1"/>
  <c r="I204" i="153" s="1"/>
  <c r="I203" i="153" a="1"/>
  <c r="I203" i="153" s="1"/>
  <c r="I202" i="153" a="1"/>
  <c r="I202" i="153" s="1"/>
  <c r="I201" i="153" a="1"/>
  <c r="I201" i="153" s="1"/>
  <c r="I200" i="153" a="1"/>
  <c r="I200" i="153" s="1"/>
  <c r="I199" i="153" a="1"/>
  <c r="I199" i="153" s="1"/>
  <c r="I198" i="153" a="1"/>
  <c r="I198" i="153" s="1"/>
  <c r="I197" i="153" a="1"/>
  <c r="I197" i="153" s="1"/>
  <c r="I196" i="153" a="1"/>
  <c r="I196" i="153" s="1"/>
  <c r="I195" i="153" a="1"/>
  <c r="I195" i="153" s="1"/>
  <c r="I194" i="153" a="1"/>
  <c r="I194" i="153" s="1"/>
  <c r="I193" i="153" a="1"/>
  <c r="I193" i="153" s="1"/>
  <c r="I192" i="153" a="1"/>
  <c r="I192" i="153" s="1"/>
  <c r="I191" i="153" a="1"/>
  <c r="I191" i="153" s="1"/>
  <c r="I190" i="153" a="1"/>
  <c r="I190" i="153" s="1"/>
  <c r="I189" i="153" a="1"/>
  <c r="I189" i="153" s="1"/>
  <c r="I188" i="153" a="1"/>
  <c r="I188" i="153" s="1"/>
  <c r="I187" i="153" a="1"/>
  <c r="I187" i="153" s="1"/>
  <c r="I186" i="153" a="1"/>
  <c r="I186" i="153" s="1"/>
  <c r="I185" i="153" a="1"/>
  <c r="I185" i="153" s="1"/>
  <c r="I184" i="153" a="1"/>
  <c r="I184" i="153" s="1"/>
  <c r="I183" i="153" a="1"/>
  <c r="I183" i="153" s="1"/>
  <c r="I182" i="153" a="1"/>
  <c r="I182" i="153" s="1"/>
  <c r="I181" i="153" a="1"/>
  <c r="I181" i="153" s="1"/>
  <c r="I180" i="153" a="1"/>
  <c r="I180" i="153" s="1"/>
  <c r="I179" i="153" a="1"/>
  <c r="I179" i="153" s="1"/>
  <c r="I178" i="153" a="1"/>
  <c r="I178" i="153" s="1"/>
  <c r="I177" i="153" a="1"/>
  <c r="I177" i="153" s="1"/>
  <c r="I176" i="153" a="1"/>
  <c r="I176" i="153" s="1"/>
  <c r="I175" i="153" a="1"/>
  <c r="I175" i="153" s="1"/>
  <c r="I174" i="153" a="1"/>
  <c r="I174" i="153" s="1"/>
  <c r="I173" i="153" a="1"/>
  <c r="I173" i="153" s="1"/>
  <c r="I172" i="153" a="1"/>
  <c r="I172" i="153" s="1"/>
  <c r="I171" i="153" a="1"/>
  <c r="I171" i="153" s="1"/>
  <c r="I170" i="153" a="1"/>
  <c r="I170" i="153" s="1"/>
  <c r="I169" i="153" a="1"/>
  <c r="I169" i="153" s="1"/>
  <c r="I168" i="153" a="1"/>
  <c r="I168" i="153" s="1"/>
  <c r="I167" i="153" a="1"/>
  <c r="I167" i="153" s="1"/>
  <c r="I166" i="153" a="1"/>
  <c r="I166" i="153" s="1"/>
  <c r="I165" i="153" a="1"/>
  <c r="I165" i="153" s="1"/>
  <c r="I164" i="153" a="1"/>
  <c r="I164" i="153" s="1"/>
  <c r="I163" i="153" a="1"/>
  <c r="I163" i="153" s="1"/>
  <c r="I162" i="153" a="1"/>
  <c r="I162" i="153" s="1"/>
  <c r="I161" i="153" a="1"/>
  <c r="I161" i="153" s="1"/>
  <c r="I160" i="153" a="1"/>
  <c r="I160" i="153" s="1"/>
  <c r="I159" i="153" a="1"/>
  <c r="I159" i="153" s="1"/>
  <c r="I158" i="153" a="1"/>
  <c r="I158" i="153" s="1"/>
  <c r="I157" i="153" a="1"/>
  <c r="I157" i="153" s="1"/>
  <c r="I156" i="153" a="1"/>
  <c r="I156" i="153" s="1"/>
  <c r="I155" i="153" a="1"/>
  <c r="I155" i="153" s="1"/>
  <c r="I154" i="153" a="1"/>
  <c r="I154" i="153" s="1"/>
  <c r="I153" i="153" a="1"/>
  <c r="I153" i="153" s="1"/>
  <c r="I152" i="153" a="1"/>
  <c r="I152" i="153" s="1"/>
  <c r="I151" i="153" a="1"/>
  <c r="I151" i="153" s="1"/>
  <c r="I150" i="153" a="1"/>
  <c r="I150" i="153" s="1"/>
  <c r="I149" i="153" a="1"/>
  <c r="I149" i="153" s="1"/>
  <c r="I148" i="153" a="1"/>
  <c r="I148" i="153" s="1"/>
  <c r="I147" i="153" a="1"/>
  <c r="I147" i="153" s="1"/>
  <c r="I146" i="153" a="1"/>
  <c r="I146" i="153" s="1"/>
  <c r="I145" i="153" a="1"/>
  <c r="I145" i="153" s="1"/>
  <c r="I144" i="153" a="1"/>
  <c r="I144" i="153" s="1"/>
  <c r="I143" i="153" a="1"/>
  <c r="I143" i="153" s="1"/>
  <c r="I142" i="153" a="1"/>
  <c r="I142" i="153" s="1"/>
  <c r="I141" i="153" a="1"/>
  <c r="I141" i="153" s="1"/>
  <c r="I140" i="153" a="1"/>
  <c r="I140" i="153" s="1"/>
  <c r="I139" i="153" a="1"/>
  <c r="I139" i="153" s="1"/>
  <c r="I138" i="153" a="1"/>
  <c r="I138" i="153" s="1"/>
  <c r="I137" i="153" a="1"/>
  <c r="I137" i="153" s="1"/>
  <c r="I136" i="153" a="1"/>
  <c r="I136" i="153" s="1"/>
  <c r="I135" i="153" a="1"/>
  <c r="I135" i="153" s="1"/>
  <c r="I134" i="153" a="1"/>
  <c r="I134" i="153" s="1"/>
  <c r="I133" i="153" a="1"/>
  <c r="I133" i="153" s="1"/>
  <c r="I132" i="153" a="1"/>
  <c r="I132" i="153" s="1"/>
  <c r="I131" i="153" a="1"/>
  <c r="I131" i="153" s="1"/>
  <c r="I130" i="153" a="1"/>
  <c r="I130" i="153" s="1"/>
  <c r="I129" i="153" a="1"/>
  <c r="I129" i="153" s="1"/>
  <c r="I128" i="153" a="1"/>
  <c r="I128" i="153" s="1"/>
  <c r="I127" i="153" a="1"/>
  <c r="I127" i="153" s="1"/>
  <c r="I126" i="153" a="1"/>
  <c r="I126" i="153" s="1"/>
  <c r="I125" i="153" a="1"/>
  <c r="I125" i="153" s="1"/>
  <c r="I124" i="153" a="1"/>
  <c r="I124" i="153" s="1"/>
  <c r="I123" i="153" a="1"/>
  <c r="I123" i="153" s="1"/>
  <c r="I122" i="153" a="1"/>
  <c r="I122" i="153" s="1"/>
  <c r="I121" i="153" a="1"/>
  <c r="I121" i="153" s="1"/>
  <c r="I120" i="153" a="1"/>
  <c r="I120" i="153" s="1"/>
  <c r="I119" i="153" a="1"/>
  <c r="I119" i="153" s="1"/>
  <c r="I118" i="153" a="1"/>
  <c r="I118" i="153" s="1"/>
  <c r="I117" i="153" a="1"/>
  <c r="I117" i="153" s="1"/>
  <c r="I116" i="153" a="1"/>
  <c r="I116" i="153" s="1"/>
  <c r="I115" i="153" a="1"/>
  <c r="I115" i="153" s="1"/>
  <c r="I114" i="153" a="1"/>
  <c r="I114" i="153" s="1"/>
  <c r="I113" i="153" a="1"/>
  <c r="I113" i="153" s="1"/>
  <c r="I112" i="153" a="1"/>
  <c r="I112" i="153" s="1"/>
  <c r="I111" i="153" a="1"/>
  <c r="I111" i="153" s="1"/>
  <c r="I110" i="153" a="1"/>
  <c r="I110" i="153" s="1"/>
  <c r="I109" i="153" a="1"/>
  <c r="I109" i="153" s="1"/>
  <c r="I108" i="153" a="1"/>
  <c r="I108" i="153" s="1"/>
  <c r="I107" i="153" a="1"/>
  <c r="I107" i="153" s="1"/>
  <c r="I106" i="153" a="1"/>
  <c r="I106" i="153" s="1"/>
  <c r="I105" i="153" a="1"/>
  <c r="I105" i="153" s="1"/>
  <c r="I104" i="153" a="1"/>
  <c r="I104" i="153" s="1"/>
  <c r="I103" i="153" a="1"/>
  <c r="I103" i="153" s="1"/>
  <c r="I102" i="153" a="1"/>
  <c r="I102" i="153" s="1"/>
  <c r="I101" i="153" a="1"/>
  <c r="I101" i="153" s="1"/>
  <c r="I100" i="153" a="1"/>
  <c r="I100" i="153" s="1"/>
  <c r="I99" i="153" a="1"/>
  <c r="I99" i="153" s="1"/>
  <c r="I98" i="153" a="1"/>
  <c r="I98" i="153" s="1"/>
  <c r="I97" i="153" a="1"/>
  <c r="I97" i="153" s="1"/>
  <c r="I96" i="153" a="1"/>
  <c r="I96" i="153" s="1"/>
  <c r="I95" i="153" a="1"/>
  <c r="I95" i="153" s="1"/>
  <c r="I94" i="153" a="1"/>
  <c r="I94" i="153" s="1"/>
  <c r="I93" i="153" a="1"/>
  <c r="I93" i="153" s="1"/>
  <c r="I92" i="153" a="1"/>
  <c r="I92" i="153" s="1"/>
  <c r="I91" i="153" a="1"/>
  <c r="I91" i="153" s="1"/>
  <c r="I90" i="153" a="1"/>
  <c r="I90" i="153" s="1"/>
  <c r="I89" i="153" a="1"/>
  <c r="I89" i="153" s="1"/>
  <c r="I88" i="153" a="1"/>
  <c r="I88" i="153" s="1"/>
  <c r="I87" i="153" a="1"/>
  <c r="I87" i="153" s="1"/>
  <c r="I86" i="153" a="1"/>
  <c r="I86" i="153" s="1"/>
  <c r="I85" i="153" a="1"/>
  <c r="I85" i="153" s="1"/>
  <c r="I84" i="153" a="1"/>
  <c r="I84" i="153" s="1"/>
  <c r="I83" i="153" a="1"/>
  <c r="I83" i="153" s="1"/>
  <c r="I82" i="153" a="1"/>
  <c r="I82" i="153" s="1"/>
  <c r="I81" i="153" a="1"/>
  <c r="I81" i="153" s="1"/>
  <c r="I80" i="153" a="1"/>
  <c r="I80" i="153" s="1"/>
  <c r="I79" i="153" a="1"/>
  <c r="I79" i="153" s="1"/>
  <c r="I78" i="153" a="1"/>
  <c r="I78" i="153" s="1"/>
  <c r="I77" i="153" a="1"/>
  <c r="I77" i="153" s="1"/>
  <c r="I76" i="153" a="1"/>
  <c r="I76" i="153" s="1"/>
  <c r="I75" i="153" a="1"/>
  <c r="I75" i="153" s="1"/>
  <c r="I74" i="153" a="1"/>
  <c r="I74" i="153" s="1"/>
  <c r="I73" i="153" a="1"/>
  <c r="I73" i="153" s="1"/>
  <c r="I72" i="153" a="1"/>
  <c r="I72" i="153" s="1"/>
  <c r="I71" i="153" a="1"/>
  <c r="I71" i="153" s="1"/>
  <c r="I70" i="153" a="1"/>
  <c r="I70" i="153" s="1"/>
  <c r="I69" i="153" a="1"/>
  <c r="I69" i="153" s="1"/>
  <c r="I68" i="153" a="1"/>
  <c r="I68" i="153" s="1"/>
  <c r="I67" i="153" a="1"/>
  <c r="I67" i="153" s="1"/>
  <c r="I66" i="153" a="1"/>
  <c r="I66" i="153" s="1"/>
  <c r="I65" i="153" a="1"/>
  <c r="I65" i="153" s="1"/>
  <c r="I64" i="153" a="1"/>
  <c r="I64" i="153" s="1"/>
  <c r="I63" i="153" a="1"/>
  <c r="I63" i="153" s="1"/>
  <c r="I62" i="153" a="1"/>
  <c r="I62" i="153" s="1"/>
  <c r="I61" i="153" a="1"/>
  <c r="I61" i="153" s="1"/>
  <c r="I60" i="153" a="1"/>
  <c r="I60" i="153" s="1"/>
  <c r="I59" i="153" a="1"/>
  <c r="I59" i="153" s="1"/>
  <c r="I58" i="153" a="1"/>
  <c r="I58" i="153" s="1"/>
  <c r="I57" i="153" a="1"/>
  <c r="I57" i="153" s="1"/>
  <c r="I56" i="153" a="1"/>
  <c r="I56" i="153" s="1"/>
  <c r="I55" i="153" a="1"/>
  <c r="I55" i="153" s="1"/>
  <c r="I54" i="153" a="1"/>
  <c r="I54" i="153" s="1"/>
  <c r="I53" i="153" a="1"/>
  <c r="I53" i="153" s="1"/>
  <c r="I52" i="153" a="1"/>
  <c r="I52" i="153" s="1"/>
  <c r="I51" i="153" a="1"/>
  <c r="I51" i="153" s="1"/>
  <c r="I50" i="153" a="1"/>
  <c r="I50" i="153" s="1"/>
  <c r="I49" i="153" a="1"/>
  <c r="I49" i="153" s="1"/>
  <c r="I48" i="153" a="1"/>
  <c r="I48" i="153" s="1"/>
  <c r="I47" i="153" a="1"/>
  <c r="I47" i="153" s="1"/>
  <c r="I46" i="153" a="1"/>
  <c r="I46" i="153" s="1"/>
  <c r="I45" i="153" a="1"/>
  <c r="I45" i="153" s="1"/>
  <c r="I44" i="153" a="1"/>
  <c r="I44" i="153" s="1"/>
  <c r="I43" i="153" a="1"/>
  <c r="I43" i="153" s="1"/>
  <c r="I42" i="153" a="1"/>
  <c r="I42" i="153" s="1"/>
  <c r="I41" i="153" a="1"/>
  <c r="I41" i="153" s="1"/>
  <c r="I40" i="153" a="1"/>
  <c r="I40" i="153" s="1"/>
  <c r="I39" i="153" a="1"/>
  <c r="I39" i="153" s="1"/>
  <c r="I38" i="153" a="1"/>
  <c r="I38" i="153" s="1"/>
  <c r="I37" i="153" a="1"/>
  <c r="I37" i="153" s="1"/>
  <c r="I36" i="153" a="1"/>
  <c r="I36" i="153" s="1"/>
  <c r="I35" i="153" a="1"/>
  <c r="I35" i="153" s="1"/>
  <c r="I34" i="153" a="1"/>
  <c r="I34" i="153" s="1"/>
  <c r="I33" i="153" a="1"/>
  <c r="I33" i="153" s="1"/>
  <c r="I32" i="153" a="1"/>
  <c r="I32" i="153" s="1"/>
  <c r="I31" i="153" a="1"/>
  <c r="I31" i="153" s="1"/>
  <c r="I30" i="153" a="1"/>
  <c r="I30" i="153" s="1"/>
  <c r="I29" i="153" a="1"/>
  <c r="I29" i="153" s="1"/>
  <c r="I28" i="153" a="1"/>
  <c r="I28" i="153" s="1"/>
  <c r="I27" i="153" a="1"/>
  <c r="I27" i="153" s="1"/>
  <c r="I26" i="153" a="1"/>
  <c r="I26" i="153" s="1"/>
  <c r="I25" i="153" a="1"/>
  <c r="I25" i="153" s="1"/>
  <c r="I24" i="153" a="1"/>
  <c r="I24" i="153" s="1"/>
  <c r="I23" i="153" a="1"/>
  <c r="I23" i="153" s="1"/>
  <c r="I22" i="153" a="1"/>
  <c r="I22" i="153" s="1"/>
  <c r="I21" i="153" a="1"/>
  <c r="I21" i="153" s="1"/>
  <c r="I20" i="153" a="1"/>
  <c r="I20" i="153" s="1"/>
  <c r="I19" i="153" a="1"/>
  <c r="I19" i="153" s="1"/>
  <c r="I18" i="153" a="1"/>
  <c r="I18" i="153" s="1"/>
  <c r="I17" i="153" a="1"/>
  <c r="I17" i="153" s="1"/>
  <c r="I16" i="153" a="1"/>
  <c r="I16" i="153" s="1"/>
  <c r="I15" i="153" a="1"/>
  <c r="I15" i="153" s="1"/>
  <c r="I14" i="153" a="1"/>
  <c r="I14" i="153" s="1"/>
  <c r="I13" i="153" a="1"/>
  <c r="I13" i="153" s="1"/>
  <c r="I12" i="153" a="1"/>
  <c r="I12" i="153" s="1"/>
  <c r="I11" i="153" a="1"/>
  <c r="I11" i="153" s="1"/>
  <c r="I10" i="153" a="1"/>
  <c r="I10" i="153" s="1"/>
  <c r="I9" i="153" a="1"/>
  <c r="I9" i="153" s="1"/>
  <c r="I8" i="153" a="1"/>
  <c r="I8" i="153" s="1"/>
  <c r="I7" i="153" a="1"/>
  <c r="I7" i="153" s="1"/>
  <c r="I6" i="153" a="1"/>
  <c r="I6" i="153" s="1"/>
  <c r="I5" i="153" a="1"/>
  <c r="I5" i="153" s="1"/>
  <c r="I4" i="153" a="1"/>
  <c r="I4" i="153" s="1"/>
  <c r="I3" i="153" a="1"/>
  <c r="I3" i="153" s="1"/>
  <c r="I2" i="153" a="1"/>
  <c r="I2" i="153" s="1"/>
  <c r="G236" i="153" a="1"/>
  <c r="G236" i="153" s="1"/>
  <c r="G235" i="153" a="1"/>
  <c r="G235" i="153" s="1"/>
  <c r="G234" i="153" a="1"/>
  <c r="G234" i="153" s="1"/>
  <c r="G233" i="153" a="1"/>
  <c r="G233" i="153" s="1"/>
  <c r="G232" i="153" a="1"/>
  <c r="G232" i="153" s="1"/>
  <c r="G231" i="153" a="1"/>
  <c r="G231" i="153" s="1"/>
  <c r="G230" i="153" a="1"/>
  <c r="G230" i="153" s="1"/>
  <c r="G229" i="153" a="1"/>
  <c r="G229" i="153" s="1"/>
  <c r="G228" i="153" a="1"/>
  <c r="G228" i="153" s="1"/>
  <c r="G227" i="153" a="1"/>
  <c r="G227" i="153" s="1"/>
  <c r="G226" i="153" a="1"/>
  <c r="G226" i="153" s="1"/>
  <c r="G225" i="153" a="1"/>
  <c r="G225" i="153" s="1"/>
  <c r="G224" i="153" a="1"/>
  <c r="G224" i="153" s="1"/>
  <c r="G223" i="153" a="1"/>
  <c r="G223" i="153" s="1"/>
  <c r="G222" i="153" a="1"/>
  <c r="G222" i="153" s="1"/>
  <c r="G221" i="153" a="1"/>
  <c r="G221" i="153" s="1"/>
  <c r="G220" i="153" a="1"/>
  <c r="G220" i="153" s="1"/>
  <c r="G219" i="153" a="1"/>
  <c r="G219" i="153" s="1"/>
  <c r="G218" i="153" a="1"/>
  <c r="G218" i="153" s="1"/>
  <c r="G217" i="153" a="1"/>
  <c r="G217" i="153" s="1"/>
  <c r="G216" i="153" a="1"/>
  <c r="G216" i="153" s="1"/>
  <c r="G215" i="153" a="1"/>
  <c r="G215" i="153" s="1"/>
  <c r="G214" i="153" a="1"/>
  <c r="G214" i="153" s="1"/>
  <c r="G213" i="153" a="1"/>
  <c r="G213" i="153" s="1"/>
  <c r="G212" i="153" a="1"/>
  <c r="G212" i="153" s="1"/>
  <c r="G211" i="153" a="1"/>
  <c r="G211" i="153" s="1"/>
  <c r="G210" i="153" a="1"/>
  <c r="G210" i="153" s="1"/>
  <c r="G209" i="153" a="1"/>
  <c r="G209" i="153" s="1"/>
  <c r="G208" i="153" a="1"/>
  <c r="G208" i="153" s="1"/>
  <c r="G207" i="153" a="1"/>
  <c r="G207" i="153" s="1"/>
  <c r="G206" i="153" a="1"/>
  <c r="G206" i="153" s="1"/>
  <c r="G205" i="153" a="1"/>
  <c r="G205" i="153" s="1"/>
  <c r="G204" i="153" a="1"/>
  <c r="G204" i="153" s="1"/>
  <c r="G203" i="153" a="1"/>
  <c r="G203" i="153" s="1"/>
  <c r="G202" i="153" a="1"/>
  <c r="G202" i="153" s="1"/>
  <c r="G201" i="153" a="1"/>
  <c r="G201" i="153" s="1"/>
  <c r="G200" i="153" a="1"/>
  <c r="G200" i="153" s="1"/>
  <c r="G199" i="153" a="1"/>
  <c r="G199" i="153" s="1"/>
  <c r="G198" i="153" a="1"/>
  <c r="G198" i="153" s="1"/>
  <c r="G197" i="153" a="1"/>
  <c r="G197" i="153" s="1"/>
  <c r="G196" i="153" a="1"/>
  <c r="G196" i="153" s="1"/>
  <c r="G195" i="153" a="1"/>
  <c r="G195" i="153" s="1"/>
  <c r="G194" i="153" a="1"/>
  <c r="G194" i="153" s="1"/>
  <c r="G193" i="153" a="1"/>
  <c r="G193" i="153" s="1"/>
  <c r="G192" i="153" a="1"/>
  <c r="G192" i="153" s="1"/>
  <c r="G191" i="153" a="1"/>
  <c r="G191" i="153" s="1"/>
  <c r="G190" i="153" a="1"/>
  <c r="G190" i="153" s="1"/>
  <c r="G189" i="153" a="1"/>
  <c r="G189" i="153" s="1"/>
  <c r="G188" i="153" a="1"/>
  <c r="G188" i="153" s="1"/>
  <c r="G187" i="153" a="1"/>
  <c r="G187" i="153" s="1"/>
  <c r="G186" i="153" a="1"/>
  <c r="G186" i="153" s="1"/>
  <c r="G185" i="153" a="1"/>
  <c r="G185" i="153" s="1"/>
  <c r="G184" i="153" a="1"/>
  <c r="G184" i="153" s="1"/>
  <c r="G183" i="153" a="1"/>
  <c r="G183" i="153" s="1"/>
  <c r="G182" i="153" a="1"/>
  <c r="G182" i="153" s="1"/>
  <c r="G181" i="153" a="1"/>
  <c r="G181" i="153" s="1"/>
  <c r="G180" i="153" a="1"/>
  <c r="G180" i="153" s="1"/>
  <c r="G179" i="153" a="1"/>
  <c r="G179" i="153" s="1"/>
  <c r="G178" i="153" a="1"/>
  <c r="G178" i="153" s="1"/>
  <c r="G177" i="153" a="1"/>
  <c r="G177" i="153" s="1"/>
  <c r="G176" i="153" a="1"/>
  <c r="G176" i="153" s="1"/>
  <c r="G175" i="153" a="1"/>
  <c r="G175" i="153" s="1"/>
  <c r="G174" i="153" a="1"/>
  <c r="G174" i="153" s="1"/>
  <c r="G173" i="153" a="1"/>
  <c r="G173" i="153" s="1"/>
  <c r="G172" i="153" a="1"/>
  <c r="G172" i="153" s="1"/>
  <c r="G171" i="153" a="1"/>
  <c r="G171" i="153" s="1"/>
  <c r="G170" i="153" a="1"/>
  <c r="G170" i="153" s="1"/>
  <c r="G169" i="153" a="1"/>
  <c r="G169" i="153" s="1"/>
  <c r="G168" i="153" a="1"/>
  <c r="G168" i="153" s="1"/>
  <c r="G167" i="153" a="1"/>
  <c r="G167" i="153" s="1"/>
  <c r="G166" i="153" a="1"/>
  <c r="G166" i="153" s="1"/>
  <c r="G165" i="153" a="1"/>
  <c r="G165" i="153" s="1"/>
  <c r="G164" i="153" a="1"/>
  <c r="G164" i="153" s="1"/>
  <c r="G163" i="153" a="1"/>
  <c r="G163" i="153" s="1"/>
  <c r="G162" i="153" a="1"/>
  <c r="G162" i="153" s="1"/>
  <c r="G161" i="153" a="1"/>
  <c r="G161" i="153" s="1"/>
  <c r="G160" i="153" a="1"/>
  <c r="G160" i="153" s="1"/>
  <c r="G159" i="153" a="1"/>
  <c r="G159" i="153" s="1"/>
  <c r="G158" i="153" a="1"/>
  <c r="G158" i="153" s="1"/>
  <c r="G157" i="153" a="1"/>
  <c r="G157" i="153" s="1"/>
  <c r="G156" i="153" a="1"/>
  <c r="G156" i="153" s="1"/>
  <c r="G155" i="153" a="1"/>
  <c r="G155" i="153" s="1"/>
  <c r="G154" i="153" a="1"/>
  <c r="G154" i="153" s="1"/>
  <c r="G153" i="153" a="1"/>
  <c r="G153" i="153" s="1"/>
  <c r="G152" i="153" a="1"/>
  <c r="G152" i="153" s="1"/>
  <c r="G151" i="153" a="1"/>
  <c r="G151" i="153" s="1"/>
  <c r="G150" i="153" a="1"/>
  <c r="G150" i="153" s="1"/>
  <c r="G149" i="153" a="1"/>
  <c r="G149" i="153" s="1"/>
  <c r="G148" i="153" a="1"/>
  <c r="G148" i="153" s="1"/>
  <c r="G147" i="153" a="1"/>
  <c r="G147" i="153" s="1"/>
  <c r="G146" i="153" a="1"/>
  <c r="G146" i="153" s="1"/>
  <c r="G145" i="153" a="1"/>
  <c r="G145" i="153" s="1"/>
  <c r="G144" i="153" a="1"/>
  <c r="G144" i="153" s="1"/>
  <c r="G143" i="153" a="1"/>
  <c r="G143" i="153" s="1"/>
  <c r="G142" i="153" a="1"/>
  <c r="G142" i="153" s="1"/>
  <c r="G141" i="153" a="1"/>
  <c r="G141" i="153" s="1"/>
  <c r="G140" i="153" a="1"/>
  <c r="G140" i="153" s="1"/>
  <c r="G139" i="153" a="1"/>
  <c r="G139" i="153" s="1"/>
  <c r="G138" i="153" a="1"/>
  <c r="G138" i="153" s="1"/>
  <c r="G137" i="153" a="1"/>
  <c r="G137" i="153" s="1"/>
  <c r="G136" i="153" a="1"/>
  <c r="G136" i="153" s="1"/>
  <c r="G135" i="153" a="1"/>
  <c r="G135" i="153" s="1"/>
  <c r="G134" i="153" a="1"/>
  <c r="G134" i="153" s="1"/>
  <c r="G133" i="153" a="1"/>
  <c r="G133" i="153" s="1"/>
  <c r="G132" i="153" a="1"/>
  <c r="G132" i="153" s="1"/>
  <c r="G131" i="153" a="1"/>
  <c r="G131" i="153" s="1"/>
  <c r="G130" i="153" a="1"/>
  <c r="G130" i="153" s="1"/>
  <c r="G129" i="153" a="1"/>
  <c r="G129" i="153" s="1"/>
  <c r="G128" i="153" a="1"/>
  <c r="G128" i="153" s="1"/>
  <c r="G127" i="153" a="1"/>
  <c r="G127" i="153" s="1"/>
  <c r="G126" i="153" a="1"/>
  <c r="G126" i="153" s="1"/>
  <c r="G125" i="153" a="1"/>
  <c r="G125" i="153" s="1"/>
  <c r="G124" i="153" a="1"/>
  <c r="G124" i="153" s="1"/>
  <c r="G123" i="153" a="1"/>
  <c r="G123" i="153" s="1"/>
  <c r="G122" i="153" a="1"/>
  <c r="G122" i="153" s="1"/>
  <c r="G121" i="153" a="1"/>
  <c r="G121" i="153" s="1"/>
  <c r="G120" i="153" a="1"/>
  <c r="G120" i="153" s="1"/>
  <c r="G119" i="153" a="1"/>
  <c r="G119" i="153" s="1"/>
  <c r="G118" i="153" a="1"/>
  <c r="G118" i="153" s="1"/>
  <c r="G117" i="153" a="1"/>
  <c r="G117" i="153" s="1"/>
  <c r="G116" i="153" a="1"/>
  <c r="G116" i="153" s="1"/>
  <c r="G115" i="153" a="1"/>
  <c r="G115" i="153" s="1"/>
  <c r="G114" i="153" a="1"/>
  <c r="G114" i="153" s="1"/>
  <c r="G113" i="153" a="1"/>
  <c r="G113" i="153" s="1"/>
  <c r="G112" i="153" a="1"/>
  <c r="G112" i="153" s="1"/>
  <c r="G111" i="153" a="1"/>
  <c r="G111" i="153" s="1"/>
  <c r="G110" i="153" a="1"/>
  <c r="G110" i="153" s="1"/>
  <c r="G109" i="153" a="1"/>
  <c r="G109" i="153" s="1"/>
  <c r="G108" i="153" a="1"/>
  <c r="G108" i="153" s="1"/>
  <c r="G107" i="153" a="1"/>
  <c r="G107" i="153" s="1"/>
  <c r="G106" i="153" a="1"/>
  <c r="G106" i="153" s="1"/>
  <c r="G105" i="153" a="1"/>
  <c r="G105" i="153" s="1"/>
  <c r="G104" i="153" a="1"/>
  <c r="G104" i="153" s="1"/>
  <c r="G103" i="153" a="1"/>
  <c r="G103" i="153" s="1"/>
  <c r="G102" i="153" a="1"/>
  <c r="G102" i="153" s="1"/>
  <c r="G101" i="153" a="1"/>
  <c r="G101" i="153" s="1"/>
  <c r="G100" i="153" a="1"/>
  <c r="G100" i="153" s="1"/>
  <c r="G99" i="153" a="1"/>
  <c r="G99" i="153" s="1"/>
  <c r="G98" i="153" a="1"/>
  <c r="G98" i="153" s="1"/>
  <c r="G97" i="153" a="1"/>
  <c r="G97" i="153" s="1"/>
  <c r="G96" i="153" a="1"/>
  <c r="G96" i="153" s="1"/>
  <c r="G95" i="153" a="1"/>
  <c r="G95" i="153" s="1"/>
  <c r="G94" i="153" a="1"/>
  <c r="G94" i="153" s="1"/>
  <c r="G93" i="153" a="1"/>
  <c r="G93" i="153" s="1"/>
  <c r="G92" i="153" a="1"/>
  <c r="G92" i="153" s="1"/>
  <c r="G91" i="153" a="1"/>
  <c r="G91" i="153" s="1"/>
  <c r="G90" i="153" a="1"/>
  <c r="G90" i="153" s="1"/>
  <c r="G89" i="153" a="1"/>
  <c r="G89" i="153" s="1"/>
  <c r="G88" i="153" a="1"/>
  <c r="G88" i="153" s="1"/>
  <c r="G87" i="153" a="1"/>
  <c r="G87" i="153" s="1"/>
  <c r="G86" i="153" a="1"/>
  <c r="G86" i="153" s="1"/>
  <c r="G85" i="153" a="1"/>
  <c r="G85" i="153" s="1"/>
  <c r="G84" i="153" a="1"/>
  <c r="G84" i="153" s="1"/>
  <c r="G83" i="153" a="1"/>
  <c r="G83" i="153" s="1"/>
  <c r="G82" i="153" a="1"/>
  <c r="G82" i="153" s="1"/>
  <c r="G81" i="153" a="1"/>
  <c r="G81" i="153" s="1"/>
  <c r="G80" i="153" a="1"/>
  <c r="G80" i="153" s="1"/>
  <c r="G79" i="153" a="1"/>
  <c r="G79" i="153" s="1"/>
  <c r="G78" i="153" a="1"/>
  <c r="G78" i="153" s="1"/>
  <c r="G77" i="153" a="1"/>
  <c r="G77" i="153" s="1"/>
  <c r="G76" i="153" a="1"/>
  <c r="G76" i="153" s="1"/>
  <c r="G75" i="153" a="1"/>
  <c r="G75" i="153" s="1"/>
  <c r="G74" i="153" a="1"/>
  <c r="G74" i="153" s="1"/>
  <c r="G73" i="153" a="1"/>
  <c r="G73" i="153" s="1"/>
  <c r="G72" i="153" a="1"/>
  <c r="G72" i="153" s="1"/>
  <c r="G71" i="153" a="1"/>
  <c r="G71" i="153" s="1"/>
  <c r="G70" i="153" a="1"/>
  <c r="G70" i="153" s="1"/>
  <c r="G69" i="153" a="1"/>
  <c r="G69" i="153" s="1"/>
  <c r="G68" i="153" a="1"/>
  <c r="G68" i="153" s="1"/>
  <c r="G67" i="153" a="1"/>
  <c r="G67" i="153" s="1"/>
  <c r="G66" i="153" a="1"/>
  <c r="G66" i="153" s="1"/>
  <c r="G65" i="153" a="1"/>
  <c r="G65" i="153" s="1"/>
  <c r="G64" i="153" a="1"/>
  <c r="G64" i="153" s="1"/>
  <c r="G63" i="153" a="1"/>
  <c r="G63" i="153" s="1"/>
  <c r="G62" i="153" a="1"/>
  <c r="G62" i="153" s="1"/>
  <c r="G61" i="153" a="1"/>
  <c r="G61" i="153" s="1"/>
  <c r="G60" i="153" a="1"/>
  <c r="G60" i="153" s="1"/>
  <c r="G59" i="153" a="1"/>
  <c r="G59" i="153" s="1"/>
  <c r="G58" i="153" a="1"/>
  <c r="G58" i="153" s="1"/>
  <c r="G57" i="153" a="1"/>
  <c r="G57" i="153" s="1"/>
  <c r="G56" i="153" a="1"/>
  <c r="G56" i="153" s="1"/>
  <c r="G55" i="153" a="1"/>
  <c r="G55" i="153" s="1"/>
  <c r="G54" i="153" a="1"/>
  <c r="G54" i="153" s="1"/>
  <c r="G53" i="153" a="1"/>
  <c r="G53" i="153" s="1"/>
  <c r="G52" i="153" a="1"/>
  <c r="G52" i="153" s="1"/>
  <c r="G51" i="153" a="1"/>
  <c r="G51" i="153" s="1"/>
  <c r="G50" i="153" a="1"/>
  <c r="G50" i="153" s="1"/>
  <c r="G49" i="153" a="1"/>
  <c r="G49" i="153" s="1"/>
  <c r="G48" i="153" a="1"/>
  <c r="G48" i="153" s="1"/>
  <c r="G47" i="153" a="1"/>
  <c r="G47" i="153" s="1"/>
  <c r="G46" i="153" a="1"/>
  <c r="G46" i="153" s="1"/>
  <c r="G45" i="153" a="1"/>
  <c r="G45" i="153" s="1"/>
  <c r="G44" i="153" a="1"/>
  <c r="G44" i="153" s="1"/>
  <c r="G43" i="153" a="1"/>
  <c r="G43" i="153" s="1"/>
  <c r="G42" i="153" a="1"/>
  <c r="G42" i="153" s="1"/>
  <c r="G41" i="153" a="1"/>
  <c r="G41" i="153" s="1"/>
  <c r="G40" i="153" a="1"/>
  <c r="G40" i="153" s="1"/>
  <c r="G39" i="153" a="1"/>
  <c r="G39" i="153" s="1"/>
  <c r="G38" i="153" a="1"/>
  <c r="G38" i="153" s="1"/>
  <c r="G37" i="153" a="1"/>
  <c r="G37" i="153" s="1"/>
  <c r="G36" i="153" a="1"/>
  <c r="G36" i="153" s="1"/>
  <c r="G35" i="153" a="1"/>
  <c r="G35" i="153" s="1"/>
  <c r="G34" i="153" a="1"/>
  <c r="G34" i="153" s="1"/>
  <c r="G33" i="153" a="1"/>
  <c r="G33" i="153" s="1"/>
  <c r="G32" i="153" a="1"/>
  <c r="G32" i="153" s="1"/>
  <c r="G31" i="153" a="1"/>
  <c r="G31" i="153" s="1"/>
  <c r="G30" i="153" a="1"/>
  <c r="G30" i="153" s="1"/>
  <c r="G29" i="153" a="1"/>
  <c r="G29" i="153" s="1"/>
  <c r="G28" i="153" a="1"/>
  <c r="G28" i="153" s="1"/>
  <c r="G27" i="153" a="1"/>
  <c r="G27" i="153" s="1"/>
  <c r="G26" i="153" a="1"/>
  <c r="G26" i="153" s="1"/>
  <c r="G25" i="153" a="1"/>
  <c r="G25" i="153" s="1"/>
  <c r="G24" i="153" a="1"/>
  <c r="G24" i="153" s="1"/>
  <c r="G23" i="153" a="1"/>
  <c r="G23" i="153" s="1"/>
  <c r="G22" i="153" a="1"/>
  <c r="G22" i="153" s="1"/>
  <c r="G21" i="153" a="1"/>
  <c r="G21" i="153" s="1"/>
  <c r="G20" i="153" a="1"/>
  <c r="G20" i="153" s="1"/>
  <c r="G19" i="153" a="1"/>
  <c r="G19" i="153" s="1"/>
  <c r="G18" i="153" a="1"/>
  <c r="G18" i="153" s="1"/>
  <c r="G17" i="153" a="1"/>
  <c r="G17" i="153" s="1"/>
  <c r="G16" i="153" a="1"/>
  <c r="G16" i="153" s="1"/>
  <c r="G15" i="153" a="1"/>
  <c r="G15" i="153" s="1"/>
  <c r="G14" i="153" a="1"/>
  <c r="G14" i="153" s="1"/>
  <c r="G13" i="153" a="1"/>
  <c r="G13" i="153" s="1"/>
  <c r="G12" i="153" a="1"/>
  <c r="G12" i="153" s="1"/>
  <c r="G11" i="153" a="1"/>
  <c r="G11" i="153" s="1"/>
  <c r="G10" i="153" a="1"/>
  <c r="G10" i="153" s="1"/>
  <c r="G9" i="153" a="1"/>
  <c r="G9" i="153" s="1"/>
  <c r="G8" i="153" a="1"/>
  <c r="G8" i="153" s="1"/>
  <c r="G7" i="153" a="1"/>
  <c r="G7" i="153" s="1"/>
  <c r="G6" i="153" a="1"/>
  <c r="G6" i="153" s="1"/>
  <c r="G5" i="153" a="1"/>
  <c r="G5" i="153" s="1"/>
  <c r="G4" i="153" a="1"/>
  <c r="G4" i="153" s="1"/>
  <c r="G3" i="153" a="1"/>
  <c r="G3" i="153" s="1"/>
  <c r="G2" i="153" a="1"/>
  <c r="G2" i="153" s="1"/>
  <c r="F236" i="153" a="1"/>
  <c r="F236" i="153" s="1"/>
  <c r="F235" i="153" a="1"/>
  <c r="F235" i="153" s="1"/>
  <c r="F234" i="153" a="1"/>
  <c r="F234" i="153" s="1"/>
  <c r="F233" i="153" a="1"/>
  <c r="F233" i="153" s="1"/>
  <c r="F232" i="153" a="1"/>
  <c r="F232" i="153" s="1"/>
  <c r="F231" i="153" a="1"/>
  <c r="F231" i="153" s="1"/>
  <c r="F230" i="153" a="1"/>
  <c r="F230" i="153" s="1"/>
  <c r="F229" i="153" a="1"/>
  <c r="F229" i="153" s="1"/>
  <c r="F228" i="153" a="1"/>
  <c r="F228" i="153" s="1"/>
  <c r="F227" i="153" a="1"/>
  <c r="F227" i="153" s="1"/>
  <c r="F226" i="153" a="1"/>
  <c r="F226" i="153" s="1"/>
  <c r="F225" i="153" a="1"/>
  <c r="F225" i="153" s="1"/>
  <c r="F224" i="153" a="1"/>
  <c r="F224" i="153" s="1"/>
  <c r="F223" i="153" a="1"/>
  <c r="F223" i="153" s="1"/>
  <c r="F222" i="153" a="1"/>
  <c r="F222" i="153" s="1"/>
  <c r="F221" i="153" a="1"/>
  <c r="F221" i="153" s="1"/>
  <c r="F220" i="153" a="1"/>
  <c r="F220" i="153" s="1"/>
  <c r="F219" i="153" a="1"/>
  <c r="F219" i="153" s="1"/>
  <c r="F218" i="153" a="1"/>
  <c r="F218" i="153" s="1"/>
  <c r="F217" i="153" a="1"/>
  <c r="F217" i="153" s="1"/>
  <c r="F216" i="153" a="1"/>
  <c r="F216" i="153" s="1"/>
  <c r="F215" i="153" a="1"/>
  <c r="F215" i="153" s="1"/>
  <c r="F214" i="153" a="1"/>
  <c r="F214" i="153" s="1"/>
  <c r="F213" i="153" a="1"/>
  <c r="F213" i="153" s="1"/>
  <c r="F212" i="153" a="1"/>
  <c r="F212" i="153" s="1"/>
  <c r="F211" i="153" a="1"/>
  <c r="F211" i="153" s="1"/>
  <c r="F210" i="153" a="1"/>
  <c r="F210" i="153" s="1"/>
  <c r="F209" i="153" a="1"/>
  <c r="F209" i="153" s="1"/>
  <c r="F208" i="153" a="1"/>
  <c r="F208" i="153" s="1"/>
  <c r="F207" i="153" a="1"/>
  <c r="F207" i="153" s="1"/>
  <c r="F206" i="153" a="1"/>
  <c r="F206" i="153" s="1"/>
  <c r="F205" i="153" a="1"/>
  <c r="F205" i="153" s="1"/>
  <c r="F204" i="153" a="1"/>
  <c r="F204" i="153" s="1"/>
  <c r="F203" i="153" a="1"/>
  <c r="F203" i="153" s="1"/>
  <c r="F202" i="153" a="1"/>
  <c r="F202" i="153" s="1"/>
  <c r="F201" i="153" a="1"/>
  <c r="F201" i="153" s="1"/>
  <c r="F200" i="153" a="1"/>
  <c r="F200" i="153" s="1"/>
  <c r="F199" i="153" a="1"/>
  <c r="F199" i="153" s="1"/>
  <c r="F198" i="153" a="1"/>
  <c r="F198" i="153" s="1"/>
  <c r="F197" i="153" a="1"/>
  <c r="F197" i="153" s="1"/>
  <c r="F196" i="153" a="1"/>
  <c r="F196" i="153" s="1"/>
  <c r="F195" i="153" a="1"/>
  <c r="F195" i="153" s="1"/>
  <c r="F194" i="153" a="1"/>
  <c r="F194" i="153" s="1"/>
  <c r="F193" i="153" a="1"/>
  <c r="F193" i="153" s="1"/>
  <c r="F192" i="153" a="1"/>
  <c r="F192" i="153" s="1"/>
  <c r="F191" i="153" a="1"/>
  <c r="F191" i="153" s="1"/>
  <c r="F190" i="153" a="1"/>
  <c r="F190" i="153" s="1"/>
  <c r="F189" i="153" a="1"/>
  <c r="F189" i="153" s="1"/>
  <c r="F188" i="153" a="1"/>
  <c r="F188" i="153" s="1"/>
  <c r="F187" i="153" a="1"/>
  <c r="F187" i="153" s="1"/>
  <c r="F186" i="153" a="1"/>
  <c r="F186" i="153" s="1"/>
  <c r="F185" i="153" a="1"/>
  <c r="F185" i="153" s="1"/>
  <c r="F184" i="153" a="1"/>
  <c r="F184" i="153" s="1"/>
  <c r="F183" i="153" a="1"/>
  <c r="F183" i="153" s="1"/>
  <c r="F182" i="153" a="1"/>
  <c r="F182" i="153" s="1"/>
  <c r="F181" i="153" a="1"/>
  <c r="F181" i="153" s="1"/>
  <c r="F180" i="153" a="1"/>
  <c r="F180" i="153" s="1"/>
  <c r="F179" i="153" a="1"/>
  <c r="F179" i="153" s="1"/>
  <c r="F178" i="153" a="1"/>
  <c r="F178" i="153" s="1"/>
  <c r="F177" i="153" a="1"/>
  <c r="F177" i="153" s="1"/>
  <c r="F176" i="153" a="1"/>
  <c r="F176" i="153" s="1"/>
  <c r="F175" i="153" a="1"/>
  <c r="F175" i="153" s="1"/>
  <c r="F174" i="153" a="1"/>
  <c r="F174" i="153" s="1"/>
  <c r="F173" i="153" a="1"/>
  <c r="F173" i="153" s="1"/>
  <c r="F172" i="153" a="1"/>
  <c r="F172" i="153" s="1"/>
  <c r="F171" i="153" a="1"/>
  <c r="F171" i="153" s="1"/>
  <c r="F170" i="153" a="1"/>
  <c r="F170" i="153" s="1"/>
  <c r="F169" i="153" a="1"/>
  <c r="F169" i="153" s="1"/>
  <c r="F168" i="153" a="1"/>
  <c r="F168" i="153" s="1"/>
  <c r="F167" i="153" a="1"/>
  <c r="F167" i="153" s="1"/>
  <c r="F166" i="153" a="1"/>
  <c r="F166" i="153" s="1"/>
  <c r="F165" i="153" a="1"/>
  <c r="F165" i="153" s="1"/>
  <c r="F164" i="153" a="1"/>
  <c r="F164" i="153" s="1"/>
  <c r="F163" i="153" a="1"/>
  <c r="F163" i="153" s="1"/>
  <c r="F162" i="153" a="1"/>
  <c r="F162" i="153" s="1"/>
  <c r="F161" i="153" a="1"/>
  <c r="F161" i="153" s="1"/>
  <c r="F160" i="153" a="1"/>
  <c r="F160" i="153" s="1"/>
  <c r="F159" i="153" a="1"/>
  <c r="F159" i="153" s="1"/>
  <c r="F158" i="153" a="1"/>
  <c r="F158" i="153" s="1"/>
  <c r="F157" i="153" a="1"/>
  <c r="F157" i="153" s="1"/>
  <c r="F156" i="153" a="1"/>
  <c r="F156" i="153" s="1"/>
  <c r="F155" i="153" a="1"/>
  <c r="F155" i="153" s="1"/>
  <c r="F154" i="153" a="1"/>
  <c r="F154" i="153" s="1"/>
  <c r="F153" i="153" a="1"/>
  <c r="F153" i="153" s="1"/>
  <c r="F152" i="153" a="1"/>
  <c r="F152" i="153" s="1"/>
  <c r="F151" i="153" a="1"/>
  <c r="F151" i="153" s="1"/>
  <c r="F150" i="153" a="1"/>
  <c r="F150" i="153" s="1"/>
  <c r="F149" i="153" a="1"/>
  <c r="F149" i="153" s="1"/>
  <c r="F148" i="153" a="1"/>
  <c r="F148" i="153" s="1"/>
  <c r="F147" i="153" a="1"/>
  <c r="F147" i="153" s="1"/>
  <c r="F146" i="153" a="1"/>
  <c r="F146" i="153" s="1"/>
  <c r="F145" i="153" a="1"/>
  <c r="F145" i="153" s="1"/>
  <c r="F144" i="153" a="1"/>
  <c r="F144" i="153" s="1"/>
  <c r="F143" i="153" a="1"/>
  <c r="F143" i="153" s="1"/>
  <c r="F142" i="153" a="1"/>
  <c r="F142" i="153" s="1"/>
  <c r="F141" i="153" a="1"/>
  <c r="F141" i="153" s="1"/>
  <c r="F140" i="153" a="1"/>
  <c r="F140" i="153" s="1"/>
  <c r="F139" i="153" a="1"/>
  <c r="F139" i="153" s="1"/>
  <c r="F138" i="153" a="1"/>
  <c r="F138" i="153" s="1"/>
  <c r="F137" i="153" a="1"/>
  <c r="F137" i="153" s="1"/>
  <c r="F136" i="153" a="1"/>
  <c r="F136" i="153" s="1"/>
  <c r="F135" i="153" a="1"/>
  <c r="F135" i="153" s="1"/>
  <c r="F134" i="153" a="1"/>
  <c r="F134" i="153" s="1"/>
  <c r="F133" i="153" a="1"/>
  <c r="F133" i="153" s="1"/>
  <c r="F132" i="153" a="1"/>
  <c r="F132" i="153" s="1"/>
  <c r="F131" i="153" a="1"/>
  <c r="F131" i="153" s="1"/>
  <c r="F130" i="153" a="1"/>
  <c r="F130" i="153" s="1"/>
  <c r="F129" i="153" a="1"/>
  <c r="F129" i="153" s="1"/>
  <c r="F128" i="153" a="1"/>
  <c r="F128" i="153" s="1"/>
  <c r="F127" i="153" a="1"/>
  <c r="F127" i="153" s="1"/>
  <c r="F126" i="153" a="1"/>
  <c r="F126" i="153" s="1"/>
  <c r="F125" i="153" a="1"/>
  <c r="F125" i="153" s="1"/>
  <c r="F124" i="153" a="1"/>
  <c r="F124" i="153" s="1"/>
  <c r="F123" i="153" a="1"/>
  <c r="F123" i="153" s="1"/>
  <c r="F122" i="153" a="1"/>
  <c r="F122" i="153" s="1"/>
  <c r="F121" i="153" a="1"/>
  <c r="F121" i="153" s="1"/>
  <c r="F120" i="153" a="1"/>
  <c r="F120" i="153" s="1"/>
  <c r="F119" i="153" a="1"/>
  <c r="F119" i="153" s="1"/>
  <c r="F118" i="153" a="1"/>
  <c r="F118" i="153" s="1"/>
  <c r="F117" i="153" a="1"/>
  <c r="F117" i="153" s="1"/>
  <c r="F116" i="153" a="1"/>
  <c r="F116" i="153" s="1"/>
  <c r="F115" i="153" a="1"/>
  <c r="F115" i="153" s="1"/>
  <c r="F114" i="153" a="1"/>
  <c r="F114" i="153" s="1"/>
  <c r="F113" i="153" a="1"/>
  <c r="F113" i="153" s="1"/>
  <c r="F112" i="153" a="1"/>
  <c r="F112" i="153" s="1"/>
  <c r="F111" i="153" a="1"/>
  <c r="F111" i="153" s="1"/>
  <c r="F110" i="153" a="1"/>
  <c r="F110" i="153" s="1"/>
  <c r="F109" i="153" a="1"/>
  <c r="F109" i="153" s="1"/>
  <c r="F108" i="153" a="1"/>
  <c r="F108" i="153" s="1"/>
  <c r="F107" i="153" a="1"/>
  <c r="F107" i="153" s="1"/>
  <c r="F106" i="153" a="1"/>
  <c r="F106" i="153" s="1"/>
  <c r="F105" i="153" a="1"/>
  <c r="F105" i="153" s="1"/>
  <c r="F104" i="153" a="1"/>
  <c r="F104" i="153" s="1"/>
  <c r="F103" i="153" a="1"/>
  <c r="F103" i="153" s="1"/>
  <c r="F102" i="153" a="1"/>
  <c r="F102" i="153" s="1"/>
  <c r="F101" i="153" a="1"/>
  <c r="F101" i="153" s="1"/>
  <c r="F100" i="153" a="1"/>
  <c r="F100" i="153" s="1"/>
  <c r="F99" i="153" a="1"/>
  <c r="F99" i="153" s="1"/>
  <c r="F98" i="153" a="1"/>
  <c r="F98" i="153" s="1"/>
  <c r="F97" i="153" a="1"/>
  <c r="F97" i="153" s="1"/>
  <c r="F96" i="153" a="1"/>
  <c r="F96" i="153" s="1"/>
  <c r="F95" i="153" a="1"/>
  <c r="F95" i="153" s="1"/>
  <c r="F94" i="153" a="1"/>
  <c r="F94" i="153" s="1"/>
  <c r="F93" i="153" a="1"/>
  <c r="F93" i="153" s="1"/>
  <c r="F92" i="153" a="1"/>
  <c r="F92" i="153" s="1"/>
  <c r="F91" i="153" a="1"/>
  <c r="F91" i="153" s="1"/>
  <c r="F90" i="153" a="1"/>
  <c r="F90" i="153" s="1"/>
  <c r="F89" i="153" a="1"/>
  <c r="F89" i="153" s="1"/>
  <c r="F88" i="153" a="1"/>
  <c r="F88" i="153" s="1"/>
  <c r="F87" i="153" a="1"/>
  <c r="F87" i="153" s="1"/>
  <c r="F86" i="153" a="1"/>
  <c r="F86" i="153" s="1"/>
  <c r="F85" i="153" a="1"/>
  <c r="F85" i="153" s="1"/>
  <c r="F84" i="153" a="1"/>
  <c r="F84" i="153" s="1"/>
  <c r="F83" i="153" a="1"/>
  <c r="F83" i="153" s="1"/>
  <c r="F82" i="153" a="1"/>
  <c r="F82" i="153" s="1"/>
  <c r="F81" i="153" a="1"/>
  <c r="F81" i="153" s="1"/>
  <c r="F80" i="153" a="1"/>
  <c r="F80" i="153" s="1"/>
  <c r="F79" i="153" a="1"/>
  <c r="F79" i="153" s="1"/>
  <c r="F78" i="153" a="1"/>
  <c r="F78" i="153" s="1"/>
  <c r="F77" i="153" a="1"/>
  <c r="F77" i="153" s="1"/>
  <c r="F76" i="153" a="1"/>
  <c r="F76" i="153" s="1"/>
  <c r="F75" i="153" a="1"/>
  <c r="F75" i="153" s="1"/>
  <c r="F74" i="153" a="1"/>
  <c r="F74" i="153" s="1"/>
  <c r="F73" i="153" a="1"/>
  <c r="F73" i="153" s="1"/>
  <c r="F72" i="153" a="1"/>
  <c r="F72" i="153" s="1"/>
  <c r="F71" i="153" a="1"/>
  <c r="F71" i="153" s="1"/>
  <c r="F70" i="153" a="1"/>
  <c r="F70" i="153" s="1"/>
  <c r="F69" i="153" a="1"/>
  <c r="F69" i="153" s="1"/>
  <c r="F68" i="153" a="1"/>
  <c r="F68" i="153" s="1"/>
  <c r="F67" i="153" a="1"/>
  <c r="F67" i="153" s="1"/>
  <c r="F66" i="153" a="1"/>
  <c r="F66" i="153" s="1"/>
  <c r="F65" i="153" a="1"/>
  <c r="F65" i="153" s="1"/>
  <c r="F64" i="153" a="1"/>
  <c r="F64" i="153" s="1"/>
  <c r="F63" i="153" a="1"/>
  <c r="F63" i="153" s="1"/>
  <c r="F62" i="153" a="1"/>
  <c r="F62" i="153" s="1"/>
  <c r="F61" i="153" a="1"/>
  <c r="F61" i="153" s="1"/>
  <c r="F60" i="153" a="1"/>
  <c r="F60" i="153" s="1"/>
  <c r="F59" i="153" a="1"/>
  <c r="F59" i="153" s="1"/>
  <c r="F58" i="153" a="1"/>
  <c r="F58" i="153" s="1"/>
  <c r="F57" i="153" a="1"/>
  <c r="F57" i="153" s="1"/>
  <c r="F56" i="153" a="1"/>
  <c r="F56" i="153" s="1"/>
  <c r="F55" i="153" a="1"/>
  <c r="F55" i="153" s="1"/>
  <c r="F54" i="153" a="1"/>
  <c r="F54" i="153" s="1"/>
  <c r="F53" i="153" a="1"/>
  <c r="F53" i="153" s="1"/>
  <c r="F52" i="153" a="1"/>
  <c r="F52" i="153" s="1"/>
  <c r="F51" i="153" a="1"/>
  <c r="F51" i="153" s="1"/>
  <c r="F50" i="153" a="1"/>
  <c r="F50" i="153" s="1"/>
  <c r="F49" i="153" a="1"/>
  <c r="F49" i="153" s="1"/>
  <c r="F48" i="153" a="1"/>
  <c r="F48" i="153" s="1"/>
  <c r="F47" i="153" a="1"/>
  <c r="F47" i="153" s="1"/>
  <c r="F46" i="153" a="1"/>
  <c r="F46" i="153" s="1"/>
  <c r="F45" i="153" a="1"/>
  <c r="F45" i="153" s="1"/>
  <c r="F44" i="153" a="1"/>
  <c r="F44" i="153" s="1"/>
  <c r="F43" i="153" a="1"/>
  <c r="F43" i="153" s="1"/>
  <c r="F42" i="153" a="1"/>
  <c r="F42" i="153" s="1"/>
  <c r="F41" i="153" a="1"/>
  <c r="F41" i="153" s="1"/>
  <c r="F40" i="153" a="1"/>
  <c r="F40" i="153" s="1"/>
  <c r="F39" i="153" a="1"/>
  <c r="F39" i="153" s="1"/>
  <c r="F38" i="153" a="1"/>
  <c r="F38" i="153" s="1"/>
  <c r="F37" i="153" a="1"/>
  <c r="F37" i="153" s="1"/>
  <c r="F36" i="153" a="1"/>
  <c r="F36" i="153" s="1"/>
  <c r="F35" i="153" a="1"/>
  <c r="F35" i="153" s="1"/>
  <c r="F34" i="153" a="1"/>
  <c r="F34" i="153" s="1"/>
  <c r="F33" i="153" a="1"/>
  <c r="F33" i="153" s="1"/>
  <c r="F32" i="153" a="1"/>
  <c r="F32" i="153" s="1"/>
  <c r="F31" i="153" a="1"/>
  <c r="F31" i="153" s="1"/>
  <c r="F30" i="153" a="1"/>
  <c r="F30" i="153" s="1"/>
  <c r="F29" i="153" a="1"/>
  <c r="F29" i="153" s="1"/>
  <c r="F28" i="153" a="1"/>
  <c r="F28" i="153" s="1"/>
  <c r="F27" i="153" a="1"/>
  <c r="F27" i="153" s="1"/>
  <c r="F26" i="153" a="1"/>
  <c r="F26" i="153" s="1"/>
  <c r="F25" i="153" a="1"/>
  <c r="F25" i="153" s="1"/>
  <c r="F24" i="153" a="1"/>
  <c r="F24" i="153" s="1"/>
  <c r="F23" i="153" a="1"/>
  <c r="F23" i="153" s="1"/>
  <c r="F22" i="153" a="1"/>
  <c r="F22" i="153" s="1"/>
  <c r="F21" i="153" a="1"/>
  <c r="F21" i="153" s="1"/>
  <c r="F20" i="153" a="1"/>
  <c r="F20" i="153" s="1"/>
  <c r="F19" i="153" a="1"/>
  <c r="F19" i="153" s="1"/>
  <c r="F18" i="153" a="1"/>
  <c r="F18" i="153" s="1"/>
  <c r="F17" i="153" a="1"/>
  <c r="F17" i="153" s="1"/>
  <c r="F16" i="153" a="1"/>
  <c r="F16" i="153" s="1"/>
  <c r="F15" i="153" a="1"/>
  <c r="F15" i="153" s="1"/>
  <c r="F14" i="153" a="1"/>
  <c r="F14" i="153" s="1"/>
  <c r="F13" i="153" a="1"/>
  <c r="F13" i="153" s="1"/>
  <c r="F12" i="153" a="1"/>
  <c r="F12" i="153" s="1"/>
  <c r="F11" i="153" a="1"/>
  <c r="F11" i="153" s="1"/>
  <c r="F10" i="153" a="1"/>
  <c r="F10" i="153" s="1"/>
  <c r="F9" i="153" a="1"/>
  <c r="F9" i="153" s="1"/>
  <c r="F8" i="153" a="1"/>
  <c r="F8" i="153" s="1"/>
  <c r="F7" i="153" a="1"/>
  <c r="F7" i="153" s="1"/>
  <c r="F6" i="153" a="1"/>
  <c r="F6" i="153" s="1"/>
  <c r="F5" i="153" a="1"/>
  <c r="F5" i="153" s="1"/>
  <c r="F4" i="153" a="1"/>
  <c r="F4" i="153" s="1"/>
  <c r="F3" i="153" a="1"/>
  <c r="F3" i="153" s="1"/>
  <c r="F2" i="153" a="1"/>
  <c r="F2" i="153" s="1"/>
  <c r="H117" i="153" l="1"/>
  <c r="H139" i="153"/>
  <c r="H204" i="153"/>
  <c r="H233" i="153"/>
  <c r="H108" i="153"/>
  <c r="H132" i="153"/>
  <c r="H228" i="153"/>
  <c r="H193" i="153"/>
  <c r="H131" i="153"/>
  <c r="H167" i="153"/>
  <c r="H212" i="153"/>
  <c r="H90" i="153"/>
  <c r="H162" i="153"/>
  <c r="H80" i="153"/>
  <c r="H124" i="153"/>
  <c r="H151" i="153"/>
  <c r="H196" i="153"/>
  <c r="H47" i="153"/>
  <c r="H234" i="153"/>
  <c r="H60" i="153"/>
  <c r="H55" i="153"/>
  <c r="H107" i="153"/>
  <c r="H116" i="153"/>
  <c r="H143" i="153"/>
  <c r="H46" i="153"/>
  <c r="H57" i="153"/>
  <c r="H75" i="153"/>
  <c r="H77" i="153"/>
  <c r="H129" i="153"/>
  <c r="H201" i="153"/>
  <c r="H71" i="153"/>
  <c r="H45" i="153"/>
  <c r="H111" i="153"/>
  <c r="H70" i="153"/>
  <c r="H97" i="153"/>
  <c r="H148" i="153"/>
  <c r="H169" i="153"/>
  <c r="H227" i="153"/>
  <c r="H105" i="153"/>
  <c r="H177" i="153"/>
  <c r="H26" i="153"/>
  <c r="H114" i="153"/>
  <c r="H154" i="153"/>
  <c r="H213" i="153"/>
  <c r="H210" i="153"/>
  <c r="H96" i="153"/>
  <c r="H49" i="153"/>
  <c r="H99" i="153"/>
  <c r="H68" i="153"/>
  <c r="H20" i="153"/>
  <c r="H92" i="153"/>
  <c r="H123" i="153"/>
  <c r="H195" i="153"/>
  <c r="H186" i="153"/>
  <c r="H138" i="153"/>
  <c r="H168" i="153"/>
  <c r="H188" i="153"/>
  <c r="H189" i="153"/>
  <c r="H225" i="153"/>
  <c r="H141" i="153"/>
  <c r="H171" i="153"/>
  <c r="H147" i="153"/>
  <c r="H59" i="153"/>
  <c r="H53" i="153"/>
  <c r="H81" i="153"/>
  <c r="H153" i="153"/>
  <c r="H94" i="153"/>
  <c r="H103" i="153"/>
  <c r="H190" i="153"/>
  <c r="H199" i="153"/>
  <c r="H146" i="153"/>
  <c r="H54" i="153"/>
  <c r="H78" i="153"/>
  <c r="H93" i="153"/>
  <c r="H224" i="153"/>
  <c r="H72" i="153"/>
  <c r="H88" i="153"/>
  <c r="H166" i="153"/>
  <c r="H219" i="153"/>
  <c r="H62" i="153"/>
  <c r="H156" i="153"/>
  <c r="H180" i="153"/>
  <c r="H73" i="153"/>
  <c r="H106" i="153"/>
  <c r="H202" i="153"/>
  <c r="H65" i="153"/>
  <c r="H98" i="153"/>
  <c r="H159" i="153"/>
  <c r="H194" i="153"/>
  <c r="H69" i="153"/>
  <c r="H91" i="153"/>
  <c r="H115" i="153"/>
  <c r="H121" i="153"/>
  <c r="H145" i="153"/>
  <c r="H163" i="153"/>
  <c r="H187" i="153"/>
  <c r="H211" i="153"/>
  <c r="H217" i="153"/>
  <c r="H229" i="153"/>
  <c r="H235" i="153"/>
  <c r="H37" i="153"/>
  <c r="H51" i="153"/>
  <c r="H104" i="153"/>
  <c r="H130" i="153"/>
  <c r="H165" i="153"/>
  <c r="H226" i="153"/>
  <c r="H61" i="153"/>
  <c r="H67" i="153"/>
  <c r="H89" i="153"/>
  <c r="H113" i="153"/>
  <c r="H119" i="153"/>
  <c r="H155" i="153"/>
  <c r="H161" i="153"/>
  <c r="H179" i="153"/>
  <c r="H185" i="153"/>
  <c r="H209" i="153"/>
  <c r="H215" i="153"/>
  <c r="H82" i="153"/>
  <c r="H178" i="153"/>
  <c r="H23" i="153"/>
  <c r="H43" i="153"/>
  <c r="H142" i="153"/>
  <c r="H50" i="153"/>
  <c r="H135" i="153"/>
  <c r="H170" i="153"/>
  <c r="H231" i="153"/>
  <c r="H27" i="153"/>
  <c r="H118" i="153"/>
  <c r="H127" i="153"/>
  <c r="H136" i="153"/>
  <c r="H214" i="153"/>
  <c r="H175" i="153"/>
  <c r="H223" i="153"/>
  <c r="H95" i="153"/>
  <c r="H17" i="153"/>
  <c r="H87" i="153"/>
  <c r="H183" i="153"/>
  <c r="H207" i="153"/>
  <c r="H41" i="153"/>
  <c r="H25" i="153"/>
  <c r="H36" i="153"/>
  <c r="H9" i="153"/>
  <c r="H39" i="153"/>
  <c r="H152" i="153"/>
  <c r="H200" i="153"/>
  <c r="H84" i="153"/>
  <c r="H100" i="153"/>
  <c r="H172" i="153"/>
  <c r="H33" i="153"/>
  <c r="H29" i="153"/>
  <c r="H21" i="153"/>
  <c r="H63" i="153"/>
  <c r="H79" i="153"/>
  <c r="H85" i="153"/>
  <c r="H109" i="153"/>
  <c r="H125" i="153"/>
  <c r="H133" i="153"/>
  <c r="H157" i="153"/>
  <c r="H173" i="153"/>
  <c r="H181" i="153"/>
  <c r="H197" i="153"/>
  <c r="H205" i="153"/>
  <c r="H24" i="153"/>
  <c r="H86" i="153"/>
  <c r="H102" i="153"/>
  <c r="H126" i="153"/>
  <c r="H134" i="153"/>
  <c r="H150" i="153"/>
  <c r="H158" i="153"/>
  <c r="H174" i="153"/>
  <c r="H182" i="153"/>
  <c r="H198" i="153"/>
  <c r="H206" i="153"/>
  <c r="H222" i="153"/>
  <c r="H230" i="153"/>
  <c r="H13" i="153"/>
  <c r="H42" i="153"/>
  <c r="H66" i="153"/>
  <c r="H112" i="153"/>
  <c r="H160" i="153"/>
  <c r="H184" i="153"/>
  <c r="H208" i="153"/>
  <c r="H232" i="153"/>
  <c r="H35" i="153"/>
  <c r="H74" i="153"/>
  <c r="H120" i="153"/>
  <c r="H144" i="153"/>
  <c r="H192" i="153"/>
  <c r="H216" i="153"/>
  <c r="H220" i="153"/>
  <c r="H48" i="153"/>
  <c r="H56" i="153"/>
  <c r="H64" i="153"/>
  <c r="H14" i="153"/>
  <c r="H30" i="153"/>
  <c r="H44" i="153"/>
  <c r="H52" i="153"/>
  <c r="H22" i="153"/>
  <c r="H34" i="153"/>
  <c r="H12" i="153"/>
  <c r="H38" i="153"/>
  <c r="H15" i="153"/>
  <c r="H16" i="153"/>
  <c r="H28" i="153"/>
  <c r="H18" i="153"/>
  <c r="H31" i="153"/>
  <c r="H32" i="153"/>
  <c r="H2" i="153"/>
  <c r="H140" i="153"/>
  <c r="H122" i="153"/>
  <c r="H40" i="153"/>
  <c r="H176" i="153"/>
  <c r="H19" i="153"/>
  <c r="H164" i="153"/>
  <c r="H11" i="153"/>
  <c r="H7" i="153"/>
  <c r="H10" i="153"/>
  <c r="H6" i="153"/>
  <c r="H83" i="153"/>
  <c r="H8" i="153"/>
  <c r="H4" i="153"/>
  <c r="H5" i="153"/>
  <c r="H3" i="153"/>
  <c r="H236" i="153"/>
  <c r="H110" i="153"/>
  <c r="H203" i="153"/>
  <c r="H218" i="153"/>
  <c r="H137" i="153"/>
  <c r="H76" i="153"/>
  <c r="H221" i="153"/>
  <c r="H128" i="153"/>
  <c r="H191" i="153"/>
  <c r="H149" i="153"/>
  <c r="H101" i="153"/>
  <c r="H58" i="15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3D887B-9876-4D5A-83C5-F96C727933F6}" keepAlive="1" name="Consulta - polilinea_puntos_cada_5m_latlon" description="Conexión a la consulta 'polilinea_puntos_cada_5m_latlon' en el libro." type="5" refreshedVersion="8" background="1" saveData="1">
    <dbPr connection="Provider=Microsoft.Mashup.OleDb.1;Data Source=$Workbook$;Location=polilinea_puntos_cada_5m_latlon;Extended Properties=&quot;&quot;" command="SELECT * FROM [polilinea_puntos_cada_5m_latl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<sst xmlns="http://schemas.openxmlformats.org/spreadsheetml/2006/main" count="1551" uniqueCount="246">
  <si>
    <t>FECHA</t>
  </si>
  <si>
    <t>HITO</t>
  </si>
  <si>
    <t>COTA</t>
  </si>
  <si>
    <t>H1.01</t>
  </si>
  <si>
    <t>H1.02</t>
  </si>
  <si>
    <t>H1.03</t>
  </si>
  <si>
    <t>H1.04</t>
  </si>
  <si>
    <t>H1.05</t>
  </si>
  <si>
    <t>H1.06</t>
  </si>
  <si>
    <t>H2.01</t>
  </si>
  <si>
    <t>H2.02</t>
  </si>
  <si>
    <t>H2.03</t>
  </si>
  <si>
    <t>H2.04</t>
  </si>
  <si>
    <t>H2.05</t>
  </si>
  <si>
    <t>H25.02</t>
  </si>
  <si>
    <t>H25.04</t>
  </si>
  <si>
    <t>H25.05</t>
  </si>
  <si>
    <t>H26.03</t>
  </si>
  <si>
    <t>H26.04</t>
  </si>
  <si>
    <t>H26.05</t>
  </si>
  <si>
    <t>H26.02</t>
  </si>
  <si>
    <t>HITOS</t>
  </si>
  <si>
    <t>X</t>
  </si>
  <si>
    <t>Y</t>
  </si>
  <si>
    <t>LATITUD</t>
  </si>
  <si>
    <t>LONGITUD</t>
  </si>
  <si>
    <t>Z INICIAL</t>
  </si>
  <si>
    <t>Z FINAL</t>
  </si>
  <si>
    <t>d Z</t>
  </si>
  <si>
    <t>H10.01</t>
  </si>
  <si>
    <t>H10.03</t>
  </si>
  <si>
    <t>H10.04</t>
  </si>
  <si>
    <t>H10.02</t>
  </si>
  <si>
    <t>H10.05</t>
  </si>
  <si>
    <t>H11.01</t>
  </si>
  <si>
    <t>H11.02</t>
  </si>
  <si>
    <t>H11.03</t>
  </si>
  <si>
    <t>H11.04</t>
  </si>
  <si>
    <t>H11.05</t>
  </si>
  <si>
    <t>H12.01</t>
  </si>
  <si>
    <t>H12.02</t>
  </si>
  <si>
    <t>H12.03</t>
  </si>
  <si>
    <t>H12.04</t>
  </si>
  <si>
    <t>H12.05</t>
  </si>
  <si>
    <t>H13.01</t>
  </si>
  <si>
    <t>H13.02</t>
  </si>
  <si>
    <t>H13.03</t>
  </si>
  <si>
    <t>H13.04</t>
  </si>
  <si>
    <t>H13.05</t>
  </si>
  <si>
    <t>H14.01</t>
  </si>
  <si>
    <t>H14.02</t>
  </si>
  <si>
    <t>H14.03</t>
  </si>
  <si>
    <t>H15.01</t>
  </si>
  <si>
    <t>H15.02</t>
  </si>
  <si>
    <t>H16.01</t>
  </si>
  <si>
    <t>H16.02</t>
  </si>
  <si>
    <t>H16.03</t>
  </si>
  <si>
    <t>H16.04</t>
  </si>
  <si>
    <t>H16.05</t>
  </si>
  <si>
    <t>H17.01</t>
  </si>
  <si>
    <t>H17.02</t>
  </si>
  <si>
    <t>H17.03</t>
  </si>
  <si>
    <t>H17.04</t>
  </si>
  <si>
    <t>H18.01</t>
  </si>
  <si>
    <t>H18.02</t>
  </si>
  <si>
    <t>H18.03</t>
  </si>
  <si>
    <t>H18.04</t>
  </si>
  <si>
    <t>H18.05</t>
  </si>
  <si>
    <t>H19.02</t>
  </si>
  <si>
    <t>H19.03</t>
  </si>
  <si>
    <t>H19.04</t>
  </si>
  <si>
    <t>H19.05</t>
  </si>
  <si>
    <t>H20.01</t>
  </si>
  <si>
    <t>H20.03</t>
  </si>
  <si>
    <t>H20.04</t>
  </si>
  <si>
    <t>H20.05</t>
  </si>
  <si>
    <t>H21.01</t>
  </si>
  <si>
    <t>H21.02</t>
  </si>
  <si>
    <t>H21.03</t>
  </si>
  <si>
    <t>H21.04</t>
  </si>
  <si>
    <t>H21.05</t>
  </si>
  <si>
    <t>H22.01</t>
  </si>
  <si>
    <t>H22.02</t>
  </si>
  <si>
    <t>H22.03</t>
  </si>
  <si>
    <t>H22.04</t>
  </si>
  <si>
    <t>H22.05</t>
  </si>
  <si>
    <t>H23.01</t>
  </si>
  <si>
    <t>H23.02</t>
  </si>
  <si>
    <t>H23.03</t>
  </si>
  <si>
    <t>H23.04</t>
  </si>
  <si>
    <t>H23.05</t>
  </si>
  <si>
    <t>H24.01</t>
  </si>
  <si>
    <t>H24.02</t>
  </si>
  <si>
    <t>H24.03</t>
  </si>
  <si>
    <t>H24.04</t>
  </si>
  <si>
    <t>H24.05</t>
  </si>
  <si>
    <t>H27.01</t>
  </si>
  <si>
    <t>H27.02</t>
  </si>
  <si>
    <t>H27.03</t>
  </si>
  <si>
    <t>H27.04</t>
  </si>
  <si>
    <t>H27.05</t>
  </si>
  <si>
    <t>H28.01</t>
  </si>
  <si>
    <t>H28.02</t>
  </si>
  <si>
    <t>H28.03</t>
  </si>
  <si>
    <t>H28.04</t>
  </si>
  <si>
    <t>H28.05</t>
  </si>
  <si>
    <t>H29.01</t>
  </si>
  <si>
    <t>H29.02</t>
  </si>
  <si>
    <t>H29.03</t>
  </si>
  <si>
    <t>H29.04</t>
  </si>
  <si>
    <t>H29.05</t>
  </si>
  <si>
    <t>H3.01</t>
  </si>
  <si>
    <t>H3.02</t>
  </si>
  <si>
    <t>H3.03</t>
  </si>
  <si>
    <t>H3.04</t>
  </si>
  <si>
    <t>H3.05</t>
  </si>
  <si>
    <t>H4.01</t>
  </si>
  <si>
    <t>H4.02</t>
  </si>
  <si>
    <t>H4.03</t>
  </si>
  <si>
    <t>H4.04</t>
  </si>
  <si>
    <t>H4.05</t>
  </si>
  <si>
    <t>H5.01</t>
  </si>
  <si>
    <t>H5.02</t>
  </si>
  <si>
    <t>H5.03</t>
  </si>
  <si>
    <t>H5.04</t>
  </si>
  <si>
    <t>H5.05</t>
  </si>
  <si>
    <t>H6.01</t>
  </si>
  <si>
    <t>H6.02</t>
  </si>
  <si>
    <t>H6.03</t>
  </si>
  <si>
    <t>H6.04</t>
  </si>
  <si>
    <t>H6.05</t>
  </si>
  <si>
    <t>H7.01</t>
  </si>
  <si>
    <t>H7.02</t>
  </si>
  <si>
    <t>H7.03</t>
  </si>
  <si>
    <t>H7.04</t>
  </si>
  <si>
    <t>H7.05</t>
  </si>
  <si>
    <t>H8.01</t>
  </si>
  <si>
    <t>H8.02</t>
  </si>
  <si>
    <t>H8.03</t>
  </si>
  <si>
    <t>H8.04</t>
  </si>
  <si>
    <t>H8.05</t>
  </si>
  <si>
    <t>H9.01</t>
  </si>
  <si>
    <t>H9.02</t>
  </si>
  <si>
    <t>H9.03</t>
  </si>
  <si>
    <t>H9.04</t>
  </si>
  <si>
    <t>H9.05</t>
  </si>
  <si>
    <t>HC.01</t>
  </si>
  <si>
    <t>HC.02</t>
  </si>
  <si>
    <t>HC.03</t>
  </si>
  <si>
    <t>HC.04</t>
  </si>
  <si>
    <t>HC.05</t>
  </si>
  <si>
    <t>HC.06</t>
  </si>
  <si>
    <t>HC.07</t>
  </si>
  <si>
    <t>HC.08</t>
  </si>
  <si>
    <t>HC.09</t>
  </si>
  <si>
    <t>HC.10</t>
  </si>
  <si>
    <t>HC.100</t>
  </si>
  <si>
    <t>HC.11</t>
  </si>
  <si>
    <t>HC.12</t>
  </si>
  <si>
    <t>HC.13</t>
  </si>
  <si>
    <t>HC.14</t>
  </si>
  <si>
    <t>HC.15</t>
  </si>
  <si>
    <t>HC.16</t>
  </si>
  <si>
    <t>HC.17</t>
  </si>
  <si>
    <t>HC.18</t>
  </si>
  <si>
    <t>HC.19</t>
  </si>
  <si>
    <t>HC.20</t>
  </si>
  <si>
    <t>HC.21</t>
  </si>
  <si>
    <t>HC.22</t>
  </si>
  <si>
    <t>HC.23</t>
  </si>
  <si>
    <t>HC.24</t>
  </si>
  <si>
    <t>HC.25</t>
  </si>
  <si>
    <t>HC.26</t>
  </si>
  <si>
    <t>HC.27</t>
  </si>
  <si>
    <t>HC.28</t>
  </si>
  <si>
    <t>HC.29</t>
  </si>
  <si>
    <t>HC.30</t>
  </si>
  <si>
    <t>HC.31</t>
  </si>
  <si>
    <t>HC.32</t>
  </si>
  <si>
    <t>HC.33</t>
  </si>
  <si>
    <t>HC.34</t>
  </si>
  <si>
    <t>HC.35</t>
  </si>
  <si>
    <t>HC.36</t>
  </si>
  <si>
    <t>HC.37</t>
  </si>
  <si>
    <t>HC.38</t>
  </si>
  <si>
    <t>HC.39</t>
  </si>
  <si>
    <t>HC.40</t>
  </si>
  <si>
    <t>HC.41</t>
  </si>
  <si>
    <t>HC.42</t>
  </si>
  <si>
    <t>HC.43</t>
  </si>
  <si>
    <t>HC.44</t>
  </si>
  <si>
    <t>HC.45</t>
  </si>
  <si>
    <t>HC.46</t>
  </si>
  <si>
    <t>HC.47</t>
  </si>
  <si>
    <t>HC.48</t>
  </si>
  <si>
    <t>HC.49</t>
  </si>
  <si>
    <t>HC.50</t>
  </si>
  <si>
    <t>HC.51</t>
  </si>
  <si>
    <t>HC.52</t>
  </si>
  <si>
    <t>HC.53</t>
  </si>
  <si>
    <t>HC.54</t>
  </si>
  <si>
    <t>HC.55</t>
  </si>
  <si>
    <t>HC.56</t>
  </si>
  <si>
    <t>HC.57</t>
  </si>
  <si>
    <t>HC.58</t>
  </si>
  <si>
    <t>HC.59</t>
  </si>
  <si>
    <t>HC.60</t>
  </si>
  <si>
    <t>HC.61</t>
  </si>
  <si>
    <t>HC.62</t>
  </si>
  <si>
    <t>HC.63</t>
  </si>
  <si>
    <t>HC.64</t>
  </si>
  <si>
    <t>HC.65</t>
  </si>
  <si>
    <t>HC.66</t>
  </si>
  <si>
    <t>HC.67</t>
  </si>
  <si>
    <t>HC.68</t>
  </si>
  <si>
    <t>HC.69</t>
  </si>
  <si>
    <t>HC.70</t>
  </si>
  <si>
    <t>HC.71</t>
  </si>
  <si>
    <t>HC.72</t>
  </si>
  <si>
    <t>HC.73</t>
  </si>
  <si>
    <t>HC.74</t>
  </si>
  <si>
    <t>HC.75</t>
  </si>
  <si>
    <t>HC.76</t>
  </si>
  <si>
    <t>HC.77</t>
  </si>
  <si>
    <t>HC.78</t>
  </si>
  <si>
    <t>HC.79</t>
  </si>
  <si>
    <t>HC.80</t>
  </si>
  <si>
    <t>HC.81</t>
  </si>
  <si>
    <t>HC.82</t>
  </si>
  <si>
    <t>HC.83</t>
  </si>
  <si>
    <t>HC.84</t>
  </si>
  <si>
    <t>HC.85</t>
  </si>
  <si>
    <t>HC.86</t>
  </si>
  <si>
    <t>HC.87</t>
  </si>
  <si>
    <t>HC.88</t>
  </si>
  <si>
    <t>HC.89</t>
  </si>
  <si>
    <t>HC.90</t>
  </si>
  <si>
    <t>HC.91</t>
  </si>
  <si>
    <t>HC.92</t>
  </si>
  <si>
    <t>HC.93</t>
  </si>
  <si>
    <t>HC.94</t>
  </si>
  <si>
    <t>HC.95</t>
  </si>
  <si>
    <t>HC.96</t>
  </si>
  <si>
    <t>HC.97</t>
  </si>
  <si>
    <t>HC.98</t>
  </si>
  <si>
    <t>HC.99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</si>
</sst>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Aptos Narrow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14" fontId="3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2" fontId="0" fillId="0" borderId="0" xfId="0" applyNumberFormat="1"/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4" fontId="3" fillId="0" borderId="0" xfId="0" applyNumberFormat="1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0" borderId="0" xfId="0" applyNumberForma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7"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2" formatCode="0.00"/>
    </dxf>
    <dxf>
      <numFmt numFmtId="2" formatCode="0.00"/>
    </dxf>
    <dxf>
      <alignment horizontal="center"/>
    </dxf>
  </dxfs>
  <tableStyles count="0" defaultTableStyle="TableStyleMedium9" defaultPivotStyle="PivotStyleLight16"/>
  <colors>
    <mruColors>
      <color rgb="FFE650BF"/>
      <color rgb="FFC4F2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13" Type="http://schemas.openxmlformats.org/officeDocument/2006/relationships/customXml" Target="../customXml/item4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2ADCE6-B2E6-4BCA-B833-188E566678C4}" name="Tabla2" displayName="Tabla2" ref="A1:I236" totalsRowShown="0" headerRowDxfId="6">
  <autoFilter ref="A1:I236" xr:uid="{8C2ADCE6-B2E6-4BCA-B833-188E566678C4}"/>
  <tableColumns count="9">
    <tableColumn id="1" xr3:uid="{5C9BF16E-4F3E-4999-A090-1615DBC0DB9C}" name="HITOS"/>
    <tableColumn id="2" xr3:uid="{97D94703-B935-4BE6-9ECB-9024023E7282}" name="X" dataDxfId="5"/>
    <tableColumn id="3" xr3:uid="{8E1AB5B9-F4DB-46EA-92FF-888EC5B5DA37}" name="Y" dataDxfId="4"/>
    <tableColumn id="4" xr3:uid="{B7731C86-BC5D-4384-991A-F8D7671FF2BA}" name="LATITUD"/>
    <tableColumn id="5" xr3:uid="{A5867AFA-E80C-41D1-A89A-6F4CEB0063C3}" name="LONGITUD"/>
    <tableColumn id="7" xr3:uid="{C47ACDE0-3AB9-449E-9D77-4B1DC2CCABFB}" name="Z INICIAL" dataDxfId="3">
      <calculatedColumnFormula array="1">_xlfn.LET(
  _xlpm.clave,UPPER(TRIM(SUBSTITUTE(A2,CHAR(160)," "))),
  _xlpm.cods,UPPER(TRIM(SUBSTITUTE('HITOS NIVELACIÓN'!$B$3:$B$200024,CHAR(160)," "))),
  _xlpm.fechas_raw,'HITOS NIVELACIÓN'!$A$3:$A$200024,
  _xlpm.fechas,IF(ISNUMBER(_xlpm.fechas_raw),_xlpm.fechas_raw,IFERROR(FECHA.VALOR(_xlpm.fechas_raw),IFERROR(VALUE(_xlpm.fechas_raw),0))),
  _xlpm.cotas,'HITOS NIVELACIÓN'!$C$3:$C$200024,
  _xlpm.m,_xlpm.cods=_xlpm.clave,
  IFERROR(
    INDEX(
      _xlfn.SORTBY(
        _xlfn._xlws.FILTER(_xlpm.cotas,_xlpm.m),
        _xlfn._xlws.FILTER(_xlpm.fechas,_xlpm.m),1,
        _xlfn._xlws.FILTER(ROW(_xlpm.fechas_raw),_xlpm.m),1
      ),
      1
    ),
    ""
  )
)</calculatedColumnFormula>
    </tableColumn>
    <tableColumn id="8" xr3:uid="{3FD1A612-7694-46A6-B48C-B9557EC6898C}" name="Z FINAL" dataDxfId="2">
      <calculatedColumnFormula array="1">_xlfn.LET(
  _xlpm.clave,UPPER(TRIM(SUBSTITUTE(A3,CHAR(160)," "))),
  _xlpm.cods,UPPER(TRIM(SUBSTITUTE('HITOS NIVELACIÓN'!$B$3:$B$200024,CHAR(160)," "))),
  _xlpm.fechas_raw,'HITOS NIVELACIÓN'!$A$3:$A$200024,
  _xlpm.fechas,IF(ISNUMBER(_xlpm.fechas_raw),_xlpm.fechas_raw,IFERROR(FECHA.VALOR(_xlpm.fechas_raw),IFERROR(VALUE(_xlpm.fechas_raw),0))),
  _xlpm.cotas,'HITOS NIVELACIÓN'!$C$3:$C$200024,
  _xlpm.m,_xlpm.cods=_xlpm.clave,
  IFERROR(
    INDEX(
      _xlfn.SORTBY(
        _xlfn._xlws.FILTER(_xlpm.cotas,_xlpm.m),
        _xlfn._xlws.FILTER(_xlpm.fechas,_xlpm.m),-1,
        _xlfn._xlws.FILTER(ROW(_xlpm.fechas_raw),_xlpm.m),-1
      ),
      1
    ),
    "0"
  )
)</calculatedColumnFormula>
    </tableColumn>
    <tableColumn id="6" xr3:uid="{117977F0-FCEF-49ED-BBAA-94E38A24B6E1}" name="d Z" dataDxfId="1">
      <calculatedColumnFormula>+(Tabla2[[#This Row],[Z FINAL]]-Tabla2[[#This Row],[Z INICIAL]])*1000</calculatedColumnFormula>
    </tableColumn>
    <tableColumn id="9" xr3:uid="{F7FCE18B-F8C6-4C1B-8A7C-5761793DDCB1}" name="FECHA" dataDxfId="0">
      <calculatedColumnFormula array="1">_xlfn.LET(
  _xlpm.clave,UPPER(TRIM(SUBSTITUTE(A2,CHAR(160)," "))),
  _xlpm.cods,UPPER(TRIM(SUBSTITUTE('HITOS NIVELACIÓN'!$B$3:$B$200024,CHAR(160)," "))),
  _xlpm.fechas_raw,'HITOS NIVELACIÓN'!$A$3:$A$200024,
  _xlpm.fechas,IF(ISNUMBER(_xlpm.fechas_raw),_xlpm.fechas_raw,IFERROR(FECHA.VALOR(_xlpm.fechas_raw),IFERROR(VALUE(_xlpm.fechas_raw),0))),
  _xlpm.m,_xlpm.cods=_xlpm.clave,
  IFERROR(
    INDEX(
      _xlfn.SORTBY(
        _xlfn._xlws.FILTER(_xlpm.fechas,_xlpm.m),
        _xlfn._xlws.FILTER(_xlpm.fechas,_xlpm.m),-1,
        _xlfn._xlws.FILTER(ROW(_xlpm.fechas_raw),_xlpm.m),-1
      ),
      1
    ),
    ""
  )
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0A2BD-4C26-4EA1-87EC-9323EEC801E4}">
  <dimension ref="A1:D1305"/>
  <sheetViews>
    <sheetView tabSelected="1" topLeftCell="A1281" zoomScaleNormal="100" workbookViewId="0">
      <selection activeCell="G1306" sqref="G1306"/>
    </sheetView>
  </sheetViews>
  <sheetFormatPr baseColWidth="10" defaultColWidth="11.42578125" defaultRowHeight="15" x14ac:dyDescent="0.25"/>
  <cols>
    <col min="1" max="1" width="15.7109375" style="1" customWidth="1"/>
    <col min="2" max="2" width="15.7109375" style="7" customWidth="1"/>
    <col min="3" max="3" width="15.7109375" style="8" customWidth="1"/>
    <col min="4" max="4" width="11.42578125" style="3"/>
  </cols>
  <sheetData>
    <row r="1" spans="1:3" x14ac:dyDescent="0.25">
      <c r="A1" s="2" t="s">
        <v>0</v>
      </c>
      <c r="B1" s="4" t="s">
        <v>1</v>
      </c>
      <c r="C1" s="5" t="s">
        <v>2</v>
      </c>
    </row>
    <row r="2" spans="1:3" x14ac:dyDescent="0.25">
      <c r="A2" s="14">
        <v>45951</v>
      </c>
      <c r="B2" s="15" t="s">
        <v>3</v>
      </c>
      <c r="C2" s="16">
        <v>78.542699999999996</v>
      </c>
    </row>
    <row r="3" spans="1:3" x14ac:dyDescent="0.25">
      <c r="A3" s="14">
        <v>45951</v>
      </c>
      <c r="B3" s="15" t="s">
        <v>4</v>
      </c>
      <c r="C3" s="16">
        <v>72.819800000000001</v>
      </c>
    </row>
    <row r="4" spans="1:3" x14ac:dyDescent="0.25">
      <c r="A4" s="14">
        <v>45951</v>
      </c>
      <c r="B4" s="15" t="s">
        <v>5</v>
      </c>
      <c r="C4" s="16">
        <v>72.260900000000007</v>
      </c>
    </row>
    <row r="5" spans="1:3" x14ac:dyDescent="0.25">
      <c r="A5" s="14">
        <v>45951</v>
      </c>
      <c r="B5" s="15" t="s">
        <v>6</v>
      </c>
      <c r="C5" s="16">
        <v>70.915700000000001</v>
      </c>
    </row>
    <row r="6" spans="1:3" x14ac:dyDescent="0.25">
      <c r="A6" s="1">
        <v>45951</v>
      </c>
      <c r="B6" s="3" t="s">
        <v>7</v>
      </c>
      <c r="C6" s="6">
        <v>70.272999999999996</v>
      </c>
    </row>
    <row r="7" spans="1:3" x14ac:dyDescent="0.25">
      <c r="A7" s="1">
        <v>45951</v>
      </c>
      <c r="B7" s="3" t="s">
        <v>8</v>
      </c>
      <c r="C7" s="6">
        <v>66.596599999999995</v>
      </c>
    </row>
    <row r="8" spans="1:3" x14ac:dyDescent="0.25">
      <c r="A8" s="1">
        <v>45957</v>
      </c>
      <c r="B8" s="3" t="s">
        <v>3</v>
      </c>
      <c r="C8" s="6">
        <v>78.542699999999996</v>
      </c>
    </row>
    <row r="9" spans="1:3" x14ac:dyDescent="0.25">
      <c r="A9" s="1">
        <v>45957</v>
      </c>
      <c r="B9" s="3" t="s">
        <v>4</v>
      </c>
      <c r="C9" s="6">
        <v>72.819900000000004</v>
      </c>
    </row>
    <row r="10" spans="1:3" x14ac:dyDescent="0.25">
      <c r="A10" s="1">
        <v>45957</v>
      </c>
      <c r="B10" s="3" t="s">
        <v>5</v>
      </c>
      <c r="C10" s="6">
        <v>72.260900000000007</v>
      </c>
    </row>
    <row r="11" spans="1:3" x14ac:dyDescent="0.25">
      <c r="A11" s="1">
        <v>45957</v>
      </c>
      <c r="B11" s="3" t="s">
        <v>6</v>
      </c>
      <c r="C11" s="6">
        <v>70.915000000000006</v>
      </c>
    </row>
    <row r="12" spans="1:3" x14ac:dyDescent="0.25">
      <c r="A12" s="1">
        <v>45957</v>
      </c>
      <c r="B12" s="3" t="s">
        <v>7</v>
      </c>
      <c r="C12" s="6">
        <v>70.272999999999996</v>
      </c>
    </row>
    <row r="13" spans="1:3" x14ac:dyDescent="0.25">
      <c r="A13" s="1">
        <v>45957</v>
      </c>
      <c r="B13" s="3" t="s">
        <v>8</v>
      </c>
      <c r="C13" s="6">
        <v>66.596299999999999</v>
      </c>
    </row>
    <row r="14" spans="1:3" x14ac:dyDescent="0.25">
      <c r="A14" s="1">
        <v>45959</v>
      </c>
      <c r="B14" s="3" t="s">
        <v>3</v>
      </c>
      <c r="C14" s="6">
        <v>78.542599999999993</v>
      </c>
    </row>
    <row r="15" spans="1:3" x14ac:dyDescent="0.25">
      <c r="A15" s="1">
        <v>45959</v>
      </c>
      <c r="B15" s="3" t="s">
        <v>4</v>
      </c>
      <c r="C15" s="6">
        <v>72.819400000000002</v>
      </c>
    </row>
    <row r="16" spans="1:3" x14ac:dyDescent="0.25">
      <c r="A16" s="1">
        <v>45959</v>
      </c>
      <c r="B16" s="3" t="s">
        <v>5</v>
      </c>
      <c r="C16" s="6">
        <v>72.260800000000003</v>
      </c>
    </row>
    <row r="17" spans="1:3" x14ac:dyDescent="0.25">
      <c r="A17" s="1">
        <v>45959</v>
      </c>
      <c r="B17" s="3" t="s">
        <v>6</v>
      </c>
      <c r="C17" s="6">
        <v>70.9148</v>
      </c>
    </row>
    <row r="18" spans="1:3" x14ac:dyDescent="0.25">
      <c r="A18" s="1">
        <v>45959</v>
      </c>
      <c r="B18" s="3" t="s">
        <v>7</v>
      </c>
      <c r="C18" s="6">
        <v>70.272900000000007</v>
      </c>
    </row>
    <row r="19" spans="1:3" x14ac:dyDescent="0.25">
      <c r="A19" s="1">
        <v>45959</v>
      </c>
      <c r="B19" s="3" t="s">
        <v>8</v>
      </c>
      <c r="C19" s="6">
        <v>66.596699999999998</v>
      </c>
    </row>
    <row r="20" spans="1:3" x14ac:dyDescent="0.25">
      <c r="A20" s="1">
        <v>45964</v>
      </c>
      <c r="B20" s="3" t="s">
        <v>3</v>
      </c>
      <c r="C20" s="6">
        <v>78.542699999999996</v>
      </c>
    </row>
    <row r="21" spans="1:3" x14ac:dyDescent="0.25">
      <c r="A21" s="1">
        <v>45964</v>
      </c>
      <c r="B21" s="3" t="s">
        <v>4</v>
      </c>
      <c r="C21" s="6">
        <v>72.820599999999999</v>
      </c>
    </row>
    <row r="22" spans="1:3" x14ac:dyDescent="0.25">
      <c r="A22" s="1">
        <v>45964</v>
      </c>
      <c r="B22" s="3" t="s">
        <v>5</v>
      </c>
      <c r="C22" s="6">
        <v>72.261799999999994</v>
      </c>
    </row>
    <row r="23" spans="1:3" x14ac:dyDescent="0.25">
      <c r="A23" s="1">
        <v>45964</v>
      </c>
      <c r="B23" s="3" t="s">
        <v>6</v>
      </c>
      <c r="C23" s="6">
        <v>70.915999999999997</v>
      </c>
    </row>
    <row r="24" spans="1:3" x14ac:dyDescent="0.25">
      <c r="A24" s="1">
        <v>45964</v>
      </c>
      <c r="B24" s="3" t="s">
        <v>7</v>
      </c>
      <c r="C24" s="6">
        <v>70.273899999999998</v>
      </c>
    </row>
    <row r="25" spans="1:3" x14ac:dyDescent="0.25">
      <c r="A25" s="1">
        <v>45964</v>
      </c>
      <c r="B25" s="3" t="s">
        <v>8</v>
      </c>
      <c r="C25" s="6">
        <v>66.597499999999997</v>
      </c>
    </row>
    <row r="26" spans="1:3" x14ac:dyDescent="0.25">
      <c r="A26" s="1">
        <v>45965</v>
      </c>
      <c r="B26" s="3" t="s">
        <v>3</v>
      </c>
      <c r="C26" s="6">
        <v>78.542599999999993</v>
      </c>
    </row>
    <row r="27" spans="1:3" x14ac:dyDescent="0.25">
      <c r="A27" s="1">
        <v>45965</v>
      </c>
      <c r="B27" s="3" t="s">
        <v>4</v>
      </c>
      <c r="C27" s="6">
        <v>72.819800000000001</v>
      </c>
    </row>
    <row r="28" spans="1:3" x14ac:dyDescent="0.25">
      <c r="A28" s="1">
        <v>45965</v>
      </c>
      <c r="B28" s="3" t="s">
        <v>5</v>
      </c>
      <c r="C28" s="6">
        <v>72.260999999999996</v>
      </c>
    </row>
    <row r="29" spans="1:3" x14ac:dyDescent="0.25">
      <c r="A29" s="1">
        <v>45965</v>
      </c>
      <c r="B29" s="3" t="s">
        <v>6</v>
      </c>
      <c r="C29" s="6">
        <v>70.9148</v>
      </c>
    </row>
    <row r="30" spans="1:3" x14ac:dyDescent="0.25">
      <c r="A30" s="1">
        <v>45965</v>
      </c>
      <c r="B30" s="3" t="s">
        <v>7</v>
      </c>
      <c r="C30" s="6">
        <v>70.273099999999999</v>
      </c>
    </row>
    <row r="31" spans="1:3" x14ac:dyDescent="0.25">
      <c r="A31" s="1">
        <v>45965</v>
      </c>
      <c r="B31" s="3" t="s">
        <v>8</v>
      </c>
      <c r="C31" s="6">
        <v>66.596500000000006</v>
      </c>
    </row>
    <row r="32" spans="1:3" x14ac:dyDescent="0.25">
      <c r="A32" s="1">
        <v>45965</v>
      </c>
      <c r="B32" s="3" t="s">
        <v>9</v>
      </c>
      <c r="C32" s="6">
        <v>69.676000000000002</v>
      </c>
    </row>
    <row r="33" spans="1:3" x14ac:dyDescent="0.25">
      <c r="A33" s="1">
        <v>45965</v>
      </c>
      <c r="B33" s="3" t="s">
        <v>10</v>
      </c>
      <c r="C33" s="6">
        <v>69.657799999999995</v>
      </c>
    </row>
    <row r="34" spans="1:3" x14ac:dyDescent="0.25">
      <c r="A34" s="1">
        <v>45965</v>
      </c>
      <c r="B34" s="3" t="s">
        <v>11</v>
      </c>
      <c r="C34" s="6">
        <v>70.013800000000003</v>
      </c>
    </row>
    <row r="35" spans="1:3" x14ac:dyDescent="0.25">
      <c r="A35" s="1">
        <v>45965</v>
      </c>
      <c r="B35" s="3" t="s">
        <v>12</v>
      </c>
      <c r="C35" s="6">
        <v>73.930099999999996</v>
      </c>
    </row>
    <row r="36" spans="1:3" x14ac:dyDescent="0.25">
      <c r="A36" s="1">
        <v>45965</v>
      </c>
      <c r="B36" s="3" t="s">
        <v>13</v>
      </c>
      <c r="C36" s="6">
        <v>73.955399999999997</v>
      </c>
    </row>
    <row r="37" spans="1:3" x14ac:dyDescent="0.25">
      <c r="A37" s="1">
        <v>45967</v>
      </c>
      <c r="B37" s="3" t="s">
        <v>3</v>
      </c>
      <c r="C37" s="6">
        <v>78.542599999999993</v>
      </c>
    </row>
    <row r="38" spans="1:3" x14ac:dyDescent="0.25">
      <c r="A38" s="1">
        <v>45967</v>
      </c>
      <c r="B38" s="3" t="s">
        <v>4</v>
      </c>
      <c r="C38" s="6">
        <v>72.819100000000006</v>
      </c>
    </row>
    <row r="39" spans="1:3" x14ac:dyDescent="0.25">
      <c r="A39" s="1">
        <v>45967</v>
      </c>
      <c r="B39" s="3" t="s">
        <v>5</v>
      </c>
      <c r="C39" s="6">
        <v>72.260499999999993</v>
      </c>
    </row>
    <row r="40" spans="1:3" x14ac:dyDescent="0.25">
      <c r="A40" s="1">
        <v>45967</v>
      </c>
      <c r="B40" s="3" t="s">
        <v>6</v>
      </c>
      <c r="C40" s="6">
        <v>70.913799999999995</v>
      </c>
    </row>
    <row r="41" spans="1:3" x14ac:dyDescent="0.25">
      <c r="A41" s="1">
        <v>45967</v>
      </c>
      <c r="B41" s="3" t="s">
        <v>7</v>
      </c>
      <c r="C41" s="6">
        <v>70.2727</v>
      </c>
    </row>
    <row r="42" spans="1:3" x14ac:dyDescent="0.25">
      <c r="A42" s="1">
        <v>45967</v>
      </c>
      <c r="B42" s="3" t="s">
        <v>8</v>
      </c>
      <c r="C42" s="6">
        <v>66.595699999999994</v>
      </c>
    </row>
    <row r="43" spans="1:3" x14ac:dyDescent="0.25">
      <c r="A43" s="1">
        <v>45968</v>
      </c>
      <c r="B43" s="3" t="s">
        <v>3</v>
      </c>
      <c r="C43" s="6">
        <v>78.542599999999993</v>
      </c>
    </row>
    <row r="44" spans="1:3" x14ac:dyDescent="0.25">
      <c r="A44" s="1">
        <v>45968</v>
      </c>
      <c r="B44" s="3" t="s">
        <v>4</v>
      </c>
      <c r="C44" s="6">
        <v>72.819299999999998</v>
      </c>
    </row>
    <row r="45" spans="1:3" x14ac:dyDescent="0.25">
      <c r="A45" s="1">
        <v>45968</v>
      </c>
      <c r="B45" s="3" t="s">
        <v>5</v>
      </c>
      <c r="C45" s="6">
        <v>72.260499999999993</v>
      </c>
    </row>
    <row r="46" spans="1:3" x14ac:dyDescent="0.25">
      <c r="A46" s="1">
        <v>45968</v>
      </c>
      <c r="B46" s="3" t="s">
        <v>6</v>
      </c>
      <c r="C46" s="6">
        <v>70.913899999999998</v>
      </c>
    </row>
    <row r="47" spans="1:3" x14ac:dyDescent="0.25">
      <c r="A47" s="1">
        <v>45968</v>
      </c>
      <c r="B47" s="3" t="s">
        <v>7</v>
      </c>
      <c r="C47" s="6">
        <v>70.273300000000006</v>
      </c>
    </row>
    <row r="48" spans="1:3" x14ac:dyDescent="0.25">
      <c r="A48" s="1">
        <v>45968</v>
      </c>
      <c r="B48" s="3" t="s">
        <v>8</v>
      </c>
      <c r="C48" s="6">
        <v>66.596299999999999</v>
      </c>
    </row>
    <row r="49" spans="1:3" x14ac:dyDescent="0.25">
      <c r="A49" s="1">
        <v>45968</v>
      </c>
      <c r="B49" s="3" t="s">
        <v>9</v>
      </c>
      <c r="C49" s="6">
        <v>69.676100000000005</v>
      </c>
    </row>
    <row r="50" spans="1:3" x14ac:dyDescent="0.25">
      <c r="A50" s="1">
        <v>45968</v>
      </c>
      <c r="B50" s="3" t="s">
        <v>10</v>
      </c>
      <c r="C50" s="6">
        <v>69.657899999999998</v>
      </c>
    </row>
    <row r="51" spans="1:3" x14ac:dyDescent="0.25">
      <c r="A51" s="1">
        <v>45968</v>
      </c>
      <c r="B51" s="3" t="s">
        <v>11</v>
      </c>
      <c r="C51" s="6">
        <v>70.014099999999999</v>
      </c>
    </row>
    <row r="52" spans="1:3" x14ac:dyDescent="0.25">
      <c r="A52" s="1">
        <v>45968</v>
      </c>
      <c r="B52" s="3" t="s">
        <v>12</v>
      </c>
      <c r="C52" s="6">
        <v>73.930999999999997</v>
      </c>
    </row>
    <row r="53" spans="1:3" x14ac:dyDescent="0.25">
      <c r="A53" s="1">
        <v>45968</v>
      </c>
      <c r="B53" s="3" t="s">
        <v>13</v>
      </c>
      <c r="C53" s="6">
        <v>73.955399999999997</v>
      </c>
    </row>
    <row r="54" spans="1:3" x14ac:dyDescent="0.25">
      <c r="A54" s="1">
        <v>45971</v>
      </c>
      <c r="B54" s="3" t="s">
        <v>3</v>
      </c>
      <c r="C54" s="6">
        <v>78.542599999999993</v>
      </c>
    </row>
    <row r="55" spans="1:3" x14ac:dyDescent="0.25">
      <c r="A55" s="1">
        <v>45971</v>
      </c>
      <c r="B55" s="3" t="s">
        <v>4</v>
      </c>
      <c r="C55" s="6">
        <v>72.820499999999996</v>
      </c>
    </row>
    <row r="56" spans="1:3" x14ac:dyDescent="0.25">
      <c r="A56" s="1">
        <v>45971</v>
      </c>
      <c r="B56" s="3" t="s">
        <v>5</v>
      </c>
      <c r="C56" s="6">
        <v>72.262200000000007</v>
      </c>
    </row>
    <row r="57" spans="1:3" x14ac:dyDescent="0.25">
      <c r="A57" s="1">
        <v>45971</v>
      </c>
      <c r="B57" s="3" t="s">
        <v>6</v>
      </c>
      <c r="C57" s="6">
        <v>70.915499999999994</v>
      </c>
    </row>
    <row r="58" spans="1:3" x14ac:dyDescent="0.25">
      <c r="A58" s="1">
        <v>45971</v>
      </c>
      <c r="B58" s="3" t="s">
        <v>7</v>
      </c>
      <c r="C58" s="6">
        <v>70.274699999999996</v>
      </c>
    </row>
    <row r="59" spans="1:3" x14ac:dyDescent="0.25">
      <c r="A59" s="1">
        <v>45971</v>
      </c>
      <c r="B59" s="3" t="s">
        <v>8</v>
      </c>
      <c r="C59" s="6">
        <v>66.597899999999996</v>
      </c>
    </row>
    <row r="60" spans="1:3" x14ac:dyDescent="0.25">
      <c r="A60" s="1">
        <v>45972</v>
      </c>
      <c r="B60" s="3" t="s">
        <v>3</v>
      </c>
      <c r="C60" s="6">
        <v>78.542699999999996</v>
      </c>
    </row>
    <row r="61" spans="1:3" x14ac:dyDescent="0.25">
      <c r="A61" s="1">
        <v>45972</v>
      </c>
      <c r="B61" s="3" t="s">
        <v>4</v>
      </c>
      <c r="C61" s="6">
        <v>72.820499999999996</v>
      </c>
    </row>
    <row r="62" spans="1:3" x14ac:dyDescent="0.25">
      <c r="A62" s="1">
        <v>45972</v>
      </c>
      <c r="B62" s="3" t="s">
        <v>5</v>
      </c>
      <c r="C62" s="6">
        <v>72.262200000000007</v>
      </c>
    </row>
    <row r="63" spans="1:3" x14ac:dyDescent="0.25">
      <c r="A63" s="1">
        <v>45972</v>
      </c>
      <c r="B63" s="3" t="s">
        <v>6</v>
      </c>
      <c r="C63" s="6">
        <v>70.915400000000005</v>
      </c>
    </row>
    <row r="64" spans="1:3" x14ac:dyDescent="0.25">
      <c r="A64" s="1">
        <v>45972</v>
      </c>
      <c r="B64" s="3" t="s">
        <v>7</v>
      </c>
      <c r="C64" s="6">
        <v>70.274799999999999</v>
      </c>
    </row>
    <row r="65" spans="1:3" x14ac:dyDescent="0.25">
      <c r="A65" s="1">
        <v>45972</v>
      </c>
      <c r="B65" s="3" t="s">
        <v>8</v>
      </c>
      <c r="C65" s="6">
        <v>66.597899999999996</v>
      </c>
    </row>
    <row r="66" spans="1:3" x14ac:dyDescent="0.25">
      <c r="A66" s="1">
        <v>45973</v>
      </c>
      <c r="B66" s="3" t="s">
        <v>3</v>
      </c>
      <c r="C66" s="6">
        <v>78.542699999999996</v>
      </c>
    </row>
    <row r="67" spans="1:3" x14ac:dyDescent="0.25">
      <c r="A67" s="1">
        <v>45973</v>
      </c>
      <c r="B67" s="3" t="s">
        <v>4</v>
      </c>
      <c r="C67" s="6">
        <v>72.820800000000006</v>
      </c>
    </row>
    <row r="68" spans="1:3" x14ac:dyDescent="0.25">
      <c r="A68" s="1">
        <v>45973</v>
      </c>
      <c r="B68" s="3" t="s">
        <v>5</v>
      </c>
      <c r="C68" s="6">
        <v>72.263000000000005</v>
      </c>
    </row>
    <row r="69" spans="1:3" x14ac:dyDescent="0.25">
      <c r="A69" s="1">
        <v>45973</v>
      </c>
      <c r="B69" s="3" t="s">
        <v>6</v>
      </c>
      <c r="C69" s="6">
        <v>70.916300000000007</v>
      </c>
    </row>
    <row r="70" spans="1:3" x14ac:dyDescent="0.25">
      <c r="A70" s="1">
        <v>45973</v>
      </c>
      <c r="B70" s="3" t="s">
        <v>7</v>
      </c>
      <c r="C70" s="6">
        <v>70.275899999999993</v>
      </c>
    </row>
    <row r="71" spans="1:3" x14ac:dyDescent="0.25">
      <c r="A71" s="1">
        <v>45973</v>
      </c>
      <c r="B71" s="3" t="s">
        <v>8</v>
      </c>
      <c r="C71" s="6">
        <v>66.599000000000004</v>
      </c>
    </row>
    <row r="72" spans="1:3" x14ac:dyDescent="0.25">
      <c r="A72" s="1">
        <v>45978</v>
      </c>
      <c r="B72" s="3" t="s">
        <v>3</v>
      </c>
      <c r="C72" s="6">
        <v>78.542599999999993</v>
      </c>
    </row>
    <row r="73" spans="1:3" x14ac:dyDescent="0.25">
      <c r="A73" s="1">
        <v>45978</v>
      </c>
      <c r="B73" s="3" t="s">
        <v>4</v>
      </c>
      <c r="C73" s="6">
        <v>72.819699999999997</v>
      </c>
    </row>
    <row r="74" spans="1:3" x14ac:dyDescent="0.25">
      <c r="A74" s="1">
        <v>45978</v>
      </c>
      <c r="B74" s="3" t="s">
        <v>5</v>
      </c>
      <c r="C74" s="6">
        <v>72.261499999999998</v>
      </c>
    </row>
    <row r="75" spans="1:3" x14ac:dyDescent="0.25">
      <c r="A75" s="1">
        <v>45978</v>
      </c>
      <c r="B75" s="3" t="s">
        <v>6</v>
      </c>
      <c r="C75" s="6">
        <v>70.914000000000001</v>
      </c>
    </row>
    <row r="76" spans="1:3" x14ac:dyDescent="0.25">
      <c r="A76" s="1">
        <v>45978</v>
      </c>
      <c r="B76" s="3" t="s">
        <v>7</v>
      </c>
      <c r="C76" s="6">
        <v>70.274000000000001</v>
      </c>
    </row>
    <row r="77" spans="1:3" x14ac:dyDescent="0.25">
      <c r="A77" s="1">
        <v>45978</v>
      </c>
      <c r="B77" s="3" t="s">
        <v>8</v>
      </c>
      <c r="C77" s="6">
        <v>66.596100000000007</v>
      </c>
    </row>
    <row r="78" spans="1:3" x14ac:dyDescent="0.25">
      <c r="A78" s="1">
        <v>45979</v>
      </c>
      <c r="B78" s="3" t="s">
        <v>3</v>
      </c>
      <c r="C78" s="6">
        <v>78.542299999999997</v>
      </c>
    </row>
    <row r="79" spans="1:3" x14ac:dyDescent="0.25">
      <c r="A79" s="1">
        <v>45979</v>
      </c>
      <c r="B79" s="3" t="s">
        <v>4</v>
      </c>
      <c r="C79" s="6">
        <v>72.819100000000006</v>
      </c>
    </row>
    <row r="80" spans="1:3" x14ac:dyDescent="0.25">
      <c r="A80" s="1">
        <v>45979</v>
      </c>
      <c r="B80" s="3" t="s">
        <v>5</v>
      </c>
      <c r="C80" s="6">
        <v>72.261399999999995</v>
      </c>
    </row>
    <row r="81" spans="1:3" x14ac:dyDescent="0.25">
      <c r="A81" s="1">
        <v>45979</v>
      </c>
      <c r="B81" s="3" t="s">
        <v>6</v>
      </c>
      <c r="C81" s="6">
        <v>70.914699999999996</v>
      </c>
    </row>
    <row r="82" spans="1:3" x14ac:dyDescent="0.25">
      <c r="A82" s="1">
        <v>45979</v>
      </c>
      <c r="B82" s="3" t="s">
        <v>7</v>
      </c>
      <c r="C82" s="6">
        <v>70.274699999999996</v>
      </c>
    </row>
    <row r="83" spans="1:3" x14ac:dyDescent="0.25">
      <c r="A83" s="1">
        <v>45979</v>
      </c>
      <c r="B83" s="3" t="s">
        <v>8</v>
      </c>
      <c r="C83" s="6">
        <v>66.596900000000005</v>
      </c>
    </row>
    <row r="84" spans="1:3" x14ac:dyDescent="0.25">
      <c r="A84" s="1">
        <v>45980</v>
      </c>
      <c r="B84" s="3" t="s">
        <v>3</v>
      </c>
      <c r="C84" s="6">
        <v>78.542199999999994</v>
      </c>
    </row>
    <row r="85" spans="1:3" x14ac:dyDescent="0.25">
      <c r="A85" s="1">
        <v>45980</v>
      </c>
      <c r="B85" s="3" t="s">
        <v>4</v>
      </c>
      <c r="C85" s="6">
        <v>72.819100000000006</v>
      </c>
    </row>
    <row r="86" spans="1:3" x14ac:dyDescent="0.25">
      <c r="A86" s="1">
        <v>45980</v>
      </c>
      <c r="B86" s="3" t="s">
        <v>5</v>
      </c>
      <c r="C86" s="6">
        <v>72.260900000000007</v>
      </c>
    </row>
    <row r="87" spans="1:3" x14ac:dyDescent="0.25">
      <c r="A87" s="1">
        <v>45980</v>
      </c>
      <c r="B87" s="3" t="s">
        <v>6</v>
      </c>
      <c r="C87" s="6">
        <v>70.913899999999998</v>
      </c>
    </row>
    <row r="88" spans="1:3" x14ac:dyDescent="0.25">
      <c r="A88" s="1">
        <v>45980</v>
      </c>
      <c r="B88" s="3" t="s">
        <v>7</v>
      </c>
      <c r="C88" s="6">
        <v>70.273899999999998</v>
      </c>
    </row>
    <row r="89" spans="1:3" x14ac:dyDescent="0.25">
      <c r="A89" s="1">
        <v>45980</v>
      </c>
      <c r="B89" s="3" t="s">
        <v>8</v>
      </c>
      <c r="C89" s="6">
        <v>66.595699999999994</v>
      </c>
    </row>
    <row r="90" spans="1:3" x14ac:dyDescent="0.25">
      <c r="A90" s="1">
        <v>45980</v>
      </c>
      <c r="B90" s="3" t="s">
        <v>9</v>
      </c>
      <c r="C90" s="6">
        <v>69.676100000000005</v>
      </c>
    </row>
    <row r="91" spans="1:3" x14ac:dyDescent="0.25">
      <c r="A91" s="1">
        <v>45980</v>
      </c>
      <c r="B91" s="3" t="s">
        <v>10</v>
      </c>
      <c r="C91" s="6">
        <v>69.6571</v>
      </c>
    </row>
    <row r="92" spans="1:3" x14ac:dyDescent="0.25">
      <c r="A92" s="1">
        <v>45980</v>
      </c>
      <c r="B92" s="3" t="s">
        <v>11</v>
      </c>
      <c r="C92" s="6">
        <v>70.013099999999994</v>
      </c>
    </row>
    <row r="93" spans="1:3" x14ac:dyDescent="0.25">
      <c r="A93" s="1">
        <v>45980</v>
      </c>
      <c r="B93" s="3" t="s">
        <v>12</v>
      </c>
      <c r="C93" s="6">
        <v>73.930599999999998</v>
      </c>
    </row>
    <row r="94" spans="1:3" x14ac:dyDescent="0.25">
      <c r="A94" s="1">
        <v>45980</v>
      </c>
      <c r="B94" s="3" t="s">
        <v>13</v>
      </c>
      <c r="C94" s="6">
        <v>73.955399999999997</v>
      </c>
    </row>
    <row r="95" spans="1:3" x14ac:dyDescent="0.25">
      <c r="A95" s="1">
        <v>45982</v>
      </c>
      <c r="B95" s="3" t="s">
        <v>3</v>
      </c>
      <c r="C95" s="6">
        <v>78.541600000000003</v>
      </c>
    </row>
    <row r="96" spans="1:3" x14ac:dyDescent="0.25">
      <c r="A96" s="1">
        <v>45982</v>
      </c>
      <c r="B96" s="3" t="s">
        <v>4</v>
      </c>
      <c r="C96" s="6">
        <v>72.818299999999994</v>
      </c>
    </row>
    <row r="97" spans="1:3" x14ac:dyDescent="0.25">
      <c r="A97" s="1">
        <v>45982</v>
      </c>
      <c r="B97" s="3" t="s">
        <v>5</v>
      </c>
      <c r="C97" s="6">
        <v>72.261099999999999</v>
      </c>
    </row>
    <row r="98" spans="1:3" x14ac:dyDescent="0.25">
      <c r="A98" s="1">
        <v>45982</v>
      </c>
      <c r="B98" s="3" t="s">
        <v>6</v>
      </c>
      <c r="C98" s="6">
        <v>70.912700000000001</v>
      </c>
    </row>
    <row r="99" spans="1:3" x14ac:dyDescent="0.25">
      <c r="A99" s="1">
        <v>45982</v>
      </c>
      <c r="B99" s="3" t="s">
        <v>7</v>
      </c>
      <c r="C99" s="6">
        <v>70.272199999999998</v>
      </c>
    </row>
    <row r="100" spans="1:3" x14ac:dyDescent="0.25">
      <c r="A100" s="1">
        <v>45982</v>
      </c>
      <c r="B100" s="3" t="s">
        <v>8</v>
      </c>
      <c r="C100" s="6">
        <v>66.593500000000006</v>
      </c>
    </row>
    <row r="101" spans="1:3" x14ac:dyDescent="0.25">
      <c r="A101" s="1">
        <v>45985</v>
      </c>
      <c r="B101" s="3" t="s">
        <v>3</v>
      </c>
      <c r="C101" s="6">
        <v>78.542400000000001</v>
      </c>
    </row>
    <row r="102" spans="1:3" x14ac:dyDescent="0.25">
      <c r="A102" s="1">
        <v>45985</v>
      </c>
      <c r="B102" s="3" t="s">
        <v>4</v>
      </c>
      <c r="C102" s="6">
        <v>72.819299999999998</v>
      </c>
    </row>
    <row r="103" spans="1:3" x14ac:dyDescent="0.25">
      <c r="A103" s="1">
        <v>45985</v>
      </c>
      <c r="B103" s="3" t="s">
        <v>5</v>
      </c>
      <c r="C103" s="6">
        <v>72.263099999999994</v>
      </c>
    </row>
    <row r="104" spans="1:3" x14ac:dyDescent="0.25">
      <c r="A104" s="1">
        <v>45985</v>
      </c>
      <c r="B104" s="3" t="s">
        <v>6</v>
      </c>
      <c r="C104" s="6">
        <v>70.914299999999997</v>
      </c>
    </row>
    <row r="105" spans="1:3" x14ac:dyDescent="0.25">
      <c r="A105" s="1">
        <v>45985</v>
      </c>
      <c r="B105" s="3" t="s">
        <v>7</v>
      </c>
      <c r="C105" s="6">
        <v>70.273499999999999</v>
      </c>
    </row>
    <row r="106" spans="1:3" x14ac:dyDescent="0.25">
      <c r="A106" s="1">
        <v>45985</v>
      </c>
      <c r="B106" s="3" t="s">
        <v>8</v>
      </c>
      <c r="C106" s="6">
        <v>66.595600000000005</v>
      </c>
    </row>
    <row r="107" spans="1:3" x14ac:dyDescent="0.25">
      <c r="A107" s="1">
        <v>45985</v>
      </c>
      <c r="B107" s="3" t="s">
        <v>9</v>
      </c>
      <c r="C107" s="6">
        <v>69.676400000000001</v>
      </c>
    </row>
    <row r="108" spans="1:3" x14ac:dyDescent="0.25">
      <c r="A108" s="1">
        <v>45985</v>
      </c>
      <c r="B108" s="3" t="s">
        <v>10</v>
      </c>
      <c r="C108" s="6">
        <v>69.657899999999998</v>
      </c>
    </row>
    <row r="109" spans="1:3" x14ac:dyDescent="0.25">
      <c r="A109" s="1">
        <v>45985</v>
      </c>
      <c r="B109" s="3" t="s">
        <v>11</v>
      </c>
      <c r="C109" s="6">
        <v>70.0137</v>
      </c>
    </row>
    <row r="110" spans="1:3" x14ac:dyDescent="0.25">
      <c r="A110" s="1">
        <v>45985</v>
      </c>
      <c r="B110" s="3" t="s">
        <v>12</v>
      </c>
      <c r="C110" s="6">
        <v>73.930899999999994</v>
      </c>
    </row>
    <row r="111" spans="1:3" x14ac:dyDescent="0.25">
      <c r="A111" s="1">
        <v>45985</v>
      </c>
      <c r="B111" s="3" t="s">
        <v>13</v>
      </c>
      <c r="C111" s="6">
        <v>73.955399999999997</v>
      </c>
    </row>
    <row r="112" spans="1:3" x14ac:dyDescent="0.25">
      <c r="A112" s="1">
        <v>45986</v>
      </c>
      <c r="B112" s="3" t="s">
        <v>3</v>
      </c>
      <c r="C112" s="6">
        <v>78.542500000000004</v>
      </c>
    </row>
    <row r="113" spans="1:3" x14ac:dyDescent="0.25">
      <c r="A113" s="1">
        <v>45986</v>
      </c>
      <c r="B113" s="3" t="s">
        <v>4</v>
      </c>
      <c r="C113" s="6">
        <v>72.813999999999993</v>
      </c>
    </row>
    <row r="114" spans="1:3" x14ac:dyDescent="0.25">
      <c r="A114" s="1">
        <v>45986</v>
      </c>
      <c r="B114" s="3" t="s">
        <v>5</v>
      </c>
      <c r="C114" s="6">
        <v>72.264099999999999</v>
      </c>
    </row>
    <row r="115" spans="1:3" x14ac:dyDescent="0.25">
      <c r="A115" s="1">
        <v>45986</v>
      </c>
      <c r="B115" s="3" t="s">
        <v>6</v>
      </c>
      <c r="C115" s="6">
        <v>70.914500000000004</v>
      </c>
    </row>
    <row r="116" spans="1:3" x14ac:dyDescent="0.25">
      <c r="A116" s="1">
        <v>45986</v>
      </c>
      <c r="B116" s="3" t="s">
        <v>7</v>
      </c>
      <c r="C116" s="6">
        <v>70.273499999999999</v>
      </c>
    </row>
    <row r="117" spans="1:3" x14ac:dyDescent="0.25">
      <c r="A117" s="1">
        <v>45986</v>
      </c>
      <c r="B117" s="3" t="s">
        <v>8</v>
      </c>
      <c r="C117" s="6">
        <v>66.595699999999994</v>
      </c>
    </row>
    <row r="118" spans="1:3" x14ac:dyDescent="0.25">
      <c r="A118" s="1">
        <v>45987</v>
      </c>
      <c r="B118" s="3" t="s">
        <v>3</v>
      </c>
      <c r="C118" s="6">
        <v>78.542400000000001</v>
      </c>
    </row>
    <row r="119" spans="1:3" x14ac:dyDescent="0.25">
      <c r="A119" s="1">
        <v>45987</v>
      </c>
      <c r="B119" s="3" t="s">
        <v>5</v>
      </c>
      <c r="C119" s="6">
        <v>72.264099999999999</v>
      </c>
    </row>
    <row r="120" spans="1:3" x14ac:dyDescent="0.25">
      <c r="A120" s="1">
        <v>45987</v>
      </c>
      <c r="B120" s="3" t="s">
        <v>6</v>
      </c>
      <c r="C120" s="6">
        <v>70.912400000000005</v>
      </c>
    </row>
    <row r="121" spans="1:3" x14ac:dyDescent="0.25">
      <c r="A121" s="1">
        <v>45987</v>
      </c>
      <c r="B121" s="3" t="s">
        <v>7</v>
      </c>
      <c r="C121" s="6">
        <v>70.273399999999995</v>
      </c>
    </row>
    <row r="122" spans="1:3" x14ac:dyDescent="0.25">
      <c r="A122" s="1">
        <v>45987</v>
      </c>
      <c r="B122" s="3" t="s">
        <v>8</v>
      </c>
      <c r="C122" s="6">
        <v>66.594999999999999</v>
      </c>
    </row>
    <row r="123" spans="1:3" x14ac:dyDescent="0.25">
      <c r="A123" s="1">
        <v>45988</v>
      </c>
      <c r="B123" s="3" t="s">
        <v>3</v>
      </c>
      <c r="C123" s="6">
        <v>78.541899999999998</v>
      </c>
    </row>
    <row r="124" spans="1:3" x14ac:dyDescent="0.25">
      <c r="A124" s="1">
        <v>45988</v>
      </c>
      <c r="B124" s="3" t="s">
        <v>4</v>
      </c>
      <c r="C124" s="6">
        <v>72.812200000000004</v>
      </c>
    </row>
    <row r="125" spans="1:3" x14ac:dyDescent="0.25">
      <c r="A125" s="1">
        <v>45988</v>
      </c>
      <c r="B125" s="3" t="s">
        <v>5</v>
      </c>
      <c r="C125" s="6">
        <v>72.263900000000007</v>
      </c>
    </row>
    <row r="126" spans="1:3" x14ac:dyDescent="0.25">
      <c r="A126" s="1">
        <v>45988</v>
      </c>
      <c r="B126" s="3" t="s">
        <v>6</v>
      </c>
      <c r="C126" s="6">
        <v>70.913700000000006</v>
      </c>
    </row>
    <row r="127" spans="1:3" x14ac:dyDescent="0.25">
      <c r="A127" s="1">
        <v>45988</v>
      </c>
      <c r="B127" s="3" t="s">
        <v>7</v>
      </c>
      <c r="C127" s="6">
        <v>70.273099999999999</v>
      </c>
    </row>
    <row r="128" spans="1:3" x14ac:dyDescent="0.25">
      <c r="A128" s="1">
        <v>45988</v>
      </c>
      <c r="B128" s="3" t="s">
        <v>8</v>
      </c>
      <c r="C128" s="6">
        <v>66.595299999999995</v>
      </c>
    </row>
    <row r="129" spans="1:3" x14ac:dyDescent="0.25">
      <c r="A129" s="1">
        <v>45988</v>
      </c>
      <c r="B129" s="3" t="s">
        <v>9</v>
      </c>
      <c r="C129" s="6">
        <v>69.676000000000002</v>
      </c>
    </row>
    <row r="130" spans="1:3" x14ac:dyDescent="0.25">
      <c r="A130" s="1">
        <v>45988</v>
      </c>
      <c r="B130" s="3" t="s">
        <v>10</v>
      </c>
      <c r="C130" s="6">
        <v>69.657300000000006</v>
      </c>
    </row>
    <row r="131" spans="1:3" x14ac:dyDescent="0.25">
      <c r="A131" s="1">
        <v>45988</v>
      </c>
      <c r="B131" s="3" t="s">
        <v>11</v>
      </c>
      <c r="C131" s="6">
        <v>70.013099999999994</v>
      </c>
    </row>
    <row r="132" spans="1:3" x14ac:dyDescent="0.25">
      <c r="A132" s="1">
        <v>45988</v>
      </c>
      <c r="B132" s="3" t="s">
        <v>12</v>
      </c>
      <c r="C132" s="6">
        <v>73.930400000000006</v>
      </c>
    </row>
    <row r="133" spans="1:3" x14ac:dyDescent="0.25">
      <c r="A133" s="1">
        <v>45988</v>
      </c>
      <c r="B133" s="3" t="s">
        <v>13</v>
      </c>
      <c r="C133" s="6">
        <v>73.954899999999995</v>
      </c>
    </row>
    <row r="134" spans="1:3" x14ac:dyDescent="0.25">
      <c r="A134" s="1">
        <v>45989</v>
      </c>
      <c r="B134" s="3" t="s">
        <v>3</v>
      </c>
      <c r="C134" s="6">
        <v>78.542400000000001</v>
      </c>
    </row>
    <row r="135" spans="1:3" x14ac:dyDescent="0.25">
      <c r="A135" s="1">
        <v>45989</v>
      </c>
      <c r="B135" s="3" t="s">
        <v>4</v>
      </c>
      <c r="C135" s="6">
        <v>72.813400000000001</v>
      </c>
    </row>
    <row r="136" spans="1:3" x14ac:dyDescent="0.25">
      <c r="A136" s="1">
        <v>45989</v>
      </c>
      <c r="B136" s="3" t="s">
        <v>5</v>
      </c>
      <c r="C136" s="6">
        <v>72.264899999999997</v>
      </c>
    </row>
    <row r="137" spans="1:3" x14ac:dyDescent="0.25">
      <c r="A137" s="1">
        <v>45989</v>
      </c>
      <c r="B137" s="3" t="s">
        <v>6</v>
      </c>
      <c r="C137" s="6">
        <v>70.914599999999993</v>
      </c>
    </row>
    <row r="138" spans="1:3" x14ac:dyDescent="0.25">
      <c r="A138" s="1">
        <v>45989</v>
      </c>
      <c r="B138" s="3" t="s">
        <v>7</v>
      </c>
      <c r="C138" s="6">
        <v>70.2744</v>
      </c>
    </row>
    <row r="139" spans="1:3" x14ac:dyDescent="0.25">
      <c r="A139" s="1">
        <v>45989</v>
      </c>
      <c r="B139" s="3" t="s">
        <v>8</v>
      </c>
      <c r="C139" s="6">
        <v>66.596999999999994</v>
      </c>
    </row>
    <row r="140" spans="1:3" x14ac:dyDescent="0.25">
      <c r="A140" s="1">
        <v>45992</v>
      </c>
      <c r="B140" s="3" t="s">
        <v>3</v>
      </c>
      <c r="C140" s="6">
        <v>78.542500000000004</v>
      </c>
    </row>
    <row r="141" spans="1:3" x14ac:dyDescent="0.25">
      <c r="A141" s="1">
        <v>45992</v>
      </c>
      <c r="B141" s="3" t="s">
        <v>4</v>
      </c>
      <c r="C141" s="6">
        <v>72.812600000000003</v>
      </c>
    </row>
    <row r="142" spans="1:3" x14ac:dyDescent="0.25">
      <c r="A142" s="1">
        <v>45992</v>
      </c>
      <c r="B142" s="3" t="s">
        <v>5</v>
      </c>
      <c r="C142" s="6">
        <v>72.265199999999993</v>
      </c>
    </row>
    <row r="143" spans="1:3" x14ac:dyDescent="0.25">
      <c r="A143" s="1">
        <v>45992</v>
      </c>
      <c r="B143" s="3" t="s">
        <v>6</v>
      </c>
      <c r="C143" s="6">
        <v>70.914500000000004</v>
      </c>
    </row>
    <row r="144" spans="1:3" x14ac:dyDescent="0.25">
      <c r="A144" s="1">
        <v>45992</v>
      </c>
      <c r="B144" s="3" t="s">
        <v>7</v>
      </c>
      <c r="C144" s="6">
        <v>70.273899999999998</v>
      </c>
    </row>
    <row r="145" spans="1:3" x14ac:dyDescent="0.25">
      <c r="A145" s="1">
        <v>45992</v>
      </c>
      <c r="B145" s="3" t="s">
        <v>8</v>
      </c>
      <c r="C145" s="6">
        <v>66.596400000000003</v>
      </c>
    </row>
    <row r="146" spans="1:3" x14ac:dyDescent="0.25">
      <c r="A146" s="1">
        <v>45993</v>
      </c>
      <c r="B146" s="3" t="s">
        <v>4</v>
      </c>
      <c r="C146" s="6">
        <v>72.812399999999997</v>
      </c>
    </row>
    <row r="147" spans="1:3" x14ac:dyDescent="0.25">
      <c r="A147" s="1">
        <v>45993</v>
      </c>
      <c r="B147" s="3" t="s">
        <v>5</v>
      </c>
      <c r="C147" s="6">
        <v>72.265199999999993</v>
      </c>
    </row>
    <row r="148" spans="1:3" x14ac:dyDescent="0.25">
      <c r="A148" s="1">
        <v>45993</v>
      </c>
      <c r="B148" s="3" t="s">
        <v>6</v>
      </c>
      <c r="C148" s="6">
        <v>70.914699999999996</v>
      </c>
    </row>
    <row r="149" spans="1:3" x14ac:dyDescent="0.25">
      <c r="A149" s="1">
        <v>45993</v>
      </c>
      <c r="B149" s="3" t="s">
        <v>7</v>
      </c>
      <c r="C149" s="6">
        <v>70.2744</v>
      </c>
    </row>
    <row r="150" spans="1:3" x14ac:dyDescent="0.25">
      <c r="A150" s="1">
        <v>45993</v>
      </c>
      <c r="B150" s="3" t="s">
        <v>8</v>
      </c>
      <c r="C150" s="6">
        <v>66.596500000000006</v>
      </c>
    </row>
    <row r="151" spans="1:3" x14ac:dyDescent="0.25">
      <c r="A151" s="1">
        <v>45993</v>
      </c>
      <c r="B151" s="3" t="s">
        <v>14</v>
      </c>
      <c r="C151" s="6">
        <v>45.718699999999998</v>
      </c>
    </row>
    <row r="152" spans="1:3" x14ac:dyDescent="0.25">
      <c r="A152" s="1">
        <v>45993</v>
      </c>
      <c r="B152" s="3" t="s">
        <v>15</v>
      </c>
      <c r="C152" s="6">
        <v>44.963200000000001</v>
      </c>
    </row>
    <row r="153" spans="1:3" x14ac:dyDescent="0.25">
      <c r="A153" s="1">
        <v>45993</v>
      </c>
      <c r="B153" s="3" t="s">
        <v>16</v>
      </c>
      <c r="C153" s="6">
        <v>44.028599999999997</v>
      </c>
    </row>
    <row r="154" spans="1:3" x14ac:dyDescent="0.25">
      <c r="A154" s="1">
        <v>45993</v>
      </c>
      <c r="B154" s="3" t="s">
        <v>17</v>
      </c>
      <c r="C154" s="6">
        <v>45.916800000000002</v>
      </c>
    </row>
    <row r="155" spans="1:3" x14ac:dyDescent="0.25">
      <c r="A155" s="1">
        <v>45993</v>
      </c>
      <c r="B155" s="3" t="s">
        <v>18</v>
      </c>
      <c r="C155" s="6">
        <v>45.5351</v>
      </c>
    </row>
    <row r="156" spans="1:3" x14ac:dyDescent="0.25">
      <c r="A156" s="1">
        <v>45993</v>
      </c>
      <c r="B156" s="3" t="s">
        <v>19</v>
      </c>
      <c r="C156" s="6">
        <v>45.428699999999999</v>
      </c>
    </row>
    <row r="157" spans="1:3" x14ac:dyDescent="0.25">
      <c r="A157" s="1">
        <v>45994</v>
      </c>
      <c r="B157" s="3" t="s">
        <v>9</v>
      </c>
      <c r="C157" s="6">
        <v>69.676299999999998</v>
      </c>
    </row>
    <row r="158" spans="1:3" x14ac:dyDescent="0.25">
      <c r="A158" s="1">
        <v>45994</v>
      </c>
      <c r="B158" s="3" t="s">
        <v>10</v>
      </c>
      <c r="C158" s="6">
        <v>69.657899999999998</v>
      </c>
    </row>
    <row r="159" spans="1:3" x14ac:dyDescent="0.25">
      <c r="A159" s="1">
        <v>45994</v>
      </c>
      <c r="B159" s="3" t="s">
        <v>11</v>
      </c>
      <c r="C159" s="6">
        <v>70.0137</v>
      </c>
    </row>
    <row r="160" spans="1:3" x14ac:dyDescent="0.25">
      <c r="A160" s="1">
        <v>45994</v>
      </c>
      <c r="B160" s="3" t="s">
        <v>12</v>
      </c>
      <c r="C160" s="6">
        <v>73.931600000000003</v>
      </c>
    </row>
    <row r="161" spans="1:3" x14ac:dyDescent="0.25">
      <c r="A161" s="1">
        <v>45994</v>
      </c>
      <c r="B161" s="3" t="s">
        <v>13</v>
      </c>
      <c r="C161" s="6">
        <v>73.955100000000002</v>
      </c>
    </row>
    <row r="162" spans="1:3" x14ac:dyDescent="0.25">
      <c r="A162" s="1">
        <v>45995</v>
      </c>
      <c r="B162" s="3" t="s">
        <v>3</v>
      </c>
      <c r="C162" s="6">
        <v>78.542599999999993</v>
      </c>
    </row>
    <row r="163" spans="1:3" x14ac:dyDescent="0.25">
      <c r="A163" s="1">
        <v>45995</v>
      </c>
      <c r="B163" s="3" t="s">
        <v>4</v>
      </c>
      <c r="C163" s="6">
        <v>72.8125</v>
      </c>
    </row>
    <row r="164" spans="1:3" x14ac:dyDescent="0.25">
      <c r="A164" s="1">
        <v>45995</v>
      </c>
      <c r="B164" s="3" t="s">
        <v>5</v>
      </c>
      <c r="C164" s="6">
        <v>72.265299999999996</v>
      </c>
    </row>
    <row r="165" spans="1:3" x14ac:dyDescent="0.25">
      <c r="A165" s="1">
        <v>45995</v>
      </c>
      <c r="B165" s="3" t="s">
        <v>6</v>
      </c>
      <c r="C165" s="6">
        <v>70.914400000000001</v>
      </c>
    </row>
    <row r="166" spans="1:3" x14ac:dyDescent="0.25">
      <c r="A166" s="1">
        <v>45995</v>
      </c>
      <c r="B166" s="3" t="s">
        <v>7</v>
      </c>
      <c r="C166" s="6">
        <v>70.274199999999993</v>
      </c>
    </row>
    <row r="167" spans="1:3" x14ac:dyDescent="0.25">
      <c r="A167" s="1">
        <v>45995</v>
      </c>
      <c r="B167" s="3" t="s">
        <v>8</v>
      </c>
      <c r="C167" s="6">
        <v>66.596299999999999</v>
      </c>
    </row>
    <row r="168" spans="1:3" x14ac:dyDescent="0.25">
      <c r="A168" s="1">
        <v>45996</v>
      </c>
      <c r="B168" s="3" t="s">
        <v>9</v>
      </c>
      <c r="C168" s="6">
        <v>69.676400000000001</v>
      </c>
    </row>
    <row r="169" spans="1:3" x14ac:dyDescent="0.25">
      <c r="A169" s="1">
        <v>45996</v>
      </c>
      <c r="B169" s="3" t="s">
        <v>10</v>
      </c>
      <c r="C169" s="6">
        <v>69.6584</v>
      </c>
    </row>
    <row r="170" spans="1:3" x14ac:dyDescent="0.25">
      <c r="A170" s="1">
        <v>45996</v>
      </c>
      <c r="B170" s="3" t="s">
        <v>11</v>
      </c>
      <c r="C170" s="6">
        <v>70.014300000000006</v>
      </c>
    </row>
    <row r="171" spans="1:3" x14ac:dyDescent="0.25">
      <c r="A171" s="1">
        <v>45996</v>
      </c>
      <c r="B171" s="3" t="s">
        <v>12</v>
      </c>
      <c r="C171" s="6">
        <v>73.931100000000001</v>
      </c>
    </row>
    <row r="172" spans="1:3" x14ac:dyDescent="0.25">
      <c r="A172" s="1">
        <v>45996</v>
      </c>
      <c r="B172" s="3" t="s">
        <v>13</v>
      </c>
      <c r="C172" s="6">
        <v>73.955699999999993</v>
      </c>
    </row>
    <row r="173" spans="1:3" x14ac:dyDescent="0.25">
      <c r="A173" s="1">
        <v>45996</v>
      </c>
      <c r="B173" s="3" t="s">
        <v>14</v>
      </c>
      <c r="C173" s="6">
        <v>45.718499999999999</v>
      </c>
    </row>
    <row r="174" spans="1:3" x14ac:dyDescent="0.25">
      <c r="A174" s="1">
        <v>45996</v>
      </c>
      <c r="B174" s="3" t="s">
        <v>15</v>
      </c>
      <c r="C174" s="6">
        <v>44.963000000000001</v>
      </c>
    </row>
    <row r="175" spans="1:3" x14ac:dyDescent="0.25">
      <c r="A175" s="1">
        <v>45996</v>
      </c>
      <c r="B175" s="3" t="s">
        <v>16</v>
      </c>
      <c r="C175" s="6">
        <v>44.0289</v>
      </c>
    </row>
    <row r="176" spans="1:3" x14ac:dyDescent="0.25">
      <c r="A176" s="1">
        <v>45996</v>
      </c>
      <c r="B176" s="3" t="s">
        <v>20</v>
      </c>
      <c r="C176" s="6">
        <v>46.377600000000001</v>
      </c>
    </row>
    <row r="177" spans="1:3" x14ac:dyDescent="0.25">
      <c r="A177" s="1">
        <v>45996</v>
      </c>
      <c r="B177" s="3" t="s">
        <v>17</v>
      </c>
      <c r="C177" s="6">
        <v>45.916499999999999</v>
      </c>
    </row>
    <row r="178" spans="1:3" x14ac:dyDescent="0.25">
      <c r="A178" s="1">
        <v>45996</v>
      </c>
      <c r="B178" s="3" t="s">
        <v>18</v>
      </c>
      <c r="C178" s="6">
        <v>45.534799999999997</v>
      </c>
    </row>
    <row r="179" spans="1:3" x14ac:dyDescent="0.25">
      <c r="A179" s="1">
        <v>45996</v>
      </c>
      <c r="B179" s="3" t="s">
        <v>19</v>
      </c>
      <c r="C179" s="6">
        <v>45.428699999999999</v>
      </c>
    </row>
    <row r="180" spans="1:3" x14ac:dyDescent="0.25">
      <c r="A180" s="1">
        <v>46000</v>
      </c>
      <c r="B180" s="3" t="s">
        <v>3</v>
      </c>
      <c r="C180" s="6">
        <v>78.542599999999993</v>
      </c>
    </row>
    <row r="181" spans="1:3" x14ac:dyDescent="0.25">
      <c r="A181" s="1">
        <v>46000</v>
      </c>
      <c r="B181" s="3" t="s">
        <v>4</v>
      </c>
      <c r="C181" s="6">
        <v>72.811599999999999</v>
      </c>
    </row>
    <row r="182" spans="1:3" x14ac:dyDescent="0.25">
      <c r="A182" s="1">
        <v>46000</v>
      </c>
      <c r="B182" s="3" t="s">
        <v>5</v>
      </c>
      <c r="C182" s="6">
        <v>72.265500000000003</v>
      </c>
    </row>
    <row r="183" spans="1:3" x14ac:dyDescent="0.25">
      <c r="A183" s="1">
        <v>46000</v>
      </c>
      <c r="B183" s="3" t="s">
        <v>6</v>
      </c>
      <c r="C183" s="6">
        <v>70.913600000000002</v>
      </c>
    </row>
    <row r="184" spans="1:3" x14ac:dyDescent="0.25">
      <c r="A184" s="1">
        <v>46000</v>
      </c>
      <c r="B184" s="3" t="s">
        <v>7</v>
      </c>
      <c r="C184" s="6">
        <v>70.273899999999998</v>
      </c>
    </row>
    <row r="185" spans="1:3" x14ac:dyDescent="0.25">
      <c r="A185" s="1">
        <v>46000</v>
      </c>
      <c r="B185" s="3" t="s">
        <v>8</v>
      </c>
      <c r="C185" s="6">
        <v>66.596500000000006</v>
      </c>
    </row>
    <row r="186" spans="1:3" x14ac:dyDescent="0.25">
      <c r="A186" s="1">
        <v>46001</v>
      </c>
      <c r="B186" s="3" t="s">
        <v>9</v>
      </c>
      <c r="C186" s="6">
        <v>69.676000000000002</v>
      </c>
    </row>
    <row r="187" spans="1:3" x14ac:dyDescent="0.25">
      <c r="A187" s="1">
        <v>46001</v>
      </c>
      <c r="B187" s="3" t="s">
        <v>10</v>
      </c>
      <c r="C187" s="6">
        <v>69.658000000000001</v>
      </c>
    </row>
    <row r="188" spans="1:3" x14ac:dyDescent="0.25">
      <c r="A188" s="1">
        <v>46001</v>
      </c>
      <c r="B188" s="3" t="s">
        <v>11</v>
      </c>
      <c r="C188" s="6">
        <v>70.013999999999996</v>
      </c>
    </row>
    <row r="189" spans="1:3" x14ac:dyDescent="0.25">
      <c r="A189" s="1">
        <v>46001</v>
      </c>
      <c r="B189" s="3" t="s">
        <v>12</v>
      </c>
      <c r="C189" s="6">
        <v>73.930999999999997</v>
      </c>
    </row>
    <row r="190" spans="1:3" x14ac:dyDescent="0.25">
      <c r="A190" s="1">
        <v>46001</v>
      </c>
      <c r="B190" s="3" t="s">
        <v>13</v>
      </c>
      <c r="C190" s="6">
        <v>73.955699999999993</v>
      </c>
    </row>
    <row r="191" spans="1:3" x14ac:dyDescent="0.25">
      <c r="A191" s="1">
        <v>46002</v>
      </c>
      <c r="B191" s="3" t="s">
        <v>3</v>
      </c>
      <c r="C191" s="6">
        <v>78.542599999999993</v>
      </c>
    </row>
    <row r="192" spans="1:3" x14ac:dyDescent="0.25">
      <c r="A192" s="1">
        <v>46002</v>
      </c>
      <c r="B192" s="3" t="s">
        <v>4</v>
      </c>
      <c r="C192" s="6">
        <v>72.811700000000002</v>
      </c>
    </row>
    <row r="193" spans="1:3" x14ac:dyDescent="0.25">
      <c r="A193" s="1">
        <v>46002</v>
      </c>
      <c r="B193" s="3" t="s">
        <v>5</v>
      </c>
      <c r="C193" s="6">
        <v>72.2654</v>
      </c>
    </row>
    <row r="194" spans="1:3" x14ac:dyDescent="0.25">
      <c r="A194" s="1">
        <v>46002</v>
      </c>
      <c r="B194" s="3" t="s">
        <v>6</v>
      </c>
      <c r="C194" s="6">
        <v>70.913700000000006</v>
      </c>
    </row>
    <row r="195" spans="1:3" x14ac:dyDescent="0.25">
      <c r="A195" s="1">
        <v>46002</v>
      </c>
      <c r="B195" s="3" t="s">
        <v>7</v>
      </c>
      <c r="C195" s="6">
        <v>70.2744</v>
      </c>
    </row>
    <row r="196" spans="1:3" x14ac:dyDescent="0.25">
      <c r="A196" s="1">
        <v>46002</v>
      </c>
      <c r="B196" s="3" t="s">
        <v>8</v>
      </c>
      <c r="C196" s="6">
        <v>66.596599999999995</v>
      </c>
    </row>
    <row r="197" spans="1:3" x14ac:dyDescent="0.25">
      <c r="A197" s="1">
        <v>46002</v>
      </c>
      <c r="B197" s="3" t="s">
        <v>14</v>
      </c>
      <c r="C197" s="6">
        <v>45.718299999999999</v>
      </c>
    </row>
    <row r="198" spans="1:3" x14ac:dyDescent="0.25">
      <c r="A198" s="1">
        <v>46002</v>
      </c>
      <c r="B198" s="3" t="s">
        <v>15</v>
      </c>
      <c r="C198" s="6">
        <v>44.963000000000001</v>
      </c>
    </row>
    <row r="199" spans="1:3" x14ac:dyDescent="0.25">
      <c r="A199" s="1">
        <v>46002</v>
      </c>
      <c r="B199" s="3" t="s">
        <v>16</v>
      </c>
      <c r="C199" s="6">
        <v>44.028599999999997</v>
      </c>
    </row>
    <row r="200" spans="1:3" x14ac:dyDescent="0.25">
      <c r="A200" s="1">
        <v>46002</v>
      </c>
      <c r="B200" s="3" t="s">
        <v>20</v>
      </c>
      <c r="C200" s="6">
        <v>46.377299999999998</v>
      </c>
    </row>
    <row r="201" spans="1:3" x14ac:dyDescent="0.25">
      <c r="A201" s="1">
        <v>46002</v>
      </c>
      <c r="B201" s="3" t="s">
        <v>17</v>
      </c>
      <c r="C201" s="6">
        <v>45.916200000000003</v>
      </c>
    </row>
    <row r="202" spans="1:3" x14ac:dyDescent="0.25">
      <c r="A202" s="1">
        <v>46002</v>
      </c>
      <c r="B202" s="3" t="s">
        <v>18</v>
      </c>
      <c r="C202" s="6">
        <v>45.534799999999997</v>
      </c>
    </row>
    <row r="203" spans="1:3" x14ac:dyDescent="0.25">
      <c r="A203" s="1">
        <v>46002</v>
      </c>
      <c r="B203" s="3" t="s">
        <v>19</v>
      </c>
      <c r="C203" s="6">
        <v>45.428400000000003</v>
      </c>
    </row>
    <row r="204" spans="1:3" x14ac:dyDescent="0.25">
      <c r="A204" s="1">
        <v>46006</v>
      </c>
      <c r="B204" s="3" t="s">
        <v>3</v>
      </c>
      <c r="C204" s="6">
        <v>78.542599999999993</v>
      </c>
    </row>
    <row r="205" spans="1:3" x14ac:dyDescent="0.25">
      <c r="A205" s="1">
        <v>46006</v>
      </c>
      <c r="B205" s="3" t="s">
        <v>4</v>
      </c>
      <c r="C205" s="6">
        <v>72.811700000000002</v>
      </c>
    </row>
    <row r="206" spans="1:3" x14ac:dyDescent="0.25">
      <c r="A206" s="1">
        <v>46006</v>
      </c>
      <c r="B206" s="3" t="s">
        <v>5</v>
      </c>
      <c r="C206" s="6">
        <v>72.265600000000006</v>
      </c>
    </row>
    <row r="207" spans="1:3" x14ac:dyDescent="0.25">
      <c r="A207" s="1">
        <v>46006</v>
      </c>
      <c r="B207" s="3" t="s">
        <v>6</v>
      </c>
      <c r="C207" s="6">
        <v>70.913499999999999</v>
      </c>
    </row>
    <row r="208" spans="1:3" x14ac:dyDescent="0.25">
      <c r="A208" s="1">
        <v>46006</v>
      </c>
      <c r="B208" s="3" t="s">
        <v>7</v>
      </c>
      <c r="C208" s="6">
        <v>70.274199999999993</v>
      </c>
    </row>
    <row r="209" spans="1:3" x14ac:dyDescent="0.25">
      <c r="A209" s="1">
        <v>46006</v>
      </c>
      <c r="B209" s="3" t="s">
        <v>8</v>
      </c>
      <c r="C209" s="6">
        <v>66.596199999999996</v>
      </c>
    </row>
    <row r="210" spans="1:3" x14ac:dyDescent="0.25">
      <c r="A210" s="1">
        <v>46007</v>
      </c>
      <c r="B210" s="3" t="s">
        <v>9</v>
      </c>
      <c r="C210" s="6">
        <v>69.676100000000005</v>
      </c>
    </row>
    <row r="211" spans="1:3" x14ac:dyDescent="0.25">
      <c r="A211" s="1">
        <v>46007</v>
      </c>
      <c r="B211" s="3" t="s">
        <v>10</v>
      </c>
      <c r="C211" s="6">
        <v>69.6584</v>
      </c>
    </row>
    <row r="212" spans="1:3" x14ac:dyDescent="0.25">
      <c r="A212" s="1">
        <v>46007</v>
      </c>
      <c r="B212" s="3" t="s">
        <v>11</v>
      </c>
      <c r="C212" s="6">
        <v>70.014499999999998</v>
      </c>
    </row>
    <row r="213" spans="1:3" x14ac:dyDescent="0.25">
      <c r="A213" s="1">
        <v>46007</v>
      </c>
      <c r="B213" s="3" t="s">
        <v>12</v>
      </c>
      <c r="C213" s="6">
        <v>73.931200000000004</v>
      </c>
    </row>
    <row r="214" spans="1:3" x14ac:dyDescent="0.25">
      <c r="A214" s="1">
        <v>46007</v>
      </c>
      <c r="B214" s="3" t="s">
        <v>13</v>
      </c>
      <c r="C214" s="6">
        <v>73.956000000000003</v>
      </c>
    </row>
    <row r="215" spans="1:3" x14ac:dyDescent="0.25">
      <c r="A215" s="1">
        <v>46008</v>
      </c>
      <c r="B215" s="3" t="s">
        <v>3</v>
      </c>
      <c r="C215" s="6">
        <v>78.542299999999997</v>
      </c>
    </row>
    <row r="216" spans="1:3" x14ac:dyDescent="0.25">
      <c r="A216" s="1">
        <v>46008</v>
      </c>
      <c r="B216" s="3" t="s">
        <v>4</v>
      </c>
      <c r="C216" s="6">
        <v>72.811700000000002</v>
      </c>
    </row>
    <row r="217" spans="1:3" x14ac:dyDescent="0.25">
      <c r="A217" s="1">
        <v>46008</v>
      </c>
      <c r="B217" s="3" t="s">
        <v>5</v>
      </c>
      <c r="C217" s="6">
        <v>72.265600000000006</v>
      </c>
    </row>
    <row r="218" spans="1:3" x14ac:dyDescent="0.25">
      <c r="A218" s="1">
        <v>46008</v>
      </c>
      <c r="B218" s="3" t="s">
        <v>6</v>
      </c>
      <c r="C218" s="6">
        <v>70.913499999999999</v>
      </c>
    </row>
    <row r="219" spans="1:3" x14ac:dyDescent="0.25">
      <c r="A219" s="1">
        <v>46008</v>
      </c>
      <c r="B219" s="3" t="s">
        <v>7</v>
      </c>
      <c r="C219" s="6">
        <v>70.274000000000001</v>
      </c>
    </row>
    <row r="220" spans="1:3" x14ac:dyDescent="0.25">
      <c r="A220" s="1">
        <v>46008</v>
      </c>
      <c r="B220" s="3" t="s">
        <v>8</v>
      </c>
      <c r="C220" s="6">
        <v>66.595699999999994</v>
      </c>
    </row>
    <row r="221" spans="1:3" x14ac:dyDescent="0.25">
      <c r="A221" s="1">
        <v>46009</v>
      </c>
      <c r="B221" s="3" t="s">
        <v>9</v>
      </c>
      <c r="C221" s="6">
        <v>69.676500000000004</v>
      </c>
    </row>
    <row r="222" spans="1:3" x14ac:dyDescent="0.25">
      <c r="A222" s="1">
        <v>46009</v>
      </c>
      <c r="B222" s="3" t="s">
        <v>10</v>
      </c>
      <c r="C222" s="6">
        <v>69.6584</v>
      </c>
    </row>
    <row r="223" spans="1:3" x14ac:dyDescent="0.25">
      <c r="A223" s="1">
        <v>46009</v>
      </c>
      <c r="B223" s="3" t="s">
        <v>11</v>
      </c>
      <c r="C223" s="6">
        <v>70.014600000000002</v>
      </c>
    </row>
    <row r="224" spans="1:3" x14ac:dyDescent="0.25">
      <c r="A224" s="1">
        <v>46009</v>
      </c>
      <c r="B224" s="3" t="s">
        <v>12</v>
      </c>
      <c r="C224" s="6">
        <v>73.930999999999997</v>
      </c>
    </row>
    <row r="225" spans="1:3" x14ac:dyDescent="0.25">
      <c r="A225" s="1">
        <v>46009</v>
      </c>
      <c r="B225" s="3" t="s">
        <v>13</v>
      </c>
      <c r="C225" s="6">
        <v>73.955699999999993</v>
      </c>
    </row>
    <row r="226" spans="1:3" x14ac:dyDescent="0.25">
      <c r="A226" s="1">
        <v>46030</v>
      </c>
      <c r="B226" s="3" t="s">
        <v>4</v>
      </c>
      <c r="C226" s="6">
        <v>72.811199999999999</v>
      </c>
    </row>
    <row r="227" spans="1:3" x14ac:dyDescent="0.25">
      <c r="A227" s="1">
        <v>46030</v>
      </c>
      <c r="B227" s="3" t="s">
        <v>5</v>
      </c>
      <c r="C227" s="6">
        <v>72.265699999999995</v>
      </c>
    </row>
    <row r="228" spans="1:3" x14ac:dyDescent="0.25">
      <c r="A228" s="1">
        <v>46030</v>
      </c>
      <c r="B228" s="3" t="s">
        <v>6</v>
      </c>
      <c r="C228" s="6">
        <v>70.9131</v>
      </c>
    </row>
    <row r="229" spans="1:3" x14ac:dyDescent="0.25">
      <c r="A229" s="1">
        <v>46030</v>
      </c>
      <c r="B229" s="3" t="s">
        <v>7</v>
      </c>
      <c r="C229" s="6">
        <v>70.273099999999999</v>
      </c>
    </row>
    <row r="230" spans="1:3" x14ac:dyDescent="0.25">
      <c r="A230" s="1">
        <v>46030</v>
      </c>
      <c r="B230" s="3" t="s">
        <v>8</v>
      </c>
      <c r="C230" s="6">
        <v>66.594200000000001</v>
      </c>
    </row>
    <row r="231" spans="1:3" x14ac:dyDescent="0.25">
      <c r="A231" s="1">
        <v>46030</v>
      </c>
      <c r="B231" s="3" t="s">
        <v>9</v>
      </c>
      <c r="C231" s="6">
        <v>69.676000000000002</v>
      </c>
    </row>
    <row r="232" spans="1:3" x14ac:dyDescent="0.25">
      <c r="A232" s="1">
        <v>46030</v>
      </c>
      <c r="B232" s="3" t="s">
        <v>10</v>
      </c>
      <c r="C232" s="6">
        <v>69.658199999999994</v>
      </c>
    </row>
    <row r="233" spans="1:3" x14ac:dyDescent="0.25">
      <c r="A233" s="1">
        <v>46030</v>
      </c>
      <c r="B233" s="3" t="s">
        <v>11</v>
      </c>
      <c r="C233" s="6">
        <v>70.014399999999995</v>
      </c>
    </row>
    <row r="234" spans="1:3" x14ac:dyDescent="0.25">
      <c r="A234" s="1">
        <v>46030</v>
      </c>
      <c r="B234" s="3" t="s">
        <v>12</v>
      </c>
      <c r="C234" s="6">
        <v>73.931200000000004</v>
      </c>
    </row>
    <row r="235" spans="1:3" x14ac:dyDescent="0.25">
      <c r="A235" s="1">
        <v>46030</v>
      </c>
      <c r="B235" s="3" t="s">
        <v>13</v>
      </c>
      <c r="C235" s="6">
        <v>73.956199999999995</v>
      </c>
    </row>
    <row r="236" spans="1:3" x14ac:dyDescent="0.25">
      <c r="A236" s="1">
        <v>46031</v>
      </c>
      <c r="B236" s="3" t="s">
        <v>14</v>
      </c>
      <c r="C236" s="6">
        <v>45.718000000000004</v>
      </c>
    </row>
    <row r="237" spans="1:3" x14ac:dyDescent="0.25">
      <c r="A237" s="1">
        <v>46031</v>
      </c>
      <c r="B237" s="3" t="s">
        <v>15</v>
      </c>
      <c r="C237" s="6">
        <v>44.962600000000002</v>
      </c>
    </row>
    <row r="238" spans="1:3" x14ac:dyDescent="0.25">
      <c r="A238" s="1">
        <v>46031</v>
      </c>
      <c r="B238" s="3" t="s">
        <v>16</v>
      </c>
      <c r="C238" s="6">
        <v>44.028399999999998</v>
      </c>
    </row>
    <row r="239" spans="1:3" x14ac:dyDescent="0.25">
      <c r="A239" s="1">
        <v>46031</v>
      </c>
      <c r="B239" s="3" t="s">
        <v>20</v>
      </c>
      <c r="C239" s="6">
        <v>46.375799999999998</v>
      </c>
    </row>
    <row r="240" spans="1:3" x14ac:dyDescent="0.25">
      <c r="A240" s="1">
        <v>46031</v>
      </c>
      <c r="B240" s="3" t="s">
        <v>17</v>
      </c>
      <c r="C240" s="6">
        <v>45.915199999999999</v>
      </c>
    </row>
    <row r="241" spans="1:3" x14ac:dyDescent="0.25">
      <c r="A241" s="1">
        <v>46031</v>
      </c>
      <c r="B241" s="3" t="s">
        <v>18</v>
      </c>
      <c r="C241" s="6">
        <v>45.534500000000001</v>
      </c>
    </row>
    <row r="242" spans="1:3" x14ac:dyDescent="0.25">
      <c r="A242" s="1">
        <v>46031</v>
      </c>
      <c r="B242" s="3" t="s">
        <v>19</v>
      </c>
      <c r="C242" s="6">
        <v>45.428400000000003</v>
      </c>
    </row>
    <row r="243" spans="1:3" x14ac:dyDescent="0.25">
      <c r="A243" s="1">
        <v>46034</v>
      </c>
      <c r="B243" s="3" t="s">
        <v>4</v>
      </c>
      <c r="C243" s="6">
        <v>72.811099999999996</v>
      </c>
    </row>
    <row r="244" spans="1:3" x14ac:dyDescent="0.25">
      <c r="A244" s="1">
        <v>46034</v>
      </c>
      <c r="B244" s="3" t="s">
        <v>5</v>
      </c>
      <c r="C244" s="6">
        <v>72.265799999999999</v>
      </c>
    </row>
    <row r="245" spans="1:3" x14ac:dyDescent="0.25">
      <c r="A245" s="1">
        <v>46034</v>
      </c>
      <c r="B245" s="3" t="s">
        <v>6</v>
      </c>
      <c r="C245" s="6">
        <v>70.9131</v>
      </c>
    </row>
    <row r="246" spans="1:3" x14ac:dyDescent="0.25">
      <c r="A246" s="1">
        <v>46034</v>
      </c>
      <c r="B246" s="3" t="s">
        <v>7</v>
      </c>
      <c r="C246" s="6">
        <v>70.273099999999999</v>
      </c>
    </row>
    <row r="247" spans="1:3" x14ac:dyDescent="0.25">
      <c r="A247" s="1">
        <v>46034</v>
      </c>
      <c r="B247" s="3" t="s">
        <v>8</v>
      </c>
      <c r="C247" s="6">
        <v>66.594200000000001</v>
      </c>
    </row>
    <row r="248" spans="1:3" x14ac:dyDescent="0.25">
      <c r="A248" s="1">
        <v>46035</v>
      </c>
      <c r="B248" s="3" t="s">
        <v>9</v>
      </c>
      <c r="C248" s="6">
        <v>69.675899999999999</v>
      </c>
    </row>
    <row r="249" spans="1:3" x14ac:dyDescent="0.25">
      <c r="A249" s="1">
        <v>46035</v>
      </c>
      <c r="B249" s="3" t="s">
        <v>10</v>
      </c>
      <c r="C249" s="6">
        <v>69.657700000000006</v>
      </c>
    </row>
    <row r="250" spans="1:3" x14ac:dyDescent="0.25">
      <c r="A250" s="1">
        <v>46035</v>
      </c>
      <c r="B250" s="3" t="s">
        <v>11</v>
      </c>
      <c r="C250" s="6">
        <v>70.013999999999996</v>
      </c>
    </row>
    <row r="251" spans="1:3" x14ac:dyDescent="0.25">
      <c r="A251" s="1">
        <v>46035</v>
      </c>
      <c r="B251" s="3" t="s">
        <v>12</v>
      </c>
      <c r="C251" s="6">
        <v>73.930300000000003</v>
      </c>
    </row>
    <row r="252" spans="1:3" x14ac:dyDescent="0.25">
      <c r="A252" s="1">
        <v>46035</v>
      </c>
      <c r="B252" s="3" t="s">
        <v>13</v>
      </c>
      <c r="C252" s="6">
        <v>73.955799999999996</v>
      </c>
    </row>
    <row r="253" spans="1:3" x14ac:dyDescent="0.25">
      <c r="A253" s="1">
        <v>46036</v>
      </c>
      <c r="B253" s="3" t="s">
        <v>14</v>
      </c>
      <c r="C253" s="6">
        <v>45.717399999999998</v>
      </c>
    </row>
    <row r="254" spans="1:3" x14ac:dyDescent="0.25">
      <c r="A254" s="1">
        <v>46036</v>
      </c>
      <c r="B254" s="3" t="s">
        <v>15</v>
      </c>
      <c r="C254" s="6">
        <v>44.962899999999998</v>
      </c>
    </row>
    <row r="255" spans="1:3" x14ac:dyDescent="0.25">
      <c r="A255" s="1">
        <v>46036</v>
      </c>
      <c r="B255" s="3" t="s">
        <v>16</v>
      </c>
      <c r="C255" s="6">
        <v>44.028599999999997</v>
      </c>
    </row>
    <row r="256" spans="1:3" x14ac:dyDescent="0.25">
      <c r="A256" s="1">
        <v>46036</v>
      </c>
      <c r="B256" s="3" t="s">
        <v>20</v>
      </c>
      <c r="C256" s="6">
        <v>46.375599999999999</v>
      </c>
    </row>
    <row r="257" spans="1:3" x14ac:dyDescent="0.25">
      <c r="A257" s="1">
        <v>46036</v>
      </c>
      <c r="B257" s="3" t="s">
        <v>17</v>
      </c>
      <c r="C257" s="6">
        <v>45.915100000000002</v>
      </c>
    </row>
    <row r="258" spans="1:3" x14ac:dyDescent="0.25">
      <c r="A258" s="1">
        <v>46036</v>
      </c>
      <c r="B258" s="3" t="s">
        <v>18</v>
      </c>
      <c r="C258" s="6">
        <v>45.534399999999998</v>
      </c>
    </row>
    <row r="259" spans="1:3" x14ac:dyDescent="0.25">
      <c r="A259" s="1">
        <v>46036</v>
      </c>
      <c r="B259" s="3" t="s">
        <v>19</v>
      </c>
      <c r="C259" s="6">
        <v>45.428400000000003</v>
      </c>
    </row>
    <row r="260" spans="1:3" x14ac:dyDescent="0.25">
      <c r="A260" s="1">
        <v>46037</v>
      </c>
      <c r="B260" s="3" t="s">
        <v>4</v>
      </c>
      <c r="C260" s="6">
        <v>72.811000000000007</v>
      </c>
    </row>
    <row r="261" spans="1:3" x14ac:dyDescent="0.25">
      <c r="A261" s="1">
        <v>46037</v>
      </c>
      <c r="B261" s="3" t="s">
        <v>5</v>
      </c>
      <c r="C261" s="6">
        <v>72.265799999999999</v>
      </c>
    </row>
    <row r="262" spans="1:3" x14ac:dyDescent="0.25">
      <c r="A262" s="1">
        <v>46037</v>
      </c>
      <c r="B262" s="3" t="s">
        <v>6</v>
      </c>
      <c r="C262" s="6">
        <v>70.912800000000004</v>
      </c>
    </row>
    <row r="263" spans="1:3" x14ac:dyDescent="0.25">
      <c r="A263" s="1">
        <v>46037</v>
      </c>
      <c r="B263" s="3" t="s">
        <v>7</v>
      </c>
      <c r="C263" s="6">
        <v>70.272800000000004</v>
      </c>
    </row>
    <row r="264" spans="1:3" x14ac:dyDescent="0.25">
      <c r="A264" s="1">
        <v>46037</v>
      </c>
      <c r="B264" s="3" t="s">
        <v>8</v>
      </c>
      <c r="C264" s="6">
        <v>66.593000000000004</v>
      </c>
    </row>
    <row r="265" spans="1:3" x14ac:dyDescent="0.25">
      <c r="A265" s="1">
        <v>46038</v>
      </c>
      <c r="B265" s="3" t="s">
        <v>9</v>
      </c>
      <c r="C265" s="6">
        <v>69.675799999999995</v>
      </c>
    </row>
    <row r="266" spans="1:3" x14ac:dyDescent="0.25">
      <c r="A266" s="1">
        <v>46038</v>
      </c>
      <c r="B266" s="3" t="s">
        <v>10</v>
      </c>
      <c r="C266" s="6">
        <v>69.657899999999998</v>
      </c>
    </row>
    <row r="267" spans="1:3" x14ac:dyDescent="0.25">
      <c r="A267" s="1">
        <v>46038</v>
      </c>
      <c r="B267" s="3" t="s">
        <v>11</v>
      </c>
      <c r="C267" s="6">
        <v>70.014200000000002</v>
      </c>
    </row>
    <row r="268" spans="1:3" x14ac:dyDescent="0.25">
      <c r="A268" s="1">
        <v>46038</v>
      </c>
      <c r="B268" s="3" t="s">
        <v>12</v>
      </c>
      <c r="C268" s="6">
        <v>73.930800000000005</v>
      </c>
    </row>
    <row r="269" spans="1:3" x14ac:dyDescent="0.25">
      <c r="A269" s="1">
        <v>46038</v>
      </c>
      <c r="B269" s="3" t="s">
        <v>13</v>
      </c>
      <c r="C269" s="6">
        <v>73.956199999999995</v>
      </c>
    </row>
    <row r="270" spans="1:3" x14ac:dyDescent="0.25">
      <c r="A270" s="1">
        <v>46038</v>
      </c>
      <c r="B270" s="3" t="s">
        <v>14</v>
      </c>
      <c r="C270" s="6">
        <v>45.717500000000001</v>
      </c>
    </row>
    <row r="271" spans="1:3" x14ac:dyDescent="0.25">
      <c r="A271" s="1">
        <v>46038</v>
      </c>
      <c r="B271" s="3" t="s">
        <v>15</v>
      </c>
      <c r="C271" s="6">
        <v>44.962299999999999</v>
      </c>
    </row>
    <row r="272" spans="1:3" x14ac:dyDescent="0.25">
      <c r="A272" s="1">
        <v>46038</v>
      </c>
      <c r="B272" s="3" t="s">
        <v>16</v>
      </c>
      <c r="C272" s="6">
        <v>44.028399999999998</v>
      </c>
    </row>
    <row r="273" spans="1:3" x14ac:dyDescent="0.25">
      <c r="A273" s="1">
        <v>46038</v>
      </c>
      <c r="B273" s="3" t="s">
        <v>20</v>
      </c>
      <c r="C273" s="6">
        <v>46.375399999999999</v>
      </c>
    </row>
    <row r="274" spans="1:3" x14ac:dyDescent="0.25">
      <c r="A274" s="1">
        <v>46038</v>
      </c>
      <c r="B274" s="3" t="s">
        <v>17</v>
      </c>
      <c r="C274" s="6">
        <v>45.914700000000003</v>
      </c>
    </row>
    <row r="275" spans="1:3" x14ac:dyDescent="0.25">
      <c r="A275" s="1">
        <v>46038</v>
      </c>
      <c r="B275" s="3" t="s">
        <v>18</v>
      </c>
      <c r="C275" s="6">
        <v>45.534100000000002</v>
      </c>
    </row>
    <row r="276" spans="1:3" x14ac:dyDescent="0.25">
      <c r="A276" s="1">
        <v>46038</v>
      </c>
      <c r="B276" s="3" t="s">
        <v>19</v>
      </c>
      <c r="C276" s="6">
        <v>45.428199999999997</v>
      </c>
    </row>
    <row r="277" spans="1:3" x14ac:dyDescent="0.25">
      <c r="A277" s="1">
        <v>46041</v>
      </c>
      <c r="B277" s="3" t="s">
        <v>14</v>
      </c>
      <c r="C277" s="6">
        <v>45.717199999999998</v>
      </c>
    </row>
    <row r="278" spans="1:3" x14ac:dyDescent="0.25">
      <c r="A278" s="1">
        <v>46041</v>
      </c>
      <c r="B278" s="3" t="s">
        <v>15</v>
      </c>
      <c r="C278" s="6">
        <v>44.9617</v>
      </c>
    </row>
    <row r="279" spans="1:3" x14ac:dyDescent="0.25">
      <c r="A279" s="1">
        <v>46041</v>
      </c>
      <c r="B279" s="3" t="s">
        <v>16</v>
      </c>
      <c r="C279" s="6">
        <v>44.028500000000001</v>
      </c>
    </row>
    <row r="280" spans="1:3" x14ac:dyDescent="0.25">
      <c r="A280" s="1">
        <v>46041</v>
      </c>
      <c r="B280" s="3" t="s">
        <v>20</v>
      </c>
      <c r="C280" s="6">
        <v>46.375399999999999</v>
      </c>
    </row>
    <row r="281" spans="1:3" x14ac:dyDescent="0.25">
      <c r="A281" s="1">
        <v>46041</v>
      </c>
      <c r="B281" s="3" t="s">
        <v>17</v>
      </c>
      <c r="C281" s="6">
        <v>45.9148</v>
      </c>
    </row>
    <row r="282" spans="1:3" x14ac:dyDescent="0.25">
      <c r="A282" s="1">
        <v>46041</v>
      </c>
      <c r="B282" s="3" t="s">
        <v>18</v>
      </c>
      <c r="C282" s="6">
        <v>45.533700000000003</v>
      </c>
    </row>
    <row r="283" spans="1:3" x14ac:dyDescent="0.25">
      <c r="A283" s="1">
        <v>46041</v>
      </c>
      <c r="B283" s="3" t="s">
        <v>19</v>
      </c>
      <c r="C283" s="6">
        <v>45.428199999999997</v>
      </c>
    </row>
    <row r="284" spans="1:3" x14ac:dyDescent="0.25">
      <c r="A284" s="1">
        <v>46043</v>
      </c>
      <c r="B284" s="3" t="s">
        <v>4</v>
      </c>
      <c r="C284" s="6">
        <v>72.8095</v>
      </c>
    </row>
    <row r="285" spans="1:3" x14ac:dyDescent="0.25">
      <c r="A285" s="1">
        <v>46043</v>
      </c>
      <c r="B285" s="3" t="s">
        <v>5</v>
      </c>
      <c r="C285" s="6">
        <v>72.265699999999995</v>
      </c>
    </row>
    <row r="286" spans="1:3" x14ac:dyDescent="0.25">
      <c r="A286" s="1">
        <v>46043</v>
      </c>
      <c r="B286" s="3" t="s">
        <v>6</v>
      </c>
      <c r="C286" s="6">
        <v>70.912800000000004</v>
      </c>
    </row>
    <row r="287" spans="1:3" x14ac:dyDescent="0.25">
      <c r="A287" s="1">
        <v>46043</v>
      </c>
      <c r="B287" s="3" t="s">
        <v>7</v>
      </c>
      <c r="C287" s="6">
        <v>70.272999999999996</v>
      </c>
    </row>
    <row r="288" spans="1:3" x14ac:dyDescent="0.25">
      <c r="A288" s="1">
        <v>46043</v>
      </c>
      <c r="B288" s="3" t="s">
        <v>8</v>
      </c>
      <c r="C288" s="6">
        <v>66.593699999999998</v>
      </c>
    </row>
    <row r="289" spans="1:3" x14ac:dyDescent="0.25">
      <c r="A289" s="1">
        <v>46044</v>
      </c>
      <c r="B289" s="3" t="s">
        <v>9</v>
      </c>
      <c r="C289" s="6">
        <v>69.675899999999999</v>
      </c>
    </row>
    <row r="290" spans="1:3" x14ac:dyDescent="0.25">
      <c r="A290" s="1">
        <v>46044</v>
      </c>
      <c r="B290" s="3" t="s">
        <v>10</v>
      </c>
      <c r="C290" s="6">
        <v>69.657799999999995</v>
      </c>
    </row>
    <row r="291" spans="1:3" x14ac:dyDescent="0.25">
      <c r="A291" s="1">
        <v>46044</v>
      </c>
      <c r="B291" s="3" t="s">
        <v>11</v>
      </c>
      <c r="C291" s="6">
        <v>70.014099999999999</v>
      </c>
    </row>
    <row r="292" spans="1:3" x14ac:dyDescent="0.25">
      <c r="A292" s="1">
        <v>46044</v>
      </c>
      <c r="B292" s="3" t="s">
        <v>12</v>
      </c>
      <c r="C292" s="6">
        <v>73.930700000000002</v>
      </c>
    </row>
    <row r="293" spans="1:3" x14ac:dyDescent="0.25">
      <c r="A293" s="1">
        <v>46044</v>
      </c>
      <c r="B293" s="3" t="s">
        <v>13</v>
      </c>
      <c r="C293" s="6">
        <v>73.956000000000003</v>
      </c>
    </row>
    <row r="294" spans="1:3" x14ac:dyDescent="0.25">
      <c r="A294" s="1">
        <v>46045</v>
      </c>
      <c r="B294" s="3" t="s">
        <v>14</v>
      </c>
      <c r="C294" s="6">
        <v>45.716299999999997</v>
      </c>
    </row>
    <row r="295" spans="1:3" x14ac:dyDescent="0.25">
      <c r="A295" s="1">
        <v>46045</v>
      </c>
      <c r="B295" s="3" t="s">
        <v>15</v>
      </c>
      <c r="C295" s="6">
        <v>44.961199999999998</v>
      </c>
    </row>
    <row r="296" spans="1:3" x14ac:dyDescent="0.25">
      <c r="A296" s="1">
        <v>46045</v>
      </c>
      <c r="B296" s="3" t="s">
        <v>16</v>
      </c>
      <c r="C296" s="6">
        <v>44.028300000000002</v>
      </c>
    </row>
    <row r="297" spans="1:3" x14ac:dyDescent="0.25">
      <c r="A297" s="1">
        <v>46045</v>
      </c>
      <c r="B297" s="3" t="s">
        <v>20</v>
      </c>
      <c r="C297" s="6">
        <v>46.3748</v>
      </c>
    </row>
    <row r="298" spans="1:3" x14ac:dyDescent="0.25">
      <c r="A298" s="1">
        <v>46045</v>
      </c>
      <c r="B298" s="3" t="s">
        <v>17</v>
      </c>
      <c r="C298" s="6">
        <v>45.913699999999999</v>
      </c>
    </row>
    <row r="299" spans="1:3" x14ac:dyDescent="0.25">
      <c r="A299" s="1">
        <v>46045</v>
      </c>
      <c r="B299" s="3" t="s">
        <v>18</v>
      </c>
      <c r="C299" s="6">
        <v>45.533299999999997</v>
      </c>
    </row>
    <row r="300" spans="1:3" x14ac:dyDescent="0.25">
      <c r="A300" s="1">
        <v>46045</v>
      </c>
      <c r="B300" s="3" t="s">
        <v>19</v>
      </c>
      <c r="C300" s="6">
        <v>45.428100000000001</v>
      </c>
    </row>
    <row r="301" spans="1:3" x14ac:dyDescent="0.25">
      <c r="A301" s="1">
        <v>46050</v>
      </c>
      <c r="B301" s="3" t="s">
        <v>9</v>
      </c>
      <c r="C301" s="6">
        <v>69.676299999999998</v>
      </c>
    </row>
    <row r="302" spans="1:3" x14ac:dyDescent="0.25">
      <c r="A302" s="1">
        <v>46050</v>
      </c>
      <c r="B302" s="3" t="s">
        <v>10</v>
      </c>
      <c r="C302" s="6">
        <v>69.658199999999994</v>
      </c>
    </row>
    <row r="303" spans="1:3" x14ac:dyDescent="0.25">
      <c r="A303" s="1">
        <v>46050</v>
      </c>
      <c r="B303" s="3" t="s">
        <v>11</v>
      </c>
      <c r="C303" s="6">
        <v>70.014300000000006</v>
      </c>
    </row>
    <row r="304" spans="1:3" x14ac:dyDescent="0.25">
      <c r="A304" s="1">
        <v>46050</v>
      </c>
      <c r="B304" s="3" t="s">
        <v>12</v>
      </c>
      <c r="C304" s="6">
        <v>73.930499999999995</v>
      </c>
    </row>
    <row r="305" spans="1:3" x14ac:dyDescent="0.25">
      <c r="A305" s="1">
        <v>46050</v>
      </c>
      <c r="B305" s="3" t="s">
        <v>13</v>
      </c>
      <c r="C305" s="6">
        <v>73.9559</v>
      </c>
    </row>
    <row r="306" spans="1:3" x14ac:dyDescent="0.25">
      <c r="A306" s="1">
        <v>46052</v>
      </c>
      <c r="B306" s="3" t="s">
        <v>14</v>
      </c>
      <c r="C306" s="6">
        <v>45.7151</v>
      </c>
    </row>
    <row r="307" spans="1:3" x14ac:dyDescent="0.25">
      <c r="A307" s="1">
        <v>46052</v>
      </c>
      <c r="B307" s="3" t="s">
        <v>15</v>
      </c>
      <c r="C307" s="6">
        <v>44.959800000000001</v>
      </c>
    </row>
    <row r="308" spans="1:3" x14ac:dyDescent="0.25">
      <c r="A308" s="1">
        <v>46052</v>
      </c>
      <c r="B308" s="3" t="s">
        <v>16</v>
      </c>
      <c r="C308" s="6">
        <v>44.028399999999998</v>
      </c>
    </row>
    <row r="309" spans="1:3" x14ac:dyDescent="0.25">
      <c r="A309" s="1">
        <v>46052</v>
      </c>
      <c r="B309" s="3" t="s">
        <v>20</v>
      </c>
      <c r="C309" s="6">
        <v>46.373800000000003</v>
      </c>
    </row>
    <row r="310" spans="1:3" x14ac:dyDescent="0.25">
      <c r="A310" s="1">
        <v>46052</v>
      </c>
      <c r="B310" s="3" t="s">
        <v>17</v>
      </c>
      <c r="C310" s="6">
        <v>45.911200000000001</v>
      </c>
    </row>
    <row r="311" spans="1:3" x14ac:dyDescent="0.25">
      <c r="A311" s="1">
        <v>46052</v>
      </c>
      <c r="B311" s="3" t="s">
        <v>18</v>
      </c>
      <c r="C311" s="6">
        <v>45.532200000000003</v>
      </c>
    </row>
    <row r="312" spans="1:3" x14ac:dyDescent="0.25">
      <c r="A312" s="1">
        <v>46052</v>
      </c>
      <c r="B312" s="3" t="s">
        <v>19</v>
      </c>
      <c r="C312" s="6">
        <v>45.427999999999997</v>
      </c>
    </row>
    <row r="313" spans="1:3" x14ac:dyDescent="0.25">
      <c r="A313" s="1">
        <v>46055</v>
      </c>
      <c r="B313" s="3" t="s">
        <v>4</v>
      </c>
      <c r="C313" s="6">
        <v>72.81</v>
      </c>
    </row>
    <row r="314" spans="1:3" x14ac:dyDescent="0.25">
      <c r="A314" s="1">
        <v>46055</v>
      </c>
      <c r="B314" s="3" t="s">
        <v>5</v>
      </c>
      <c r="C314" s="6">
        <v>72.266199999999998</v>
      </c>
    </row>
    <row r="315" spans="1:3" x14ac:dyDescent="0.25">
      <c r="A315" s="1">
        <v>46055</v>
      </c>
      <c r="B315" s="3" t="s">
        <v>6</v>
      </c>
      <c r="C315" s="6">
        <v>70.912899999999993</v>
      </c>
    </row>
    <row r="316" spans="1:3" x14ac:dyDescent="0.25">
      <c r="A316" s="1">
        <v>46055</v>
      </c>
      <c r="B316" s="3" t="s">
        <v>7</v>
      </c>
      <c r="C316" s="6">
        <v>70.272999999999996</v>
      </c>
    </row>
    <row r="317" spans="1:3" x14ac:dyDescent="0.25">
      <c r="A317" s="1">
        <v>46055</v>
      </c>
      <c r="B317" s="3" t="s">
        <v>8</v>
      </c>
      <c r="C317" s="6">
        <v>66.593500000000006</v>
      </c>
    </row>
    <row r="318" spans="1:3" x14ac:dyDescent="0.25">
      <c r="A318" s="1">
        <v>46055</v>
      </c>
      <c r="B318" s="3" t="s">
        <v>15</v>
      </c>
      <c r="C318" s="6">
        <v>44.959600000000002</v>
      </c>
    </row>
    <row r="319" spans="1:3" x14ac:dyDescent="0.25">
      <c r="A319" s="1">
        <v>46055</v>
      </c>
      <c r="B319" s="3" t="s">
        <v>16</v>
      </c>
      <c r="C319" s="6">
        <v>44.028399999999998</v>
      </c>
    </row>
    <row r="320" spans="1:3" x14ac:dyDescent="0.25">
      <c r="A320" s="1">
        <v>46055</v>
      </c>
      <c r="B320" s="3" t="s">
        <v>20</v>
      </c>
      <c r="C320" s="6">
        <v>46.3735</v>
      </c>
    </row>
    <row r="321" spans="1:3" x14ac:dyDescent="0.25">
      <c r="A321" s="1">
        <v>46055</v>
      </c>
      <c r="B321" s="3" t="s">
        <v>17</v>
      </c>
      <c r="C321" s="6">
        <v>45.910600000000002</v>
      </c>
    </row>
    <row r="322" spans="1:3" x14ac:dyDescent="0.25">
      <c r="A322" s="1">
        <v>46055</v>
      </c>
      <c r="B322" s="3" t="s">
        <v>18</v>
      </c>
      <c r="C322" s="6">
        <v>45.531999999999996</v>
      </c>
    </row>
    <row r="323" spans="1:3" x14ac:dyDescent="0.25">
      <c r="A323" s="1">
        <v>46055</v>
      </c>
      <c r="B323" s="3" t="s">
        <v>19</v>
      </c>
      <c r="C323" s="6">
        <v>45.4283</v>
      </c>
    </row>
    <row r="324" spans="1:3" x14ac:dyDescent="0.25">
      <c r="A324" s="1">
        <v>46056</v>
      </c>
      <c r="B324" s="3" t="s">
        <v>9</v>
      </c>
      <c r="C324" s="6">
        <v>69.675899999999999</v>
      </c>
    </row>
    <row r="325" spans="1:3" x14ac:dyDescent="0.25">
      <c r="A325" s="1">
        <v>46056</v>
      </c>
      <c r="B325" s="3" t="s">
        <v>10</v>
      </c>
      <c r="C325" s="6">
        <v>69.657700000000006</v>
      </c>
    </row>
    <row r="326" spans="1:3" x14ac:dyDescent="0.25">
      <c r="A326" s="1">
        <v>46056</v>
      </c>
      <c r="B326" s="3" t="s">
        <v>11</v>
      </c>
      <c r="C326" s="6">
        <v>70.013900000000007</v>
      </c>
    </row>
    <row r="327" spans="1:3" x14ac:dyDescent="0.25">
      <c r="A327" s="1">
        <v>46056</v>
      </c>
      <c r="B327" s="3" t="s">
        <v>12</v>
      </c>
      <c r="C327" s="6">
        <v>73.930599999999998</v>
      </c>
    </row>
    <row r="328" spans="1:3" x14ac:dyDescent="0.25">
      <c r="A328" s="1">
        <v>46056</v>
      </c>
      <c r="B328" s="3" t="s">
        <v>13</v>
      </c>
      <c r="C328" s="6">
        <v>73.9559</v>
      </c>
    </row>
    <row r="329" spans="1:3" x14ac:dyDescent="0.25">
      <c r="A329" s="1">
        <v>46057</v>
      </c>
      <c r="B329" s="3" t="s">
        <v>9</v>
      </c>
      <c r="C329" s="6">
        <v>69.676199999999994</v>
      </c>
    </row>
    <row r="330" spans="1:3" x14ac:dyDescent="0.25">
      <c r="A330" s="1">
        <v>46057</v>
      </c>
      <c r="B330" s="3" t="s">
        <v>10</v>
      </c>
      <c r="C330" s="6">
        <v>69.657799999999995</v>
      </c>
    </row>
    <row r="331" spans="1:3" x14ac:dyDescent="0.25">
      <c r="A331" s="1">
        <v>46057</v>
      </c>
      <c r="B331" s="3" t="s">
        <v>11</v>
      </c>
      <c r="C331" s="6">
        <v>70.013999999999996</v>
      </c>
    </row>
    <row r="332" spans="1:3" x14ac:dyDescent="0.25">
      <c r="A332" s="1">
        <v>46057</v>
      </c>
      <c r="B332" s="3" t="s">
        <v>12</v>
      </c>
      <c r="C332" s="6">
        <v>73.930599999999998</v>
      </c>
    </row>
    <row r="333" spans="1:3" x14ac:dyDescent="0.25">
      <c r="A333" s="1">
        <v>46057</v>
      </c>
      <c r="B333" s="3" t="s">
        <v>13</v>
      </c>
      <c r="C333" s="6">
        <v>73.956000000000003</v>
      </c>
    </row>
    <row r="334" spans="1:3" x14ac:dyDescent="0.25">
      <c r="A334" s="1">
        <v>46057</v>
      </c>
      <c r="B334" s="3" t="s">
        <v>14</v>
      </c>
      <c r="C334" s="6">
        <v>45.713999999999999</v>
      </c>
    </row>
    <row r="335" spans="1:3" x14ac:dyDescent="0.25">
      <c r="A335" s="1">
        <v>46057</v>
      </c>
      <c r="B335" s="3" t="s">
        <v>15</v>
      </c>
      <c r="C335" s="6">
        <v>44.958199999999998</v>
      </c>
    </row>
    <row r="336" spans="1:3" x14ac:dyDescent="0.25">
      <c r="A336" s="1">
        <v>46057</v>
      </c>
      <c r="B336" s="3" t="s">
        <v>16</v>
      </c>
      <c r="C336" s="6">
        <v>44.028300000000002</v>
      </c>
    </row>
    <row r="337" spans="1:3" x14ac:dyDescent="0.25">
      <c r="A337" s="1">
        <v>46057</v>
      </c>
      <c r="B337" s="3" t="s">
        <v>20</v>
      </c>
      <c r="C337" s="6">
        <v>46.3733</v>
      </c>
    </row>
    <row r="338" spans="1:3" x14ac:dyDescent="0.25">
      <c r="A338" s="1">
        <v>46057</v>
      </c>
      <c r="B338" s="3" t="s">
        <v>17</v>
      </c>
      <c r="C338" s="6">
        <v>45.910299999999999</v>
      </c>
    </row>
    <row r="339" spans="1:3" x14ac:dyDescent="0.25">
      <c r="A339" s="1">
        <v>46057</v>
      </c>
      <c r="B339" s="3" t="s">
        <v>18</v>
      </c>
      <c r="C339" s="6">
        <v>45.531799999999997</v>
      </c>
    </row>
    <row r="340" spans="1:3" x14ac:dyDescent="0.25">
      <c r="A340" s="1">
        <v>46057</v>
      </c>
      <c r="B340" s="3" t="s">
        <v>19</v>
      </c>
      <c r="C340" s="6">
        <v>45.428100000000001</v>
      </c>
    </row>
    <row r="341" spans="1:3" x14ac:dyDescent="0.25">
      <c r="A341" s="1">
        <v>46058</v>
      </c>
      <c r="B341" s="3" t="s">
        <v>9</v>
      </c>
      <c r="C341" s="6">
        <v>69.676299999999998</v>
      </c>
    </row>
    <row r="342" spans="1:3" x14ac:dyDescent="0.25">
      <c r="A342" s="1">
        <v>46058</v>
      </c>
      <c r="B342" s="3" t="s">
        <v>10</v>
      </c>
      <c r="C342" s="6">
        <v>69.658000000000001</v>
      </c>
    </row>
    <row r="343" spans="1:3" x14ac:dyDescent="0.25">
      <c r="A343" s="1">
        <v>46058</v>
      </c>
      <c r="B343" s="3" t="s">
        <v>11</v>
      </c>
      <c r="C343" s="6">
        <v>70.014200000000002</v>
      </c>
    </row>
    <row r="344" spans="1:3" x14ac:dyDescent="0.25">
      <c r="A344" s="1">
        <v>46058</v>
      </c>
      <c r="B344" s="3" t="s">
        <v>12</v>
      </c>
      <c r="C344" s="6">
        <v>73.930800000000005</v>
      </c>
    </row>
    <row r="345" spans="1:3" x14ac:dyDescent="0.25">
      <c r="A345" s="1">
        <v>46058</v>
      </c>
      <c r="B345" s="3" t="s">
        <v>13</v>
      </c>
      <c r="C345" s="6">
        <v>73.956199999999995</v>
      </c>
    </row>
    <row r="346" spans="1:3" x14ac:dyDescent="0.25">
      <c r="A346" s="1">
        <v>46058</v>
      </c>
      <c r="B346" s="3" t="s">
        <v>14</v>
      </c>
      <c r="C346" s="6">
        <v>45.713000000000001</v>
      </c>
    </row>
    <row r="347" spans="1:3" x14ac:dyDescent="0.25">
      <c r="A347" s="1">
        <v>46058</v>
      </c>
      <c r="B347" s="3" t="s">
        <v>15</v>
      </c>
      <c r="C347" s="6">
        <v>44.956800000000001</v>
      </c>
    </row>
    <row r="348" spans="1:3" x14ac:dyDescent="0.25">
      <c r="A348" s="1">
        <v>46058</v>
      </c>
      <c r="B348" s="3" t="s">
        <v>16</v>
      </c>
      <c r="C348" s="6">
        <v>44.028300000000002</v>
      </c>
    </row>
    <row r="349" spans="1:3" x14ac:dyDescent="0.25">
      <c r="A349" s="1">
        <v>46058</v>
      </c>
      <c r="B349" s="3" t="s">
        <v>20</v>
      </c>
      <c r="C349" s="6">
        <v>46.372900000000001</v>
      </c>
    </row>
    <row r="350" spans="1:3" x14ac:dyDescent="0.25">
      <c r="A350" s="1">
        <v>46058</v>
      </c>
      <c r="B350" s="3" t="s">
        <v>17</v>
      </c>
      <c r="C350" s="6">
        <v>45.909700000000001</v>
      </c>
    </row>
    <row r="351" spans="1:3" x14ac:dyDescent="0.25">
      <c r="A351" s="1">
        <v>46058</v>
      </c>
      <c r="B351" s="3" t="s">
        <v>18</v>
      </c>
      <c r="C351" s="6">
        <v>45.531599999999997</v>
      </c>
    </row>
    <row r="352" spans="1:3" x14ac:dyDescent="0.25">
      <c r="A352" s="1">
        <v>46058</v>
      </c>
      <c r="B352" s="3" t="s">
        <v>19</v>
      </c>
      <c r="C352" s="6">
        <v>45.427900000000001</v>
      </c>
    </row>
    <row r="353" spans="1:3" x14ac:dyDescent="0.25">
      <c r="A353" s="1">
        <v>46059</v>
      </c>
      <c r="B353" s="3" t="s">
        <v>9</v>
      </c>
      <c r="C353" s="6">
        <v>69.676299999999998</v>
      </c>
    </row>
    <row r="354" spans="1:3" x14ac:dyDescent="0.25">
      <c r="A354" s="1">
        <v>46059</v>
      </c>
      <c r="B354" s="3" t="s">
        <v>10</v>
      </c>
      <c r="C354" s="6">
        <v>69.658000000000001</v>
      </c>
    </row>
    <row r="355" spans="1:3" x14ac:dyDescent="0.25">
      <c r="A355" s="1">
        <v>46059</v>
      </c>
      <c r="B355" s="3" t="s">
        <v>11</v>
      </c>
      <c r="C355" s="6">
        <v>70.014200000000002</v>
      </c>
    </row>
    <row r="356" spans="1:3" x14ac:dyDescent="0.25">
      <c r="A356" s="1">
        <v>46059</v>
      </c>
      <c r="B356" s="3" t="s">
        <v>12</v>
      </c>
      <c r="C356" s="6">
        <v>73.931200000000004</v>
      </c>
    </row>
    <row r="357" spans="1:3" x14ac:dyDescent="0.25">
      <c r="A357" s="1">
        <v>46059</v>
      </c>
      <c r="B357" s="3" t="s">
        <v>13</v>
      </c>
      <c r="C357" s="6">
        <v>73.956599999999995</v>
      </c>
    </row>
    <row r="358" spans="1:3" x14ac:dyDescent="0.25">
      <c r="A358" s="1">
        <v>46059</v>
      </c>
      <c r="B358" s="3" t="s">
        <v>14</v>
      </c>
      <c r="C358" s="6">
        <v>45.712499999999999</v>
      </c>
    </row>
    <row r="359" spans="1:3" x14ac:dyDescent="0.25">
      <c r="A359" s="1">
        <v>46059</v>
      </c>
      <c r="B359" s="3" t="s">
        <v>15</v>
      </c>
      <c r="C359" s="6">
        <v>44.955399999999997</v>
      </c>
    </row>
    <row r="360" spans="1:3" x14ac:dyDescent="0.25">
      <c r="A360" s="1">
        <v>46059</v>
      </c>
      <c r="B360" s="3" t="s">
        <v>16</v>
      </c>
      <c r="C360" s="6">
        <v>44.028199999999998</v>
      </c>
    </row>
    <row r="361" spans="1:3" x14ac:dyDescent="0.25">
      <c r="A361" s="1">
        <v>46059</v>
      </c>
      <c r="B361" s="3" t="s">
        <v>20</v>
      </c>
      <c r="C361" s="6">
        <v>46.372999999999998</v>
      </c>
    </row>
    <row r="362" spans="1:3" x14ac:dyDescent="0.25">
      <c r="A362" s="1">
        <v>46059</v>
      </c>
      <c r="B362" s="3" t="s">
        <v>17</v>
      </c>
      <c r="C362" s="6">
        <v>45.909700000000001</v>
      </c>
    </row>
    <row r="363" spans="1:3" x14ac:dyDescent="0.25">
      <c r="A363" s="1">
        <v>46059</v>
      </c>
      <c r="B363" s="3" t="s">
        <v>18</v>
      </c>
      <c r="C363" s="6">
        <v>45.531500000000001</v>
      </c>
    </row>
    <row r="364" spans="1:3" x14ac:dyDescent="0.25">
      <c r="A364" s="1">
        <v>46059</v>
      </c>
      <c r="B364" s="3" t="s">
        <v>19</v>
      </c>
      <c r="C364" s="6">
        <v>45.427999999999997</v>
      </c>
    </row>
    <row r="365" spans="1:3" x14ac:dyDescent="0.25">
      <c r="A365" s="1">
        <v>46062</v>
      </c>
      <c r="B365" s="3" t="s">
        <v>9</v>
      </c>
      <c r="C365" s="6">
        <v>69.675799999999995</v>
      </c>
    </row>
    <row r="366" spans="1:3" x14ac:dyDescent="0.25">
      <c r="A366" s="1">
        <v>46062</v>
      </c>
      <c r="B366" s="3" t="s">
        <v>10</v>
      </c>
      <c r="C366" s="6">
        <v>69.657399999999996</v>
      </c>
    </row>
    <row r="367" spans="1:3" x14ac:dyDescent="0.25">
      <c r="A367" s="1">
        <v>46062</v>
      </c>
      <c r="B367" s="3" t="s">
        <v>11</v>
      </c>
      <c r="C367" s="6">
        <v>70.0137</v>
      </c>
    </row>
    <row r="368" spans="1:3" x14ac:dyDescent="0.25">
      <c r="A368" s="1">
        <v>46062</v>
      </c>
      <c r="B368" s="3" t="s">
        <v>12</v>
      </c>
      <c r="C368" s="6">
        <v>73.930700000000002</v>
      </c>
    </row>
    <row r="369" spans="1:3" x14ac:dyDescent="0.25">
      <c r="A369" s="1">
        <v>46062</v>
      </c>
      <c r="B369" s="3" t="s">
        <v>13</v>
      </c>
      <c r="C369" s="6">
        <v>73.955799999999996</v>
      </c>
    </row>
    <row r="370" spans="1:3" x14ac:dyDescent="0.25">
      <c r="A370" s="1">
        <v>46062</v>
      </c>
      <c r="B370" s="3" t="s">
        <v>14</v>
      </c>
      <c r="C370" s="6">
        <v>45.7121</v>
      </c>
    </row>
    <row r="371" spans="1:3" x14ac:dyDescent="0.25">
      <c r="A371" s="1">
        <v>46062</v>
      </c>
      <c r="B371" s="3" t="s">
        <v>15</v>
      </c>
      <c r="C371" s="6">
        <v>44.955300000000001</v>
      </c>
    </row>
    <row r="372" spans="1:3" x14ac:dyDescent="0.25">
      <c r="A372" s="1">
        <v>46062</v>
      </c>
      <c r="B372" s="3" t="s">
        <v>16</v>
      </c>
      <c r="C372" s="6">
        <v>44.028199999999998</v>
      </c>
    </row>
    <row r="373" spans="1:3" x14ac:dyDescent="0.25">
      <c r="A373" s="1">
        <v>46062</v>
      </c>
      <c r="B373" s="3" t="s">
        <v>20</v>
      </c>
      <c r="C373" s="6">
        <v>46.372799999999998</v>
      </c>
    </row>
    <row r="374" spans="1:3" x14ac:dyDescent="0.25">
      <c r="A374" s="1">
        <v>46062</v>
      </c>
      <c r="B374" s="3" t="s">
        <v>17</v>
      </c>
      <c r="C374" s="6">
        <v>45.909399999999998</v>
      </c>
    </row>
    <row r="375" spans="1:3" x14ac:dyDescent="0.25">
      <c r="A375" s="1">
        <v>46062</v>
      </c>
      <c r="B375" s="3" t="s">
        <v>18</v>
      </c>
      <c r="C375" s="6">
        <v>45.531399999999998</v>
      </c>
    </row>
    <row r="376" spans="1:3" x14ac:dyDescent="0.25">
      <c r="A376" s="1">
        <v>46062</v>
      </c>
      <c r="B376" s="3" t="s">
        <v>19</v>
      </c>
      <c r="C376" s="6">
        <v>45.428100000000001</v>
      </c>
    </row>
    <row r="377" spans="1:3" x14ac:dyDescent="0.25">
      <c r="A377" s="1">
        <v>46063</v>
      </c>
      <c r="B377" s="3" t="s">
        <v>14</v>
      </c>
      <c r="C377" s="6">
        <v>45.7119</v>
      </c>
    </row>
    <row r="378" spans="1:3" x14ac:dyDescent="0.25">
      <c r="A378" s="1">
        <v>46063</v>
      </c>
      <c r="B378" s="3" t="s">
        <v>15</v>
      </c>
      <c r="C378" s="6">
        <v>44.954599999999999</v>
      </c>
    </row>
    <row r="379" spans="1:3" x14ac:dyDescent="0.25">
      <c r="A379" s="1">
        <v>46063</v>
      </c>
      <c r="B379" s="3" t="s">
        <v>16</v>
      </c>
      <c r="C379" s="6">
        <v>44.028300000000002</v>
      </c>
    </row>
    <row r="380" spans="1:3" x14ac:dyDescent="0.25">
      <c r="A380" s="1">
        <v>46063</v>
      </c>
      <c r="B380" s="3" t="s">
        <v>20</v>
      </c>
      <c r="C380" s="6">
        <v>46.372700000000002</v>
      </c>
    </row>
    <row r="381" spans="1:3" x14ac:dyDescent="0.25">
      <c r="A381" s="1">
        <v>46063</v>
      </c>
      <c r="B381" s="3" t="s">
        <v>17</v>
      </c>
      <c r="C381" s="6">
        <v>45.909399999999998</v>
      </c>
    </row>
    <row r="382" spans="1:3" x14ac:dyDescent="0.25">
      <c r="A382" s="1">
        <v>46063</v>
      </c>
      <c r="B382" s="3" t="s">
        <v>18</v>
      </c>
      <c r="C382" s="6">
        <v>45.531399999999998</v>
      </c>
    </row>
    <row r="383" spans="1:3" x14ac:dyDescent="0.25">
      <c r="A383" s="1">
        <v>46063</v>
      </c>
      <c r="B383" s="3" t="s">
        <v>19</v>
      </c>
      <c r="C383" s="6">
        <v>45.428100000000001</v>
      </c>
    </row>
    <row r="384" spans="1:3" x14ac:dyDescent="0.25">
      <c r="A384" s="1">
        <v>46064</v>
      </c>
      <c r="B384" s="3" t="s">
        <v>9</v>
      </c>
      <c r="C384" s="6">
        <v>69.676100000000005</v>
      </c>
    </row>
    <row r="385" spans="1:3" x14ac:dyDescent="0.25">
      <c r="A385" s="1">
        <v>46064</v>
      </c>
      <c r="B385" s="3" t="s">
        <v>10</v>
      </c>
      <c r="C385" s="6">
        <v>69.658000000000001</v>
      </c>
    </row>
    <row r="386" spans="1:3" x14ac:dyDescent="0.25">
      <c r="A386" s="1">
        <v>46064</v>
      </c>
      <c r="B386" s="3" t="s">
        <v>11</v>
      </c>
      <c r="C386" s="6">
        <v>70.014099999999999</v>
      </c>
    </row>
    <row r="387" spans="1:3" x14ac:dyDescent="0.25">
      <c r="A387" s="1">
        <v>46064</v>
      </c>
      <c r="B387" s="3" t="s">
        <v>12</v>
      </c>
      <c r="C387" s="6">
        <v>73.930199999999999</v>
      </c>
    </row>
    <row r="388" spans="1:3" x14ac:dyDescent="0.25">
      <c r="A388" s="1">
        <v>46064</v>
      </c>
      <c r="B388" s="3" t="s">
        <v>13</v>
      </c>
      <c r="C388" s="6">
        <v>73.955699999999993</v>
      </c>
    </row>
    <row r="389" spans="1:3" x14ac:dyDescent="0.25">
      <c r="A389" s="1">
        <v>46064</v>
      </c>
      <c r="B389" s="3" t="s">
        <v>14</v>
      </c>
      <c r="C389" s="6">
        <v>45.7119</v>
      </c>
    </row>
    <row r="390" spans="1:3" x14ac:dyDescent="0.25">
      <c r="A390" s="1">
        <v>46064</v>
      </c>
      <c r="B390" s="3" t="s">
        <v>15</v>
      </c>
      <c r="C390" s="6">
        <v>44.954900000000002</v>
      </c>
    </row>
    <row r="391" spans="1:3" x14ac:dyDescent="0.25">
      <c r="A391" s="1">
        <v>46064</v>
      </c>
      <c r="B391" s="3" t="s">
        <v>16</v>
      </c>
      <c r="C391" s="6">
        <v>44.028199999999998</v>
      </c>
    </row>
    <row r="392" spans="1:3" x14ac:dyDescent="0.25">
      <c r="A392" s="1">
        <v>46064</v>
      </c>
      <c r="B392" s="3" t="s">
        <v>20</v>
      </c>
      <c r="C392" s="6">
        <v>46.372599999999998</v>
      </c>
    </row>
    <row r="393" spans="1:3" x14ac:dyDescent="0.25">
      <c r="A393" s="1">
        <v>46064</v>
      </c>
      <c r="B393" s="3" t="s">
        <v>17</v>
      </c>
      <c r="C393" s="6">
        <v>45.909300000000002</v>
      </c>
    </row>
    <row r="394" spans="1:3" x14ac:dyDescent="0.25">
      <c r="A394" s="1">
        <v>46064</v>
      </c>
      <c r="B394" s="3" t="s">
        <v>18</v>
      </c>
      <c r="C394" s="6">
        <v>45.531500000000001</v>
      </c>
    </row>
    <row r="395" spans="1:3" x14ac:dyDescent="0.25">
      <c r="A395" s="1">
        <v>46064</v>
      </c>
      <c r="B395" s="3" t="s">
        <v>19</v>
      </c>
      <c r="C395" s="6">
        <v>45.427999999999997</v>
      </c>
    </row>
    <row r="396" spans="1:3" x14ac:dyDescent="0.25">
      <c r="A396" s="1">
        <v>46065</v>
      </c>
      <c r="B396" s="3" t="s">
        <v>9</v>
      </c>
      <c r="C396" s="6">
        <v>69.676100000000005</v>
      </c>
    </row>
    <row r="397" spans="1:3" x14ac:dyDescent="0.25">
      <c r="A397" s="1">
        <v>46065</v>
      </c>
      <c r="B397" s="3" t="s">
        <v>10</v>
      </c>
      <c r="C397" s="6">
        <v>69.657899999999998</v>
      </c>
    </row>
    <row r="398" spans="1:3" x14ac:dyDescent="0.25">
      <c r="A398" s="1">
        <v>46065</v>
      </c>
      <c r="B398" s="3" t="s">
        <v>11</v>
      </c>
      <c r="C398" s="6">
        <v>70.014099999999999</v>
      </c>
    </row>
    <row r="399" spans="1:3" x14ac:dyDescent="0.25">
      <c r="A399" s="1">
        <v>46065</v>
      </c>
      <c r="B399" s="3" t="s">
        <v>12</v>
      </c>
      <c r="C399" s="6">
        <v>73.930400000000006</v>
      </c>
    </row>
    <row r="400" spans="1:3" x14ac:dyDescent="0.25">
      <c r="A400" s="1">
        <v>46065</v>
      </c>
      <c r="B400" s="3" t="s">
        <v>13</v>
      </c>
      <c r="C400" s="6">
        <v>73.9559</v>
      </c>
    </row>
    <row r="401" spans="1:3" x14ac:dyDescent="0.25">
      <c r="A401" s="1">
        <v>46065</v>
      </c>
      <c r="B401" s="3" t="s">
        <v>14</v>
      </c>
      <c r="C401" s="6">
        <v>45.711799999999997</v>
      </c>
    </row>
    <row r="402" spans="1:3" x14ac:dyDescent="0.25">
      <c r="A402" s="1">
        <v>46065</v>
      </c>
      <c r="B402" s="3" t="s">
        <v>15</v>
      </c>
      <c r="C402" s="6">
        <v>44.955100000000002</v>
      </c>
    </row>
    <row r="403" spans="1:3" x14ac:dyDescent="0.25">
      <c r="A403" s="1">
        <v>46065</v>
      </c>
      <c r="B403" s="3" t="s">
        <v>16</v>
      </c>
      <c r="C403" s="6">
        <v>44.028300000000002</v>
      </c>
    </row>
    <row r="404" spans="1:3" x14ac:dyDescent="0.25">
      <c r="A404" s="1">
        <v>46065</v>
      </c>
      <c r="B404" s="3" t="s">
        <v>20</v>
      </c>
      <c r="C404" s="6">
        <v>46.372399999999999</v>
      </c>
    </row>
    <row r="405" spans="1:3" x14ac:dyDescent="0.25">
      <c r="A405" s="1">
        <v>46065</v>
      </c>
      <c r="B405" s="3" t="s">
        <v>17</v>
      </c>
      <c r="C405" s="6">
        <v>45.909100000000002</v>
      </c>
    </row>
    <row r="406" spans="1:3" x14ac:dyDescent="0.25">
      <c r="A406" s="1">
        <v>46065</v>
      </c>
      <c r="B406" s="3" t="s">
        <v>18</v>
      </c>
      <c r="C406" s="6">
        <v>45.531300000000002</v>
      </c>
    </row>
    <row r="407" spans="1:3" x14ac:dyDescent="0.25">
      <c r="A407" s="1">
        <v>46065</v>
      </c>
      <c r="B407" s="3" t="s">
        <v>19</v>
      </c>
      <c r="C407" s="6">
        <v>45.427999999999997</v>
      </c>
    </row>
    <row r="408" spans="1:3" x14ac:dyDescent="0.25">
      <c r="A408" s="1">
        <v>46066</v>
      </c>
      <c r="B408" s="3" t="s">
        <v>14</v>
      </c>
      <c r="C408" s="6">
        <v>45.7119</v>
      </c>
    </row>
    <row r="409" spans="1:3" x14ac:dyDescent="0.25">
      <c r="A409" s="1">
        <v>46066</v>
      </c>
      <c r="B409" s="3" t="s">
        <v>15</v>
      </c>
      <c r="C409" s="6">
        <v>44.954999999999998</v>
      </c>
    </row>
    <row r="410" spans="1:3" x14ac:dyDescent="0.25">
      <c r="A410" s="1">
        <v>46066</v>
      </c>
      <c r="B410" s="3" t="s">
        <v>16</v>
      </c>
      <c r="C410" s="6">
        <v>44.028300000000002</v>
      </c>
    </row>
    <row r="411" spans="1:3" x14ac:dyDescent="0.25">
      <c r="A411" s="1">
        <v>46066</v>
      </c>
      <c r="B411" s="3" t="s">
        <v>20</v>
      </c>
      <c r="C411" s="6">
        <v>46.372599999999998</v>
      </c>
    </row>
    <row r="412" spans="1:3" x14ac:dyDescent="0.25">
      <c r="A412" s="1">
        <v>46066</v>
      </c>
      <c r="B412" s="3" t="s">
        <v>17</v>
      </c>
      <c r="C412" s="6">
        <v>45.909300000000002</v>
      </c>
    </row>
    <row r="413" spans="1:3" x14ac:dyDescent="0.25">
      <c r="A413" s="1">
        <v>46066</v>
      </c>
      <c r="B413" s="3" t="s">
        <v>18</v>
      </c>
      <c r="C413" s="6">
        <v>45.531500000000001</v>
      </c>
    </row>
    <row r="414" spans="1:3" x14ac:dyDescent="0.25">
      <c r="A414" s="1">
        <v>46066</v>
      </c>
      <c r="B414" s="3" t="s">
        <v>19</v>
      </c>
      <c r="C414" s="6">
        <v>45.428199999999997</v>
      </c>
    </row>
    <row r="415" spans="1:3" x14ac:dyDescent="0.25">
      <c r="A415" s="1">
        <v>46069</v>
      </c>
      <c r="B415" s="3" t="s">
        <v>9</v>
      </c>
      <c r="C415" s="6">
        <v>69.675799999999995</v>
      </c>
    </row>
    <row r="416" spans="1:3" x14ac:dyDescent="0.25">
      <c r="A416" s="1">
        <v>46069</v>
      </c>
      <c r="B416" s="3" t="s">
        <v>10</v>
      </c>
      <c r="C416" s="6">
        <v>69.657399999999996</v>
      </c>
    </row>
    <row r="417" spans="1:3" x14ac:dyDescent="0.25">
      <c r="A417" s="1">
        <v>46069</v>
      </c>
      <c r="B417" s="3" t="s">
        <v>11</v>
      </c>
      <c r="C417" s="6">
        <v>70.0137</v>
      </c>
    </row>
    <row r="418" spans="1:3" x14ac:dyDescent="0.25">
      <c r="A418" s="1">
        <v>46069</v>
      </c>
      <c r="B418" s="3" t="s">
        <v>12</v>
      </c>
      <c r="C418" s="6">
        <v>73.930800000000005</v>
      </c>
    </row>
    <row r="419" spans="1:3" x14ac:dyDescent="0.25">
      <c r="A419" s="1">
        <v>46069</v>
      </c>
      <c r="B419" s="3" t="s">
        <v>13</v>
      </c>
      <c r="C419" s="6">
        <v>73.956000000000003</v>
      </c>
    </row>
    <row r="420" spans="1:3" x14ac:dyDescent="0.25">
      <c r="A420" s="1">
        <v>46069</v>
      </c>
      <c r="B420" s="3" t="s">
        <v>14</v>
      </c>
      <c r="C420" s="6">
        <v>45.711500000000001</v>
      </c>
    </row>
    <row r="421" spans="1:3" x14ac:dyDescent="0.25">
      <c r="A421" s="1">
        <v>46069</v>
      </c>
      <c r="B421" s="3" t="s">
        <v>15</v>
      </c>
      <c r="C421" s="6">
        <v>44.954000000000001</v>
      </c>
    </row>
    <row r="422" spans="1:3" x14ac:dyDescent="0.25">
      <c r="A422" s="1">
        <v>46069</v>
      </c>
      <c r="B422" s="3" t="s">
        <v>16</v>
      </c>
      <c r="C422" s="6">
        <v>44.028199999999998</v>
      </c>
    </row>
    <row r="423" spans="1:3" x14ac:dyDescent="0.25">
      <c r="A423" s="1">
        <v>46069</v>
      </c>
      <c r="B423" s="3" t="s">
        <v>20</v>
      </c>
      <c r="C423" s="6">
        <v>46.372399999999999</v>
      </c>
    </row>
    <row r="424" spans="1:3" x14ac:dyDescent="0.25">
      <c r="A424" s="1">
        <v>46069</v>
      </c>
      <c r="B424" s="3" t="s">
        <v>17</v>
      </c>
      <c r="C424" s="6">
        <v>45.909100000000002</v>
      </c>
    </row>
    <row r="425" spans="1:3" x14ac:dyDescent="0.25">
      <c r="A425" s="1">
        <v>46069</v>
      </c>
      <c r="B425" s="3" t="s">
        <v>18</v>
      </c>
      <c r="C425" s="6">
        <v>45.531199999999998</v>
      </c>
    </row>
    <row r="426" spans="1:3" x14ac:dyDescent="0.25">
      <c r="A426" s="1">
        <v>46069</v>
      </c>
      <c r="B426" s="3" t="s">
        <v>19</v>
      </c>
      <c r="C426" s="6">
        <v>45.428100000000001</v>
      </c>
    </row>
    <row r="427" spans="1:3" x14ac:dyDescent="0.25">
      <c r="A427" s="1">
        <v>46070</v>
      </c>
      <c r="B427" s="3" t="s">
        <v>9</v>
      </c>
      <c r="C427" s="6">
        <v>69.676199999999994</v>
      </c>
    </row>
    <row r="428" spans="1:3" x14ac:dyDescent="0.25">
      <c r="A428" s="1">
        <v>46070</v>
      </c>
      <c r="B428" s="3" t="s">
        <v>10</v>
      </c>
      <c r="C428" s="6">
        <v>69.657700000000006</v>
      </c>
    </row>
    <row r="429" spans="1:3" x14ac:dyDescent="0.25">
      <c r="A429" s="1">
        <v>46070</v>
      </c>
      <c r="B429" s="3" t="s">
        <v>11</v>
      </c>
      <c r="C429" s="6">
        <v>70.013900000000007</v>
      </c>
    </row>
    <row r="430" spans="1:3" x14ac:dyDescent="0.25">
      <c r="A430" s="1">
        <v>46070</v>
      </c>
      <c r="B430" s="3" t="s">
        <v>12</v>
      </c>
      <c r="C430" s="6">
        <v>73.930499999999995</v>
      </c>
    </row>
    <row r="431" spans="1:3" x14ac:dyDescent="0.25">
      <c r="A431" s="1">
        <v>46070</v>
      </c>
      <c r="B431" s="3" t="s">
        <v>13</v>
      </c>
      <c r="C431" s="6">
        <v>73.9559</v>
      </c>
    </row>
    <row r="432" spans="1:3" x14ac:dyDescent="0.25">
      <c r="A432" s="1">
        <v>46070</v>
      </c>
      <c r="B432" s="3" t="s">
        <v>14</v>
      </c>
      <c r="C432" s="6">
        <v>45.7117</v>
      </c>
    </row>
    <row r="433" spans="1:3" x14ac:dyDescent="0.25">
      <c r="A433" s="1">
        <v>46070</v>
      </c>
      <c r="B433" s="3" t="s">
        <v>15</v>
      </c>
      <c r="C433" s="6">
        <v>44.954599999999999</v>
      </c>
    </row>
    <row r="434" spans="1:3" x14ac:dyDescent="0.25">
      <c r="A434" s="1">
        <v>46070</v>
      </c>
      <c r="B434" s="3" t="s">
        <v>16</v>
      </c>
      <c r="C434" s="6">
        <v>44.028300000000002</v>
      </c>
    </row>
    <row r="435" spans="1:3" x14ac:dyDescent="0.25">
      <c r="A435" s="1">
        <v>46070</v>
      </c>
      <c r="B435" s="3" t="s">
        <v>20</v>
      </c>
      <c r="C435" s="6">
        <v>46.372100000000003</v>
      </c>
    </row>
    <row r="436" spans="1:3" x14ac:dyDescent="0.25">
      <c r="A436" s="1">
        <v>46070</v>
      </c>
      <c r="B436" s="3" t="s">
        <v>17</v>
      </c>
      <c r="C436" s="6">
        <v>45.908900000000003</v>
      </c>
    </row>
    <row r="437" spans="1:3" x14ac:dyDescent="0.25">
      <c r="A437" s="1">
        <v>46070</v>
      </c>
      <c r="B437" s="3" t="s">
        <v>18</v>
      </c>
      <c r="C437" s="6">
        <v>45.530999999999999</v>
      </c>
    </row>
    <row r="438" spans="1:3" x14ac:dyDescent="0.25">
      <c r="A438" s="1">
        <v>46070</v>
      </c>
      <c r="B438" s="3" t="s">
        <v>19</v>
      </c>
      <c r="C438" s="6">
        <v>45.427900000000001</v>
      </c>
    </row>
    <row r="439" spans="1:3" x14ac:dyDescent="0.25">
      <c r="A439" s="1">
        <v>46071</v>
      </c>
      <c r="B439" s="3" t="s">
        <v>14</v>
      </c>
      <c r="C439" s="6">
        <v>45.711399999999998</v>
      </c>
    </row>
    <row r="440" spans="1:3" x14ac:dyDescent="0.25">
      <c r="A440" s="1">
        <v>46071</v>
      </c>
      <c r="B440" s="3" t="s">
        <v>15</v>
      </c>
      <c r="C440" s="6">
        <v>44.954599999999999</v>
      </c>
    </row>
    <row r="441" spans="1:3" x14ac:dyDescent="0.25">
      <c r="A441" s="1">
        <v>46071</v>
      </c>
      <c r="B441" s="3" t="s">
        <v>16</v>
      </c>
      <c r="C441" s="6">
        <v>44.028300000000002</v>
      </c>
    </row>
    <row r="442" spans="1:3" x14ac:dyDescent="0.25">
      <c r="A442" s="1">
        <v>46071</v>
      </c>
      <c r="B442" s="3" t="s">
        <v>20</v>
      </c>
      <c r="C442" s="6">
        <v>46.372</v>
      </c>
    </row>
    <row r="443" spans="1:3" x14ac:dyDescent="0.25">
      <c r="A443" s="1">
        <v>46071</v>
      </c>
      <c r="B443" s="3" t="s">
        <v>17</v>
      </c>
      <c r="C443" s="6">
        <v>45.908700000000003</v>
      </c>
    </row>
    <row r="444" spans="1:3" x14ac:dyDescent="0.25">
      <c r="A444" s="1">
        <v>46071</v>
      </c>
      <c r="B444" s="3" t="s">
        <v>18</v>
      </c>
      <c r="C444" s="6">
        <v>45.531100000000002</v>
      </c>
    </row>
    <row r="445" spans="1:3" x14ac:dyDescent="0.25">
      <c r="A445" s="1">
        <v>46071</v>
      </c>
      <c r="B445" s="3" t="s">
        <v>19</v>
      </c>
      <c r="C445" s="6">
        <v>45.427999999999997</v>
      </c>
    </row>
    <row r="446" spans="1:3" x14ac:dyDescent="0.25">
      <c r="A446" s="1">
        <v>46072</v>
      </c>
      <c r="B446" s="7" t="s">
        <v>86</v>
      </c>
      <c r="C446" s="8">
        <v>50.382850000000005</v>
      </c>
    </row>
    <row r="447" spans="1:3" x14ac:dyDescent="0.25">
      <c r="A447" s="1">
        <v>46072</v>
      </c>
      <c r="B447" s="7" t="s">
        <v>87</v>
      </c>
      <c r="C447" s="8">
        <v>48.871449999999996</v>
      </c>
    </row>
    <row r="448" spans="1:3" x14ac:dyDescent="0.25">
      <c r="A448" s="1">
        <v>46072</v>
      </c>
      <c r="B448" s="7" t="s">
        <v>88</v>
      </c>
      <c r="C448" s="8">
        <v>48.214950000000002</v>
      </c>
    </row>
    <row r="449" spans="1:4" x14ac:dyDescent="0.25">
      <c r="A449" s="1">
        <v>46072</v>
      </c>
      <c r="B449" s="7" t="s">
        <v>89</v>
      </c>
      <c r="C449" s="8">
        <v>46.95035</v>
      </c>
    </row>
    <row r="450" spans="1:4" x14ac:dyDescent="0.25">
      <c r="A450" s="1">
        <v>46072</v>
      </c>
      <c r="B450" s="7" t="s">
        <v>90</v>
      </c>
      <c r="C450" s="8">
        <v>44.8812</v>
      </c>
    </row>
    <row r="451" spans="1:4" x14ac:dyDescent="0.25">
      <c r="A451" s="1">
        <v>46072</v>
      </c>
      <c r="B451" s="7" t="s">
        <v>91</v>
      </c>
      <c r="C451" s="8">
        <v>54.407699999999998</v>
      </c>
    </row>
    <row r="452" spans="1:4" x14ac:dyDescent="0.25">
      <c r="A452" s="1">
        <v>46072</v>
      </c>
      <c r="B452" s="7" t="s">
        <v>92</v>
      </c>
      <c r="C452" s="8">
        <v>51.382399999999997</v>
      </c>
    </row>
    <row r="453" spans="1:4" x14ac:dyDescent="0.25">
      <c r="A453" s="1">
        <v>46072</v>
      </c>
      <c r="B453" s="7" t="s">
        <v>93</v>
      </c>
      <c r="C453" s="8">
        <v>50.110433333333333</v>
      </c>
    </row>
    <row r="454" spans="1:4" x14ac:dyDescent="0.25">
      <c r="A454" s="1">
        <v>46072</v>
      </c>
      <c r="B454" s="7" t="s">
        <v>94</v>
      </c>
      <c r="C454" s="8">
        <v>47.972133333333339</v>
      </c>
    </row>
    <row r="455" spans="1:4" x14ac:dyDescent="0.25">
      <c r="A455" s="1">
        <v>46072</v>
      </c>
      <c r="B455" s="7" t="s">
        <v>95</v>
      </c>
      <c r="C455" s="8">
        <v>44.997999999999998</v>
      </c>
    </row>
    <row r="456" spans="1:4" x14ac:dyDescent="0.25">
      <c r="A456" s="1">
        <v>46072</v>
      </c>
      <c r="B456" s="3" t="s">
        <v>14</v>
      </c>
      <c r="C456" s="6">
        <v>45.711599999999997</v>
      </c>
    </row>
    <row r="457" spans="1:4" x14ac:dyDescent="0.25">
      <c r="A457" s="1">
        <v>46072</v>
      </c>
      <c r="B457" s="3" t="s">
        <v>15</v>
      </c>
      <c r="C457" s="6">
        <v>44.954700000000003</v>
      </c>
    </row>
    <row r="458" spans="1:4" x14ac:dyDescent="0.25">
      <c r="A458" s="1">
        <v>46072</v>
      </c>
      <c r="B458" s="3" t="s">
        <v>16</v>
      </c>
      <c r="C458" s="6">
        <v>44.028199999999998</v>
      </c>
    </row>
    <row r="459" spans="1:4" x14ac:dyDescent="0.25">
      <c r="A459" s="1">
        <v>46072</v>
      </c>
      <c r="B459" s="3" t="s">
        <v>20</v>
      </c>
      <c r="C459" s="6">
        <v>46.372399999999999</v>
      </c>
      <c r="D459" s="6"/>
    </row>
    <row r="460" spans="1:4" x14ac:dyDescent="0.25">
      <c r="A460" s="1">
        <v>46072</v>
      </c>
      <c r="B460" s="3" t="s">
        <v>17</v>
      </c>
      <c r="C460" s="6">
        <v>45.909100000000002</v>
      </c>
      <c r="D460" s="6"/>
    </row>
    <row r="461" spans="1:4" x14ac:dyDescent="0.25">
      <c r="A461" s="1">
        <v>46072</v>
      </c>
      <c r="B461" s="3" t="s">
        <v>18</v>
      </c>
      <c r="C461" s="6">
        <v>45.531300000000002</v>
      </c>
      <c r="D461" s="6"/>
    </row>
    <row r="462" spans="1:4" x14ac:dyDescent="0.25">
      <c r="A462" s="1">
        <v>46072</v>
      </c>
      <c r="B462" s="3" t="s">
        <v>19</v>
      </c>
      <c r="C462" s="6">
        <v>45.427999999999997</v>
      </c>
      <c r="D462" s="6"/>
    </row>
    <row r="463" spans="1:4" x14ac:dyDescent="0.25">
      <c r="A463" s="1">
        <v>46073</v>
      </c>
      <c r="B463" s="3" t="s">
        <v>14</v>
      </c>
      <c r="C463" s="6">
        <v>45.711500000000001</v>
      </c>
      <c r="D463" s="6"/>
    </row>
    <row r="464" spans="1:4" x14ac:dyDescent="0.25">
      <c r="A464" s="1">
        <v>46073</v>
      </c>
      <c r="B464" s="3" t="s">
        <v>15</v>
      </c>
      <c r="C464" s="6">
        <v>44.954700000000003</v>
      </c>
      <c r="D464" s="6"/>
    </row>
    <row r="465" spans="1:4" x14ac:dyDescent="0.25">
      <c r="A465" s="1">
        <v>46073</v>
      </c>
      <c r="B465" s="3" t="s">
        <v>16</v>
      </c>
      <c r="C465" s="6">
        <v>44.028300000000002</v>
      </c>
      <c r="D465" s="6"/>
    </row>
    <row r="466" spans="1:4" x14ac:dyDescent="0.25">
      <c r="A466" s="1">
        <v>46073</v>
      </c>
      <c r="B466" s="3" t="s">
        <v>20</v>
      </c>
      <c r="C466" s="6">
        <v>46.372399999999999</v>
      </c>
    </row>
    <row r="467" spans="1:4" x14ac:dyDescent="0.25">
      <c r="A467" s="1">
        <v>46073</v>
      </c>
      <c r="B467" s="3" t="s">
        <v>17</v>
      </c>
      <c r="C467" s="6">
        <v>45.909100000000002</v>
      </c>
    </row>
    <row r="468" spans="1:4" x14ac:dyDescent="0.25">
      <c r="A468" s="1">
        <v>46073</v>
      </c>
      <c r="B468" s="3" t="s">
        <v>18</v>
      </c>
      <c r="C468" s="6">
        <v>45.531399999999998</v>
      </c>
    </row>
    <row r="469" spans="1:4" x14ac:dyDescent="0.25">
      <c r="A469" s="1">
        <v>46073</v>
      </c>
      <c r="B469" s="3" t="s">
        <v>19</v>
      </c>
      <c r="C469" s="6">
        <v>45.428199999999997</v>
      </c>
    </row>
    <row r="470" spans="1:4" x14ac:dyDescent="0.25">
      <c r="A470" s="1">
        <v>46076</v>
      </c>
      <c r="B470" s="3" t="s">
        <v>14</v>
      </c>
      <c r="C470" s="6">
        <v>45.711399999999998</v>
      </c>
    </row>
    <row r="471" spans="1:4" x14ac:dyDescent="0.25">
      <c r="A471" s="1">
        <v>46076</v>
      </c>
      <c r="B471" s="3" t="s">
        <v>15</v>
      </c>
      <c r="C471" s="6">
        <v>44.954500000000003</v>
      </c>
    </row>
    <row r="472" spans="1:4" x14ac:dyDescent="0.25">
      <c r="A472" s="1">
        <v>46076</v>
      </c>
      <c r="B472" s="3" t="s">
        <v>16</v>
      </c>
      <c r="C472" s="6">
        <v>44.028100000000002</v>
      </c>
    </row>
    <row r="473" spans="1:4" x14ac:dyDescent="0.25">
      <c r="A473" s="1">
        <v>46076</v>
      </c>
      <c r="B473" s="3" t="s">
        <v>20</v>
      </c>
      <c r="C473" s="6">
        <v>46.372100000000003</v>
      </c>
    </row>
    <row r="474" spans="1:4" x14ac:dyDescent="0.25">
      <c r="A474" s="1">
        <v>46076</v>
      </c>
      <c r="B474" s="3" t="s">
        <v>17</v>
      </c>
      <c r="C474" s="6">
        <v>45.908700000000003</v>
      </c>
    </row>
    <row r="475" spans="1:4" x14ac:dyDescent="0.25">
      <c r="A475" s="1">
        <v>46076</v>
      </c>
      <c r="B475" s="3" t="s">
        <v>18</v>
      </c>
      <c r="C475" s="6">
        <v>45.531300000000002</v>
      </c>
    </row>
    <row r="476" spans="1:4" x14ac:dyDescent="0.25">
      <c r="A476" s="1">
        <v>46076</v>
      </c>
      <c r="B476" s="3" t="s">
        <v>19</v>
      </c>
      <c r="C476" s="6">
        <v>45.428100000000001</v>
      </c>
    </row>
    <row r="477" spans="1:4" x14ac:dyDescent="0.25">
      <c r="A477" s="1">
        <v>46077</v>
      </c>
      <c r="B477" s="3" t="s">
        <v>14</v>
      </c>
      <c r="C477" s="6">
        <v>45.711000000000006</v>
      </c>
    </row>
    <row r="478" spans="1:4" x14ac:dyDescent="0.25">
      <c r="A478" s="1">
        <v>46077</v>
      </c>
      <c r="B478" s="3" t="s">
        <v>15</v>
      </c>
      <c r="C478" s="6">
        <v>44.9544</v>
      </c>
    </row>
    <row r="479" spans="1:4" x14ac:dyDescent="0.25">
      <c r="A479" s="1">
        <v>46077</v>
      </c>
      <c r="B479" s="3" t="s">
        <v>16</v>
      </c>
      <c r="C479" s="6">
        <v>44.028300000000002</v>
      </c>
    </row>
    <row r="480" spans="1:4" x14ac:dyDescent="0.25">
      <c r="A480" s="1">
        <v>46077</v>
      </c>
      <c r="B480" s="3" t="s">
        <v>20</v>
      </c>
      <c r="C480" s="6">
        <v>46.371900000000004</v>
      </c>
    </row>
    <row r="481" spans="1:4" x14ac:dyDescent="0.25">
      <c r="A481" s="1">
        <v>46077</v>
      </c>
      <c r="B481" s="3" t="s">
        <v>17</v>
      </c>
      <c r="C481" s="6">
        <v>45.9086</v>
      </c>
    </row>
    <row r="482" spans="1:4" x14ac:dyDescent="0.25">
      <c r="A482" s="1">
        <v>46077</v>
      </c>
      <c r="B482" s="3" t="s">
        <v>18</v>
      </c>
      <c r="C482" s="6">
        <v>45.531300000000002</v>
      </c>
    </row>
    <row r="483" spans="1:4" x14ac:dyDescent="0.25">
      <c r="A483" s="1">
        <v>46077</v>
      </c>
      <c r="B483" s="3" t="s">
        <v>19</v>
      </c>
      <c r="C483" s="6">
        <v>45.428100000000001</v>
      </c>
    </row>
    <row r="484" spans="1:4" x14ac:dyDescent="0.25">
      <c r="A484" s="1">
        <v>46078</v>
      </c>
      <c r="B484" s="7" t="s">
        <v>86</v>
      </c>
      <c r="C484" s="8">
        <v>50.382800000000003</v>
      </c>
    </row>
    <row r="485" spans="1:4" x14ac:dyDescent="0.25">
      <c r="A485" s="1">
        <v>46078</v>
      </c>
      <c r="B485" s="7" t="s">
        <v>87</v>
      </c>
      <c r="C485" s="8">
        <v>48.871400000000001</v>
      </c>
      <c r="D485" s="6"/>
    </row>
    <row r="486" spans="1:4" x14ac:dyDescent="0.25">
      <c r="A486" s="1">
        <v>46078</v>
      </c>
      <c r="B486" s="7" t="s">
        <v>88</v>
      </c>
      <c r="C486" s="8">
        <v>48.215000000000003</v>
      </c>
      <c r="D486" s="6"/>
    </row>
    <row r="487" spans="1:4" x14ac:dyDescent="0.25">
      <c r="A487" s="1">
        <v>46078</v>
      </c>
      <c r="B487" s="7" t="s">
        <v>89</v>
      </c>
      <c r="C487" s="8">
        <v>46.950200000000002</v>
      </c>
      <c r="D487" s="6"/>
    </row>
    <row r="488" spans="1:4" x14ac:dyDescent="0.25">
      <c r="A488" s="1">
        <v>46078</v>
      </c>
      <c r="B488" s="7" t="s">
        <v>90</v>
      </c>
      <c r="C488" s="8">
        <v>44.8812</v>
      </c>
      <c r="D488" s="6"/>
    </row>
    <row r="489" spans="1:4" x14ac:dyDescent="0.25">
      <c r="A489" s="1">
        <v>46078</v>
      </c>
      <c r="B489" s="7" t="s">
        <v>93</v>
      </c>
      <c r="C489" s="8">
        <v>50.110399999999998</v>
      </c>
      <c r="D489" s="6"/>
    </row>
    <row r="490" spans="1:4" x14ac:dyDescent="0.25">
      <c r="A490" s="1">
        <v>46078</v>
      </c>
      <c r="B490" s="7" t="s">
        <v>94</v>
      </c>
      <c r="C490" s="8">
        <v>47.972200000000001</v>
      </c>
      <c r="D490" s="6"/>
    </row>
    <row r="491" spans="1:4" x14ac:dyDescent="0.25">
      <c r="A491" s="1">
        <v>46078</v>
      </c>
      <c r="B491" s="7" t="s">
        <v>95</v>
      </c>
      <c r="C491" s="8">
        <v>44.997999999999998</v>
      </c>
      <c r="D491" s="6"/>
    </row>
    <row r="492" spans="1:4" x14ac:dyDescent="0.25">
      <c r="A492" s="1">
        <v>46079</v>
      </c>
      <c r="B492" s="3" t="s">
        <v>9</v>
      </c>
      <c r="C492" s="6">
        <v>69.676199999999994</v>
      </c>
    </row>
    <row r="493" spans="1:4" x14ac:dyDescent="0.25">
      <c r="A493" s="1">
        <v>46079</v>
      </c>
      <c r="B493" s="3" t="s">
        <v>10</v>
      </c>
      <c r="C493" s="6">
        <v>69.658200000000008</v>
      </c>
    </row>
    <row r="494" spans="1:4" x14ac:dyDescent="0.25">
      <c r="A494" s="1">
        <v>46079</v>
      </c>
      <c r="B494" s="3" t="s">
        <v>11</v>
      </c>
      <c r="C494" s="6">
        <v>70.014099999999999</v>
      </c>
    </row>
    <row r="495" spans="1:4" x14ac:dyDescent="0.25">
      <c r="A495" s="1">
        <v>46079</v>
      </c>
      <c r="B495" s="3" t="s">
        <v>12</v>
      </c>
      <c r="C495" s="6">
        <v>73.930400000000006</v>
      </c>
    </row>
    <row r="496" spans="1:4" x14ac:dyDescent="0.25">
      <c r="A496" s="1">
        <v>46079</v>
      </c>
      <c r="B496" s="3" t="s">
        <v>13</v>
      </c>
      <c r="C496" s="6">
        <v>73.955700000000007</v>
      </c>
    </row>
    <row r="497" spans="1:3" x14ac:dyDescent="0.25">
      <c r="A497" s="1">
        <v>46079</v>
      </c>
      <c r="B497" s="3" t="s">
        <v>14</v>
      </c>
      <c r="C497" s="6">
        <v>45.711300000000001</v>
      </c>
    </row>
    <row r="498" spans="1:3" x14ac:dyDescent="0.25">
      <c r="A498" s="1">
        <v>46079</v>
      </c>
      <c r="B498" s="3" t="s">
        <v>15</v>
      </c>
      <c r="C498" s="6">
        <v>44.954500000000003</v>
      </c>
    </row>
    <row r="499" spans="1:3" x14ac:dyDescent="0.25">
      <c r="A499" s="1">
        <v>46079</v>
      </c>
      <c r="B499" s="3" t="s">
        <v>16</v>
      </c>
      <c r="C499" s="6">
        <v>44.028199999999998</v>
      </c>
    </row>
    <row r="500" spans="1:3" x14ac:dyDescent="0.25">
      <c r="A500" s="1">
        <v>46079</v>
      </c>
      <c r="B500" s="3" t="s">
        <v>20</v>
      </c>
      <c r="C500" s="6">
        <v>46.372300000000003</v>
      </c>
    </row>
    <row r="501" spans="1:3" x14ac:dyDescent="0.25">
      <c r="A501" s="1">
        <v>46079</v>
      </c>
      <c r="B501" s="3" t="s">
        <v>17</v>
      </c>
      <c r="C501" s="6">
        <v>45.908900000000003</v>
      </c>
    </row>
    <row r="502" spans="1:3" x14ac:dyDescent="0.25">
      <c r="A502" s="1">
        <v>46079</v>
      </c>
      <c r="B502" s="3" t="s">
        <v>18</v>
      </c>
      <c r="C502" s="6">
        <v>45.531199999999998</v>
      </c>
    </row>
    <row r="503" spans="1:3" x14ac:dyDescent="0.25">
      <c r="A503" s="1">
        <v>46079</v>
      </c>
      <c r="B503" s="3" t="s">
        <v>19</v>
      </c>
      <c r="C503" s="6">
        <v>45.428100000000001</v>
      </c>
    </row>
    <row r="504" spans="1:3" x14ac:dyDescent="0.25">
      <c r="A504" s="1">
        <v>46083</v>
      </c>
      <c r="B504" s="6" t="s">
        <v>9</v>
      </c>
      <c r="C504" s="6">
        <v>69.676299999999998</v>
      </c>
    </row>
    <row r="505" spans="1:3" x14ac:dyDescent="0.25">
      <c r="A505" s="1">
        <v>46083</v>
      </c>
      <c r="B505" s="3" t="s">
        <v>10</v>
      </c>
      <c r="C505" s="6">
        <v>69.658000000000001</v>
      </c>
    </row>
    <row r="506" spans="1:3" x14ac:dyDescent="0.25">
      <c r="A506" s="1">
        <v>46083</v>
      </c>
      <c r="B506" s="3" t="s">
        <v>11</v>
      </c>
      <c r="C506" s="6">
        <v>70.014099999999999</v>
      </c>
    </row>
    <row r="507" spans="1:3" x14ac:dyDescent="0.25">
      <c r="A507" s="1">
        <v>46083</v>
      </c>
      <c r="B507" s="3" t="s">
        <v>12</v>
      </c>
      <c r="C507" s="6">
        <v>73.930599999999998</v>
      </c>
    </row>
    <row r="508" spans="1:3" x14ac:dyDescent="0.25">
      <c r="A508" s="1">
        <v>46083</v>
      </c>
      <c r="B508" s="3" t="s">
        <v>13</v>
      </c>
      <c r="C508" s="6">
        <v>73.9559</v>
      </c>
    </row>
    <row r="509" spans="1:3" x14ac:dyDescent="0.25">
      <c r="A509" s="1">
        <v>46083</v>
      </c>
      <c r="B509" s="7" t="s">
        <v>86</v>
      </c>
      <c r="C509" s="6">
        <v>50.382899999999999</v>
      </c>
    </row>
    <row r="510" spans="1:3" x14ac:dyDescent="0.25">
      <c r="A510" s="1">
        <v>46083</v>
      </c>
      <c r="B510" s="7" t="s">
        <v>87</v>
      </c>
      <c r="C510" s="6">
        <v>48.871499999999997</v>
      </c>
    </row>
    <row r="511" spans="1:3" x14ac:dyDescent="0.25">
      <c r="A511" s="1">
        <v>46083</v>
      </c>
      <c r="B511" s="7" t="s">
        <v>88</v>
      </c>
      <c r="C511" s="6">
        <v>48.2149</v>
      </c>
    </row>
    <row r="512" spans="1:3" x14ac:dyDescent="0.25">
      <c r="A512" s="1">
        <v>46083</v>
      </c>
      <c r="B512" s="7" t="s">
        <v>89</v>
      </c>
      <c r="C512" s="6">
        <v>46.950499999999998</v>
      </c>
    </row>
    <row r="513" spans="1:3" x14ac:dyDescent="0.25">
      <c r="A513" s="1">
        <v>46083</v>
      </c>
      <c r="B513" s="7" t="s">
        <v>90</v>
      </c>
      <c r="C513" s="6">
        <v>44.8812</v>
      </c>
    </row>
    <row r="514" spans="1:3" x14ac:dyDescent="0.25">
      <c r="A514" s="1">
        <v>46083</v>
      </c>
      <c r="B514" s="7" t="s">
        <v>91</v>
      </c>
      <c r="C514" s="6">
        <v>54.408200000000001</v>
      </c>
    </row>
    <row r="515" spans="1:3" x14ac:dyDescent="0.25">
      <c r="A515" s="1">
        <v>46083</v>
      </c>
      <c r="B515" s="7" t="s">
        <v>92</v>
      </c>
      <c r="C515" s="6">
        <v>51.3825</v>
      </c>
    </row>
    <row r="516" spans="1:3" x14ac:dyDescent="0.25">
      <c r="A516" s="1">
        <v>46083</v>
      </c>
      <c r="B516" s="7" t="s">
        <v>93</v>
      </c>
      <c r="C516" s="6">
        <v>50.110500000000002</v>
      </c>
    </row>
    <row r="517" spans="1:3" x14ac:dyDescent="0.25">
      <c r="A517" s="1">
        <v>46083</v>
      </c>
      <c r="B517" s="7" t="s">
        <v>94</v>
      </c>
      <c r="C517" s="6">
        <v>47.972099999999998</v>
      </c>
    </row>
    <row r="518" spans="1:3" x14ac:dyDescent="0.25">
      <c r="A518" s="1">
        <v>46083</v>
      </c>
      <c r="B518" s="7" t="s">
        <v>95</v>
      </c>
      <c r="C518" s="6">
        <v>44.998100000000001</v>
      </c>
    </row>
    <row r="519" spans="1:3" x14ac:dyDescent="0.25">
      <c r="A519" s="1">
        <v>46083</v>
      </c>
      <c r="B519" s="3" t="s">
        <v>14</v>
      </c>
      <c r="C519" s="6">
        <v>45.711199999999998</v>
      </c>
    </row>
    <row r="520" spans="1:3" x14ac:dyDescent="0.25">
      <c r="A520" s="1">
        <v>46083</v>
      </c>
      <c r="B520" s="3" t="s">
        <v>15</v>
      </c>
      <c r="C520" s="6">
        <v>44.954300000000003</v>
      </c>
    </row>
    <row r="521" spans="1:3" x14ac:dyDescent="0.25">
      <c r="A521" s="1">
        <v>46083</v>
      </c>
      <c r="B521" s="3" t="s">
        <v>16</v>
      </c>
      <c r="C521" s="6">
        <v>44.028199999999998</v>
      </c>
    </row>
    <row r="522" spans="1:3" x14ac:dyDescent="0.25">
      <c r="A522" s="1">
        <v>46083</v>
      </c>
      <c r="B522" s="3" t="s">
        <v>20</v>
      </c>
      <c r="C522" s="6">
        <v>46.372100000000003</v>
      </c>
    </row>
    <row r="523" spans="1:3" x14ac:dyDescent="0.25">
      <c r="A523" s="1">
        <v>46083</v>
      </c>
      <c r="B523" s="3" t="s">
        <v>17</v>
      </c>
      <c r="C523" s="6">
        <v>45.908700000000003</v>
      </c>
    </row>
    <row r="524" spans="1:3" x14ac:dyDescent="0.25">
      <c r="A524" s="1">
        <v>46083</v>
      </c>
      <c r="B524" s="3" t="s">
        <v>18</v>
      </c>
      <c r="C524" s="6">
        <v>45.531100000000002</v>
      </c>
    </row>
    <row r="525" spans="1:3" x14ac:dyDescent="0.25">
      <c r="A525" s="1">
        <v>46083</v>
      </c>
      <c r="B525" s="3" t="s">
        <v>19</v>
      </c>
      <c r="C525" s="6">
        <v>45.427999999999997</v>
      </c>
    </row>
    <row r="526" spans="1:3" x14ac:dyDescent="0.25">
      <c r="A526" s="1">
        <v>46085</v>
      </c>
      <c r="B526" s="7" t="s">
        <v>91</v>
      </c>
      <c r="C526" s="6">
        <v>54.4071</v>
      </c>
    </row>
    <row r="527" spans="1:3" x14ac:dyDescent="0.25">
      <c r="A527" s="1">
        <v>46085</v>
      </c>
      <c r="B527" s="7" t="s">
        <v>92</v>
      </c>
      <c r="C527" s="6">
        <v>51.382300000000001</v>
      </c>
    </row>
    <row r="528" spans="1:3" x14ac:dyDescent="0.25">
      <c r="A528" s="1">
        <v>46085</v>
      </c>
      <c r="B528" s="7" t="s">
        <v>93</v>
      </c>
      <c r="C528" s="6">
        <v>50.110399999999998</v>
      </c>
    </row>
    <row r="529" spans="1:3" x14ac:dyDescent="0.25">
      <c r="A529" s="1">
        <v>46085</v>
      </c>
      <c r="B529" s="7" t="s">
        <v>94</v>
      </c>
      <c r="C529" s="6">
        <v>47.972099999999998</v>
      </c>
    </row>
    <row r="530" spans="1:3" x14ac:dyDescent="0.25">
      <c r="A530" s="1">
        <v>46085</v>
      </c>
      <c r="B530" s="7" t="s">
        <v>95</v>
      </c>
      <c r="C530" s="6">
        <v>44.997900000000001</v>
      </c>
    </row>
    <row r="531" spans="1:3" x14ac:dyDescent="0.25">
      <c r="A531" s="1">
        <v>46087</v>
      </c>
      <c r="B531" s="3" t="s">
        <v>9</v>
      </c>
      <c r="C531" s="6">
        <v>69.676100000000005</v>
      </c>
    </row>
    <row r="532" spans="1:3" x14ac:dyDescent="0.25">
      <c r="A532" s="1">
        <v>46087</v>
      </c>
      <c r="B532" s="3" t="s">
        <v>10</v>
      </c>
      <c r="C532" s="6">
        <v>69.657700000000006</v>
      </c>
    </row>
    <row r="533" spans="1:3" x14ac:dyDescent="0.25">
      <c r="A533" s="1">
        <v>46087</v>
      </c>
      <c r="B533" s="3" t="s">
        <v>11</v>
      </c>
      <c r="C533" s="6">
        <v>70.013800000000003</v>
      </c>
    </row>
    <row r="534" spans="1:3" x14ac:dyDescent="0.25">
      <c r="A534" s="1">
        <v>46087</v>
      </c>
      <c r="B534" s="3" t="s">
        <v>12</v>
      </c>
      <c r="C534" s="6">
        <v>73.930999999999997</v>
      </c>
    </row>
    <row r="535" spans="1:3" x14ac:dyDescent="0.25">
      <c r="A535" s="1">
        <v>46087</v>
      </c>
      <c r="B535" s="3" t="s">
        <v>13</v>
      </c>
      <c r="C535" s="6">
        <v>73.956100000000006</v>
      </c>
    </row>
    <row r="536" spans="1:3" x14ac:dyDescent="0.25">
      <c r="A536" s="1">
        <v>46090</v>
      </c>
      <c r="B536" s="3" t="s">
        <v>91</v>
      </c>
      <c r="C536" s="6">
        <v>54.408900000000003</v>
      </c>
    </row>
    <row r="537" spans="1:3" x14ac:dyDescent="0.25">
      <c r="A537" s="1">
        <v>46090</v>
      </c>
      <c r="B537" s="3" t="s">
        <v>92</v>
      </c>
      <c r="C537" s="6">
        <v>51.383000000000003</v>
      </c>
    </row>
    <row r="538" spans="1:3" x14ac:dyDescent="0.25">
      <c r="A538" s="1">
        <v>46090</v>
      </c>
      <c r="B538" s="3" t="s">
        <v>93</v>
      </c>
      <c r="C538" s="6">
        <v>50.1111</v>
      </c>
    </row>
    <row r="539" spans="1:3" x14ac:dyDescent="0.25">
      <c r="A539" s="1">
        <v>46090</v>
      </c>
      <c r="B539" s="3" t="s">
        <v>94</v>
      </c>
      <c r="C539" s="6">
        <v>47.972700000000003</v>
      </c>
    </row>
    <row r="540" spans="1:3" x14ac:dyDescent="0.25">
      <c r="A540" s="1">
        <v>46090</v>
      </c>
      <c r="B540" s="3" t="s">
        <v>95</v>
      </c>
      <c r="C540" s="6">
        <v>44.9983</v>
      </c>
    </row>
    <row r="541" spans="1:3" x14ac:dyDescent="0.25">
      <c r="A541" s="1">
        <v>46092</v>
      </c>
      <c r="B541" s="3" t="s">
        <v>91</v>
      </c>
      <c r="C541" s="6">
        <v>54.408700000000003</v>
      </c>
    </row>
    <row r="542" spans="1:3" x14ac:dyDescent="0.25">
      <c r="A542" s="1">
        <v>46092</v>
      </c>
      <c r="B542" s="3" t="s">
        <v>92</v>
      </c>
      <c r="C542" s="6">
        <v>51.382800000000003</v>
      </c>
    </row>
    <row r="543" spans="1:3" x14ac:dyDescent="0.25">
      <c r="A543" s="1">
        <v>46092</v>
      </c>
      <c r="B543" s="3" t="s">
        <v>93</v>
      </c>
      <c r="C543" s="6">
        <v>50.111199999999997</v>
      </c>
    </row>
    <row r="544" spans="1:3" x14ac:dyDescent="0.25">
      <c r="A544" s="1">
        <v>46092</v>
      </c>
      <c r="B544" s="3" t="s">
        <v>94</v>
      </c>
      <c r="C544" s="6">
        <v>47.972499999999997</v>
      </c>
    </row>
    <row r="545" spans="1:3" x14ac:dyDescent="0.25">
      <c r="A545" s="1">
        <v>46092</v>
      </c>
      <c r="B545" s="3" t="s">
        <v>95</v>
      </c>
      <c r="C545" s="6">
        <v>44.998100000000001</v>
      </c>
    </row>
    <row r="546" spans="1:3" x14ac:dyDescent="0.25">
      <c r="A546" s="1">
        <v>46093</v>
      </c>
      <c r="B546" s="3" t="s">
        <v>9</v>
      </c>
      <c r="C546" s="6">
        <v>69.676500000000004</v>
      </c>
    </row>
    <row r="547" spans="1:3" x14ac:dyDescent="0.25">
      <c r="A547" s="1">
        <v>46093</v>
      </c>
      <c r="B547" s="3" t="s">
        <v>10</v>
      </c>
      <c r="C547" s="6">
        <v>69.657899999999998</v>
      </c>
    </row>
    <row r="548" spans="1:3" x14ac:dyDescent="0.25">
      <c r="A548" s="1">
        <v>46093</v>
      </c>
      <c r="B548" s="3" t="s">
        <v>11</v>
      </c>
      <c r="C548" s="6">
        <v>70.013999999999996</v>
      </c>
    </row>
    <row r="549" spans="1:3" x14ac:dyDescent="0.25">
      <c r="A549" s="1">
        <v>46093</v>
      </c>
      <c r="B549" s="3" t="s">
        <v>12</v>
      </c>
      <c r="C549" s="6">
        <v>73.930400000000006</v>
      </c>
    </row>
    <row r="550" spans="1:3" x14ac:dyDescent="0.25">
      <c r="A550" s="1">
        <v>46093</v>
      </c>
      <c r="B550" s="3" t="s">
        <v>13</v>
      </c>
      <c r="C550" s="6">
        <v>73.956100000000006</v>
      </c>
    </row>
    <row r="551" spans="1:3" x14ac:dyDescent="0.25">
      <c r="A551" s="1">
        <v>46094</v>
      </c>
      <c r="B551" s="3" t="s">
        <v>91</v>
      </c>
      <c r="C551" s="6">
        <v>54.408099999999997</v>
      </c>
    </row>
    <row r="552" spans="1:3" x14ac:dyDescent="0.25">
      <c r="A552" s="1">
        <v>46094</v>
      </c>
      <c r="B552" s="3" t="s">
        <v>92</v>
      </c>
      <c r="C552" s="6">
        <v>51.382399999999997</v>
      </c>
    </row>
    <row r="553" spans="1:3" x14ac:dyDescent="0.25">
      <c r="A553" s="1">
        <v>46094</v>
      </c>
      <c r="B553" s="3" t="s">
        <v>93</v>
      </c>
      <c r="C553" s="6">
        <v>50.110900000000001</v>
      </c>
    </row>
    <row r="554" spans="1:3" x14ac:dyDescent="0.25">
      <c r="A554" s="1">
        <v>46094</v>
      </c>
      <c r="B554" s="3" t="s">
        <v>94</v>
      </c>
      <c r="C554" s="6">
        <v>47.972200000000001</v>
      </c>
    </row>
    <row r="555" spans="1:3" x14ac:dyDescent="0.25">
      <c r="A555" s="1">
        <v>46094</v>
      </c>
      <c r="B555" s="3" t="s">
        <v>95</v>
      </c>
      <c r="C555" s="6">
        <v>44.998199999999997</v>
      </c>
    </row>
    <row r="556" spans="1:3" x14ac:dyDescent="0.25">
      <c r="A556" s="1">
        <v>46097</v>
      </c>
      <c r="B556" s="3" t="s">
        <v>91</v>
      </c>
      <c r="C556" s="6">
        <v>54.408299999999997</v>
      </c>
    </row>
    <row r="557" spans="1:3" x14ac:dyDescent="0.25">
      <c r="A557" s="1">
        <v>46097</v>
      </c>
      <c r="B557" s="3" t="s">
        <v>92</v>
      </c>
      <c r="C557" s="6">
        <v>51.382399999999997</v>
      </c>
    </row>
    <row r="558" spans="1:3" x14ac:dyDescent="0.25">
      <c r="A558" s="1">
        <v>46097</v>
      </c>
      <c r="B558" s="3" t="s">
        <v>93</v>
      </c>
      <c r="C558" s="6">
        <v>50.110599999999998</v>
      </c>
    </row>
    <row r="559" spans="1:3" x14ac:dyDescent="0.25">
      <c r="A559" s="1">
        <v>46097</v>
      </c>
      <c r="B559" s="3" t="s">
        <v>94</v>
      </c>
      <c r="C559" s="6">
        <v>47.972200000000001</v>
      </c>
    </row>
    <row r="560" spans="1:3" x14ac:dyDescent="0.25">
      <c r="A560" s="1">
        <v>46097</v>
      </c>
      <c r="B560" s="3" t="s">
        <v>95</v>
      </c>
      <c r="C560" s="6">
        <v>44.9983</v>
      </c>
    </row>
    <row r="561" spans="1:4" x14ac:dyDescent="0.25">
      <c r="A561" s="1">
        <v>46098</v>
      </c>
      <c r="B561" s="3" t="s">
        <v>91</v>
      </c>
      <c r="C561" s="6">
        <v>54.407699999999998</v>
      </c>
    </row>
    <row r="562" spans="1:4" x14ac:dyDescent="0.25">
      <c r="A562" s="1">
        <v>46098</v>
      </c>
      <c r="B562" s="3" t="s">
        <v>92</v>
      </c>
      <c r="C562" s="6">
        <v>51.381900000000002</v>
      </c>
    </row>
    <row r="563" spans="1:4" x14ac:dyDescent="0.25">
      <c r="A563" s="1">
        <v>46098</v>
      </c>
      <c r="B563" s="3" t="s">
        <v>93</v>
      </c>
      <c r="C563" s="6">
        <v>50.110199999999999</v>
      </c>
    </row>
    <row r="564" spans="1:4" x14ac:dyDescent="0.25">
      <c r="A564" s="1">
        <v>46098</v>
      </c>
      <c r="B564" s="3" t="s">
        <v>94</v>
      </c>
      <c r="C564" s="6">
        <v>47.972000000000001</v>
      </c>
    </row>
    <row r="565" spans="1:4" x14ac:dyDescent="0.25">
      <c r="A565" s="1">
        <v>46098</v>
      </c>
      <c r="B565" s="3" t="s">
        <v>95</v>
      </c>
      <c r="C565" s="6">
        <v>44.997900000000001</v>
      </c>
    </row>
    <row r="566" spans="1:4" x14ac:dyDescent="0.25">
      <c r="A566" s="1">
        <v>46099</v>
      </c>
      <c r="B566" s="3" t="s">
        <v>9</v>
      </c>
      <c r="C566" s="6">
        <v>69.676199999999994</v>
      </c>
    </row>
    <row r="567" spans="1:4" x14ac:dyDescent="0.25">
      <c r="A567" s="1">
        <v>46099</v>
      </c>
      <c r="B567" s="3" t="s">
        <v>10</v>
      </c>
      <c r="C567" s="6">
        <v>69.6584</v>
      </c>
    </row>
    <row r="568" spans="1:4" x14ac:dyDescent="0.25">
      <c r="A568" s="1">
        <v>46099</v>
      </c>
      <c r="B568" s="3" t="s">
        <v>11</v>
      </c>
      <c r="C568" s="6">
        <v>70.014099999999999</v>
      </c>
    </row>
    <row r="569" spans="1:4" x14ac:dyDescent="0.25">
      <c r="A569" s="1">
        <v>46099</v>
      </c>
      <c r="B569" s="3" t="s">
        <v>12</v>
      </c>
      <c r="C569" s="6">
        <v>73.930300000000003</v>
      </c>
    </row>
    <row r="570" spans="1:4" x14ac:dyDescent="0.25">
      <c r="A570" s="1">
        <v>46099</v>
      </c>
      <c r="B570" s="3" t="s">
        <v>13</v>
      </c>
      <c r="C570" s="6">
        <v>73.956000000000003</v>
      </c>
    </row>
    <row r="571" spans="1:4" x14ac:dyDescent="0.25">
      <c r="A571" s="1">
        <v>46099</v>
      </c>
      <c r="B571" s="3" t="s">
        <v>91</v>
      </c>
      <c r="C571" s="6">
        <v>54.406700000000001</v>
      </c>
    </row>
    <row r="572" spans="1:4" x14ac:dyDescent="0.25">
      <c r="A572" s="1">
        <v>46099</v>
      </c>
      <c r="B572" s="3" t="s">
        <v>92</v>
      </c>
      <c r="C572" s="6">
        <v>51.380800000000001</v>
      </c>
    </row>
    <row r="573" spans="1:4" x14ac:dyDescent="0.25">
      <c r="A573" s="1">
        <v>46099</v>
      </c>
      <c r="B573" s="3" t="s">
        <v>93</v>
      </c>
      <c r="C573" s="6">
        <v>50.109699999999997</v>
      </c>
    </row>
    <row r="574" spans="1:4" x14ac:dyDescent="0.25">
      <c r="A574" s="1">
        <v>46099</v>
      </c>
      <c r="B574" s="3" t="s">
        <v>94</v>
      </c>
      <c r="C574" s="6">
        <v>47.971699999999998</v>
      </c>
    </row>
    <row r="575" spans="1:4" x14ac:dyDescent="0.25">
      <c r="A575" s="1">
        <v>46099</v>
      </c>
      <c r="B575" s="3" t="s">
        <v>95</v>
      </c>
      <c r="C575" s="6">
        <v>44.997700000000002</v>
      </c>
      <c r="D575" s="6"/>
    </row>
    <row r="576" spans="1:4" x14ac:dyDescent="0.25">
      <c r="A576" s="1">
        <v>46105</v>
      </c>
      <c r="B576" s="3" t="s">
        <v>86</v>
      </c>
      <c r="C576" s="6">
        <v>50.383000000000003</v>
      </c>
      <c r="D576" s="6"/>
    </row>
    <row r="577" spans="1:4" x14ac:dyDescent="0.25">
      <c r="A577" s="1">
        <v>46105</v>
      </c>
      <c r="B577" s="3" t="s">
        <v>87</v>
      </c>
      <c r="C577" s="6">
        <v>48.871499999999997</v>
      </c>
      <c r="D577" s="6"/>
    </row>
    <row r="578" spans="1:4" x14ac:dyDescent="0.25">
      <c r="A578" s="1">
        <v>46105</v>
      </c>
      <c r="B578" s="3" t="s">
        <v>88</v>
      </c>
      <c r="C578" s="6">
        <v>48.213999999999999</v>
      </c>
      <c r="D578" s="6"/>
    </row>
    <row r="579" spans="1:4" x14ac:dyDescent="0.25">
      <c r="A579" s="1">
        <v>46105</v>
      </c>
      <c r="B579" s="3" t="s">
        <v>89</v>
      </c>
      <c r="C579" s="6">
        <v>46.9495</v>
      </c>
      <c r="D579" s="6"/>
    </row>
    <row r="580" spans="1:4" x14ac:dyDescent="0.25">
      <c r="A580" s="1">
        <v>46105</v>
      </c>
      <c r="B580" s="3" t="s">
        <v>90</v>
      </c>
      <c r="C580" s="6">
        <v>44.881300000000003</v>
      </c>
      <c r="D580" s="6"/>
    </row>
    <row r="581" spans="1:4" x14ac:dyDescent="0.25">
      <c r="A581" s="1">
        <v>46105</v>
      </c>
      <c r="B581" s="3" t="s">
        <v>91</v>
      </c>
      <c r="C581" s="6">
        <v>54.407800000000002</v>
      </c>
      <c r="D581" s="6"/>
    </row>
    <row r="582" spans="1:4" x14ac:dyDescent="0.25">
      <c r="A582" s="1">
        <v>46105</v>
      </c>
      <c r="B582" s="3" t="s">
        <v>92</v>
      </c>
      <c r="C582" s="6">
        <v>51.381399999999999</v>
      </c>
      <c r="D582" s="6"/>
    </row>
    <row r="583" spans="1:4" x14ac:dyDescent="0.25">
      <c r="A583" s="1">
        <v>46105</v>
      </c>
      <c r="B583" s="3" t="s">
        <v>93</v>
      </c>
      <c r="C583" s="6">
        <v>50.109900000000003</v>
      </c>
      <c r="D583" s="6"/>
    </row>
    <row r="584" spans="1:4" x14ac:dyDescent="0.25">
      <c r="A584" s="1">
        <v>46105</v>
      </c>
      <c r="B584" s="3" t="s">
        <v>94</v>
      </c>
      <c r="C584" s="6">
        <v>47.971800000000002</v>
      </c>
      <c r="D584" s="6"/>
    </row>
    <row r="585" spans="1:4" x14ac:dyDescent="0.25">
      <c r="A585" s="1">
        <v>46105</v>
      </c>
      <c r="B585" s="3" t="s">
        <v>95</v>
      </c>
      <c r="C585" s="6">
        <v>44.997799999999998</v>
      </c>
    </row>
    <row r="586" spans="1:4" x14ac:dyDescent="0.25">
      <c r="A586" s="1">
        <v>46106</v>
      </c>
      <c r="B586" s="6" t="s">
        <v>9</v>
      </c>
      <c r="C586" s="6">
        <v>69.676199999999994</v>
      </c>
    </row>
    <row r="587" spans="1:4" x14ac:dyDescent="0.25">
      <c r="A587" s="1">
        <v>46106</v>
      </c>
      <c r="B587" s="6" t="s">
        <v>10</v>
      </c>
      <c r="C587" s="6">
        <v>69.657799999999995</v>
      </c>
    </row>
    <row r="588" spans="1:4" x14ac:dyDescent="0.25">
      <c r="A588" s="1">
        <v>46106</v>
      </c>
      <c r="B588" s="3" t="s">
        <v>11</v>
      </c>
      <c r="C588" s="6">
        <v>70.013499999999993</v>
      </c>
    </row>
    <row r="589" spans="1:4" x14ac:dyDescent="0.25">
      <c r="A589" s="1">
        <v>46106</v>
      </c>
      <c r="B589" s="3" t="s">
        <v>12</v>
      </c>
      <c r="C589" s="6">
        <v>73.929699999999997</v>
      </c>
    </row>
    <row r="590" spans="1:4" x14ac:dyDescent="0.25">
      <c r="A590" s="1">
        <v>46106</v>
      </c>
      <c r="B590" s="3" t="s">
        <v>13</v>
      </c>
      <c r="C590" s="6">
        <v>73.955299999999994</v>
      </c>
      <c r="D590" s="6"/>
    </row>
    <row r="591" spans="1:4" x14ac:dyDescent="0.25">
      <c r="A591" s="1">
        <v>46107</v>
      </c>
      <c r="B591" s="3" t="s">
        <v>86</v>
      </c>
      <c r="C591" s="6">
        <v>50.383299999999998</v>
      </c>
      <c r="D591" s="6"/>
    </row>
    <row r="592" spans="1:4" x14ac:dyDescent="0.25">
      <c r="A592" s="1">
        <v>46107</v>
      </c>
      <c r="B592" s="3" t="s">
        <v>87</v>
      </c>
      <c r="C592" s="6">
        <v>48.872199999999999</v>
      </c>
      <c r="D592" s="6"/>
    </row>
    <row r="593" spans="1:4" x14ac:dyDescent="0.25">
      <c r="A593" s="1">
        <v>46107</v>
      </c>
      <c r="B593" s="3" t="s">
        <v>88</v>
      </c>
      <c r="C593" s="6">
        <v>48.214399999999998</v>
      </c>
      <c r="D593" s="6"/>
    </row>
    <row r="594" spans="1:4" x14ac:dyDescent="0.25">
      <c r="A594" s="1">
        <v>46107</v>
      </c>
      <c r="B594" s="3" t="s">
        <v>89</v>
      </c>
      <c r="C594" s="6">
        <v>46.9497</v>
      </c>
      <c r="D594" s="6"/>
    </row>
    <row r="595" spans="1:4" x14ac:dyDescent="0.25">
      <c r="A595" s="1">
        <v>46107</v>
      </c>
      <c r="B595" s="3" t="s">
        <v>90</v>
      </c>
      <c r="C595" s="6">
        <v>44.881300000000003</v>
      </c>
      <c r="D595" s="6"/>
    </row>
    <row r="596" spans="1:4" x14ac:dyDescent="0.25">
      <c r="A596" s="1">
        <v>46107</v>
      </c>
      <c r="B596" s="3" t="s">
        <v>91</v>
      </c>
      <c r="C596" s="6">
        <v>54.407499999999999</v>
      </c>
      <c r="D596" s="6"/>
    </row>
    <row r="597" spans="1:4" x14ac:dyDescent="0.25">
      <c r="A597" s="1">
        <v>46107</v>
      </c>
      <c r="B597" s="3" t="s">
        <v>92</v>
      </c>
      <c r="C597" s="6">
        <v>51.381799999999998</v>
      </c>
      <c r="D597" s="6"/>
    </row>
    <row r="598" spans="1:4" x14ac:dyDescent="0.25">
      <c r="A598" s="1">
        <v>46107</v>
      </c>
      <c r="B598" s="3" t="s">
        <v>93</v>
      </c>
      <c r="C598" s="6">
        <v>50.110300000000002</v>
      </c>
      <c r="D598" s="6"/>
    </row>
    <row r="599" spans="1:4" x14ac:dyDescent="0.25">
      <c r="A599" s="1">
        <v>46107</v>
      </c>
      <c r="B599" s="3" t="s">
        <v>94</v>
      </c>
      <c r="C599" s="6">
        <v>47.972099999999998</v>
      </c>
      <c r="D599" s="6"/>
    </row>
    <row r="600" spans="1:4" x14ac:dyDescent="0.25">
      <c r="A600" s="1">
        <v>46107</v>
      </c>
      <c r="B600" s="3" t="s">
        <v>95</v>
      </c>
      <c r="C600" s="6">
        <v>44.998100000000001</v>
      </c>
      <c r="D600" s="6"/>
    </row>
    <row r="601" spans="1:4" x14ac:dyDescent="0.25">
      <c r="A601" s="1">
        <v>46108</v>
      </c>
      <c r="B601" s="3" t="s">
        <v>9</v>
      </c>
      <c r="C601" s="3">
        <v>69.676100000000005</v>
      </c>
      <c r="D601" s="6"/>
    </row>
    <row r="602" spans="1:4" x14ac:dyDescent="0.25">
      <c r="A602" s="1">
        <v>46108</v>
      </c>
      <c r="B602" s="3" t="s">
        <v>10</v>
      </c>
      <c r="C602" s="3">
        <v>69.657399999999996</v>
      </c>
      <c r="D602" s="6"/>
    </row>
    <row r="603" spans="1:4" x14ac:dyDescent="0.25">
      <c r="A603" s="1">
        <v>46108</v>
      </c>
      <c r="B603" s="3" t="s">
        <v>11</v>
      </c>
      <c r="C603" s="3">
        <v>70.013300000000001</v>
      </c>
      <c r="D603" s="6"/>
    </row>
    <row r="604" spans="1:4" x14ac:dyDescent="0.25">
      <c r="A604" s="1">
        <v>46108</v>
      </c>
      <c r="B604" s="3" t="s">
        <v>12</v>
      </c>
      <c r="C604" s="3">
        <v>73.929900000000004</v>
      </c>
      <c r="D604" s="6"/>
    </row>
    <row r="605" spans="1:4" x14ac:dyDescent="0.25">
      <c r="A605" s="1">
        <v>46108</v>
      </c>
      <c r="B605" s="3" t="s">
        <v>13</v>
      </c>
      <c r="C605" s="3">
        <v>73.955600000000004</v>
      </c>
    </row>
    <row r="606" spans="1:4" x14ac:dyDescent="0.25">
      <c r="A606" s="1">
        <v>46111</v>
      </c>
      <c r="B606" s="3" t="s">
        <v>86</v>
      </c>
      <c r="C606" s="3">
        <v>50.383800000000001</v>
      </c>
    </row>
    <row r="607" spans="1:4" x14ac:dyDescent="0.25">
      <c r="A607" s="1">
        <v>46111</v>
      </c>
      <c r="B607" s="3" t="s">
        <v>87</v>
      </c>
      <c r="C607" s="3">
        <v>48.872399999999999</v>
      </c>
    </row>
    <row r="608" spans="1:4" x14ac:dyDescent="0.25">
      <c r="A608" s="1">
        <v>46111</v>
      </c>
      <c r="B608" s="3" t="s">
        <v>88</v>
      </c>
      <c r="C608" s="3">
        <v>48.214500000000001</v>
      </c>
    </row>
    <row r="609" spans="1:3" x14ac:dyDescent="0.25">
      <c r="A609" s="1">
        <v>46111</v>
      </c>
      <c r="B609" s="3" t="s">
        <v>89</v>
      </c>
      <c r="C609" s="3">
        <v>46.949599999999997</v>
      </c>
    </row>
    <row r="610" spans="1:3" x14ac:dyDescent="0.25">
      <c r="A610" s="1">
        <v>46111</v>
      </c>
      <c r="B610" s="3" t="s">
        <v>90</v>
      </c>
      <c r="C610" s="3">
        <v>44.881300000000003</v>
      </c>
    </row>
    <row r="611" spans="1:3" x14ac:dyDescent="0.25">
      <c r="A611" s="1">
        <v>46111</v>
      </c>
      <c r="B611" s="3" t="s">
        <v>91</v>
      </c>
      <c r="C611" s="3">
        <v>54.408000000000001</v>
      </c>
    </row>
    <row r="612" spans="1:3" x14ac:dyDescent="0.25">
      <c r="A612" s="1">
        <v>46111</v>
      </c>
      <c r="B612" s="3" t="s">
        <v>92</v>
      </c>
      <c r="C612" s="3">
        <v>51.381700000000002</v>
      </c>
    </row>
    <row r="613" spans="1:3" x14ac:dyDescent="0.25">
      <c r="A613" s="1">
        <v>46111</v>
      </c>
      <c r="B613" s="3" t="s">
        <v>93</v>
      </c>
      <c r="C613" s="3">
        <v>50.1098</v>
      </c>
    </row>
    <row r="614" spans="1:3" x14ac:dyDescent="0.25">
      <c r="A614" s="1">
        <v>46111</v>
      </c>
      <c r="B614" s="3" t="s">
        <v>94</v>
      </c>
      <c r="C614" s="3">
        <v>47.971899999999998</v>
      </c>
    </row>
    <row r="615" spans="1:3" x14ac:dyDescent="0.25">
      <c r="A615" s="1">
        <v>46111</v>
      </c>
      <c r="B615" s="3" t="s">
        <v>95</v>
      </c>
      <c r="C615" s="3">
        <v>44.997900000000001</v>
      </c>
    </row>
    <row r="616" spans="1:3" x14ac:dyDescent="0.25">
      <c r="A616" s="1">
        <v>46112</v>
      </c>
      <c r="B616" s="3" t="s">
        <v>9</v>
      </c>
      <c r="C616" s="3">
        <v>69.676199999999994</v>
      </c>
    </row>
    <row r="617" spans="1:3" x14ac:dyDescent="0.25">
      <c r="A617" s="1">
        <v>46112</v>
      </c>
      <c r="B617" s="3" t="s">
        <v>10</v>
      </c>
      <c r="C617" s="3">
        <v>69.657499999999999</v>
      </c>
    </row>
    <row r="618" spans="1:3" x14ac:dyDescent="0.25">
      <c r="A618" s="1">
        <v>46112</v>
      </c>
      <c r="B618" s="3" t="s">
        <v>11</v>
      </c>
      <c r="C618" s="3">
        <v>70.013400000000004</v>
      </c>
    </row>
    <row r="619" spans="1:3" x14ac:dyDescent="0.25">
      <c r="A619" s="1">
        <v>46112</v>
      </c>
      <c r="B619" s="3" t="s">
        <v>12</v>
      </c>
      <c r="C619" s="3">
        <v>73.930300000000003</v>
      </c>
    </row>
    <row r="620" spans="1:3" x14ac:dyDescent="0.25">
      <c r="A620" s="1">
        <v>46112</v>
      </c>
      <c r="B620" s="3" t="s">
        <v>13</v>
      </c>
      <c r="C620" s="3">
        <v>73.9559</v>
      </c>
    </row>
    <row r="621" spans="1:3" x14ac:dyDescent="0.25">
      <c r="A621" s="1">
        <v>46113</v>
      </c>
      <c r="B621" s="3" t="s">
        <v>9</v>
      </c>
      <c r="C621" s="3">
        <v>69.676199999999994</v>
      </c>
    </row>
    <row r="622" spans="1:3" x14ac:dyDescent="0.25">
      <c r="A622" s="1">
        <v>46113</v>
      </c>
      <c r="B622" s="3" t="s">
        <v>10</v>
      </c>
      <c r="C622" s="3">
        <v>69.657300000000006</v>
      </c>
    </row>
    <row r="623" spans="1:3" x14ac:dyDescent="0.25">
      <c r="A623" s="1">
        <v>46113</v>
      </c>
      <c r="B623" s="3" t="s">
        <v>11</v>
      </c>
      <c r="C623" s="3">
        <v>70.013099999999994</v>
      </c>
    </row>
    <row r="624" spans="1:3" x14ac:dyDescent="0.25">
      <c r="A624" s="1">
        <v>46113</v>
      </c>
      <c r="B624" s="3" t="s">
        <v>12</v>
      </c>
      <c r="C624" s="3">
        <v>73.930099999999996</v>
      </c>
    </row>
    <row r="625" spans="1:4" x14ac:dyDescent="0.25">
      <c r="A625" s="1">
        <v>46113</v>
      </c>
      <c r="B625" s="3" t="s">
        <v>13</v>
      </c>
      <c r="C625" s="3">
        <v>73.956000000000003</v>
      </c>
    </row>
    <row r="626" spans="1:4" x14ac:dyDescent="0.25">
      <c r="A626" s="1">
        <v>46113</v>
      </c>
      <c r="B626" s="3" t="s">
        <v>89</v>
      </c>
      <c r="C626" s="3">
        <v>46.949800000000003</v>
      </c>
    </row>
    <row r="627" spans="1:4" x14ac:dyDescent="0.25">
      <c r="A627" s="1">
        <v>46113</v>
      </c>
      <c r="B627" s="3" t="s">
        <v>90</v>
      </c>
      <c r="C627" s="3">
        <v>44.881100000000004</v>
      </c>
      <c r="D627" s="6"/>
    </row>
    <row r="628" spans="1:4" x14ac:dyDescent="0.25">
      <c r="A628" s="1">
        <v>46113</v>
      </c>
      <c r="B628" s="3" t="s">
        <v>91</v>
      </c>
      <c r="C628" s="3">
        <v>54.408200000000001</v>
      </c>
      <c r="D628" s="6"/>
    </row>
    <row r="629" spans="1:4" x14ac:dyDescent="0.25">
      <c r="A629" s="1">
        <v>46113</v>
      </c>
      <c r="B629" s="3" t="s">
        <v>92</v>
      </c>
      <c r="C629" s="3">
        <v>51.381300000000003</v>
      </c>
      <c r="D629" s="6"/>
    </row>
    <row r="630" spans="1:4" x14ac:dyDescent="0.25">
      <c r="A630" s="1">
        <v>46113</v>
      </c>
      <c r="B630" s="3" t="s">
        <v>93</v>
      </c>
      <c r="C630" s="3">
        <v>50.1098</v>
      </c>
      <c r="D630" s="6"/>
    </row>
    <row r="631" spans="1:4" x14ac:dyDescent="0.25">
      <c r="A631" s="1">
        <v>46113</v>
      </c>
      <c r="B631" s="3" t="s">
        <v>94</v>
      </c>
      <c r="C631" s="3">
        <v>47.9726</v>
      </c>
      <c r="D631" s="6"/>
    </row>
    <row r="632" spans="1:4" x14ac:dyDescent="0.25">
      <c r="A632" s="1">
        <v>46113</v>
      </c>
      <c r="B632" s="3" t="s">
        <v>95</v>
      </c>
      <c r="C632" s="3">
        <v>44.997799999999998</v>
      </c>
    </row>
    <row r="633" spans="1:4" x14ac:dyDescent="0.25">
      <c r="A633" s="1">
        <v>46118</v>
      </c>
      <c r="B633" s="3" t="s">
        <v>9</v>
      </c>
      <c r="C633" s="3">
        <v>69.676000000000002</v>
      </c>
    </row>
    <row r="634" spans="1:4" x14ac:dyDescent="0.25">
      <c r="A634" s="1">
        <v>46118</v>
      </c>
      <c r="B634" s="3" t="s">
        <v>10</v>
      </c>
      <c r="C634" s="3">
        <v>69.657200000000003</v>
      </c>
    </row>
    <row r="635" spans="1:4" x14ac:dyDescent="0.25">
      <c r="A635" s="1">
        <v>46118</v>
      </c>
      <c r="B635" s="3" t="s">
        <v>11</v>
      </c>
      <c r="C635" s="3">
        <v>70.012900000000002</v>
      </c>
    </row>
    <row r="636" spans="1:4" x14ac:dyDescent="0.25">
      <c r="A636" s="1">
        <v>46118</v>
      </c>
      <c r="B636" s="3" t="s">
        <v>12</v>
      </c>
      <c r="C636" s="3">
        <v>73.930000000000007</v>
      </c>
    </row>
    <row r="637" spans="1:4" x14ac:dyDescent="0.25">
      <c r="A637" s="1">
        <v>46118</v>
      </c>
      <c r="B637" s="3" t="s">
        <v>13</v>
      </c>
      <c r="C637" s="3">
        <v>73.956199999999995</v>
      </c>
    </row>
    <row r="638" spans="1:4" x14ac:dyDescent="0.25">
      <c r="A638" s="1">
        <v>46118</v>
      </c>
      <c r="B638" s="3" t="s">
        <v>86</v>
      </c>
      <c r="C638" s="3">
        <v>50.383700000000005</v>
      </c>
    </row>
    <row r="639" spans="1:4" x14ac:dyDescent="0.25">
      <c r="A639" s="1">
        <v>46118</v>
      </c>
      <c r="B639" s="3" t="s">
        <v>87</v>
      </c>
      <c r="C639" s="3">
        <v>48.872500000000002</v>
      </c>
    </row>
    <row r="640" spans="1:4" x14ac:dyDescent="0.25">
      <c r="A640" s="1">
        <v>46118</v>
      </c>
      <c r="B640" s="3" t="s">
        <v>88</v>
      </c>
      <c r="C640" s="3">
        <v>48.214500000000001</v>
      </c>
    </row>
    <row r="641" spans="1:3" x14ac:dyDescent="0.25">
      <c r="A641" s="1">
        <v>46118</v>
      </c>
      <c r="B641" s="3" t="s">
        <v>89</v>
      </c>
      <c r="C641" s="3">
        <v>46.9497</v>
      </c>
    </row>
    <row r="642" spans="1:3" x14ac:dyDescent="0.25">
      <c r="A642" s="1">
        <v>46118</v>
      </c>
      <c r="B642" s="3" t="s">
        <v>90</v>
      </c>
      <c r="C642" s="3">
        <v>44.880899999999997</v>
      </c>
    </row>
    <row r="643" spans="1:3" x14ac:dyDescent="0.25">
      <c r="A643" s="1">
        <v>46118</v>
      </c>
      <c r="B643" s="3" t="s">
        <v>91</v>
      </c>
      <c r="C643" s="3">
        <v>54.408000000000001</v>
      </c>
    </row>
    <row r="644" spans="1:3" x14ac:dyDescent="0.25">
      <c r="A644" s="1">
        <v>46118</v>
      </c>
      <c r="B644" s="3" t="s">
        <v>92</v>
      </c>
      <c r="C644" s="3">
        <v>51.381500000000003</v>
      </c>
    </row>
    <row r="645" spans="1:3" x14ac:dyDescent="0.25">
      <c r="A645" s="1">
        <v>46118</v>
      </c>
      <c r="B645" s="3" t="s">
        <v>93</v>
      </c>
      <c r="C645" s="3">
        <v>50.109900000000003</v>
      </c>
    </row>
    <row r="646" spans="1:3" x14ac:dyDescent="0.25">
      <c r="A646" s="1">
        <v>46118</v>
      </c>
      <c r="B646" s="3" t="s">
        <v>94</v>
      </c>
      <c r="C646" s="3">
        <v>47.972200000000001</v>
      </c>
    </row>
    <row r="647" spans="1:3" x14ac:dyDescent="0.25">
      <c r="A647" s="1">
        <v>46118</v>
      </c>
      <c r="B647" s="3" t="s">
        <v>95</v>
      </c>
      <c r="C647" s="3">
        <v>44.997700000000002</v>
      </c>
    </row>
    <row r="648" spans="1:3" x14ac:dyDescent="0.25">
      <c r="A648" s="1">
        <v>46121</v>
      </c>
      <c r="B648" s="3" t="s">
        <v>9</v>
      </c>
      <c r="C648" s="3">
        <v>69.676100000000005</v>
      </c>
    </row>
    <row r="649" spans="1:3" x14ac:dyDescent="0.25">
      <c r="A649" s="1">
        <v>46121</v>
      </c>
      <c r="B649" s="3" t="s">
        <v>10</v>
      </c>
      <c r="C649" s="3">
        <v>69.657700000000006</v>
      </c>
    </row>
    <row r="650" spans="1:3" x14ac:dyDescent="0.25">
      <c r="A650" s="1">
        <v>46121</v>
      </c>
      <c r="B650" s="3" t="s">
        <v>11</v>
      </c>
      <c r="C650" s="3">
        <v>70.0137</v>
      </c>
    </row>
    <row r="651" spans="1:3" x14ac:dyDescent="0.25">
      <c r="A651" s="1">
        <v>46121</v>
      </c>
      <c r="B651" s="3" t="s">
        <v>12</v>
      </c>
      <c r="C651" s="3">
        <v>73.930400000000006</v>
      </c>
    </row>
    <row r="652" spans="1:3" x14ac:dyDescent="0.25">
      <c r="A652" s="1">
        <v>46121</v>
      </c>
      <c r="B652" s="3" t="s">
        <v>13</v>
      </c>
      <c r="C652" s="3">
        <v>73.954700000000003</v>
      </c>
    </row>
    <row r="653" spans="1:3" x14ac:dyDescent="0.25">
      <c r="A653" s="1">
        <v>46121</v>
      </c>
      <c r="B653" s="3" t="s">
        <v>86</v>
      </c>
      <c r="C653" s="3">
        <v>50.382800000000003</v>
      </c>
    </row>
    <row r="654" spans="1:3" x14ac:dyDescent="0.25">
      <c r="A654" s="1">
        <v>46121</v>
      </c>
      <c r="B654" s="3" t="s">
        <v>87</v>
      </c>
      <c r="C654" s="3">
        <v>48.871600000000001</v>
      </c>
    </row>
    <row r="655" spans="1:3" x14ac:dyDescent="0.25">
      <c r="A655" s="1">
        <v>46121</v>
      </c>
      <c r="B655" s="3" t="s">
        <v>88</v>
      </c>
      <c r="C655" s="3">
        <v>48.213799999999999</v>
      </c>
    </row>
    <row r="656" spans="1:3" x14ac:dyDescent="0.25">
      <c r="A656" s="1">
        <v>46121</v>
      </c>
      <c r="B656" s="3" t="s">
        <v>89</v>
      </c>
      <c r="C656" s="3">
        <v>46.949199999999998</v>
      </c>
    </row>
    <row r="657" spans="1:4" x14ac:dyDescent="0.25">
      <c r="A657" s="1">
        <v>46121</v>
      </c>
      <c r="B657" s="3" t="s">
        <v>90</v>
      </c>
      <c r="C657" s="3">
        <v>44.8812</v>
      </c>
    </row>
    <row r="658" spans="1:4" x14ac:dyDescent="0.25">
      <c r="A658" s="1">
        <v>46121</v>
      </c>
      <c r="B658" s="3" t="s">
        <v>91</v>
      </c>
      <c r="C658" s="3">
        <v>54.407400000000003</v>
      </c>
    </row>
    <row r="659" spans="1:4" x14ac:dyDescent="0.25">
      <c r="A659" s="1">
        <v>46121</v>
      </c>
      <c r="B659" s="3" t="s">
        <v>92</v>
      </c>
      <c r="C659" s="3">
        <v>51.3812</v>
      </c>
    </row>
    <row r="660" spans="1:4" x14ac:dyDescent="0.25">
      <c r="A660" s="1">
        <v>46121</v>
      </c>
      <c r="B660" s="3" t="s">
        <v>93</v>
      </c>
      <c r="C660" s="3">
        <v>50.109000000000002</v>
      </c>
    </row>
    <row r="661" spans="1:4" x14ac:dyDescent="0.25">
      <c r="A661" s="1">
        <v>46121</v>
      </c>
      <c r="B661" s="3" t="s">
        <v>94</v>
      </c>
      <c r="C661" s="3">
        <v>47.971400000000003</v>
      </c>
    </row>
    <row r="662" spans="1:4" x14ac:dyDescent="0.25">
      <c r="A662" s="1">
        <v>46121</v>
      </c>
      <c r="B662" s="3" t="s">
        <v>95</v>
      </c>
      <c r="C662" s="3">
        <v>44.997599999999998</v>
      </c>
      <c r="D662" s="6"/>
    </row>
    <row r="663" spans="1:4" x14ac:dyDescent="0.25">
      <c r="A663" s="1">
        <v>46125</v>
      </c>
      <c r="B663" s="7" t="s">
        <v>9</v>
      </c>
      <c r="C663" s="8">
        <v>69.676199999999994</v>
      </c>
      <c r="D663" s="6"/>
    </row>
    <row r="664" spans="1:4" x14ac:dyDescent="0.25">
      <c r="A664" s="1">
        <v>46125</v>
      </c>
      <c r="B664" s="3" t="s">
        <v>10</v>
      </c>
      <c r="C664" s="3">
        <v>69.657399999999996</v>
      </c>
      <c r="D664" s="6"/>
    </row>
    <row r="665" spans="1:4" x14ac:dyDescent="0.25">
      <c r="A665" s="1">
        <v>46125</v>
      </c>
      <c r="B665" s="3" t="s">
        <v>11</v>
      </c>
      <c r="C665" s="3">
        <v>70.013300000000001</v>
      </c>
      <c r="D665" s="6"/>
    </row>
    <row r="666" spans="1:4" x14ac:dyDescent="0.25">
      <c r="A666" s="1">
        <v>46125</v>
      </c>
      <c r="B666" s="3" t="s">
        <v>12</v>
      </c>
      <c r="C666" s="3">
        <v>73.930300000000003</v>
      </c>
      <c r="D666" s="6"/>
    </row>
    <row r="667" spans="1:4" x14ac:dyDescent="0.25">
      <c r="A667" s="1">
        <v>46125</v>
      </c>
      <c r="B667" s="7" t="s">
        <v>13</v>
      </c>
      <c r="C667" s="8">
        <v>73.954599999999999</v>
      </c>
    </row>
    <row r="668" spans="1:4" x14ac:dyDescent="0.25">
      <c r="A668" s="1">
        <v>46125</v>
      </c>
      <c r="B668" s="3" t="s">
        <v>86</v>
      </c>
      <c r="C668" s="3">
        <v>50.383000000000003</v>
      </c>
    </row>
    <row r="669" spans="1:4" x14ac:dyDescent="0.25">
      <c r="A669" s="1">
        <v>46125</v>
      </c>
      <c r="B669" s="3" t="s">
        <v>87</v>
      </c>
      <c r="C669" s="3">
        <v>48.8718</v>
      </c>
    </row>
    <row r="670" spans="1:4" x14ac:dyDescent="0.25">
      <c r="A670" s="1">
        <v>46125</v>
      </c>
      <c r="B670" s="3" t="s">
        <v>88</v>
      </c>
      <c r="C670" s="3">
        <v>48.213999999999999</v>
      </c>
    </row>
    <row r="671" spans="1:4" x14ac:dyDescent="0.25">
      <c r="A671" s="1">
        <v>46125</v>
      </c>
      <c r="B671" s="3" t="s">
        <v>89</v>
      </c>
      <c r="C671" s="3">
        <v>46.949399999999997</v>
      </c>
    </row>
    <row r="672" spans="1:4" x14ac:dyDescent="0.25">
      <c r="A672" s="1">
        <v>46125</v>
      </c>
      <c r="B672" s="3" t="s">
        <v>90</v>
      </c>
      <c r="C672" s="3">
        <v>44.881300000000003</v>
      </c>
    </row>
    <row r="673" spans="1:4" x14ac:dyDescent="0.25">
      <c r="A673" s="1">
        <v>46125</v>
      </c>
      <c r="B673" s="3" t="s">
        <v>91</v>
      </c>
      <c r="C673" s="3">
        <v>54.407800000000002</v>
      </c>
    </row>
    <row r="674" spans="1:4" x14ac:dyDescent="0.25">
      <c r="A674" s="1">
        <v>46125</v>
      </c>
      <c r="B674" s="3" t="s">
        <v>92</v>
      </c>
      <c r="C674" s="3">
        <v>51.381599999999999</v>
      </c>
    </row>
    <row r="675" spans="1:4" x14ac:dyDescent="0.25">
      <c r="A675" s="1">
        <v>46125</v>
      </c>
      <c r="B675" s="3" t="s">
        <v>93</v>
      </c>
      <c r="C675" s="3">
        <v>50.109400000000001</v>
      </c>
    </row>
    <row r="676" spans="1:4" x14ac:dyDescent="0.25">
      <c r="A676" s="1">
        <v>46125</v>
      </c>
      <c r="B676" s="3" t="s">
        <v>94</v>
      </c>
      <c r="C676" s="3">
        <v>47.971699999999998</v>
      </c>
    </row>
    <row r="677" spans="1:4" x14ac:dyDescent="0.25">
      <c r="A677" s="1">
        <v>46125</v>
      </c>
      <c r="B677" s="3" t="s">
        <v>95</v>
      </c>
      <c r="C677" s="3">
        <v>44.997999999999998</v>
      </c>
      <c r="D677" s="6"/>
    </row>
    <row r="678" spans="1:4" x14ac:dyDescent="0.25">
      <c r="A678" s="1">
        <v>46126</v>
      </c>
      <c r="B678" s="3" t="s">
        <v>86</v>
      </c>
      <c r="C678" s="3">
        <v>50.382899999999999</v>
      </c>
      <c r="D678" s="6"/>
    </row>
    <row r="679" spans="1:4" x14ac:dyDescent="0.25">
      <c r="A679" s="1">
        <v>46126</v>
      </c>
      <c r="B679" s="3" t="s">
        <v>87</v>
      </c>
      <c r="C679" s="3">
        <v>48.871600000000001</v>
      </c>
      <c r="D679" s="6"/>
    </row>
    <row r="680" spans="1:4" x14ac:dyDescent="0.25">
      <c r="A680" s="1">
        <v>46126</v>
      </c>
      <c r="B680" s="3" t="s">
        <v>88</v>
      </c>
      <c r="C680" s="3">
        <v>48.213900000000002</v>
      </c>
      <c r="D680" s="6"/>
    </row>
    <row r="681" spans="1:4" x14ac:dyDescent="0.25">
      <c r="A681" s="1">
        <v>46126</v>
      </c>
      <c r="B681" s="3" t="s">
        <v>89</v>
      </c>
      <c r="C681" s="3">
        <v>46.949399999999997</v>
      </c>
      <c r="D681" s="6"/>
    </row>
    <row r="682" spans="1:4" x14ac:dyDescent="0.25">
      <c r="A682" s="1">
        <v>46126</v>
      </c>
      <c r="B682" s="3" t="s">
        <v>90</v>
      </c>
      <c r="C682" s="3">
        <v>44.881599999999999</v>
      </c>
      <c r="D682" s="6"/>
    </row>
    <row r="683" spans="1:4" x14ac:dyDescent="0.25">
      <c r="A683" s="1">
        <v>46126</v>
      </c>
      <c r="B683" s="3" t="s">
        <v>91</v>
      </c>
      <c r="C683" s="3">
        <v>54.4071</v>
      </c>
      <c r="D683" s="6"/>
    </row>
    <row r="684" spans="1:4" x14ac:dyDescent="0.25">
      <c r="A684" s="1">
        <v>46126</v>
      </c>
      <c r="B684" s="3" t="s">
        <v>92</v>
      </c>
      <c r="C684" s="3">
        <v>51.380699999999997</v>
      </c>
      <c r="D684" s="6"/>
    </row>
    <row r="685" spans="1:4" x14ac:dyDescent="0.25">
      <c r="A685" s="1">
        <v>46126</v>
      </c>
      <c r="B685" s="3" t="s">
        <v>93</v>
      </c>
      <c r="C685" s="3">
        <v>50.109499999999997</v>
      </c>
      <c r="D685" s="6"/>
    </row>
    <row r="686" spans="1:4" x14ac:dyDescent="0.25">
      <c r="A686" s="1">
        <v>46126</v>
      </c>
      <c r="B686" s="3" t="s">
        <v>94</v>
      </c>
      <c r="C686" s="3">
        <v>47.971499999999999</v>
      </c>
      <c r="D686" s="6"/>
    </row>
    <row r="687" spans="1:4" x14ac:dyDescent="0.25">
      <c r="A687" s="1">
        <v>46126</v>
      </c>
      <c r="B687" s="3" t="s">
        <v>95</v>
      </c>
      <c r="C687" s="3">
        <v>44.997799999999998</v>
      </c>
    </row>
    <row r="688" spans="1:4" x14ac:dyDescent="0.25">
      <c r="A688" s="1">
        <v>46127</v>
      </c>
      <c r="B688" s="3" t="s">
        <v>3</v>
      </c>
      <c r="C688" s="3">
        <v>78.542500000000004</v>
      </c>
    </row>
    <row r="689" spans="1:4" x14ac:dyDescent="0.25">
      <c r="A689" s="1">
        <v>46127</v>
      </c>
      <c r="B689" s="3" t="s">
        <v>4</v>
      </c>
      <c r="C689" s="3">
        <v>72.806200000000004</v>
      </c>
    </row>
    <row r="690" spans="1:4" x14ac:dyDescent="0.25">
      <c r="A690" s="1">
        <v>46127</v>
      </c>
      <c r="B690" s="3" t="s">
        <v>5</v>
      </c>
      <c r="C690" s="3">
        <v>72.265900000000002</v>
      </c>
    </row>
    <row r="691" spans="1:4" x14ac:dyDescent="0.25">
      <c r="A691" s="1">
        <v>46127</v>
      </c>
      <c r="B691" s="3" t="s">
        <v>6</v>
      </c>
      <c r="C691" s="3">
        <v>70.912999999999997</v>
      </c>
    </row>
    <row r="692" spans="1:4" x14ac:dyDescent="0.25">
      <c r="A692" s="1">
        <v>46127</v>
      </c>
      <c r="B692" s="3" t="s">
        <v>7</v>
      </c>
      <c r="C692" s="3">
        <v>70.273200000000003</v>
      </c>
    </row>
    <row r="693" spans="1:4" x14ac:dyDescent="0.25">
      <c r="A693" s="1">
        <v>46127</v>
      </c>
      <c r="B693" s="3" t="s">
        <v>8</v>
      </c>
      <c r="C693" s="3">
        <v>66.594099999999997</v>
      </c>
    </row>
    <row r="694" spans="1:4" x14ac:dyDescent="0.25">
      <c r="A694" s="1">
        <v>46127</v>
      </c>
      <c r="B694" s="3" t="s">
        <v>86</v>
      </c>
      <c r="C694" s="3">
        <v>50.382800000000003</v>
      </c>
    </row>
    <row r="695" spans="1:4" x14ac:dyDescent="0.25">
      <c r="A695" s="1">
        <v>46127</v>
      </c>
      <c r="B695" s="3" t="s">
        <v>87</v>
      </c>
      <c r="C695" s="3">
        <v>48.871499999999997</v>
      </c>
    </row>
    <row r="696" spans="1:4" x14ac:dyDescent="0.25">
      <c r="A696" s="1">
        <v>46127</v>
      </c>
      <c r="B696" s="3" t="s">
        <v>88</v>
      </c>
      <c r="C696" s="3">
        <v>48.213900000000002</v>
      </c>
    </row>
    <row r="697" spans="1:4" x14ac:dyDescent="0.25">
      <c r="A697" s="1">
        <v>46127</v>
      </c>
      <c r="B697" s="3" t="s">
        <v>89</v>
      </c>
      <c r="C697" s="3">
        <v>46.949800000000003</v>
      </c>
    </row>
    <row r="698" spans="1:4" x14ac:dyDescent="0.25">
      <c r="A698" s="1">
        <v>46127</v>
      </c>
      <c r="B698" s="3" t="s">
        <v>90</v>
      </c>
      <c r="C698" s="3">
        <v>44.881</v>
      </c>
    </row>
    <row r="699" spans="1:4" x14ac:dyDescent="0.25">
      <c r="A699" s="1">
        <v>46127</v>
      </c>
      <c r="B699" s="3" t="s">
        <v>91</v>
      </c>
      <c r="C699" s="3">
        <v>54.407200000000003</v>
      </c>
    </row>
    <row r="700" spans="1:4" x14ac:dyDescent="0.25">
      <c r="A700" s="1">
        <v>46127</v>
      </c>
      <c r="B700" s="3" t="s">
        <v>92</v>
      </c>
      <c r="C700" s="3">
        <v>51.380800000000001</v>
      </c>
    </row>
    <row r="701" spans="1:4" x14ac:dyDescent="0.25">
      <c r="A701" s="1">
        <v>46127</v>
      </c>
      <c r="B701" s="3" t="s">
        <v>93</v>
      </c>
      <c r="C701" s="3">
        <v>50.109699999999997</v>
      </c>
    </row>
    <row r="702" spans="1:4" x14ac:dyDescent="0.25">
      <c r="A702" s="1">
        <v>46127</v>
      </c>
      <c r="B702" s="3" t="s">
        <v>94</v>
      </c>
      <c r="C702" s="3">
        <v>47.971699999999998</v>
      </c>
    </row>
    <row r="703" spans="1:4" x14ac:dyDescent="0.25">
      <c r="A703" s="1">
        <v>46127</v>
      </c>
      <c r="B703" s="3" t="s">
        <v>95</v>
      </c>
      <c r="C703" s="3">
        <v>44.997900000000001</v>
      </c>
      <c r="D703" s="6"/>
    </row>
    <row r="704" spans="1:4" x14ac:dyDescent="0.25">
      <c r="A704" s="1">
        <v>46127</v>
      </c>
      <c r="B704" s="3" t="s">
        <v>14</v>
      </c>
      <c r="C704" s="3">
        <v>45.71</v>
      </c>
      <c r="D704" s="6"/>
    </row>
    <row r="705" spans="1:4" x14ac:dyDescent="0.25">
      <c r="A705" s="1">
        <v>46127</v>
      </c>
      <c r="B705" s="3" t="s">
        <v>15</v>
      </c>
      <c r="C705" s="3">
        <v>44.954000000000001</v>
      </c>
      <c r="D705" s="6"/>
    </row>
    <row r="706" spans="1:4" x14ac:dyDescent="0.25">
      <c r="A706" s="1">
        <v>46127</v>
      </c>
      <c r="B706" s="3" t="s">
        <v>16</v>
      </c>
      <c r="C706" s="3">
        <v>44.028599999999997</v>
      </c>
      <c r="D706" s="6"/>
    </row>
    <row r="707" spans="1:4" x14ac:dyDescent="0.25">
      <c r="A707" s="1">
        <v>46127</v>
      </c>
      <c r="B707" s="3" t="s">
        <v>20</v>
      </c>
      <c r="C707" s="3">
        <v>46.371299999999998</v>
      </c>
      <c r="D707" s="6"/>
    </row>
    <row r="708" spans="1:4" x14ac:dyDescent="0.25">
      <c r="A708" s="1">
        <v>46127</v>
      </c>
      <c r="B708" s="3" t="s">
        <v>17</v>
      </c>
      <c r="C708" s="3">
        <v>45.908099999999997</v>
      </c>
      <c r="D708" s="6"/>
    </row>
    <row r="709" spans="1:4" x14ac:dyDescent="0.25">
      <c r="A709" s="1">
        <v>46127</v>
      </c>
      <c r="B709" s="3" t="s">
        <v>18</v>
      </c>
      <c r="C709" s="3">
        <v>45.5304</v>
      </c>
      <c r="D709" s="6"/>
    </row>
    <row r="710" spans="1:4" x14ac:dyDescent="0.25">
      <c r="A710" s="1">
        <v>46127</v>
      </c>
      <c r="B710" s="3" t="s">
        <v>19</v>
      </c>
      <c r="C710" s="3">
        <v>45.427999999999997</v>
      </c>
    </row>
    <row r="711" spans="1:4" x14ac:dyDescent="0.25">
      <c r="A711" s="1">
        <v>46128</v>
      </c>
      <c r="B711" s="3" t="s">
        <v>86</v>
      </c>
      <c r="C711" s="3">
        <v>50.382399999999997</v>
      </c>
    </row>
    <row r="712" spans="1:4" x14ac:dyDescent="0.25">
      <c r="A712" s="1">
        <v>46128</v>
      </c>
      <c r="B712" s="3" t="s">
        <v>87</v>
      </c>
      <c r="C712" s="3">
        <v>48.871200000000002</v>
      </c>
    </row>
    <row r="713" spans="1:4" x14ac:dyDescent="0.25">
      <c r="A713" s="1">
        <v>46128</v>
      </c>
      <c r="B713" s="3" t="s">
        <v>88</v>
      </c>
      <c r="C713" s="3">
        <v>48.214100000000002</v>
      </c>
      <c r="D713" s="6"/>
    </row>
    <row r="714" spans="1:4" x14ac:dyDescent="0.25">
      <c r="A714" s="1">
        <v>46128</v>
      </c>
      <c r="B714" s="3" t="s">
        <v>89</v>
      </c>
      <c r="C714" s="3">
        <v>46.949399999999997</v>
      </c>
      <c r="D714" s="6"/>
    </row>
    <row r="715" spans="1:4" x14ac:dyDescent="0.25">
      <c r="A715" s="1">
        <v>46128</v>
      </c>
      <c r="B715" s="3" t="s">
        <v>90</v>
      </c>
      <c r="C715" s="3">
        <v>44.881300000000003</v>
      </c>
      <c r="D715" s="6"/>
    </row>
    <row r="716" spans="1:4" x14ac:dyDescent="0.25">
      <c r="A716" s="1">
        <v>46128</v>
      </c>
      <c r="B716" s="3" t="s">
        <v>91</v>
      </c>
      <c r="C716" s="3">
        <v>54.406199999999998</v>
      </c>
      <c r="D716" s="6"/>
    </row>
    <row r="717" spans="1:4" x14ac:dyDescent="0.25">
      <c r="A717" s="1">
        <v>46128</v>
      </c>
      <c r="B717" s="3" t="s">
        <v>92</v>
      </c>
      <c r="C717" s="3">
        <v>51.380399999999995</v>
      </c>
      <c r="D717" s="6"/>
    </row>
    <row r="718" spans="1:4" x14ac:dyDescent="0.25">
      <c r="A718" s="1">
        <v>46128</v>
      </c>
      <c r="B718" s="3" t="s">
        <v>94</v>
      </c>
      <c r="C718" s="3">
        <v>47.971899999999998</v>
      </c>
      <c r="D718" s="6"/>
    </row>
    <row r="719" spans="1:4" x14ac:dyDescent="0.25">
      <c r="A719" s="1">
        <v>46128</v>
      </c>
      <c r="B719" s="3" t="s">
        <v>95</v>
      </c>
      <c r="C719" s="3">
        <v>44.997799999999998</v>
      </c>
      <c r="D719" s="6"/>
    </row>
    <row r="720" spans="1:4" x14ac:dyDescent="0.25">
      <c r="A720" s="1">
        <v>46128</v>
      </c>
      <c r="B720" s="3" t="s">
        <v>111</v>
      </c>
      <c r="C720" s="3">
        <v>67.023200000000003</v>
      </c>
      <c r="D720" s="6"/>
    </row>
    <row r="721" spans="1:4" x14ac:dyDescent="0.25">
      <c r="A721" s="1">
        <v>46128</v>
      </c>
      <c r="B721" s="3" t="s">
        <v>112</v>
      </c>
      <c r="C721" s="3">
        <v>63.257800000000003</v>
      </c>
      <c r="D721" s="6"/>
    </row>
    <row r="722" spans="1:4" x14ac:dyDescent="0.25">
      <c r="A722" s="1">
        <v>46128</v>
      </c>
      <c r="B722" s="3" t="s">
        <v>113</v>
      </c>
      <c r="C722" s="3">
        <v>62.107399999999998</v>
      </c>
      <c r="D722" s="6"/>
    </row>
    <row r="723" spans="1:4" x14ac:dyDescent="0.25">
      <c r="A723" s="1">
        <v>46128</v>
      </c>
      <c r="B723" s="3" t="s">
        <v>114</v>
      </c>
      <c r="C723" s="3">
        <v>63.303100000000001</v>
      </c>
    </row>
    <row r="724" spans="1:4" x14ac:dyDescent="0.25">
      <c r="A724" s="1">
        <v>46128</v>
      </c>
      <c r="B724" s="3" t="s">
        <v>115</v>
      </c>
      <c r="C724" s="3">
        <v>65.750500000000002</v>
      </c>
    </row>
    <row r="725" spans="1:4" x14ac:dyDescent="0.25">
      <c r="A725" s="1">
        <v>46128</v>
      </c>
      <c r="B725" s="3" t="s">
        <v>116</v>
      </c>
      <c r="C725" s="3">
        <v>56.958500000000001</v>
      </c>
    </row>
    <row r="726" spans="1:4" x14ac:dyDescent="0.25">
      <c r="A726" s="1">
        <v>46128</v>
      </c>
      <c r="B726" s="3" t="s">
        <v>117</v>
      </c>
      <c r="C726" s="3">
        <v>58.500500000000002</v>
      </c>
    </row>
    <row r="727" spans="1:4" x14ac:dyDescent="0.25">
      <c r="A727" s="1">
        <v>46128</v>
      </c>
      <c r="B727" s="3" t="s">
        <v>118</v>
      </c>
      <c r="C727" s="3">
        <v>55.7042</v>
      </c>
    </row>
    <row r="728" spans="1:4" x14ac:dyDescent="0.25">
      <c r="A728" s="1">
        <v>46128</v>
      </c>
      <c r="B728" s="3" t="s">
        <v>119</v>
      </c>
      <c r="C728" s="3">
        <v>56.399700000000003</v>
      </c>
      <c r="D728" s="6"/>
    </row>
    <row r="729" spans="1:4" x14ac:dyDescent="0.25">
      <c r="A729" s="1">
        <v>46128</v>
      </c>
      <c r="B729" s="3" t="s">
        <v>120</v>
      </c>
      <c r="C729" s="3">
        <v>56.024099999999997</v>
      </c>
      <c r="D729" s="6"/>
    </row>
    <row r="730" spans="1:4" x14ac:dyDescent="0.25">
      <c r="A730" s="1">
        <v>46129</v>
      </c>
      <c r="B730" s="3" t="s">
        <v>9</v>
      </c>
      <c r="C730" s="3">
        <v>69.676299999999998</v>
      </c>
      <c r="D730" s="6"/>
    </row>
    <row r="731" spans="1:4" x14ac:dyDescent="0.25">
      <c r="A731" s="1">
        <v>46129</v>
      </c>
      <c r="B731" s="3" t="s">
        <v>10</v>
      </c>
      <c r="C731" s="3">
        <v>69.657700000000006</v>
      </c>
      <c r="D731" s="6"/>
    </row>
    <row r="732" spans="1:4" x14ac:dyDescent="0.25">
      <c r="A732" s="1">
        <v>46129</v>
      </c>
      <c r="B732" s="3" t="s">
        <v>11</v>
      </c>
      <c r="C732" s="3">
        <v>70.013599999999997</v>
      </c>
      <c r="D732" s="6"/>
    </row>
    <row r="733" spans="1:4" x14ac:dyDescent="0.25">
      <c r="A733" s="1">
        <v>46129</v>
      </c>
      <c r="B733" s="3" t="s">
        <v>12</v>
      </c>
      <c r="C733" s="3">
        <v>73.929900000000004</v>
      </c>
      <c r="D733" s="6"/>
    </row>
    <row r="734" spans="1:4" x14ac:dyDescent="0.25">
      <c r="A734" s="1">
        <v>46129</v>
      </c>
      <c r="B734" s="3" t="s">
        <v>13</v>
      </c>
      <c r="C734" s="3">
        <v>73.955399999999997</v>
      </c>
      <c r="D734" s="6"/>
    </row>
    <row r="735" spans="1:4" x14ac:dyDescent="0.25">
      <c r="A735" s="1">
        <v>46133</v>
      </c>
      <c r="B735" s="3" t="s">
        <v>111</v>
      </c>
      <c r="C735" s="3">
        <v>67.023600000000002</v>
      </c>
      <c r="D735" s="6"/>
    </row>
    <row r="736" spans="1:4" x14ac:dyDescent="0.25">
      <c r="A736" s="1">
        <v>46133</v>
      </c>
      <c r="B736" s="3" t="s">
        <v>112</v>
      </c>
      <c r="C736" s="3">
        <v>63.258000000000003</v>
      </c>
      <c r="D736" s="6"/>
    </row>
    <row r="737" spans="1:4" x14ac:dyDescent="0.25">
      <c r="A737" s="1">
        <v>46133</v>
      </c>
      <c r="B737" s="3" t="s">
        <v>113</v>
      </c>
      <c r="C737" s="3">
        <v>62.106699999999996</v>
      </c>
      <c r="D737" s="6"/>
    </row>
    <row r="738" spans="1:4" x14ac:dyDescent="0.25">
      <c r="A738" s="1">
        <v>46133</v>
      </c>
      <c r="B738" s="3" t="s">
        <v>114</v>
      </c>
      <c r="C738" s="3">
        <v>63.302500000000002</v>
      </c>
      <c r="D738" s="6"/>
    </row>
    <row r="739" spans="1:4" x14ac:dyDescent="0.25">
      <c r="A739" s="1">
        <v>46133</v>
      </c>
      <c r="B739" s="3" t="s">
        <v>115</v>
      </c>
      <c r="C739" s="3">
        <v>65.749700000000004</v>
      </c>
    </row>
    <row r="740" spans="1:4" x14ac:dyDescent="0.25">
      <c r="A740" s="1">
        <v>46134</v>
      </c>
      <c r="B740" s="3" t="s">
        <v>9</v>
      </c>
      <c r="C740" s="3">
        <v>69.676000000000002</v>
      </c>
    </row>
    <row r="741" spans="1:4" x14ac:dyDescent="0.25">
      <c r="A741" s="1">
        <v>46134</v>
      </c>
      <c r="B741" s="3" t="s">
        <v>10</v>
      </c>
      <c r="C741" s="3">
        <v>69.657200000000003</v>
      </c>
    </row>
    <row r="742" spans="1:4" x14ac:dyDescent="0.25">
      <c r="A742" s="1">
        <v>46134</v>
      </c>
      <c r="B742" s="3" t="s">
        <v>11</v>
      </c>
      <c r="C742" s="3">
        <v>70.013199999999998</v>
      </c>
    </row>
    <row r="743" spans="1:4" x14ac:dyDescent="0.25">
      <c r="A743" s="1">
        <v>46134</v>
      </c>
      <c r="B743" s="3" t="s">
        <v>12</v>
      </c>
      <c r="C743" s="3">
        <v>73.929699999999997</v>
      </c>
    </row>
    <row r="744" spans="1:4" x14ac:dyDescent="0.25">
      <c r="A744" s="1">
        <v>46134</v>
      </c>
      <c r="B744" s="3" t="s">
        <v>13</v>
      </c>
      <c r="C744" s="3">
        <v>73.955200000000005</v>
      </c>
      <c r="D744" s="6"/>
    </row>
    <row r="745" spans="1:4" x14ac:dyDescent="0.25">
      <c r="A745" s="1">
        <v>46134</v>
      </c>
      <c r="B745" s="3" t="s">
        <v>91</v>
      </c>
      <c r="C745" s="3">
        <v>54.405799999999999</v>
      </c>
      <c r="D745" s="6"/>
    </row>
    <row r="746" spans="1:4" x14ac:dyDescent="0.25">
      <c r="A746" s="1">
        <v>46134</v>
      </c>
      <c r="B746" s="3" t="s">
        <v>92</v>
      </c>
      <c r="C746" s="3">
        <v>51.379899999999999</v>
      </c>
    </row>
    <row r="747" spans="1:4" x14ac:dyDescent="0.25">
      <c r="A747" s="1">
        <v>46134</v>
      </c>
      <c r="B747" s="3" t="s">
        <v>93</v>
      </c>
      <c r="C747" s="3">
        <v>50.108600000000003</v>
      </c>
    </row>
    <row r="748" spans="1:4" x14ac:dyDescent="0.25">
      <c r="A748" s="1">
        <v>46134</v>
      </c>
      <c r="B748" s="3" t="s">
        <v>94</v>
      </c>
      <c r="C748" s="3">
        <v>47.971200000000003</v>
      </c>
    </row>
    <row r="749" spans="1:4" x14ac:dyDescent="0.25">
      <c r="A749" s="1">
        <v>46134</v>
      </c>
      <c r="B749" s="3" t="s">
        <v>95</v>
      </c>
      <c r="C749" s="3">
        <v>44.997700000000002</v>
      </c>
    </row>
    <row r="750" spans="1:4" x14ac:dyDescent="0.25">
      <c r="A750" s="1">
        <v>46135</v>
      </c>
      <c r="B750" s="3" t="s">
        <v>3</v>
      </c>
      <c r="C750" s="3">
        <v>78.542699999999996</v>
      </c>
    </row>
    <row r="751" spans="1:4" x14ac:dyDescent="0.25">
      <c r="A751" s="1">
        <v>46135</v>
      </c>
      <c r="B751" s="3" t="s">
        <v>4</v>
      </c>
      <c r="C751" s="3">
        <v>72.805499999999995</v>
      </c>
    </row>
    <row r="752" spans="1:4" x14ac:dyDescent="0.25">
      <c r="A752" s="1">
        <v>46135</v>
      </c>
      <c r="B752" s="3" t="s">
        <v>5</v>
      </c>
      <c r="C752" s="3">
        <v>72.266400000000004</v>
      </c>
    </row>
    <row r="753" spans="1:3" x14ac:dyDescent="0.25">
      <c r="A753" s="1">
        <v>46135</v>
      </c>
      <c r="B753" s="3" t="s">
        <v>6</v>
      </c>
      <c r="C753" s="3">
        <v>70.9131</v>
      </c>
    </row>
    <row r="754" spans="1:3" x14ac:dyDescent="0.25">
      <c r="A754" s="1">
        <v>46135</v>
      </c>
      <c r="B754" s="3" t="s">
        <v>7</v>
      </c>
      <c r="C754" s="3">
        <v>70.272899999999993</v>
      </c>
    </row>
    <row r="755" spans="1:3" x14ac:dyDescent="0.25">
      <c r="A755" s="1">
        <v>46135</v>
      </c>
      <c r="B755" s="3" t="s">
        <v>8</v>
      </c>
      <c r="C755" s="3">
        <v>66.593299999999999</v>
      </c>
    </row>
    <row r="756" spans="1:3" x14ac:dyDescent="0.25">
      <c r="A756" s="1">
        <v>46135</v>
      </c>
      <c r="B756" s="3" t="s">
        <v>14</v>
      </c>
      <c r="C756" s="3">
        <v>45.708399999999997</v>
      </c>
    </row>
    <row r="757" spans="1:3" x14ac:dyDescent="0.25">
      <c r="A757" s="1">
        <v>46135</v>
      </c>
      <c r="B757" s="3" t="s">
        <v>15</v>
      </c>
      <c r="C757" s="3">
        <v>44.953400000000002</v>
      </c>
    </row>
    <row r="758" spans="1:3" x14ac:dyDescent="0.25">
      <c r="A758" s="1">
        <v>46135</v>
      </c>
      <c r="B758" s="3" t="s">
        <v>16</v>
      </c>
      <c r="C758" s="3">
        <v>44.028399999999998</v>
      </c>
    </row>
    <row r="759" spans="1:3" x14ac:dyDescent="0.25">
      <c r="A759" s="1">
        <v>46135</v>
      </c>
      <c r="B759" s="3" t="s">
        <v>20</v>
      </c>
      <c r="C759" s="3">
        <v>46.370899999999999</v>
      </c>
    </row>
    <row r="760" spans="1:3" x14ac:dyDescent="0.25">
      <c r="A760" s="1">
        <v>46135</v>
      </c>
      <c r="B760" s="3" t="s">
        <v>17</v>
      </c>
      <c r="C760" s="3">
        <v>45.907699999999998</v>
      </c>
    </row>
    <row r="761" spans="1:3" x14ac:dyDescent="0.25">
      <c r="A761" s="1">
        <v>46135</v>
      </c>
      <c r="B761" s="3" t="s">
        <v>18</v>
      </c>
      <c r="C761" s="3">
        <v>45.530699999999996</v>
      </c>
    </row>
    <row r="762" spans="1:3" x14ac:dyDescent="0.25">
      <c r="A762" s="1">
        <v>46135</v>
      </c>
      <c r="B762" s="3" t="s">
        <v>19</v>
      </c>
      <c r="C762" s="3">
        <v>45.427799999999998</v>
      </c>
    </row>
    <row r="763" spans="1:3" x14ac:dyDescent="0.25">
      <c r="A763" s="1">
        <v>46136</v>
      </c>
      <c r="B763" s="3" t="s">
        <v>9</v>
      </c>
      <c r="C763" s="3">
        <v>69.676199999999994</v>
      </c>
    </row>
    <row r="764" spans="1:3" x14ac:dyDescent="0.25">
      <c r="A764" s="1">
        <v>46136</v>
      </c>
      <c r="B764" s="3" t="s">
        <v>10</v>
      </c>
      <c r="C764" s="3">
        <v>69.657700000000006</v>
      </c>
    </row>
    <row r="765" spans="1:3" x14ac:dyDescent="0.25">
      <c r="A765" s="1">
        <v>46136</v>
      </c>
      <c r="B765" s="3" t="s">
        <v>11</v>
      </c>
      <c r="C765" s="3">
        <v>70.013599999999997</v>
      </c>
    </row>
    <row r="766" spans="1:3" x14ac:dyDescent="0.25">
      <c r="A766" s="1">
        <v>46136</v>
      </c>
      <c r="B766" s="3" t="s">
        <v>12</v>
      </c>
      <c r="C766" s="3">
        <v>73.929900000000004</v>
      </c>
    </row>
    <row r="767" spans="1:3" x14ac:dyDescent="0.25">
      <c r="A767" s="1">
        <v>46136</v>
      </c>
      <c r="B767" s="3" t="s">
        <v>13</v>
      </c>
      <c r="C767" s="3">
        <v>73.955600000000004</v>
      </c>
    </row>
    <row r="768" spans="1:3" x14ac:dyDescent="0.25">
      <c r="A768" s="1">
        <v>46136</v>
      </c>
      <c r="B768" s="3" t="s">
        <v>86</v>
      </c>
      <c r="C768" s="3">
        <v>50.3827</v>
      </c>
    </row>
    <row r="769" spans="1:3" x14ac:dyDescent="0.25">
      <c r="A769" s="1">
        <v>46136</v>
      </c>
      <c r="B769" s="3" t="s">
        <v>87</v>
      </c>
      <c r="C769" s="3">
        <v>48.871400000000001</v>
      </c>
    </row>
    <row r="770" spans="1:3" x14ac:dyDescent="0.25">
      <c r="A770" s="1">
        <v>46136</v>
      </c>
      <c r="B770" s="3" t="s">
        <v>88</v>
      </c>
      <c r="C770" s="3">
        <v>48.2136</v>
      </c>
    </row>
    <row r="771" spans="1:3" x14ac:dyDescent="0.25">
      <c r="A771" s="1">
        <v>46136</v>
      </c>
      <c r="B771" s="3" t="s">
        <v>89</v>
      </c>
      <c r="C771" s="3">
        <v>46.949100000000001</v>
      </c>
    </row>
    <row r="772" spans="1:3" x14ac:dyDescent="0.25">
      <c r="A772" s="1">
        <v>46136</v>
      </c>
      <c r="B772" s="3" t="s">
        <v>90</v>
      </c>
      <c r="C772" s="3">
        <v>44.8812</v>
      </c>
    </row>
    <row r="773" spans="1:3" x14ac:dyDescent="0.25">
      <c r="A773" s="1">
        <v>46136</v>
      </c>
      <c r="B773" s="3" t="s">
        <v>91</v>
      </c>
      <c r="C773" s="3">
        <v>54.406599999999997</v>
      </c>
    </row>
    <row r="774" spans="1:3" x14ac:dyDescent="0.25">
      <c r="A774" s="1">
        <v>46136</v>
      </c>
      <c r="B774" s="3" t="s">
        <v>92</v>
      </c>
      <c r="C774" s="3">
        <v>51.380299999999998</v>
      </c>
    </row>
    <row r="775" spans="1:3" x14ac:dyDescent="0.25">
      <c r="A775" s="1">
        <v>46136</v>
      </c>
      <c r="B775" s="3" t="s">
        <v>93</v>
      </c>
      <c r="C775" s="3">
        <v>50.108899999999998</v>
      </c>
    </row>
    <row r="776" spans="1:3" x14ac:dyDescent="0.25">
      <c r="A776" s="1">
        <v>46136</v>
      </c>
      <c r="B776" s="3" t="s">
        <v>94</v>
      </c>
      <c r="C776" s="3">
        <v>47.971299999999999</v>
      </c>
    </row>
    <row r="777" spans="1:3" x14ac:dyDescent="0.25">
      <c r="A777" s="1">
        <v>46136</v>
      </c>
      <c r="B777" s="3" t="s">
        <v>95</v>
      </c>
      <c r="C777" s="3">
        <v>44.997900000000001</v>
      </c>
    </row>
    <row r="778" spans="1:3" x14ac:dyDescent="0.25">
      <c r="A778" s="1">
        <v>46139</v>
      </c>
      <c r="B778" s="3" t="s">
        <v>91</v>
      </c>
      <c r="C778" s="3">
        <v>54.406100000000002</v>
      </c>
    </row>
    <row r="779" spans="1:3" x14ac:dyDescent="0.25">
      <c r="A779" s="1">
        <v>46139</v>
      </c>
      <c r="B779" s="3" t="s">
        <v>92</v>
      </c>
      <c r="C779" s="3">
        <v>51.38</v>
      </c>
    </row>
    <row r="780" spans="1:3" x14ac:dyDescent="0.25">
      <c r="A780" s="1">
        <v>46139</v>
      </c>
      <c r="B780" s="3" t="s">
        <v>93</v>
      </c>
      <c r="C780" s="3">
        <v>50.108199999999997</v>
      </c>
    </row>
    <row r="781" spans="1:3" x14ac:dyDescent="0.25">
      <c r="A781" s="1">
        <v>46139</v>
      </c>
      <c r="B781" s="3" t="s">
        <v>94</v>
      </c>
      <c r="C781" s="3">
        <v>47.9711</v>
      </c>
    </row>
    <row r="782" spans="1:3" x14ac:dyDescent="0.25">
      <c r="A782" s="1">
        <v>46139</v>
      </c>
      <c r="B782" s="3" t="s">
        <v>95</v>
      </c>
      <c r="C782" s="3">
        <v>44.997799999999998</v>
      </c>
    </row>
    <row r="783" spans="1:3" x14ac:dyDescent="0.25">
      <c r="A783" s="1">
        <v>46140</v>
      </c>
      <c r="B783" s="3" t="s">
        <v>9</v>
      </c>
      <c r="C783" s="3">
        <v>69.676299999999998</v>
      </c>
    </row>
    <row r="784" spans="1:3" x14ac:dyDescent="0.25">
      <c r="A784" s="1">
        <v>46140</v>
      </c>
      <c r="B784" s="3" t="s">
        <v>10</v>
      </c>
      <c r="C784" s="3">
        <v>69.657700000000006</v>
      </c>
    </row>
    <row r="785" spans="1:4" x14ac:dyDescent="0.25">
      <c r="A785" s="1">
        <v>46140</v>
      </c>
      <c r="B785" s="3" t="s">
        <v>11</v>
      </c>
      <c r="C785" s="3">
        <v>70.013300000000001</v>
      </c>
    </row>
    <row r="786" spans="1:4" x14ac:dyDescent="0.25">
      <c r="A786" s="1">
        <v>46140</v>
      </c>
      <c r="B786" s="3" t="s">
        <v>12</v>
      </c>
      <c r="C786" s="3">
        <v>73.929199999999994</v>
      </c>
    </row>
    <row r="787" spans="1:4" x14ac:dyDescent="0.25">
      <c r="A787" s="1">
        <v>46140</v>
      </c>
      <c r="B787" s="3" t="s">
        <v>13</v>
      </c>
      <c r="C787" s="3">
        <v>73.954700000000003</v>
      </c>
    </row>
    <row r="788" spans="1:4" x14ac:dyDescent="0.25">
      <c r="A788" s="1">
        <v>46140</v>
      </c>
      <c r="B788" s="3" t="s">
        <v>111</v>
      </c>
      <c r="C788" s="3">
        <v>67.024500000000003</v>
      </c>
    </row>
    <row r="789" spans="1:4" x14ac:dyDescent="0.25">
      <c r="A789" s="1">
        <v>46140</v>
      </c>
      <c r="B789" s="3" t="s">
        <v>112</v>
      </c>
      <c r="C789" s="3">
        <v>63.258499999999998</v>
      </c>
    </row>
    <row r="790" spans="1:4" x14ac:dyDescent="0.25">
      <c r="A790" s="1">
        <v>46140</v>
      </c>
      <c r="B790" s="3" t="s">
        <v>113</v>
      </c>
      <c r="C790" s="3">
        <v>62.105899999999998</v>
      </c>
    </row>
    <row r="791" spans="1:4" x14ac:dyDescent="0.25">
      <c r="A791" s="1">
        <v>46140</v>
      </c>
      <c r="B791" s="3" t="s">
        <v>114</v>
      </c>
      <c r="C791" s="3">
        <v>63.303400000000003</v>
      </c>
    </row>
    <row r="792" spans="1:4" x14ac:dyDescent="0.25">
      <c r="A792" s="1">
        <v>46140</v>
      </c>
      <c r="B792" s="3" t="s">
        <v>115</v>
      </c>
      <c r="C792" s="3">
        <v>65.750200000000007</v>
      </c>
    </row>
    <row r="793" spans="1:4" x14ac:dyDescent="0.25">
      <c r="A793" s="1">
        <v>46140</v>
      </c>
      <c r="B793" s="3" t="s">
        <v>117</v>
      </c>
      <c r="C793" s="3">
        <v>58.500500000000002</v>
      </c>
    </row>
    <row r="794" spans="1:4" x14ac:dyDescent="0.25">
      <c r="A794" s="1">
        <v>46140</v>
      </c>
      <c r="B794" s="3" t="s">
        <v>118</v>
      </c>
      <c r="C794" s="3">
        <v>55.7042</v>
      </c>
    </row>
    <row r="795" spans="1:4" x14ac:dyDescent="0.25">
      <c r="A795" s="1">
        <v>46140</v>
      </c>
      <c r="B795" s="3" t="s">
        <v>119</v>
      </c>
      <c r="C795" s="3">
        <v>56.400500000000001</v>
      </c>
    </row>
    <row r="796" spans="1:4" x14ac:dyDescent="0.25">
      <c r="A796" s="1">
        <v>46140</v>
      </c>
      <c r="B796" s="3" t="s">
        <v>120</v>
      </c>
      <c r="C796" s="3">
        <v>56.024799999999999</v>
      </c>
      <c r="D796" s="6"/>
    </row>
    <row r="797" spans="1:4" x14ac:dyDescent="0.25">
      <c r="A797" s="1">
        <v>46141</v>
      </c>
      <c r="B797" s="3" t="s">
        <v>86</v>
      </c>
      <c r="C797" s="3">
        <v>50.382899999999999</v>
      </c>
      <c r="D797" s="6"/>
    </row>
    <row r="798" spans="1:4" x14ac:dyDescent="0.25">
      <c r="A798" s="1">
        <v>46141</v>
      </c>
      <c r="B798" s="3" t="s">
        <v>87</v>
      </c>
      <c r="C798" s="3">
        <v>48.871499999999997</v>
      </c>
      <c r="D798" s="6"/>
    </row>
    <row r="799" spans="1:4" x14ac:dyDescent="0.25">
      <c r="A799" s="1">
        <v>46141</v>
      </c>
      <c r="B799" s="3" t="s">
        <v>88</v>
      </c>
      <c r="C799" s="3">
        <v>48.2136</v>
      </c>
      <c r="D799" s="6"/>
    </row>
    <row r="800" spans="1:4" x14ac:dyDescent="0.25">
      <c r="A800" s="1">
        <v>46141</v>
      </c>
      <c r="B800" s="3" t="s">
        <v>89</v>
      </c>
      <c r="C800" s="3">
        <v>46.949199999999998</v>
      </c>
      <c r="D800" s="6"/>
    </row>
    <row r="801" spans="1:4" x14ac:dyDescent="0.25">
      <c r="A801" s="1">
        <v>46141</v>
      </c>
      <c r="B801" s="3" t="s">
        <v>90</v>
      </c>
      <c r="C801" s="3">
        <v>44.881100000000004</v>
      </c>
      <c r="D801" s="6"/>
    </row>
    <row r="802" spans="1:4" x14ac:dyDescent="0.25">
      <c r="A802" s="1">
        <v>46141</v>
      </c>
      <c r="B802" s="3" t="s">
        <v>91</v>
      </c>
      <c r="C802" s="3">
        <v>54.406300000000002</v>
      </c>
      <c r="D802" s="6"/>
    </row>
    <row r="803" spans="1:4" x14ac:dyDescent="0.25">
      <c r="A803" s="1">
        <v>46141</v>
      </c>
      <c r="B803" s="3" t="s">
        <v>92</v>
      </c>
      <c r="C803" s="3">
        <v>51.380200000000002</v>
      </c>
      <c r="D803" s="6"/>
    </row>
    <row r="804" spans="1:4" x14ac:dyDescent="0.25">
      <c r="A804" s="1">
        <v>46141</v>
      </c>
      <c r="B804" s="3" t="s">
        <v>93</v>
      </c>
      <c r="C804" s="3">
        <v>50.108400000000003</v>
      </c>
      <c r="D804" s="6"/>
    </row>
    <row r="805" spans="1:4" x14ac:dyDescent="0.25">
      <c r="A805" s="1">
        <v>46141</v>
      </c>
      <c r="B805" s="3" t="s">
        <v>94</v>
      </c>
      <c r="C805" s="3">
        <v>47.971200000000003</v>
      </c>
      <c r="D805" s="6"/>
    </row>
    <row r="806" spans="1:4" x14ac:dyDescent="0.25">
      <c r="A806" s="1">
        <v>46141</v>
      </c>
      <c r="B806" s="3" t="s">
        <v>95</v>
      </c>
      <c r="C806" s="3">
        <v>44.997700000000002</v>
      </c>
      <c r="D806" s="6"/>
    </row>
    <row r="807" spans="1:4" x14ac:dyDescent="0.25">
      <c r="A807" s="1">
        <v>46142</v>
      </c>
      <c r="B807" s="3" t="s">
        <v>86</v>
      </c>
      <c r="C807" s="3">
        <v>50.382800000000003</v>
      </c>
      <c r="D807" s="6"/>
    </row>
    <row r="808" spans="1:4" x14ac:dyDescent="0.25">
      <c r="A808" s="1">
        <v>46142</v>
      </c>
      <c r="B808" s="3" t="s">
        <v>87</v>
      </c>
      <c r="C808" s="3">
        <v>48.871299999999998</v>
      </c>
      <c r="D808" s="6"/>
    </row>
    <row r="809" spans="1:4" x14ac:dyDescent="0.25">
      <c r="A809" s="1">
        <v>46142</v>
      </c>
      <c r="B809" s="3" t="s">
        <v>88</v>
      </c>
      <c r="C809" s="3">
        <v>48.213500000000003</v>
      </c>
      <c r="D809" s="6"/>
    </row>
    <row r="810" spans="1:4" x14ac:dyDescent="0.25">
      <c r="A810" s="1">
        <v>46142</v>
      </c>
      <c r="B810" s="3" t="s">
        <v>89</v>
      </c>
      <c r="C810" s="3">
        <v>46.948799999999999</v>
      </c>
      <c r="D810" s="6"/>
    </row>
    <row r="811" spans="1:4" x14ac:dyDescent="0.25">
      <c r="A811" s="1">
        <v>46142</v>
      </c>
      <c r="B811" s="3" t="s">
        <v>90</v>
      </c>
      <c r="C811" s="3">
        <v>44.881100000000004</v>
      </c>
      <c r="D811" s="6"/>
    </row>
    <row r="812" spans="1:4" x14ac:dyDescent="0.25">
      <c r="A812" s="1">
        <v>46142</v>
      </c>
      <c r="B812" s="3" t="s">
        <v>91</v>
      </c>
      <c r="C812" s="3">
        <v>54.405999999999999</v>
      </c>
      <c r="D812" s="6"/>
    </row>
    <row r="813" spans="1:4" x14ac:dyDescent="0.25">
      <c r="A813" s="1">
        <v>46142</v>
      </c>
      <c r="B813" s="3" t="s">
        <v>92</v>
      </c>
      <c r="C813" s="3">
        <v>51.379600000000003</v>
      </c>
      <c r="D813" s="6"/>
    </row>
    <row r="814" spans="1:4" x14ac:dyDescent="0.25">
      <c r="A814" s="1">
        <v>46142</v>
      </c>
      <c r="B814" s="3" t="s">
        <v>93</v>
      </c>
      <c r="C814" s="3">
        <v>50.107799999999997</v>
      </c>
      <c r="D814" s="6"/>
    </row>
    <row r="815" spans="1:4" x14ac:dyDescent="0.25">
      <c r="A815" s="1">
        <v>46142</v>
      </c>
      <c r="B815" s="3" t="s">
        <v>94</v>
      </c>
      <c r="C815" s="3">
        <v>47.970799999999997</v>
      </c>
      <c r="D815" s="6"/>
    </row>
    <row r="816" spans="1:4" x14ac:dyDescent="0.25">
      <c r="A816" s="1">
        <v>46142</v>
      </c>
      <c r="B816" s="3" t="s">
        <v>95</v>
      </c>
      <c r="C816" s="3">
        <v>44.997700000000002</v>
      </c>
    </row>
    <row r="817" spans="1:4" x14ac:dyDescent="0.25">
      <c r="A817" s="1">
        <v>46142</v>
      </c>
      <c r="B817" s="6" t="s">
        <v>111</v>
      </c>
      <c r="C817" s="3">
        <v>67.024299999999997</v>
      </c>
    </row>
    <row r="818" spans="1:4" x14ac:dyDescent="0.25">
      <c r="A818" s="1">
        <v>46142</v>
      </c>
      <c r="B818" s="3" t="s">
        <v>112</v>
      </c>
      <c r="C818" s="3">
        <v>63.258299999999998</v>
      </c>
    </row>
    <row r="819" spans="1:4" x14ac:dyDescent="0.25">
      <c r="A819" s="1">
        <v>46142</v>
      </c>
      <c r="B819" s="3" t="s">
        <v>113</v>
      </c>
      <c r="C819" s="3">
        <v>62.105599999999995</v>
      </c>
    </row>
    <row r="820" spans="1:4" x14ac:dyDescent="0.25">
      <c r="A820" s="1">
        <v>46142</v>
      </c>
      <c r="B820" s="3" t="s">
        <v>114</v>
      </c>
      <c r="C820" s="3">
        <v>63.303100000000001</v>
      </c>
    </row>
    <row r="821" spans="1:4" x14ac:dyDescent="0.25">
      <c r="A821" s="1">
        <v>46142</v>
      </c>
      <c r="B821" s="3" t="s">
        <v>115</v>
      </c>
      <c r="C821" s="3">
        <v>65.750399999999999</v>
      </c>
    </row>
    <row r="822" spans="1:4" x14ac:dyDescent="0.25">
      <c r="A822" s="1">
        <v>46142</v>
      </c>
      <c r="B822" s="3" t="s">
        <v>117</v>
      </c>
      <c r="C822" s="3">
        <v>58.5002</v>
      </c>
    </row>
    <row r="823" spans="1:4" x14ac:dyDescent="0.25">
      <c r="A823" s="1">
        <v>46142</v>
      </c>
      <c r="B823" s="3" t="s">
        <v>118</v>
      </c>
      <c r="C823" s="3">
        <v>55.7044</v>
      </c>
    </row>
    <row r="824" spans="1:4" x14ac:dyDescent="0.25">
      <c r="A824" s="1">
        <v>46142</v>
      </c>
      <c r="B824" s="3" t="s">
        <v>119</v>
      </c>
      <c r="C824" s="3">
        <v>56.4009</v>
      </c>
    </row>
    <row r="825" spans="1:4" x14ac:dyDescent="0.25">
      <c r="A825" s="1">
        <v>46142</v>
      </c>
      <c r="B825" s="3" t="s">
        <v>120</v>
      </c>
      <c r="C825" s="3">
        <v>56.025599999999997</v>
      </c>
      <c r="D825" s="6"/>
    </row>
    <row r="826" spans="1:4" x14ac:dyDescent="0.25">
      <c r="A826" s="1">
        <v>46146</v>
      </c>
      <c r="B826" s="6" t="s">
        <v>91</v>
      </c>
      <c r="C826" s="3">
        <v>54.406300000000002</v>
      </c>
      <c r="D826" s="6"/>
    </row>
    <row r="827" spans="1:4" x14ac:dyDescent="0.25">
      <c r="A827" s="1">
        <v>46146</v>
      </c>
      <c r="B827" s="3" t="s">
        <v>92</v>
      </c>
      <c r="C827" s="3">
        <v>51.3797</v>
      </c>
      <c r="D827" s="6"/>
    </row>
    <row r="828" spans="1:4" x14ac:dyDescent="0.25">
      <c r="A828" s="1">
        <v>46146</v>
      </c>
      <c r="B828" s="3" t="s">
        <v>93</v>
      </c>
      <c r="C828" s="3">
        <v>50.107999999999997</v>
      </c>
      <c r="D828" s="6"/>
    </row>
    <row r="829" spans="1:4" x14ac:dyDescent="0.25">
      <c r="A829" s="1">
        <v>46146</v>
      </c>
      <c r="B829" s="3" t="s">
        <v>94</v>
      </c>
      <c r="C829" s="3">
        <v>47.9711</v>
      </c>
      <c r="D829" s="6"/>
    </row>
    <row r="830" spans="1:4" x14ac:dyDescent="0.25">
      <c r="A830" s="1">
        <v>46146</v>
      </c>
      <c r="B830" s="3" t="s">
        <v>95</v>
      </c>
      <c r="C830" s="3">
        <v>44.997900000000001</v>
      </c>
      <c r="D830" s="6"/>
    </row>
    <row r="831" spans="1:4" x14ac:dyDescent="0.25">
      <c r="A831" s="1">
        <v>46147</v>
      </c>
      <c r="B831" s="3" t="s">
        <v>86</v>
      </c>
      <c r="C831" s="3">
        <v>50.383099999999999</v>
      </c>
      <c r="D831" s="6"/>
    </row>
    <row r="832" spans="1:4" x14ac:dyDescent="0.25">
      <c r="A832" s="1">
        <v>46147</v>
      </c>
      <c r="B832" s="3" t="s">
        <v>87</v>
      </c>
      <c r="C832" s="3">
        <v>48.871600000000001</v>
      </c>
      <c r="D832" s="6"/>
    </row>
    <row r="833" spans="1:4" x14ac:dyDescent="0.25">
      <c r="A833" s="1">
        <v>46147</v>
      </c>
      <c r="B833" s="3" t="s">
        <v>88</v>
      </c>
      <c r="C833" s="3">
        <v>48.213900000000002</v>
      </c>
      <c r="D833" s="6"/>
    </row>
    <row r="834" spans="1:4" x14ac:dyDescent="0.25">
      <c r="A834" s="1">
        <v>46147</v>
      </c>
      <c r="B834" s="3" t="s">
        <v>89</v>
      </c>
      <c r="C834" s="3">
        <v>46.949199999999998</v>
      </c>
      <c r="D834" s="6"/>
    </row>
    <row r="835" spans="1:4" x14ac:dyDescent="0.25">
      <c r="A835" s="1">
        <v>46147</v>
      </c>
      <c r="B835" s="3" t="s">
        <v>90</v>
      </c>
      <c r="C835" s="3">
        <v>44.8812</v>
      </c>
      <c r="D835" s="6"/>
    </row>
    <row r="836" spans="1:4" x14ac:dyDescent="0.25">
      <c r="A836" s="1">
        <v>46147</v>
      </c>
      <c r="B836" s="3" t="s">
        <v>91</v>
      </c>
      <c r="C836" s="3">
        <v>54.406100000000002</v>
      </c>
      <c r="D836" s="6"/>
    </row>
    <row r="837" spans="1:4" x14ac:dyDescent="0.25">
      <c r="A837" s="1">
        <v>46147</v>
      </c>
      <c r="B837" s="3" t="s">
        <v>92</v>
      </c>
      <c r="C837" s="3">
        <v>51.379800000000003</v>
      </c>
      <c r="D837" s="6"/>
    </row>
    <row r="838" spans="1:4" x14ac:dyDescent="0.25">
      <c r="A838" s="1">
        <v>46147</v>
      </c>
      <c r="B838" s="3" t="s">
        <v>93</v>
      </c>
      <c r="C838" s="3">
        <v>50.1081</v>
      </c>
      <c r="D838" s="6"/>
    </row>
    <row r="839" spans="1:4" x14ac:dyDescent="0.25">
      <c r="A839" s="1">
        <v>46147</v>
      </c>
      <c r="B839" s="3" t="s">
        <v>94</v>
      </c>
      <c r="C839" s="3">
        <v>47.9711</v>
      </c>
    </row>
    <row r="840" spans="1:4" x14ac:dyDescent="0.25">
      <c r="A840" s="1">
        <v>46147</v>
      </c>
      <c r="B840" s="3" t="s">
        <v>95</v>
      </c>
      <c r="C840" s="3">
        <v>44.997700000000002</v>
      </c>
      <c r="D840" s="6"/>
    </row>
    <row r="841" spans="1:4" x14ac:dyDescent="0.25">
      <c r="A841" s="1">
        <v>46147</v>
      </c>
      <c r="B841" s="3" t="s">
        <v>117</v>
      </c>
      <c r="C841" s="3">
        <v>58.500800000000005</v>
      </c>
      <c r="D841" s="6"/>
    </row>
    <row r="842" spans="1:4" x14ac:dyDescent="0.25">
      <c r="A842" s="1">
        <v>46147</v>
      </c>
      <c r="B842" s="3" t="s">
        <v>118</v>
      </c>
      <c r="C842" s="3">
        <v>55.703400000000002</v>
      </c>
      <c r="D842" s="6"/>
    </row>
    <row r="843" spans="1:4" x14ac:dyDescent="0.25">
      <c r="A843" s="1">
        <v>46147</v>
      </c>
      <c r="B843" s="3" t="s">
        <v>119</v>
      </c>
      <c r="C843" s="3">
        <v>56.400600000000004</v>
      </c>
      <c r="D843" s="6"/>
    </row>
    <row r="844" spans="1:4" x14ac:dyDescent="0.25">
      <c r="A844" s="1">
        <v>46147</v>
      </c>
      <c r="B844" s="3" t="s">
        <v>120</v>
      </c>
      <c r="C844" s="3">
        <v>56.0246</v>
      </c>
      <c r="D844" s="6"/>
    </row>
    <row r="845" spans="1:4" x14ac:dyDescent="0.25">
      <c r="A845" s="1">
        <v>46148</v>
      </c>
      <c r="B845" s="3" t="s">
        <v>16</v>
      </c>
      <c r="C845" s="3">
        <v>44.028100000000002</v>
      </c>
      <c r="D845" s="6"/>
    </row>
    <row r="846" spans="1:4" x14ac:dyDescent="0.25">
      <c r="A846" s="1">
        <v>46148</v>
      </c>
      <c r="B846" s="3" t="s">
        <v>20</v>
      </c>
      <c r="C846" s="3">
        <v>46.3718</v>
      </c>
      <c r="D846" s="6"/>
    </row>
    <row r="847" spans="1:4" x14ac:dyDescent="0.25">
      <c r="A847" s="1">
        <v>46148</v>
      </c>
      <c r="B847" s="3" t="s">
        <v>17</v>
      </c>
      <c r="C847" s="3">
        <v>45.908099999999997</v>
      </c>
      <c r="D847" s="6"/>
    </row>
    <row r="848" spans="1:4" x14ac:dyDescent="0.25">
      <c r="A848" s="1">
        <v>46148</v>
      </c>
      <c r="B848" s="3" t="s">
        <v>18</v>
      </c>
      <c r="C848" s="3">
        <v>45.530900000000003</v>
      </c>
      <c r="D848" s="6"/>
    </row>
    <row r="849" spans="1:4" x14ac:dyDescent="0.25">
      <c r="A849" s="1">
        <v>46148</v>
      </c>
      <c r="B849" s="3" t="s">
        <v>19</v>
      </c>
      <c r="C849" s="3">
        <v>45.428199999999997</v>
      </c>
      <c r="D849" s="6"/>
    </row>
    <row r="850" spans="1:4" x14ac:dyDescent="0.25">
      <c r="A850" s="1">
        <v>46149</v>
      </c>
      <c r="B850" s="3" t="s">
        <v>86</v>
      </c>
      <c r="C850" s="3">
        <v>50.382599999999996</v>
      </c>
      <c r="D850" s="6"/>
    </row>
    <row r="851" spans="1:4" x14ac:dyDescent="0.25">
      <c r="A851" s="1">
        <v>46149</v>
      </c>
      <c r="B851" s="3" t="s">
        <v>87</v>
      </c>
      <c r="C851" s="3">
        <v>48.871400000000001</v>
      </c>
      <c r="D851" s="6"/>
    </row>
    <row r="852" spans="1:4" x14ac:dyDescent="0.25">
      <c r="A852" s="1">
        <v>46149</v>
      </c>
      <c r="B852" s="3" t="s">
        <v>88</v>
      </c>
      <c r="C852" s="3">
        <v>48.2136</v>
      </c>
      <c r="D852" s="6"/>
    </row>
    <row r="853" spans="1:4" x14ac:dyDescent="0.25">
      <c r="A853" s="1">
        <v>46149</v>
      </c>
      <c r="B853" s="3" t="s">
        <v>89</v>
      </c>
      <c r="C853" s="3">
        <v>46.949100000000001</v>
      </c>
      <c r="D853" s="6"/>
    </row>
    <row r="854" spans="1:4" x14ac:dyDescent="0.25">
      <c r="A854" s="1">
        <v>46149</v>
      </c>
      <c r="B854" s="3" t="s">
        <v>90</v>
      </c>
      <c r="C854" s="3">
        <v>44.881100000000004</v>
      </c>
      <c r="D854" s="6"/>
    </row>
    <row r="855" spans="1:4" x14ac:dyDescent="0.25">
      <c r="A855" s="1">
        <v>46149</v>
      </c>
      <c r="B855" s="3" t="s">
        <v>91</v>
      </c>
      <c r="C855" s="3">
        <v>54.406799999999997</v>
      </c>
      <c r="D855" s="6"/>
    </row>
    <row r="856" spans="1:4" x14ac:dyDescent="0.25">
      <c r="A856" s="1">
        <v>46149</v>
      </c>
      <c r="B856" s="3" t="s">
        <v>92</v>
      </c>
      <c r="C856" s="3">
        <v>51.379399999999997</v>
      </c>
      <c r="D856" s="6"/>
    </row>
    <row r="857" spans="1:4" x14ac:dyDescent="0.25">
      <c r="A857" s="1">
        <v>46149</v>
      </c>
      <c r="B857" s="3" t="s">
        <v>93</v>
      </c>
      <c r="C857" s="3">
        <v>50.107799999999997</v>
      </c>
      <c r="D857" s="6"/>
    </row>
    <row r="858" spans="1:4" x14ac:dyDescent="0.25">
      <c r="A858" s="1">
        <v>46149</v>
      </c>
      <c r="B858" s="3" t="s">
        <v>94</v>
      </c>
      <c r="C858" s="3">
        <v>47.970999999999997</v>
      </c>
      <c r="D858" s="6"/>
    </row>
    <row r="859" spans="1:4" x14ac:dyDescent="0.25">
      <c r="A859" s="1">
        <v>46149</v>
      </c>
      <c r="B859" s="3" t="s">
        <v>95</v>
      </c>
      <c r="C859" s="3">
        <v>44.997599999999998</v>
      </c>
      <c r="D859" s="6"/>
    </row>
    <row r="860" spans="1:4" x14ac:dyDescent="0.25">
      <c r="A860" s="1">
        <v>46149</v>
      </c>
      <c r="B860" s="3" t="s">
        <v>111</v>
      </c>
      <c r="C860" s="3">
        <v>67.025399999999991</v>
      </c>
      <c r="D860" s="6"/>
    </row>
    <row r="861" spans="1:4" x14ac:dyDescent="0.25">
      <c r="A861" s="1">
        <v>46149</v>
      </c>
      <c r="B861" s="3" t="s">
        <v>112</v>
      </c>
      <c r="C861" s="3">
        <v>63.2577</v>
      </c>
      <c r="D861" s="6"/>
    </row>
    <row r="862" spans="1:4" x14ac:dyDescent="0.25">
      <c r="A862" s="1">
        <v>46149</v>
      </c>
      <c r="B862" s="3" t="s">
        <v>113</v>
      </c>
      <c r="C862" s="3">
        <v>62.103999999999999</v>
      </c>
      <c r="D862" s="6"/>
    </row>
    <row r="863" spans="1:4" x14ac:dyDescent="0.25">
      <c r="A863" s="1">
        <v>46149</v>
      </c>
      <c r="B863" s="3" t="s">
        <v>114</v>
      </c>
      <c r="C863" s="3">
        <v>63.302399999999999</v>
      </c>
      <c r="D863" s="6"/>
    </row>
    <row r="864" spans="1:4" x14ac:dyDescent="0.25">
      <c r="A864" s="1">
        <v>46149</v>
      </c>
      <c r="B864" s="3" t="s">
        <v>115</v>
      </c>
      <c r="C864" s="3">
        <v>65.750699999999995</v>
      </c>
      <c r="D864" s="6"/>
    </row>
    <row r="865" spans="1:4" x14ac:dyDescent="0.25">
      <c r="A865" s="1">
        <v>46149</v>
      </c>
      <c r="B865" s="3" t="s">
        <v>117</v>
      </c>
      <c r="C865" s="3">
        <v>58.500800000000005</v>
      </c>
      <c r="D865" s="6"/>
    </row>
    <row r="866" spans="1:4" x14ac:dyDescent="0.25">
      <c r="A866" s="1">
        <v>46149</v>
      </c>
      <c r="B866" s="3" t="s">
        <v>118</v>
      </c>
      <c r="C866" s="3">
        <v>55.703300000000006</v>
      </c>
      <c r="D866" s="6"/>
    </row>
    <row r="867" spans="1:4" x14ac:dyDescent="0.25">
      <c r="A867" s="1">
        <v>46149</v>
      </c>
      <c r="B867" s="3" t="s">
        <v>119</v>
      </c>
      <c r="C867" s="3">
        <v>56.400600000000004</v>
      </c>
      <c r="D867" s="6"/>
    </row>
    <row r="868" spans="1:4" x14ac:dyDescent="0.25">
      <c r="A868" s="1">
        <v>46149</v>
      </c>
      <c r="B868" s="3" t="s">
        <v>120</v>
      </c>
      <c r="C868" s="3">
        <v>56.025100000000002</v>
      </c>
      <c r="D868" s="6"/>
    </row>
    <row r="869" spans="1:4" x14ac:dyDescent="0.25">
      <c r="A869" s="1">
        <v>46153</v>
      </c>
      <c r="B869" s="3" t="s">
        <v>86</v>
      </c>
      <c r="C869" s="3">
        <v>50.382399999999997</v>
      </c>
      <c r="D869" s="6"/>
    </row>
    <row r="870" spans="1:4" x14ac:dyDescent="0.25">
      <c r="A870" s="1">
        <v>46153</v>
      </c>
      <c r="B870" s="3" t="s">
        <v>87</v>
      </c>
      <c r="C870" s="3">
        <v>48.871000000000002</v>
      </c>
      <c r="D870" s="6"/>
    </row>
    <row r="871" spans="1:4" x14ac:dyDescent="0.25">
      <c r="A871" s="1">
        <v>46153</v>
      </c>
      <c r="B871" s="3" t="s">
        <v>88</v>
      </c>
      <c r="C871" s="3">
        <v>48.2136</v>
      </c>
      <c r="D871" s="6"/>
    </row>
    <row r="872" spans="1:4" x14ac:dyDescent="0.25">
      <c r="A872" s="1">
        <v>46153</v>
      </c>
      <c r="B872" s="3" t="s">
        <v>89</v>
      </c>
      <c r="C872" s="3">
        <v>46.949100000000001</v>
      </c>
      <c r="D872" s="6"/>
    </row>
    <row r="873" spans="1:4" x14ac:dyDescent="0.25">
      <c r="A873" s="1">
        <v>46153</v>
      </c>
      <c r="B873" s="3" t="s">
        <v>90</v>
      </c>
      <c r="C873" s="3">
        <v>44.881100000000004</v>
      </c>
      <c r="D873" s="6"/>
    </row>
    <row r="874" spans="1:4" x14ac:dyDescent="0.25">
      <c r="A874" s="1">
        <v>46153</v>
      </c>
      <c r="B874" s="3" t="s">
        <v>91</v>
      </c>
      <c r="C874" s="3">
        <v>54.406100000000002</v>
      </c>
      <c r="D874" s="6"/>
    </row>
    <row r="875" spans="1:4" x14ac:dyDescent="0.25">
      <c r="A875" s="1">
        <v>46153</v>
      </c>
      <c r="B875" s="3" t="s">
        <v>92</v>
      </c>
      <c r="C875" s="3">
        <v>51.379100000000001</v>
      </c>
      <c r="D875" s="6"/>
    </row>
    <row r="876" spans="1:4" x14ac:dyDescent="0.25">
      <c r="A876" s="1">
        <v>46153</v>
      </c>
      <c r="B876" s="3" t="s">
        <v>93</v>
      </c>
      <c r="C876" s="3">
        <v>50.107199999999999</v>
      </c>
      <c r="D876" s="6"/>
    </row>
    <row r="877" spans="1:4" x14ac:dyDescent="0.25">
      <c r="A877" s="1">
        <v>46153</v>
      </c>
      <c r="B877" s="3" t="s">
        <v>94</v>
      </c>
      <c r="C877" s="3">
        <v>47.970700000000001</v>
      </c>
      <c r="D877" s="6"/>
    </row>
    <row r="878" spans="1:4" x14ac:dyDescent="0.25">
      <c r="A878" s="1">
        <v>46153</v>
      </c>
      <c r="B878" s="3" t="s">
        <v>95</v>
      </c>
      <c r="C878" s="3">
        <v>44.997700000000002</v>
      </c>
      <c r="D878" s="6"/>
    </row>
    <row r="879" spans="1:4" x14ac:dyDescent="0.25">
      <c r="A879" s="1">
        <v>46153</v>
      </c>
      <c r="B879" s="3" t="s">
        <v>14</v>
      </c>
      <c r="C879" s="3">
        <v>45.708399999999997</v>
      </c>
      <c r="D879" s="6"/>
    </row>
    <row r="880" spans="1:4" x14ac:dyDescent="0.25">
      <c r="A880" s="1">
        <v>46153</v>
      </c>
      <c r="B880" s="3" t="s">
        <v>15</v>
      </c>
      <c r="C880" s="3">
        <v>44.953600000000002</v>
      </c>
      <c r="D880" s="6"/>
    </row>
    <row r="881" spans="1:4" x14ac:dyDescent="0.25">
      <c r="A881" s="1">
        <v>46153</v>
      </c>
      <c r="B881" s="3" t="s">
        <v>16</v>
      </c>
      <c r="C881" s="3">
        <v>44.027799999999999</v>
      </c>
      <c r="D881" s="6"/>
    </row>
    <row r="882" spans="1:4" x14ac:dyDescent="0.25">
      <c r="A882" s="1">
        <v>46153</v>
      </c>
      <c r="B882" s="3" t="s">
        <v>20</v>
      </c>
      <c r="C882" s="3">
        <v>46.371000000000002</v>
      </c>
      <c r="D882" s="6"/>
    </row>
    <row r="883" spans="1:4" x14ac:dyDescent="0.25">
      <c r="A883" s="1">
        <v>46153</v>
      </c>
      <c r="B883" s="3" t="s">
        <v>17</v>
      </c>
      <c r="C883" s="3">
        <v>45.907600000000002</v>
      </c>
      <c r="D883" s="6"/>
    </row>
    <row r="884" spans="1:4" x14ac:dyDescent="0.25">
      <c r="A884" s="1">
        <v>46153</v>
      </c>
      <c r="B884" s="3" t="s">
        <v>18</v>
      </c>
      <c r="C884" s="3">
        <v>45.5304</v>
      </c>
      <c r="D884" s="6"/>
    </row>
    <row r="885" spans="1:4" x14ac:dyDescent="0.25">
      <c r="A885" s="1">
        <v>46153</v>
      </c>
      <c r="B885" s="3" t="s">
        <v>19</v>
      </c>
      <c r="C885" s="3">
        <v>45.427799999999998</v>
      </c>
      <c r="D885" s="6"/>
    </row>
    <row r="886" spans="1:4" x14ac:dyDescent="0.25">
      <c r="A886" s="1">
        <v>46154</v>
      </c>
      <c r="B886" s="3" t="s">
        <v>111</v>
      </c>
      <c r="C886" s="3">
        <v>67.0291</v>
      </c>
      <c r="D886" s="6"/>
    </row>
    <row r="887" spans="1:4" x14ac:dyDescent="0.25">
      <c r="A887" s="1">
        <v>46154</v>
      </c>
      <c r="B887" s="3" t="s">
        <v>112</v>
      </c>
      <c r="C887" s="3">
        <v>63.262099999999997</v>
      </c>
      <c r="D887" s="6"/>
    </row>
    <row r="888" spans="1:4" x14ac:dyDescent="0.25">
      <c r="A888" s="1">
        <v>46154</v>
      </c>
      <c r="B888" s="3" t="s">
        <v>113</v>
      </c>
      <c r="C888" s="3">
        <v>62.107900000000001</v>
      </c>
      <c r="D888" s="6"/>
    </row>
    <row r="889" spans="1:4" x14ac:dyDescent="0.25">
      <c r="A889" s="1">
        <v>46154</v>
      </c>
      <c r="B889" s="3" t="s">
        <v>114</v>
      </c>
      <c r="C889" s="3">
        <v>63.306800000000003</v>
      </c>
    </row>
    <row r="890" spans="1:4" x14ac:dyDescent="0.25">
      <c r="A890" s="1">
        <v>46154</v>
      </c>
      <c r="B890" s="3" t="s">
        <v>115</v>
      </c>
      <c r="C890" s="3">
        <v>65.755899999999997</v>
      </c>
    </row>
    <row r="891" spans="1:4" x14ac:dyDescent="0.25">
      <c r="A891" s="1">
        <v>46154</v>
      </c>
      <c r="B891" s="3" t="s">
        <v>117</v>
      </c>
      <c r="C891" s="3">
        <v>58.5017</v>
      </c>
    </row>
    <row r="892" spans="1:4" x14ac:dyDescent="0.25">
      <c r="A892" s="1">
        <v>46154</v>
      </c>
      <c r="B892" s="3" t="s">
        <v>118</v>
      </c>
      <c r="C892" s="3">
        <v>55.703400000000002</v>
      </c>
    </row>
    <row r="893" spans="1:4" x14ac:dyDescent="0.25">
      <c r="A893" s="1">
        <v>46154</v>
      </c>
      <c r="B893" s="3" t="s">
        <v>119</v>
      </c>
      <c r="C893" s="3">
        <v>56.4009</v>
      </c>
    </row>
    <row r="894" spans="1:4" x14ac:dyDescent="0.25">
      <c r="A894" s="1">
        <v>46154</v>
      </c>
      <c r="B894" s="3" t="s">
        <v>120</v>
      </c>
      <c r="C894" s="3">
        <v>56.024999999999999</v>
      </c>
    </row>
    <row r="895" spans="1:4" x14ac:dyDescent="0.25">
      <c r="A895" s="1">
        <v>46155</v>
      </c>
      <c r="B895" s="3" t="s">
        <v>121</v>
      </c>
      <c r="C895" s="6">
        <v>57.020824999999995</v>
      </c>
      <c r="D895" s="6"/>
    </row>
    <row r="896" spans="1:4" x14ac:dyDescent="0.25">
      <c r="A896" s="1">
        <v>46155</v>
      </c>
      <c r="B896" s="3" t="s">
        <v>122</v>
      </c>
      <c r="C896" s="6">
        <v>55.717800000000004</v>
      </c>
      <c r="D896" s="6"/>
    </row>
    <row r="897" spans="1:4" x14ac:dyDescent="0.25">
      <c r="A897" s="1">
        <v>46155</v>
      </c>
      <c r="B897" s="3" t="s">
        <v>123</v>
      </c>
      <c r="C897" s="6">
        <v>55.095350000000003</v>
      </c>
      <c r="D897" s="6"/>
    </row>
    <row r="898" spans="1:4" x14ac:dyDescent="0.25">
      <c r="A898" s="1">
        <v>46155</v>
      </c>
      <c r="B898" s="3" t="s">
        <v>124</v>
      </c>
      <c r="C898" s="6">
        <v>53.977499999999999</v>
      </c>
      <c r="D898" s="6"/>
    </row>
    <row r="899" spans="1:4" x14ac:dyDescent="0.25">
      <c r="A899" s="1">
        <v>46155</v>
      </c>
      <c r="B899" s="3" t="s">
        <v>125</v>
      </c>
      <c r="C899" s="6">
        <v>52.907825000000003</v>
      </c>
      <c r="D899" s="6"/>
    </row>
    <row r="900" spans="1:4" x14ac:dyDescent="0.25">
      <c r="A900" s="1">
        <v>46156</v>
      </c>
      <c r="B900" s="3" t="s">
        <v>111</v>
      </c>
      <c r="C900" s="3">
        <v>67.030799999999999</v>
      </c>
    </row>
    <row r="901" spans="1:4" x14ac:dyDescent="0.25">
      <c r="A901" s="1">
        <v>46156</v>
      </c>
      <c r="B901" s="3" t="s">
        <v>112</v>
      </c>
      <c r="C901" s="3">
        <v>63.262799999999999</v>
      </c>
    </row>
    <row r="902" spans="1:4" x14ac:dyDescent="0.25">
      <c r="A902" s="1">
        <v>46156</v>
      </c>
      <c r="B902" s="3" t="s">
        <v>113</v>
      </c>
      <c r="C902" s="3">
        <v>62.108400000000003</v>
      </c>
    </row>
    <row r="903" spans="1:4" x14ac:dyDescent="0.25">
      <c r="A903" s="1">
        <v>46156</v>
      </c>
      <c r="B903" s="3" t="s">
        <v>114</v>
      </c>
      <c r="C903" s="3">
        <v>63.308</v>
      </c>
    </row>
    <row r="904" spans="1:4" x14ac:dyDescent="0.25">
      <c r="A904" s="1">
        <v>46156</v>
      </c>
      <c r="B904" s="3" t="s">
        <v>115</v>
      </c>
      <c r="C904" s="3">
        <v>65.757199999999997</v>
      </c>
    </row>
    <row r="905" spans="1:4" x14ac:dyDescent="0.25">
      <c r="A905" s="1">
        <v>46156</v>
      </c>
      <c r="B905" s="3" t="s">
        <v>117</v>
      </c>
      <c r="C905" s="3">
        <v>58.501199999999997</v>
      </c>
    </row>
    <row r="906" spans="1:4" x14ac:dyDescent="0.25">
      <c r="A906" s="1">
        <v>46156</v>
      </c>
      <c r="B906" s="3" t="s">
        <v>118</v>
      </c>
      <c r="C906" s="3">
        <v>55.703299999999999</v>
      </c>
    </row>
    <row r="907" spans="1:4" x14ac:dyDescent="0.25">
      <c r="A907" s="1">
        <v>46156</v>
      </c>
      <c r="B907" s="3" t="s">
        <v>119</v>
      </c>
      <c r="C907" s="3">
        <v>56.400599999999997</v>
      </c>
    </row>
    <row r="908" spans="1:4" x14ac:dyDescent="0.25">
      <c r="A908" s="1">
        <v>46156</v>
      </c>
      <c r="B908" s="3" t="s">
        <v>120</v>
      </c>
      <c r="C908" s="3">
        <v>56.024500000000003</v>
      </c>
    </row>
    <row r="909" spans="1:4" x14ac:dyDescent="0.25">
      <c r="A909" s="1">
        <v>46156</v>
      </c>
      <c r="B909" s="3" t="s">
        <v>121</v>
      </c>
      <c r="C909" s="3">
        <v>57.020899999999997</v>
      </c>
    </row>
    <row r="910" spans="1:4" x14ac:dyDescent="0.25">
      <c r="A910" s="1">
        <v>46156</v>
      </c>
      <c r="B910" s="3" t="s">
        <v>122</v>
      </c>
      <c r="C910" s="3">
        <v>55.717500000000001</v>
      </c>
    </row>
    <row r="911" spans="1:4" x14ac:dyDescent="0.25">
      <c r="A911" s="1">
        <v>46156</v>
      </c>
      <c r="B911" s="3" t="s">
        <v>123</v>
      </c>
      <c r="C911" s="3">
        <v>55.094900000000003</v>
      </c>
    </row>
    <row r="912" spans="1:4" x14ac:dyDescent="0.25">
      <c r="A912" s="1">
        <v>46156</v>
      </c>
      <c r="B912" s="3" t="s">
        <v>124</v>
      </c>
      <c r="C912" s="3">
        <v>53.976900000000001</v>
      </c>
    </row>
    <row r="913" spans="1:4" x14ac:dyDescent="0.25">
      <c r="A913" s="1">
        <v>46156</v>
      </c>
      <c r="B913" s="3" t="s">
        <v>125</v>
      </c>
      <c r="C913" s="3">
        <v>52.906799999999997</v>
      </c>
    </row>
    <row r="914" spans="1:4" x14ac:dyDescent="0.25">
      <c r="A914" s="1">
        <v>46157</v>
      </c>
      <c r="B914" s="3" t="s">
        <v>86</v>
      </c>
      <c r="C914" s="3">
        <v>50.383000000000003</v>
      </c>
      <c r="D914" s="6"/>
    </row>
    <row r="915" spans="1:4" x14ac:dyDescent="0.25">
      <c r="A915" s="1">
        <v>46157</v>
      </c>
      <c r="B915" s="3" t="s">
        <v>87</v>
      </c>
      <c r="C915" s="3">
        <v>48.871300000000005</v>
      </c>
      <c r="D915" s="6"/>
    </row>
    <row r="916" spans="1:4" x14ac:dyDescent="0.25">
      <c r="A916" s="1">
        <v>46157</v>
      </c>
      <c r="B916" s="3" t="s">
        <v>88</v>
      </c>
      <c r="C916" s="3">
        <v>48.213799999999999</v>
      </c>
      <c r="D916" s="6"/>
    </row>
    <row r="917" spans="1:4" x14ac:dyDescent="0.25">
      <c r="A917" s="1">
        <v>46157</v>
      </c>
      <c r="B917" s="3" t="s">
        <v>89</v>
      </c>
      <c r="C917" s="3">
        <v>46.948599999999999</v>
      </c>
      <c r="D917" s="6"/>
    </row>
    <row r="918" spans="1:4" x14ac:dyDescent="0.25">
      <c r="A918" s="1">
        <v>46157</v>
      </c>
      <c r="B918" s="3" t="s">
        <v>90</v>
      </c>
      <c r="C918" s="3">
        <v>44.880499999999998</v>
      </c>
      <c r="D918" s="6"/>
    </row>
    <row r="919" spans="1:4" x14ac:dyDescent="0.25">
      <c r="A919" s="1">
        <v>46157</v>
      </c>
      <c r="B919" s="3" t="s">
        <v>91</v>
      </c>
      <c r="C919" s="3">
        <v>54.4069</v>
      </c>
      <c r="D919" s="6"/>
    </row>
    <row r="920" spans="1:4" x14ac:dyDescent="0.25">
      <c r="A920" s="1">
        <v>46157</v>
      </c>
      <c r="B920" s="3" t="s">
        <v>92</v>
      </c>
      <c r="C920" s="3">
        <v>51.378700000000002</v>
      </c>
      <c r="D920" s="6"/>
    </row>
    <row r="921" spans="1:4" x14ac:dyDescent="0.25">
      <c r="A921" s="1">
        <v>46157</v>
      </c>
      <c r="B921" s="3" t="s">
        <v>93</v>
      </c>
      <c r="C921" s="3">
        <v>50.106000000000002</v>
      </c>
      <c r="D921" s="6"/>
    </row>
    <row r="922" spans="1:4" x14ac:dyDescent="0.25">
      <c r="A922" s="1">
        <v>46157</v>
      </c>
      <c r="B922" s="3" t="s">
        <v>94</v>
      </c>
      <c r="C922" s="3">
        <v>47.970600000000005</v>
      </c>
      <c r="D922" s="6"/>
    </row>
    <row r="923" spans="1:4" x14ac:dyDescent="0.25">
      <c r="A923" s="1">
        <v>46157</v>
      </c>
      <c r="B923" s="3" t="s">
        <v>95</v>
      </c>
      <c r="C923" s="3">
        <v>44.997700000000002</v>
      </c>
      <c r="D923" s="6"/>
    </row>
    <row r="924" spans="1:4" x14ac:dyDescent="0.25">
      <c r="A924" s="1">
        <v>46160</v>
      </c>
      <c r="B924" s="3" t="s">
        <v>86</v>
      </c>
      <c r="C924" s="3">
        <v>50.3825</v>
      </c>
    </row>
    <row r="925" spans="1:4" x14ac:dyDescent="0.25">
      <c r="A925" s="1">
        <v>46160</v>
      </c>
      <c r="B925" s="3" t="s">
        <v>87</v>
      </c>
      <c r="C925" s="3">
        <v>48.870800000000003</v>
      </c>
    </row>
    <row r="926" spans="1:4" x14ac:dyDescent="0.25">
      <c r="A926" s="1">
        <v>46160</v>
      </c>
      <c r="B926" s="3" t="s">
        <v>88</v>
      </c>
      <c r="C926" s="3">
        <v>48.2134</v>
      </c>
    </row>
    <row r="927" spans="1:4" x14ac:dyDescent="0.25">
      <c r="A927" s="1">
        <v>46160</v>
      </c>
      <c r="B927" s="3" t="s">
        <v>89</v>
      </c>
      <c r="C927" s="3">
        <v>46.948599999999999</v>
      </c>
    </row>
    <row r="928" spans="1:4" x14ac:dyDescent="0.25">
      <c r="A928" s="1">
        <v>46160</v>
      </c>
      <c r="B928" s="3" t="s">
        <v>90</v>
      </c>
      <c r="C928" s="3">
        <v>44.880800000000001</v>
      </c>
    </row>
    <row r="929" spans="1:4" x14ac:dyDescent="0.25">
      <c r="A929" s="1">
        <v>46160</v>
      </c>
      <c r="B929" s="3" t="s">
        <v>91</v>
      </c>
      <c r="C929" s="3">
        <v>54.406500000000001</v>
      </c>
    </row>
    <row r="930" spans="1:4" x14ac:dyDescent="0.25">
      <c r="A930" s="1">
        <v>46160</v>
      </c>
      <c r="B930" s="3" t="s">
        <v>92</v>
      </c>
      <c r="C930" s="3">
        <v>51.378100000000003</v>
      </c>
    </row>
    <row r="931" spans="1:4" x14ac:dyDescent="0.25">
      <c r="A931" s="1">
        <v>46160</v>
      </c>
      <c r="B931" s="3" t="s">
        <v>93</v>
      </c>
      <c r="C931" s="3">
        <v>50.1053</v>
      </c>
    </row>
    <row r="932" spans="1:4" x14ac:dyDescent="0.25">
      <c r="A932" s="1">
        <v>46160</v>
      </c>
      <c r="B932" s="3" t="s">
        <v>94</v>
      </c>
      <c r="C932" s="3">
        <v>47.970399999999998</v>
      </c>
    </row>
    <row r="933" spans="1:4" x14ac:dyDescent="0.25">
      <c r="A933" s="1">
        <v>46160</v>
      </c>
      <c r="B933" s="3" t="s">
        <v>95</v>
      </c>
      <c r="C933" s="3">
        <v>44.997500000000002</v>
      </c>
    </row>
    <row r="934" spans="1:4" x14ac:dyDescent="0.25">
      <c r="A934" s="1">
        <v>46161</v>
      </c>
      <c r="B934" s="3" t="s">
        <v>111</v>
      </c>
      <c r="C934" s="3">
        <v>67.030299999999997</v>
      </c>
      <c r="D934" s="6"/>
    </row>
    <row r="935" spans="1:4" x14ac:dyDescent="0.25">
      <c r="A935" s="1">
        <v>46161</v>
      </c>
      <c r="B935" s="3" t="s">
        <v>112</v>
      </c>
      <c r="C935" s="3">
        <v>63.262599999999999</v>
      </c>
      <c r="D935" s="6"/>
    </row>
    <row r="936" spans="1:4" x14ac:dyDescent="0.25">
      <c r="A936" s="1">
        <v>46161</v>
      </c>
      <c r="B936" s="3" t="s">
        <v>113</v>
      </c>
      <c r="C936" s="3">
        <v>62.107700000000001</v>
      </c>
      <c r="D936" s="6"/>
    </row>
    <row r="937" spans="1:4" x14ac:dyDescent="0.25">
      <c r="A937" s="1">
        <v>46161</v>
      </c>
      <c r="B937" s="3" t="s">
        <v>114</v>
      </c>
      <c r="C937" s="3">
        <v>63.3065</v>
      </c>
      <c r="D937" s="6"/>
    </row>
    <row r="938" spans="1:4" x14ac:dyDescent="0.25">
      <c r="A938" s="1">
        <v>46161</v>
      </c>
      <c r="B938" s="3" t="s">
        <v>115</v>
      </c>
      <c r="C938" s="3">
        <v>65.756299999999996</v>
      </c>
      <c r="D938" s="6"/>
    </row>
    <row r="939" spans="1:4" x14ac:dyDescent="0.25">
      <c r="A939" s="1">
        <v>46161</v>
      </c>
      <c r="B939" s="3" t="s">
        <v>117</v>
      </c>
      <c r="C939" s="3">
        <v>58.500900000000001</v>
      </c>
      <c r="D939" s="6"/>
    </row>
    <row r="940" spans="1:4" x14ac:dyDescent="0.25">
      <c r="A940" s="1">
        <v>46161</v>
      </c>
      <c r="B940" s="3" t="s">
        <v>118</v>
      </c>
      <c r="C940" s="3">
        <v>55.703200000000002</v>
      </c>
      <c r="D940" s="6"/>
    </row>
    <row r="941" spans="1:4" x14ac:dyDescent="0.25">
      <c r="A941" s="1">
        <v>46161</v>
      </c>
      <c r="B941" s="3" t="s">
        <v>119</v>
      </c>
      <c r="C941" s="3">
        <v>56.400599999999997</v>
      </c>
      <c r="D941" s="6"/>
    </row>
    <row r="942" spans="1:4" x14ac:dyDescent="0.25">
      <c r="A942" s="1">
        <v>46161</v>
      </c>
      <c r="B942" s="3" t="s">
        <v>120</v>
      </c>
      <c r="C942" s="3">
        <v>56.024900000000002</v>
      </c>
      <c r="D942" s="6"/>
    </row>
    <row r="943" spans="1:4" x14ac:dyDescent="0.25">
      <c r="A943" s="1">
        <v>46161</v>
      </c>
      <c r="B943" s="3" t="s">
        <v>121</v>
      </c>
      <c r="C943" s="3">
        <v>57.021000000000001</v>
      </c>
      <c r="D943" s="6"/>
    </row>
    <row r="944" spans="1:4" x14ac:dyDescent="0.25">
      <c r="A944" s="1">
        <v>46161</v>
      </c>
      <c r="B944" s="3" t="s">
        <v>122</v>
      </c>
      <c r="C944" s="3">
        <v>55.717300000000002</v>
      </c>
      <c r="D944" s="6"/>
    </row>
    <row r="945" spans="1:4" x14ac:dyDescent="0.25">
      <c r="A945" s="1">
        <v>46161</v>
      </c>
      <c r="B945" s="3" t="s">
        <v>123</v>
      </c>
      <c r="C945" s="3">
        <v>55.094700000000003</v>
      </c>
      <c r="D945" s="6"/>
    </row>
    <row r="946" spans="1:4" x14ac:dyDescent="0.25">
      <c r="A946" s="1">
        <v>46161</v>
      </c>
      <c r="B946" s="3" t="s">
        <v>124</v>
      </c>
      <c r="C946" s="3">
        <v>53.976500000000001</v>
      </c>
      <c r="D946" s="6"/>
    </row>
    <row r="947" spans="1:4" x14ac:dyDescent="0.25">
      <c r="A947" s="1">
        <v>46161</v>
      </c>
      <c r="B947" s="3" t="s">
        <v>125</v>
      </c>
      <c r="C947" s="3">
        <v>52.9069</v>
      </c>
      <c r="D947" s="6"/>
    </row>
    <row r="948" spans="1:4" x14ac:dyDescent="0.25">
      <c r="A948" s="1">
        <v>46161</v>
      </c>
      <c r="B948" s="6" t="s">
        <v>97</v>
      </c>
      <c r="C948" s="3">
        <v>65.427599999999998</v>
      </c>
    </row>
    <row r="949" spans="1:4" x14ac:dyDescent="0.25">
      <c r="A949" s="1">
        <v>46161</v>
      </c>
      <c r="B949" s="6" t="s">
        <v>98</v>
      </c>
      <c r="C949" s="3">
        <v>58.252499999999998</v>
      </c>
    </row>
    <row r="950" spans="1:4" x14ac:dyDescent="0.25">
      <c r="A950" s="1">
        <v>46161</v>
      </c>
      <c r="B950" s="6" t="s">
        <v>99</v>
      </c>
      <c r="C950" s="3">
        <v>53.564999999999998</v>
      </c>
    </row>
    <row r="951" spans="1:4" x14ac:dyDescent="0.25">
      <c r="A951" s="1">
        <v>46161</v>
      </c>
      <c r="B951" s="6" t="s">
        <v>100</v>
      </c>
      <c r="C951" s="3">
        <v>50.588999999999999</v>
      </c>
    </row>
    <row r="952" spans="1:4" x14ac:dyDescent="0.25">
      <c r="A952" s="1">
        <v>46161</v>
      </c>
      <c r="B952" s="6" t="s">
        <v>101</v>
      </c>
      <c r="C952" s="3">
        <v>76.385000000000005</v>
      </c>
    </row>
    <row r="953" spans="1:4" x14ac:dyDescent="0.25">
      <c r="A953" s="1">
        <v>46161</v>
      </c>
      <c r="B953" s="6" t="s">
        <v>102</v>
      </c>
      <c r="C953" s="3">
        <v>68.103200000000001</v>
      </c>
    </row>
    <row r="954" spans="1:4" x14ac:dyDescent="0.25">
      <c r="A954" s="1">
        <v>46161</v>
      </c>
      <c r="B954" s="6" t="s">
        <v>103</v>
      </c>
      <c r="C954" s="3">
        <v>68.021500000000003</v>
      </c>
    </row>
    <row r="955" spans="1:4" x14ac:dyDescent="0.25">
      <c r="A955" s="1">
        <v>46161</v>
      </c>
      <c r="B955" s="6" t="s">
        <v>104</v>
      </c>
      <c r="C955" s="3">
        <v>61.176499999999997</v>
      </c>
    </row>
    <row r="956" spans="1:4" x14ac:dyDescent="0.25">
      <c r="A956" s="1">
        <v>46161</v>
      </c>
      <c r="B956" s="6" t="s">
        <v>105</v>
      </c>
      <c r="C956" s="3">
        <v>55.573399999999999</v>
      </c>
    </row>
    <row r="957" spans="1:4" x14ac:dyDescent="0.25">
      <c r="A957" s="1">
        <v>46162</v>
      </c>
      <c r="B957" s="3" t="s">
        <v>86</v>
      </c>
      <c r="C957" s="3">
        <v>50.381999999999998</v>
      </c>
      <c r="D957" s="6"/>
    </row>
    <row r="958" spans="1:4" x14ac:dyDescent="0.25">
      <c r="A958" s="1">
        <v>46162</v>
      </c>
      <c r="B958" s="3" t="s">
        <v>87</v>
      </c>
      <c r="C958" s="3">
        <v>48.870699999999999</v>
      </c>
      <c r="D958" s="6"/>
    </row>
    <row r="959" spans="1:4" x14ac:dyDescent="0.25">
      <c r="A959" s="1">
        <v>46162</v>
      </c>
      <c r="B959" s="3" t="s">
        <v>88</v>
      </c>
      <c r="C959" s="3">
        <v>48.213099999999997</v>
      </c>
      <c r="D959" s="6"/>
    </row>
    <row r="960" spans="1:4" x14ac:dyDescent="0.25">
      <c r="A960" s="1">
        <v>46162</v>
      </c>
      <c r="B960" s="3" t="s">
        <v>89</v>
      </c>
      <c r="C960" s="3">
        <v>46.948700000000002</v>
      </c>
      <c r="D960" s="6"/>
    </row>
    <row r="961" spans="1:4" x14ac:dyDescent="0.25">
      <c r="A961" s="1">
        <v>46162</v>
      </c>
      <c r="B961" s="3" t="s">
        <v>90</v>
      </c>
      <c r="C961" s="3">
        <v>44.8812</v>
      </c>
      <c r="D961" s="6"/>
    </row>
    <row r="962" spans="1:4" x14ac:dyDescent="0.25">
      <c r="A962" s="1">
        <v>46162</v>
      </c>
      <c r="B962" s="3" t="s">
        <v>91</v>
      </c>
      <c r="C962" s="3">
        <v>54.4039</v>
      </c>
      <c r="D962" s="6"/>
    </row>
    <row r="963" spans="1:4" x14ac:dyDescent="0.25">
      <c r="A963" s="1">
        <v>46162</v>
      </c>
      <c r="B963" s="3" t="s">
        <v>92</v>
      </c>
      <c r="C963" s="3">
        <v>51.375500000000002</v>
      </c>
      <c r="D963" s="6"/>
    </row>
    <row r="964" spans="1:4" x14ac:dyDescent="0.25">
      <c r="A964" s="1">
        <v>46162</v>
      </c>
      <c r="B964" s="3" t="s">
        <v>93</v>
      </c>
      <c r="C964" s="3">
        <v>50.102800000000002</v>
      </c>
      <c r="D964" s="6"/>
    </row>
    <row r="965" spans="1:4" x14ac:dyDescent="0.25">
      <c r="A965" s="1">
        <v>46162</v>
      </c>
      <c r="B965" s="3" t="s">
        <v>94</v>
      </c>
      <c r="C965" s="3">
        <v>47.969099999999997</v>
      </c>
      <c r="D965" s="6"/>
    </row>
    <row r="966" spans="1:4" x14ac:dyDescent="0.25">
      <c r="A966" s="1">
        <v>46162</v>
      </c>
      <c r="B966" s="3" t="s">
        <v>95</v>
      </c>
      <c r="C966" s="3">
        <v>44.997500000000002</v>
      </c>
      <c r="D966" s="6"/>
    </row>
    <row r="967" spans="1:4" x14ac:dyDescent="0.25">
      <c r="A967" s="1">
        <v>46162</v>
      </c>
      <c r="B967" s="3" t="s">
        <v>14</v>
      </c>
      <c r="C967" s="3">
        <v>45.708399999999997</v>
      </c>
      <c r="D967" s="6"/>
    </row>
    <row r="968" spans="1:4" x14ac:dyDescent="0.25">
      <c r="A968" s="1">
        <v>46162</v>
      </c>
      <c r="B968" s="3" t="s">
        <v>15</v>
      </c>
      <c r="C968" s="3">
        <v>44.953099999999999</v>
      </c>
      <c r="D968" s="6"/>
    </row>
    <row r="969" spans="1:4" x14ac:dyDescent="0.25">
      <c r="A969" s="1">
        <v>46162</v>
      </c>
      <c r="B969" s="3" t="s">
        <v>16</v>
      </c>
      <c r="C969" s="3">
        <v>44.027799999999999</v>
      </c>
      <c r="D969" s="6"/>
    </row>
    <row r="970" spans="1:4" x14ac:dyDescent="0.25">
      <c r="A970" s="1">
        <v>46162</v>
      </c>
      <c r="B970" s="3" t="s">
        <v>20</v>
      </c>
      <c r="C970" s="3">
        <v>46.371299999999998</v>
      </c>
      <c r="D970" s="6"/>
    </row>
    <row r="971" spans="1:4" x14ac:dyDescent="0.25">
      <c r="A971" s="1">
        <v>46162</v>
      </c>
      <c r="B971" s="3" t="s">
        <v>17</v>
      </c>
      <c r="C971" s="3">
        <v>45.907800000000002</v>
      </c>
      <c r="D971" s="6"/>
    </row>
    <row r="972" spans="1:4" x14ac:dyDescent="0.25">
      <c r="A972" s="1">
        <v>46162</v>
      </c>
      <c r="B972" s="3" t="s">
        <v>18</v>
      </c>
      <c r="C972" s="3">
        <v>45.5304</v>
      </c>
      <c r="D972" s="6"/>
    </row>
    <row r="973" spans="1:4" x14ac:dyDescent="0.25">
      <c r="A973" s="1">
        <v>46162</v>
      </c>
      <c r="B973" s="3" t="s">
        <v>19</v>
      </c>
      <c r="C973" s="3">
        <v>45.427700000000002</v>
      </c>
      <c r="D973" s="6"/>
    </row>
    <row r="974" spans="1:4" x14ac:dyDescent="0.25">
      <c r="A974" s="1">
        <v>46162</v>
      </c>
      <c r="B974" s="3" t="s">
        <v>117</v>
      </c>
      <c r="C974" s="3">
        <v>58.500300000000003</v>
      </c>
      <c r="D974" s="6"/>
    </row>
    <row r="975" spans="1:4" x14ac:dyDescent="0.25">
      <c r="A975" s="1">
        <v>46162</v>
      </c>
      <c r="B975" s="3" t="s">
        <v>118</v>
      </c>
      <c r="C975" s="3">
        <v>55.703299999999999</v>
      </c>
      <c r="D975" s="6"/>
    </row>
    <row r="976" spans="1:4" x14ac:dyDescent="0.25">
      <c r="A976" s="1">
        <v>46162</v>
      </c>
      <c r="B976" s="3" t="s">
        <v>119</v>
      </c>
      <c r="C976" s="3">
        <v>56.400500000000001</v>
      </c>
      <c r="D976" s="6"/>
    </row>
    <row r="977" spans="1:4" x14ac:dyDescent="0.25">
      <c r="A977" s="1">
        <v>46162</v>
      </c>
      <c r="B977" s="3" t="s">
        <v>120</v>
      </c>
      <c r="C977" s="3">
        <v>56.025399999999998</v>
      </c>
      <c r="D977" s="6"/>
    </row>
    <row r="978" spans="1:4" x14ac:dyDescent="0.25">
      <c r="A978" s="1">
        <v>46162</v>
      </c>
      <c r="B978" s="3" t="s">
        <v>121</v>
      </c>
      <c r="C978" s="3">
        <v>57.020699999999998</v>
      </c>
      <c r="D978" s="6"/>
    </row>
    <row r="979" spans="1:4" x14ac:dyDescent="0.25">
      <c r="A979" s="1">
        <v>46162</v>
      </c>
      <c r="B979" s="3" t="s">
        <v>122</v>
      </c>
      <c r="C979" s="3">
        <v>55.7179</v>
      </c>
      <c r="D979" s="6"/>
    </row>
    <row r="980" spans="1:4" x14ac:dyDescent="0.25">
      <c r="A980" s="1">
        <v>46162</v>
      </c>
      <c r="B980" s="3" t="s">
        <v>123</v>
      </c>
      <c r="C980" s="3">
        <v>55.095500000000001</v>
      </c>
      <c r="D980" s="6"/>
    </row>
    <row r="981" spans="1:4" x14ac:dyDescent="0.25">
      <c r="A981" s="1">
        <v>46162</v>
      </c>
      <c r="B981" s="3" t="s">
        <v>124</v>
      </c>
      <c r="C981" s="3">
        <v>53.977899999999998</v>
      </c>
      <c r="D981" s="6"/>
    </row>
    <row r="982" spans="1:4" x14ac:dyDescent="0.25">
      <c r="A982" s="1">
        <v>46162</v>
      </c>
      <c r="B982" s="3" t="s">
        <v>125</v>
      </c>
      <c r="C982" s="3">
        <v>52.9084</v>
      </c>
      <c r="D982" s="6"/>
    </row>
    <row r="983" spans="1:4" x14ac:dyDescent="0.25">
      <c r="A983" s="1">
        <v>46163.458333333336</v>
      </c>
      <c r="B983" s="6" t="s">
        <v>86</v>
      </c>
      <c r="C983" s="3">
        <v>50.381399999999999</v>
      </c>
      <c r="D983" s="6"/>
    </row>
    <row r="984" spans="1:4" x14ac:dyDescent="0.25">
      <c r="A984" s="1">
        <v>46163.458333333336</v>
      </c>
      <c r="B984" s="3" t="s">
        <v>87</v>
      </c>
      <c r="C984" s="3">
        <v>48.870199999999997</v>
      </c>
      <c r="D984" s="6"/>
    </row>
    <row r="985" spans="1:4" x14ac:dyDescent="0.25">
      <c r="A985" s="1">
        <v>46163.458333333336</v>
      </c>
      <c r="B985" s="3" t="s">
        <v>88</v>
      </c>
      <c r="C985" s="3">
        <v>48.212800000000001</v>
      </c>
      <c r="D985" s="6"/>
    </row>
    <row r="986" spans="1:4" x14ac:dyDescent="0.25">
      <c r="A986" s="1">
        <v>46163.458333333336</v>
      </c>
      <c r="B986" s="3" t="s">
        <v>89</v>
      </c>
      <c r="C986" s="3">
        <v>46.948500000000003</v>
      </c>
      <c r="D986" s="6"/>
    </row>
    <row r="987" spans="1:4" x14ac:dyDescent="0.25">
      <c r="A987" s="1">
        <v>46163.458333333336</v>
      </c>
      <c r="B987" s="3" t="s">
        <v>90</v>
      </c>
      <c r="C987" s="3">
        <v>44.881100000000004</v>
      </c>
      <c r="D987" s="6"/>
    </row>
    <row r="988" spans="1:4" x14ac:dyDescent="0.25">
      <c r="A988" s="1">
        <v>46163.458333333336</v>
      </c>
      <c r="B988" s="3" t="s">
        <v>91</v>
      </c>
      <c r="C988" s="3">
        <v>54.4041</v>
      </c>
      <c r="D988" s="6"/>
    </row>
    <row r="989" spans="1:4" x14ac:dyDescent="0.25">
      <c r="A989" s="1">
        <v>46163.458333333336</v>
      </c>
      <c r="B989" s="3" t="s">
        <v>92</v>
      </c>
      <c r="C989" s="3">
        <v>51.375700000000002</v>
      </c>
      <c r="D989" s="6"/>
    </row>
    <row r="990" spans="1:4" x14ac:dyDescent="0.25">
      <c r="A990" s="1">
        <v>46163.458333333336</v>
      </c>
      <c r="B990" s="3" t="s">
        <v>93</v>
      </c>
      <c r="C990" s="3">
        <v>50.103000000000002</v>
      </c>
      <c r="D990" s="6"/>
    </row>
    <row r="991" spans="1:4" x14ac:dyDescent="0.25">
      <c r="A991" s="1">
        <v>46163.458333333336</v>
      </c>
      <c r="B991" s="3" t="s">
        <v>94</v>
      </c>
      <c r="C991" s="3">
        <v>47.9694</v>
      </c>
      <c r="D991" s="6"/>
    </row>
    <row r="992" spans="1:4" x14ac:dyDescent="0.25">
      <c r="A992" s="1">
        <v>46163.458333333336</v>
      </c>
      <c r="B992" s="3" t="s">
        <v>95</v>
      </c>
      <c r="C992" s="3">
        <v>44.997599999999998</v>
      </c>
      <c r="D992" s="6"/>
    </row>
    <row r="993" spans="1:4" x14ac:dyDescent="0.25">
      <c r="A993" s="1">
        <v>46163</v>
      </c>
      <c r="B993" s="3" t="s">
        <v>111</v>
      </c>
      <c r="C993" s="3">
        <v>67.025300000000001</v>
      </c>
      <c r="D993" s="6"/>
    </row>
    <row r="994" spans="1:4" x14ac:dyDescent="0.25">
      <c r="A994" s="1">
        <v>46163</v>
      </c>
      <c r="B994" s="3" t="s">
        <v>112</v>
      </c>
      <c r="C994" s="3">
        <v>63.258899999999997</v>
      </c>
      <c r="D994" s="6"/>
    </row>
    <row r="995" spans="1:4" x14ac:dyDescent="0.25">
      <c r="A995" s="1">
        <v>46163</v>
      </c>
      <c r="B995" s="3" t="s">
        <v>113</v>
      </c>
      <c r="C995" s="3">
        <v>62.104900000000001</v>
      </c>
      <c r="D995" s="6"/>
    </row>
    <row r="996" spans="1:4" x14ac:dyDescent="0.25">
      <c r="A996" s="1">
        <v>46163</v>
      </c>
      <c r="B996" s="3" t="s">
        <v>114</v>
      </c>
      <c r="C996" s="3">
        <v>63.3033</v>
      </c>
      <c r="D996" s="6"/>
    </row>
    <row r="997" spans="1:4" x14ac:dyDescent="0.25">
      <c r="A997" s="1">
        <v>46163</v>
      </c>
      <c r="B997" s="3" t="s">
        <v>115</v>
      </c>
      <c r="C997" s="3">
        <v>65.752300000000005</v>
      </c>
      <c r="D997" s="6"/>
    </row>
    <row r="998" spans="1:4" x14ac:dyDescent="0.25">
      <c r="A998" s="1">
        <v>46163</v>
      </c>
      <c r="B998" s="3" t="s">
        <v>117</v>
      </c>
      <c r="C998" s="17">
        <v>58.500300000000003</v>
      </c>
      <c r="D998" s="6"/>
    </row>
    <row r="999" spans="1:4" x14ac:dyDescent="0.25">
      <c r="A999" s="1">
        <v>46163</v>
      </c>
      <c r="B999" s="3" t="s">
        <v>118</v>
      </c>
      <c r="C999" s="17">
        <v>55.703200000000002</v>
      </c>
      <c r="D999" s="6"/>
    </row>
    <row r="1000" spans="1:4" x14ac:dyDescent="0.25">
      <c r="A1000" s="1">
        <v>46163</v>
      </c>
      <c r="B1000" s="3" t="s">
        <v>119</v>
      </c>
      <c r="C1000" s="17">
        <v>56.400599999999997</v>
      </c>
      <c r="D1000" s="6"/>
    </row>
    <row r="1001" spans="1:4" x14ac:dyDescent="0.25">
      <c r="A1001" s="1">
        <v>46163</v>
      </c>
      <c r="B1001" s="3" t="s">
        <v>120</v>
      </c>
      <c r="C1001" s="17">
        <v>56.025599999999997</v>
      </c>
      <c r="D1001" s="6"/>
    </row>
    <row r="1002" spans="1:4" x14ac:dyDescent="0.25">
      <c r="A1002" s="1">
        <v>46163</v>
      </c>
      <c r="B1002" s="3" t="s">
        <v>121</v>
      </c>
      <c r="C1002" s="17">
        <v>57.020899999999997</v>
      </c>
      <c r="D1002" s="6"/>
    </row>
    <row r="1003" spans="1:4" x14ac:dyDescent="0.25">
      <c r="A1003" s="1">
        <v>46163</v>
      </c>
      <c r="B1003" s="3" t="s">
        <v>122</v>
      </c>
      <c r="C1003" s="17">
        <v>55.718400000000003</v>
      </c>
      <c r="D1003" s="6"/>
    </row>
    <row r="1004" spans="1:4" x14ac:dyDescent="0.25">
      <c r="A1004" s="1">
        <v>46163</v>
      </c>
      <c r="B1004" s="3" t="s">
        <v>123</v>
      </c>
      <c r="C1004" s="17">
        <v>55.096200000000003</v>
      </c>
      <c r="D1004" s="6"/>
    </row>
    <row r="1005" spans="1:4" x14ac:dyDescent="0.25">
      <c r="A1005" s="1">
        <v>46163</v>
      </c>
      <c r="B1005" s="3" t="s">
        <v>124</v>
      </c>
      <c r="C1005" s="17">
        <v>53.9786</v>
      </c>
      <c r="D1005" s="6"/>
    </row>
    <row r="1006" spans="1:4" x14ac:dyDescent="0.25">
      <c r="A1006" s="1">
        <v>46163</v>
      </c>
      <c r="B1006" s="3" t="s">
        <v>125</v>
      </c>
      <c r="C1006" s="17">
        <v>52.909300000000002</v>
      </c>
      <c r="D1006" s="6"/>
    </row>
    <row r="1007" spans="1:4" x14ac:dyDescent="0.25">
      <c r="A1007" s="1">
        <v>46163</v>
      </c>
      <c r="B1007" s="3" t="s">
        <v>126</v>
      </c>
      <c r="C1007" s="17">
        <v>54.964599999999997</v>
      </c>
      <c r="D1007" s="6"/>
    </row>
    <row r="1008" spans="1:4" x14ac:dyDescent="0.25">
      <c r="A1008" s="1">
        <v>46163</v>
      </c>
      <c r="B1008" s="3" t="s">
        <v>127</v>
      </c>
      <c r="C1008" s="17">
        <v>54.555300000000003</v>
      </c>
      <c r="D1008" s="6"/>
    </row>
    <row r="1009" spans="1:4" x14ac:dyDescent="0.25">
      <c r="A1009" s="1">
        <v>46163</v>
      </c>
      <c r="B1009" s="3" t="s">
        <v>128</v>
      </c>
      <c r="C1009" s="17">
        <v>54.525399999999998</v>
      </c>
      <c r="D1009" s="6"/>
    </row>
    <row r="1010" spans="1:4" x14ac:dyDescent="0.25">
      <c r="A1010" s="1">
        <v>46163</v>
      </c>
      <c r="B1010" s="3" t="s">
        <v>129</v>
      </c>
      <c r="C1010" s="17">
        <v>54.4392</v>
      </c>
      <c r="D1010" s="6"/>
    </row>
    <row r="1011" spans="1:4" x14ac:dyDescent="0.25">
      <c r="A1011" s="1">
        <v>46163</v>
      </c>
      <c r="B1011" s="3" t="s">
        <v>130</v>
      </c>
      <c r="C1011" s="17">
        <v>52.909300000000002</v>
      </c>
      <c r="D1011" s="6"/>
    </row>
    <row r="1012" spans="1:4" x14ac:dyDescent="0.25">
      <c r="A1012" s="1">
        <v>46164</v>
      </c>
      <c r="B1012" s="6" t="s">
        <v>97</v>
      </c>
      <c r="C1012" s="3">
        <v>65.428600000000003</v>
      </c>
    </row>
    <row r="1013" spans="1:4" x14ac:dyDescent="0.25">
      <c r="A1013" s="1">
        <v>46164</v>
      </c>
      <c r="B1013" s="6" t="s">
        <v>98</v>
      </c>
      <c r="C1013" s="3">
        <v>58.252600000000001</v>
      </c>
    </row>
    <row r="1014" spans="1:4" x14ac:dyDescent="0.25">
      <c r="A1014" s="1">
        <v>46164</v>
      </c>
      <c r="B1014" s="6" t="s">
        <v>99</v>
      </c>
      <c r="C1014" s="3">
        <v>53.565300000000001</v>
      </c>
    </row>
    <row r="1015" spans="1:4" x14ac:dyDescent="0.25">
      <c r="A1015" s="1">
        <v>46164</v>
      </c>
      <c r="B1015" s="6" t="s">
        <v>100</v>
      </c>
      <c r="C1015" s="3">
        <v>50.588999999999999</v>
      </c>
    </row>
    <row r="1016" spans="1:4" x14ac:dyDescent="0.25">
      <c r="A1016" s="1">
        <v>46164</v>
      </c>
      <c r="B1016" s="6" t="s">
        <v>91</v>
      </c>
      <c r="C1016" s="3">
        <v>54.403799999999997</v>
      </c>
    </row>
    <row r="1017" spans="1:4" x14ac:dyDescent="0.25">
      <c r="A1017" s="1">
        <v>46164</v>
      </c>
      <c r="B1017" s="3" t="s">
        <v>92</v>
      </c>
      <c r="C1017" s="3">
        <v>51.375799999999998</v>
      </c>
    </row>
    <row r="1018" spans="1:4" x14ac:dyDescent="0.25">
      <c r="A1018" s="1">
        <v>46164</v>
      </c>
      <c r="B1018" s="3" t="s">
        <v>93</v>
      </c>
      <c r="C1018" s="3">
        <v>50.103000000000002</v>
      </c>
    </row>
    <row r="1019" spans="1:4" x14ac:dyDescent="0.25">
      <c r="A1019" s="1">
        <v>46164</v>
      </c>
      <c r="B1019" s="3" t="s">
        <v>94</v>
      </c>
      <c r="C1019" s="3">
        <v>47.9694</v>
      </c>
    </row>
    <row r="1020" spans="1:4" x14ac:dyDescent="0.25">
      <c r="A1020" s="1">
        <v>46164</v>
      </c>
      <c r="B1020" s="3" t="s">
        <v>95</v>
      </c>
      <c r="C1020" s="3">
        <v>44.997700000000002</v>
      </c>
    </row>
    <row r="1021" spans="1:4" x14ac:dyDescent="0.25">
      <c r="A1021" s="1">
        <v>46167</v>
      </c>
      <c r="B1021" s="3" t="s">
        <v>97</v>
      </c>
      <c r="C1021" s="3">
        <v>65.427700000000002</v>
      </c>
    </row>
    <row r="1022" spans="1:4" x14ac:dyDescent="0.25">
      <c r="A1022" s="1">
        <v>46167</v>
      </c>
      <c r="B1022" s="3" t="s">
        <v>98</v>
      </c>
      <c r="C1022" s="3">
        <v>58.252200000000002</v>
      </c>
    </row>
    <row r="1023" spans="1:4" x14ac:dyDescent="0.25">
      <c r="A1023" s="1">
        <v>46167</v>
      </c>
      <c r="B1023" s="3" t="s">
        <v>99</v>
      </c>
      <c r="C1023" s="3">
        <v>53.564999999999998</v>
      </c>
    </row>
    <row r="1024" spans="1:4" x14ac:dyDescent="0.25">
      <c r="A1024" s="1">
        <v>46167</v>
      </c>
      <c r="B1024" s="3" t="s">
        <v>100</v>
      </c>
      <c r="C1024" s="3">
        <v>50.589100000000002</v>
      </c>
    </row>
    <row r="1025" spans="1:4" x14ac:dyDescent="0.25">
      <c r="A1025" s="1">
        <v>46167</v>
      </c>
      <c r="B1025" s="3" t="s">
        <v>91</v>
      </c>
      <c r="C1025" s="3">
        <v>54.403700000000001</v>
      </c>
    </row>
    <row r="1026" spans="1:4" x14ac:dyDescent="0.25">
      <c r="A1026" s="1">
        <v>46167</v>
      </c>
      <c r="B1026" s="3" t="s">
        <v>92</v>
      </c>
      <c r="C1026" s="3">
        <v>51.375599999999999</v>
      </c>
    </row>
    <row r="1027" spans="1:4" x14ac:dyDescent="0.25">
      <c r="A1027" s="1">
        <v>46167</v>
      </c>
      <c r="B1027" s="3" t="s">
        <v>93</v>
      </c>
      <c r="C1027" s="3">
        <v>50.102600000000002</v>
      </c>
    </row>
    <row r="1028" spans="1:4" x14ac:dyDescent="0.25">
      <c r="A1028" s="1">
        <v>46167</v>
      </c>
      <c r="B1028" s="3" t="s">
        <v>94</v>
      </c>
      <c r="C1028" s="3">
        <v>47.968899999999998</v>
      </c>
    </row>
    <row r="1029" spans="1:4" x14ac:dyDescent="0.25">
      <c r="A1029" s="1">
        <v>46167</v>
      </c>
      <c r="B1029" s="3" t="s">
        <v>95</v>
      </c>
      <c r="C1029" s="3">
        <v>44.997599999999998</v>
      </c>
    </row>
    <row r="1030" spans="1:4" x14ac:dyDescent="0.25">
      <c r="A1030" s="1">
        <v>46168</v>
      </c>
      <c r="B1030" s="3" t="s">
        <v>86</v>
      </c>
      <c r="C1030" s="3">
        <v>50.380800000000001</v>
      </c>
      <c r="D1030" s="6"/>
    </row>
    <row r="1031" spans="1:4" x14ac:dyDescent="0.25">
      <c r="A1031" s="1">
        <v>46168</v>
      </c>
      <c r="B1031" s="3" t="s">
        <v>87</v>
      </c>
      <c r="C1031" s="3">
        <v>48.87</v>
      </c>
      <c r="D1031" s="6"/>
    </row>
    <row r="1032" spans="1:4" x14ac:dyDescent="0.25">
      <c r="A1032" s="1">
        <v>46168</v>
      </c>
      <c r="B1032" s="3" t="s">
        <v>88</v>
      </c>
      <c r="C1032" s="3">
        <v>48.212499999999999</v>
      </c>
      <c r="D1032" s="6"/>
    </row>
    <row r="1033" spans="1:4" x14ac:dyDescent="0.25">
      <c r="A1033" s="1">
        <v>46168</v>
      </c>
      <c r="B1033" s="3" t="s">
        <v>89</v>
      </c>
      <c r="C1033" s="3">
        <v>46.948300000000003</v>
      </c>
      <c r="D1033" s="6"/>
    </row>
    <row r="1034" spans="1:4" x14ac:dyDescent="0.25">
      <c r="A1034" s="1">
        <v>46168</v>
      </c>
      <c r="B1034" s="3" t="s">
        <v>90</v>
      </c>
      <c r="C1034" s="3">
        <v>44.881100000000004</v>
      </c>
      <c r="D1034" s="6"/>
    </row>
    <row r="1035" spans="1:4" x14ac:dyDescent="0.25">
      <c r="A1035" s="1">
        <v>46168</v>
      </c>
      <c r="B1035" s="3" t="s">
        <v>91</v>
      </c>
      <c r="C1035" s="3">
        <v>54.403399999999998</v>
      </c>
      <c r="D1035" s="6"/>
    </row>
    <row r="1036" spans="1:4" x14ac:dyDescent="0.25">
      <c r="A1036" s="1">
        <v>46168</v>
      </c>
      <c r="B1036" s="3" t="s">
        <v>92</v>
      </c>
      <c r="C1036" s="3">
        <v>51.375599999999999</v>
      </c>
      <c r="D1036" s="6"/>
    </row>
    <row r="1037" spans="1:4" x14ac:dyDescent="0.25">
      <c r="A1037" s="1">
        <v>46168</v>
      </c>
      <c r="B1037" s="3" t="s">
        <v>93</v>
      </c>
      <c r="C1037" s="3">
        <v>50.102800000000002</v>
      </c>
      <c r="D1037" s="6"/>
    </row>
    <row r="1038" spans="1:4" x14ac:dyDescent="0.25">
      <c r="A1038" s="1">
        <v>46168</v>
      </c>
      <c r="B1038" s="3" t="s">
        <v>94</v>
      </c>
      <c r="C1038" s="3">
        <v>47.969299999999997</v>
      </c>
      <c r="D1038" s="6"/>
    </row>
    <row r="1039" spans="1:4" x14ac:dyDescent="0.25">
      <c r="A1039" s="1">
        <v>46168</v>
      </c>
      <c r="B1039" s="3" t="s">
        <v>95</v>
      </c>
      <c r="C1039" s="3">
        <v>44.997700000000002</v>
      </c>
      <c r="D1039" s="6"/>
    </row>
    <row r="1040" spans="1:4" x14ac:dyDescent="0.25">
      <c r="A1040" s="1">
        <v>46168</v>
      </c>
      <c r="B1040" s="3" t="s">
        <v>117</v>
      </c>
      <c r="C1040" s="3">
        <v>58.5002</v>
      </c>
      <c r="D1040" s="6"/>
    </row>
    <row r="1041" spans="1:4" x14ac:dyDescent="0.25">
      <c r="A1041" s="1">
        <v>46168</v>
      </c>
      <c r="B1041" s="3" t="s">
        <v>118</v>
      </c>
      <c r="C1041" s="3">
        <v>55.703000000000003</v>
      </c>
      <c r="D1041" s="6"/>
    </row>
    <row r="1042" spans="1:4" x14ac:dyDescent="0.25">
      <c r="A1042" s="1">
        <v>46168</v>
      </c>
      <c r="B1042" s="3" t="s">
        <v>119</v>
      </c>
      <c r="C1042" s="3">
        <v>56.400500000000001</v>
      </c>
      <c r="D1042" s="6"/>
    </row>
    <row r="1043" spans="1:4" x14ac:dyDescent="0.25">
      <c r="A1043" s="1">
        <v>46168</v>
      </c>
      <c r="B1043" s="3" t="s">
        <v>120</v>
      </c>
      <c r="C1043" s="3">
        <v>56.025799999999997</v>
      </c>
      <c r="D1043" s="6"/>
    </row>
    <row r="1044" spans="1:4" x14ac:dyDescent="0.25">
      <c r="A1044" s="1">
        <v>46168</v>
      </c>
      <c r="B1044" s="3" t="s">
        <v>121</v>
      </c>
      <c r="C1044" s="3">
        <v>57.020600000000002</v>
      </c>
      <c r="D1044" s="6"/>
    </row>
    <row r="1045" spans="1:4" x14ac:dyDescent="0.25">
      <c r="A1045" s="1">
        <v>46168</v>
      </c>
      <c r="B1045" s="3" t="s">
        <v>122</v>
      </c>
      <c r="C1045" s="3">
        <v>55.7181</v>
      </c>
      <c r="D1045" s="6"/>
    </row>
    <row r="1046" spans="1:4" x14ac:dyDescent="0.25">
      <c r="A1046" s="1">
        <v>46168</v>
      </c>
      <c r="B1046" s="3" t="s">
        <v>123</v>
      </c>
      <c r="C1046" s="3">
        <v>55.095700000000001</v>
      </c>
      <c r="D1046" s="6"/>
    </row>
    <row r="1047" spans="1:4" x14ac:dyDescent="0.25">
      <c r="A1047" s="1">
        <v>46168</v>
      </c>
      <c r="B1047" s="3" t="s">
        <v>124</v>
      </c>
      <c r="C1047" s="3">
        <v>53.978299999999997</v>
      </c>
      <c r="D1047" s="6"/>
    </row>
    <row r="1048" spans="1:4" x14ac:dyDescent="0.25">
      <c r="A1048" s="1">
        <v>46168</v>
      </c>
      <c r="B1048" s="3" t="s">
        <v>125</v>
      </c>
      <c r="C1048" s="3">
        <v>52.909100000000002</v>
      </c>
      <c r="D1048" s="6"/>
    </row>
    <row r="1049" spans="1:4" x14ac:dyDescent="0.25">
      <c r="A1049" s="1">
        <v>46168</v>
      </c>
      <c r="B1049" s="3" t="s">
        <v>126</v>
      </c>
      <c r="C1049" s="3">
        <v>54.964399999999998</v>
      </c>
      <c r="D1049" s="6"/>
    </row>
    <row r="1050" spans="1:4" x14ac:dyDescent="0.25">
      <c r="A1050" s="1">
        <v>46168</v>
      </c>
      <c r="B1050" s="3" t="s">
        <v>127</v>
      </c>
      <c r="C1050" s="3">
        <v>54.555</v>
      </c>
      <c r="D1050" s="6"/>
    </row>
    <row r="1051" spans="1:4" x14ac:dyDescent="0.25">
      <c r="A1051" s="1">
        <v>46168</v>
      </c>
      <c r="B1051" s="3" t="s">
        <v>128</v>
      </c>
      <c r="C1051" s="3">
        <v>54.525199999999998</v>
      </c>
      <c r="D1051" s="6"/>
    </row>
    <row r="1052" spans="1:4" x14ac:dyDescent="0.25">
      <c r="A1052" s="1">
        <v>46168</v>
      </c>
      <c r="B1052" s="3" t="s">
        <v>129</v>
      </c>
      <c r="C1052" s="3">
        <v>54.438800000000001</v>
      </c>
      <c r="D1052" s="6"/>
    </row>
    <row r="1053" spans="1:4" x14ac:dyDescent="0.25">
      <c r="A1053" s="1">
        <v>46168</v>
      </c>
      <c r="B1053" s="3" t="s">
        <v>130</v>
      </c>
      <c r="C1053" s="3">
        <v>52.909100000000002</v>
      </c>
      <c r="D1053" s="6"/>
    </row>
    <row r="1054" spans="1:4" x14ac:dyDescent="0.25">
      <c r="A1054" s="1">
        <v>46168</v>
      </c>
      <c r="B1054" s="3" t="s">
        <v>131</v>
      </c>
      <c r="C1054" s="3">
        <v>51.273400000000002</v>
      </c>
      <c r="D1054" s="6"/>
    </row>
    <row r="1055" spans="1:4" x14ac:dyDescent="0.25">
      <c r="A1055" s="1">
        <v>46168</v>
      </c>
      <c r="B1055" s="3" t="s">
        <v>132</v>
      </c>
      <c r="C1055" s="3">
        <v>50.818199999999997</v>
      </c>
      <c r="D1055" s="6"/>
    </row>
    <row r="1056" spans="1:4" x14ac:dyDescent="0.25">
      <c r="A1056" s="1">
        <v>46168</v>
      </c>
      <c r="B1056" s="3" t="s">
        <v>133</v>
      </c>
      <c r="C1056" s="3">
        <v>50.578499999999998</v>
      </c>
      <c r="D1056" s="6"/>
    </row>
    <row r="1057" spans="1:4" x14ac:dyDescent="0.25">
      <c r="A1057" s="1">
        <v>46168</v>
      </c>
      <c r="B1057" s="3" t="s">
        <v>134</v>
      </c>
      <c r="C1057" s="3">
        <v>50.112099999999998</v>
      </c>
      <c r="D1057" s="6"/>
    </row>
    <row r="1058" spans="1:4" x14ac:dyDescent="0.25">
      <c r="A1058" s="1">
        <v>46168</v>
      </c>
      <c r="B1058" s="3" t="s">
        <v>135</v>
      </c>
      <c r="C1058" s="3">
        <v>49.764800000000001</v>
      </c>
      <c r="D1058" s="6"/>
    </row>
    <row r="1059" spans="1:4" x14ac:dyDescent="0.25">
      <c r="A1059" s="1">
        <v>46168</v>
      </c>
      <c r="B1059" s="3" t="s">
        <v>97</v>
      </c>
      <c r="C1059">
        <v>65.427400000000006</v>
      </c>
    </row>
    <row r="1060" spans="1:4" x14ac:dyDescent="0.25">
      <c r="A1060" s="1">
        <v>46168</v>
      </c>
      <c r="B1060" s="3" t="s">
        <v>98</v>
      </c>
      <c r="C1060">
        <v>58.252099999999999</v>
      </c>
    </row>
    <row r="1061" spans="1:4" x14ac:dyDescent="0.25">
      <c r="A1061" s="1">
        <v>46168</v>
      </c>
      <c r="B1061" s="3" t="s">
        <v>99</v>
      </c>
      <c r="C1061">
        <v>53.564900000000002</v>
      </c>
    </row>
    <row r="1062" spans="1:4" x14ac:dyDescent="0.25">
      <c r="A1062" s="1">
        <v>46168</v>
      </c>
      <c r="B1062" s="3" t="s">
        <v>100</v>
      </c>
      <c r="C1062">
        <v>50.588999999999999</v>
      </c>
    </row>
    <row r="1063" spans="1:4" x14ac:dyDescent="0.25">
      <c r="A1063" s="1">
        <v>46168</v>
      </c>
      <c r="B1063" s="3" t="s">
        <v>101</v>
      </c>
      <c r="C1063">
        <v>76.384799999999998</v>
      </c>
    </row>
    <row r="1064" spans="1:4" x14ac:dyDescent="0.25">
      <c r="A1064" s="1">
        <v>46168</v>
      </c>
      <c r="B1064" s="3" t="s">
        <v>102</v>
      </c>
      <c r="C1064">
        <v>68.103200000000001</v>
      </c>
    </row>
    <row r="1065" spans="1:4" x14ac:dyDescent="0.25">
      <c r="A1065" s="1">
        <v>46168</v>
      </c>
      <c r="B1065" s="3" t="s">
        <v>103</v>
      </c>
      <c r="C1065">
        <v>68.021299999999997</v>
      </c>
    </row>
    <row r="1066" spans="1:4" x14ac:dyDescent="0.25">
      <c r="A1066" s="1">
        <v>46168</v>
      </c>
      <c r="B1066" s="3" t="s">
        <v>104</v>
      </c>
      <c r="C1066">
        <v>61.176400000000001</v>
      </c>
    </row>
    <row r="1067" spans="1:4" x14ac:dyDescent="0.25">
      <c r="A1067" s="1">
        <v>46168</v>
      </c>
      <c r="B1067" s="3" t="s">
        <v>105</v>
      </c>
      <c r="C1067">
        <v>55.573799999999999</v>
      </c>
    </row>
    <row r="1068" spans="1:4" x14ac:dyDescent="0.25">
      <c r="A1068" s="1">
        <v>46169</v>
      </c>
      <c r="B1068" s="3" t="s">
        <v>14</v>
      </c>
      <c r="C1068">
        <v>45.707599999999999</v>
      </c>
    </row>
    <row r="1069" spans="1:4" x14ac:dyDescent="0.25">
      <c r="A1069" s="1">
        <v>46169</v>
      </c>
      <c r="B1069" s="3" t="s">
        <v>15</v>
      </c>
      <c r="C1069">
        <v>44.953800000000001</v>
      </c>
    </row>
    <row r="1070" spans="1:4" x14ac:dyDescent="0.25">
      <c r="A1070" s="1">
        <v>46169</v>
      </c>
      <c r="B1070" s="3" t="s">
        <v>16</v>
      </c>
      <c r="C1070">
        <v>44.027799999999999</v>
      </c>
    </row>
    <row r="1071" spans="1:4" x14ac:dyDescent="0.25">
      <c r="A1071" s="1">
        <v>46169</v>
      </c>
      <c r="B1071" s="3" t="s">
        <v>20</v>
      </c>
      <c r="C1071">
        <v>46.371099999999998</v>
      </c>
    </row>
    <row r="1072" spans="1:4" x14ac:dyDescent="0.25">
      <c r="A1072" s="1">
        <v>46169</v>
      </c>
      <c r="B1072" s="3" t="s">
        <v>17</v>
      </c>
      <c r="C1072">
        <v>45.907800000000002</v>
      </c>
    </row>
    <row r="1073" spans="1:3" x14ac:dyDescent="0.25">
      <c r="A1073" s="1">
        <v>46169</v>
      </c>
      <c r="B1073" s="3" t="s">
        <v>18</v>
      </c>
      <c r="C1073">
        <v>45.5306</v>
      </c>
    </row>
    <row r="1074" spans="1:3" x14ac:dyDescent="0.25">
      <c r="A1074" s="1">
        <v>46169</v>
      </c>
      <c r="B1074" s="3" t="s">
        <v>19</v>
      </c>
      <c r="C1074">
        <v>45.427799999999998</v>
      </c>
    </row>
    <row r="1075" spans="1:3" x14ac:dyDescent="0.25">
      <c r="A1075" s="1">
        <v>46169</v>
      </c>
      <c r="B1075" s="3" t="s">
        <v>117</v>
      </c>
      <c r="C1075">
        <v>58.499699999999997</v>
      </c>
    </row>
    <row r="1076" spans="1:3" x14ac:dyDescent="0.25">
      <c r="A1076" s="1">
        <v>46169</v>
      </c>
      <c r="B1076" s="3" t="s">
        <v>118</v>
      </c>
      <c r="C1076">
        <v>55.703099999999999</v>
      </c>
    </row>
    <row r="1077" spans="1:3" x14ac:dyDescent="0.25">
      <c r="A1077" s="1">
        <v>46169</v>
      </c>
      <c r="B1077" s="3" t="s">
        <v>119</v>
      </c>
      <c r="C1077">
        <v>56.400700000000001</v>
      </c>
    </row>
    <row r="1078" spans="1:3" x14ac:dyDescent="0.25">
      <c r="A1078" s="1">
        <v>46169</v>
      </c>
      <c r="B1078" s="3" t="s">
        <v>120</v>
      </c>
      <c r="C1078">
        <v>56.0261</v>
      </c>
    </row>
    <row r="1079" spans="1:3" x14ac:dyDescent="0.25">
      <c r="A1079" s="1">
        <v>46169</v>
      </c>
      <c r="B1079" s="3" t="s">
        <v>121</v>
      </c>
      <c r="C1079">
        <v>57.020099999999999</v>
      </c>
    </row>
    <row r="1080" spans="1:3" x14ac:dyDescent="0.25">
      <c r="A1080" s="1">
        <v>46169</v>
      </c>
      <c r="B1080" s="3" t="s">
        <v>122</v>
      </c>
      <c r="C1080">
        <v>55.7179</v>
      </c>
    </row>
    <row r="1081" spans="1:3" x14ac:dyDescent="0.25">
      <c r="A1081" s="1">
        <v>46169</v>
      </c>
      <c r="B1081" s="3" t="s">
        <v>123</v>
      </c>
      <c r="C1081">
        <v>55.095700000000001</v>
      </c>
    </row>
    <row r="1082" spans="1:3" x14ac:dyDescent="0.25">
      <c r="A1082" s="1">
        <v>46169</v>
      </c>
      <c r="B1082" s="3" t="s">
        <v>124</v>
      </c>
      <c r="C1082">
        <v>53.978200000000001</v>
      </c>
    </row>
    <row r="1083" spans="1:3" x14ac:dyDescent="0.25">
      <c r="A1083" s="1">
        <v>46169</v>
      </c>
      <c r="B1083" s="3" t="s">
        <v>125</v>
      </c>
      <c r="C1083">
        <v>52.909100000000002</v>
      </c>
    </row>
    <row r="1084" spans="1:3" x14ac:dyDescent="0.25">
      <c r="A1084" s="1">
        <v>46169</v>
      </c>
      <c r="B1084" s="3" t="s">
        <v>97</v>
      </c>
      <c r="C1084">
        <v>65.427800000000005</v>
      </c>
    </row>
    <row r="1085" spans="1:3" x14ac:dyDescent="0.25">
      <c r="A1085" s="1">
        <v>46169</v>
      </c>
      <c r="B1085" s="3" t="s">
        <v>98</v>
      </c>
      <c r="C1085">
        <v>58.252400000000002</v>
      </c>
    </row>
    <row r="1086" spans="1:3" x14ac:dyDescent="0.25">
      <c r="A1086" s="1">
        <v>46169</v>
      </c>
      <c r="B1086" s="3" t="s">
        <v>99</v>
      </c>
      <c r="C1086">
        <v>53.564999999999998</v>
      </c>
    </row>
    <row r="1087" spans="1:3" x14ac:dyDescent="0.25">
      <c r="A1087" s="1">
        <v>46169</v>
      </c>
      <c r="B1087" s="3" t="s">
        <v>100</v>
      </c>
      <c r="C1087">
        <v>50.589100000000002</v>
      </c>
    </row>
    <row r="1088" spans="1:3" x14ac:dyDescent="0.25">
      <c r="A1088" s="1">
        <v>46169</v>
      </c>
      <c r="B1088" s="3" t="s">
        <v>101</v>
      </c>
      <c r="C1088">
        <v>76.385000000000005</v>
      </c>
    </row>
    <row r="1089" spans="1:3" x14ac:dyDescent="0.25">
      <c r="A1089" s="1">
        <v>46169</v>
      </c>
      <c r="B1089" s="3" t="s">
        <v>102</v>
      </c>
      <c r="C1089">
        <v>68.103700000000003</v>
      </c>
    </row>
    <row r="1090" spans="1:3" x14ac:dyDescent="0.25">
      <c r="A1090" s="1">
        <v>46169</v>
      </c>
      <c r="B1090" s="3" t="s">
        <v>103</v>
      </c>
      <c r="C1090">
        <v>68.021299999999997</v>
      </c>
    </row>
    <row r="1091" spans="1:3" x14ac:dyDescent="0.25">
      <c r="A1091" s="1">
        <v>46169</v>
      </c>
      <c r="B1091" s="3" t="s">
        <v>104</v>
      </c>
      <c r="C1091">
        <v>61.176299999999998</v>
      </c>
    </row>
    <row r="1092" spans="1:3" x14ac:dyDescent="0.25">
      <c r="A1092" s="1">
        <v>46169</v>
      </c>
      <c r="B1092" s="3" t="s">
        <v>105</v>
      </c>
      <c r="C1092">
        <v>55.573900000000002</v>
      </c>
    </row>
    <row r="1093" spans="1:3" x14ac:dyDescent="0.25">
      <c r="A1093" s="1">
        <v>46170</v>
      </c>
      <c r="B1093" s="3" t="s">
        <v>86</v>
      </c>
      <c r="C1093">
        <v>50.381900000000002</v>
      </c>
    </row>
    <row r="1094" spans="1:3" x14ac:dyDescent="0.25">
      <c r="A1094" s="1">
        <v>46170</v>
      </c>
      <c r="B1094" s="3" t="s">
        <v>87</v>
      </c>
      <c r="C1094">
        <v>48.870600000000003</v>
      </c>
    </row>
    <row r="1095" spans="1:3" x14ac:dyDescent="0.25">
      <c r="A1095" s="1">
        <v>46170</v>
      </c>
      <c r="B1095" s="3" t="s">
        <v>88</v>
      </c>
      <c r="C1095">
        <v>48.212899999999998</v>
      </c>
    </row>
    <row r="1096" spans="1:3" x14ac:dyDescent="0.25">
      <c r="A1096" s="1">
        <v>46170</v>
      </c>
      <c r="B1096" s="3" t="s">
        <v>89</v>
      </c>
      <c r="C1096">
        <v>46.948500000000003</v>
      </c>
    </row>
    <row r="1097" spans="1:3" x14ac:dyDescent="0.25">
      <c r="A1097" s="1">
        <v>46170</v>
      </c>
      <c r="B1097" s="3" t="s">
        <v>90</v>
      </c>
      <c r="C1097">
        <v>44.8812</v>
      </c>
    </row>
    <row r="1098" spans="1:3" x14ac:dyDescent="0.25">
      <c r="A1098" s="1">
        <v>46170</v>
      </c>
      <c r="B1098" s="3" t="s">
        <v>101</v>
      </c>
      <c r="C1098">
        <v>76.384699999999995</v>
      </c>
    </row>
    <row r="1099" spans="1:3" x14ac:dyDescent="0.25">
      <c r="A1099" s="1">
        <v>46170</v>
      </c>
      <c r="B1099" s="3" t="s">
        <v>102</v>
      </c>
      <c r="C1099">
        <v>68.103700000000003</v>
      </c>
    </row>
    <row r="1100" spans="1:3" x14ac:dyDescent="0.25">
      <c r="A1100" s="1">
        <v>46170</v>
      </c>
      <c r="B1100" s="3" t="s">
        <v>103</v>
      </c>
      <c r="C1100">
        <v>68.021600000000007</v>
      </c>
    </row>
    <row r="1101" spans="1:3" x14ac:dyDescent="0.25">
      <c r="A1101" s="1">
        <v>46170</v>
      </c>
      <c r="B1101" s="3" t="s">
        <v>104</v>
      </c>
      <c r="C1101">
        <v>61.176900000000003</v>
      </c>
    </row>
    <row r="1102" spans="1:3" x14ac:dyDescent="0.25">
      <c r="A1102" s="1">
        <v>46170</v>
      </c>
      <c r="B1102" s="3" t="s">
        <v>105</v>
      </c>
      <c r="C1102">
        <v>55.574300000000001</v>
      </c>
    </row>
    <row r="1103" spans="1:3" x14ac:dyDescent="0.25">
      <c r="A1103" s="1">
        <v>46170</v>
      </c>
      <c r="B1103" s="3" t="s">
        <v>117</v>
      </c>
      <c r="C1103">
        <v>58.4998</v>
      </c>
    </row>
    <row r="1104" spans="1:3" x14ac:dyDescent="0.25">
      <c r="A1104" s="1">
        <v>46170</v>
      </c>
      <c r="B1104" s="3" t="s">
        <v>118</v>
      </c>
      <c r="C1104">
        <v>55.7029</v>
      </c>
    </row>
    <row r="1105" spans="1:3" x14ac:dyDescent="0.25">
      <c r="A1105" s="1">
        <v>46170</v>
      </c>
      <c r="B1105" s="3" t="s">
        <v>119</v>
      </c>
      <c r="C1105">
        <v>56.400399999999998</v>
      </c>
    </row>
    <row r="1106" spans="1:3" x14ac:dyDescent="0.25">
      <c r="A1106" s="1">
        <v>46170</v>
      </c>
      <c r="B1106" s="3" t="s">
        <v>120</v>
      </c>
      <c r="C1106">
        <v>56.025799999999997</v>
      </c>
    </row>
    <row r="1107" spans="1:3" x14ac:dyDescent="0.25">
      <c r="A1107" s="1">
        <v>46170</v>
      </c>
      <c r="B1107" s="3" t="s">
        <v>121</v>
      </c>
      <c r="C1107">
        <v>57.020699999999998</v>
      </c>
    </row>
    <row r="1108" spans="1:3" x14ac:dyDescent="0.25">
      <c r="A1108" s="1">
        <v>46170</v>
      </c>
      <c r="B1108" s="3" t="s">
        <v>122</v>
      </c>
      <c r="C1108">
        <v>55.718499999999999</v>
      </c>
    </row>
    <row r="1109" spans="1:3" x14ac:dyDescent="0.25">
      <c r="A1109" s="1">
        <v>46170</v>
      </c>
      <c r="B1109" s="3" t="s">
        <v>123</v>
      </c>
      <c r="C1109">
        <v>55.0961</v>
      </c>
    </row>
    <row r="1110" spans="1:3" x14ac:dyDescent="0.25">
      <c r="A1110" s="1">
        <v>46170</v>
      </c>
      <c r="B1110" s="3" t="s">
        <v>124</v>
      </c>
      <c r="C1110">
        <v>53.978700000000003</v>
      </c>
    </row>
    <row r="1111" spans="1:3" x14ac:dyDescent="0.25">
      <c r="A1111" s="1">
        <v>46170</v>
      </c>
      <c r="B1111" s="3" t="s">
        <v>125</v>
      </c>
      <c r="C1111">
        <v>52.909700000000001</v>
      </c>
    </row>
    <row r="1112" spans="1:3" x14ac:dyDescent="0.25">
      <c r="A1112" s="1">
        <v>46170</v>
      </c>
      <c r="B1112" s="3" t="s">
        <v>126</v>
      </c>
      <c r="C1112">
        <v>54.964300000000001</v>
      </c>
    </row>
    <row r="1113" spans="1:3" x14ac:dyDescent="0.25">
      <c r="A1113" s="1">
        <v>46170</v>
      </c>
      <c r="B1113" s="3" t="s">
        <v>127</v>
      </c>
      <c r="C1113">
        <v>54.555300000000003</v>
      </c>
    </row>
    <row r="1114" spans="1:3" x14ac:dyDescent="0.25">
      <c r="A1114" s="1">
        <v>46170</v>
      </c>
      <c r="B1114" s="3" t="s">
        <v>128</v>
      </c>
      <c r="C1114">
        <v>54.525500000000001</v>
      </c>
    </row>
    <row r="1115" spans="1:3" x14ac:dyDescent="0.25">
      <c r="A1115" s="1">
        <v>46170</v>
      </c>
      <c r="B1115" s="3" t="s">
        <v>129</v>
      </c>
      <c r="C1115">
        <v>54.439</v>
      </c>
    </row>
    <row r="1116" spans="1:3" x14ac:dyDescent="0.25">
      <c r="A1116" s="1">
        <v>46170</v>
      </c>
      <c r="B1116" s="3" t="s">
        <v>130</v>
      </c>
      <c r="C1116">
        <v>52.909700000000001</v>
      </c>
    </row>
    <row r="1117" spans="1:3" x14ac:dyDescent="0.25">
      <c r="A1117" s="1">
        <v>46171</v>
      </c>
      <c r="B1117" s="3" t="s">
        <v>101</v>
      </c>
      <c r="C1117">
        <v>76.385499999999993</v>
      </c>
    </row>
    <row r="1118" spans="1:3" x14ac:dyDescent="0.25">
      <c r="A1118" s="1">
        <v>46171</v>
      </c>
      <c r="B1118" s="3" t="s">
        <v>102</v>
      </c>
      <c r="C1118">
        <v>68.104299999999995</v>
      </c>
    </row>
    <row r="1119" spans="1:3" x14ac:dyDescent="0.25">
      <c r="A1119" s="1">
        <v>46171</v>
      </c>
      <c r="B1119" s="3" t="s">
        <v>103</v>
      </c>
      <c r="C1119">
        <v>68.022099999999995</v>
      </c>
    </row>
    <row r="1120" spans="1:3" x14ac:dyDescent="0.25">
      <c r="A1120" s="1">
        <v>46171</v>
      </c>
      <c r="B1120" s="3" t="s">
        <v>104</v>
      </c>
      <c r="C1120">
        <v>61.1768</v>
      </c>
    </row>
    <row r="1121" spans="1:3" x14ac:dyDescent="0.25">
      <c r="A1121" s="1">
        <v>46171</v>
      </c>
      <c r="B1121" s="3" t="s">
        <v>105</v>
      </c>
      <c r="C1121">
        <v>55.573500000000003</v>
      </c>
    </row>
    <row r="1122" spans="1:3" x14ac:dyDescent="0.25">
      <c r="A1122" s="1">
        <v>46171</v>
      </c>
      <c r="B1122" s="3" t="s">
        <v>86</v>
      </c>
      <c r="C1122">
        <v>50.382300000000001</v>
      </c>
    </row>
    <row r="1123" spans="1:3" x14ac:dyDescent="0.25">
      <c r="A1123" s="1">
        <v>46171</v>
      </c>
      <c r="B1123" s="3" t="s">
        <v>87</v>
      </c>
      <c r="C1123">
        <v>48.870899999999999</v>
      </c>
    </row>
    <row r="1124" spans="1:3" x14ac:dyDescent="0.25">
      <c r="A1124" s="1">
        <v>46171</v>
      </c>
      <c r="B1124" s="3" t="s">
        <v>88</v>
      </c>
      <c r="C1124">
        <v>48.213099999999997</v>
      </c>
    </row>
    <row r="1125" spans="1:3" x14ac:dyDescent="0.25">
      <c r="A1125" s="1">
        <v>46171</v>
      </c>
      <c r="B1125" s="3" t="s">
        <v>89</v>
      </c>
      <c r="C1125">
        <v>46.948799999999999</v>
      </c>
    </row>
    <row r="1126" spans="1:3" x14ac:dyDescent="0.25">
      <c r="A1126" s="1">
        <v>46171</v>
      </c>
      <c r="B1126" s="3" t="s">
        <v>90</v>
      </c>
      <c r="C1126">
        <v>44.881399999999999</v>
      </c>
    </row>
    <row r="1127" spans="1:3" x14ac:dyDescent="0.25">
      <c r="A1127" s="1">
        <v>46174</v>
      </c>
      <c r="B1127" s="7" t="s">
        <v>86</v>
      </c>
      <c r="C1127">
        <v>50.382199999999997</v>
      </c>
    </row>
    <row r="1128" spans="1:3" x14ac:dyDescent="0.25">
      <c r="A1128" s="1">
        <v>46174</v>
      </c>
      <c r="B1128" s="7" t="s">
        <v>87</v>
      </c>
      <c r="C1128">
        <v>48.870800000000003</v>
      </c>
    </row>
    <row r="1129" spans="1:3" x14ac:dyDescent="0.25">
      <c r="A1129" s="1">
        <v>46174</v>
      </c>
      <c r="B1129" s="7" t="s">
        <v>88</v>
      </c>
      <c r="C1129">
        <v>48.213099999999997</v>
      </c>
    </row>
    <row r="1130" spans="1:3" x14ac:dyDescent="0.25">
      <c r="A1130" s="1">
        <v>46174</v>
      </c>
      <c r="B1130" s="7" t="s">
        <v>89</v>
      </c>
      <c r="C1130">
        <v>46.948599999999999</v>
      </c>
    </row>
    <row r="1131" spans="1:3" x14ac:dyDescent="0.25">
      <c r="A1131" s="1">
        <v>46174</v>
      </c>
      <c r="B1131" s="7" t="s">
        <v>90</v>
      </c>
      <c r="C1131">
        <v>44.881300000000003</v>
      </c>
    </row>
    <row r="1132" spans="1:3" x14ac:dyDescent="0.25">
      <c r="A1132" s="1">
        <v>46174</v>
      </c>
      <c r="B1132" t="s">
        <v>101</v>
      </c>
      <c r="C1132">
        <v>76.385800000000003</v>
      </c>
    </row>
    <row r="1133" spans="1:3" x14ac:dyDescent="0.25">
      <c r="A1133" s="1">
        <v>46174</v>
      </c>
      <c r="B1133" t="s">
        <v>102</v>
      </c>
      <c r="C1133">
        <v>68.104100000000003</v>
      </c>
    </row>
    <row r="1134" spans="1:3" x14ac:dyDescent="0.25">
      <c r="A1134" s="1">
        <v>46174</v>
      </c>
      <c r="B1134" t="s">
        <v>103</v>
      </c>
      <c r="C1134">
        <v>68.021799999999999</v>
      </c>
    </row>
    <row r="1135" spans="1:3" x14ac:dyDescent="0.25">
      <c r="A1135" s="1">
        <v>46174</v>
      </c>
      <c r="B1135" t="s">
        <v>104</v>
      </c>
      <c r="C1135">
        <v>61.177100000000003</v>
      </c>
    </row>
    <row r="1136" spans="1:3" x14ac:dyDescent="0.25">
      <c r="A1136" s="1">
        <v>46174</v>
      </c>
      <c r="B1136" t="s">
        <v>105</v>
      </c>
      <c r="C1136">
        <v>55.573700000000002</v>
      </c>
    </row>
    <row r="1137" spans="1:3" x14ac:dyDescent="0.25">
      <c r="A1137" s="1">
        <v>46175</v>
      </c>
      <c r="B1137" s="3" t="s">
        <v>86</v>
      </c>
      <c r="C1137">
        <v>50.3827</v>
      </c>
    </row>
    <row r="1138" spans="1:3" x14ac:dyDescent="0.25">
      <c r="A1138" s="1">
        <v>46175</v>
      </c>
      <c r="B1138" s="3" t="s">
        <v>87</v>
      </c>
      <c r="C1138">
        <v>48.871000000000002</v>
      </c>
    </row>
    <row r="1139" spans="1:3" x14ac:dyDescent="0.25">
      <c r="A1139" s="1">
        <v>46175</v>
      </c>
      <c r="B1139" s="3" t="s">
        <v>88</v>
      </c>
      <c r="C1139">
        <v>48.213200000000001</v>
      </c>
    </row>
    <row r="1140" spans="1:3" x14ac:dyDescent="0.25">
      <c r="A1140" s="1">
        <v>46175</v>
      </c>
      <c r="B1140" s="3" t="s">
        <v>89</v>
      </c>
      <c r="C1140">
        <v>46.948700000000002</v>
      </c>
    </row>
    <row r="1141" spans="1:3" x14ac:dyDescent="0.25">
      <c r="A1141" s="1">
        <v>46175</v>
      </c>
      <c r="B1141" s="3" t="s">
        <v>90</v>
      </c>
      <c r="C1141">
        <v>44.881300000000003</v>
      </c>
    </row>
    <row r="1142" spans="1:3" x14ac:dyDescent="0.25">
      <c r="A1142" s="1">
        <v>46175</v>
      </c>
      <c r="B1142" s="3" t="s">
        <v>117</v>
      </c>
      <c r="C1142">
        <v>58.500399999999999</v>
      </c>
    </row>
    <row r="1143" spans="1:3" x14ac:dyDescent="0.25">
      <c r="A1143" s="1">
        <v>46175</v>
      </c>
      <c r="B1143" s="3" t="s">
        <v>118</v>
      </c>
      <c r="C1143">
        <v>55.703099999999999</v>
      </c>
    </row>
    <row r="1144" spans="1:3" x14ac:dyDescent="0.25">
      <c r="A1144" s="1">
        <v>46175</v>
      </c>
      <c r="B1144" s="3" t="s">
        <v>119</v>
      </c>
      <c r="C1144">
        <v>56.400399999999998</v>
      </c>
    </row>
    <row r="1145" spans="1:3" x14ac:dyDescent="0.25">
      <c r="A1145" s="1">
        <v>46175</v>
      </c>
      <c r="B1145" s="3" t="s">
        <v>120</v>
      </c>
      <c r="C1145">
        <v>56.025599999999997</v>
      </c>
    </row>
    <row r="1146" spans="1:3" x14ac:dyDescent="0.25">
      <c r="A1146" s="1">
        <v>46175</v>
      </c>
      <c r="B1146" s="3" t="s">
        <v>121</v>
      </c>
      <c r="C1146">
        <v>57.021000000000001</v>
      </c>
    </row>
    <row r="1147" spans="1:3" x14ac:dyDescent="0.25">
      <c r="A1147" s="1">
        <v>46175</v>
      </c>
      <c r="B1147" s="3" t="s">
        <v>122</v>
      </c>
      <c r="C1147">
        <v>55.718000000000004</v>
      </c>
    </row>
    <row r="1148" spans="1:3" x14ac:dyDescent="0.25">
      <c r="A1148" s="1">
        <v>46175</v>
      </c>
      <c r="B1148" s="3" t="s">
        <v>123</v>
      </c>
      <c r="C1148">
        <v>55.095599999999997</v>
      </c>
    </row>
    <row r="1149" spans="1:3" x14ac:dyDescent="0.25">
      <c r="A1149" s="1">
        <v>46175</v>
      </c>
      <c r="B1149" s="3" t="s">
        <v>124</v>
      </c>
      <c r="C1149">
        <v>53.978000000000002</v>
      </c>
    </row>
    <row r="1150" spans="1:3" x14ac:dyDescent="0.25">
      <c r="A1150" s="1">
        <v>46175</v>
      </c>
      <c r="B1150" s="3" t="s">
        <v>125</v>
      </c>
      <c r="C1150">
        <v>52.908799999999999</v>
      </c>
    </row>
    <row r="1151" spans="1:3" x14ac:dyDescent="0.25">
      <c r="A1151" s="1">
        <v>46175</v>
      </c>
      <c r="B1151" s="3" t="s">
        <v>126</v>
      </c>
      <c r="C1151">
        <v>54.964300000000001</v>
      </c>
    </row>
    <row r="1152" spans="1:3" x14ac:dyDescent="0.25">
      <c r="A1152" s="1">
        <v>46175</v>
      </c>
      <c r="B1152" s="3" t="s">
        <v>127</v>
      </c>
      <c r="C1152">
        <v>54.5548</v>
      </c>
    </row>
    <row r="1153" spans="1:3" x14ac:dyDescent="0.25">
      <c r="A1153" s="1">
        <v>46175</v>
      </c>
      <c r="B1153" s="3" t="s">
        <v>128</v>
      </c>
      <c r="C1153">
        <v>54.524999999999999</v>
      </c>
    </row>
    <row r="1154" spans="1:3" x14ac:dyDescent="0.25">
      <c r="A1154" s="1">
        <v>46175</v>
      </c>
      <c r="B1154" s="3" t="s">
        <v>129</v>
      </c>
      <c r="C1154">
        <v>54.438499999999998</v>
      </c>
    </row>
    <row r="1155" spans="1:3" x14ac:dyDescent="0.25">
      <c r="A1155" s="1">
        <v>46175</v>
      </c>
      <c r="B1155" s="3" t="s">
        <v>130</v>
      </c>
      <c r="C1155">
        <v>52.908799999999999</v>
      </c>
    </row>
    <row r="1156" spans="1:3" x14ac:dyDescent="0.25">
      <c r="A1156" s="1">
        <v>46176</v>
      </c>
      <c r="B1156" s="3" t="s">
        <v>117</v>
      </c>
      <c r="C1156">
        <v>58.5002</v>
      </c>
    </row>
    <row r="1157" spans="1:3" x14ac:dyDescent="0.25">
      <c r="A1157" s="1">
        <v>46176</v>
      </c>
      <c r="B1157" s="3" t="s">
        <v>118</v>
      </c>
      <c r="C1157">
        <v>55.703200000000002</v>
      </c>
    </row>
    <row r="1158" spans="1:3" x14ac:dyDescent="0.25">
      <c r="A1158" s="1">
        <v>46176</v>
      </c>
      <c r="B1158" s="3" t="s">
        <v>119</v>
      </c>
      <c r="C1158">
        <v>56.400700000000001</v>
      </c>
    </row>
    <row r="1159" spans="1:3" x14ac:dyDescent="0.25">
      <c r="A1159" s="1">
        <v>46176</v>
      </c>
      <c r="B1159" s="3" t="s">
        <v>120</v>
      </c>
      <c r="C1159">
        <v>56.026000000000003</v>
      </c>
    </row>
    <row r="1160" spans="1:3" x14ac:dyDescent="0.25">
      <c r="A1160" s="1">
        <v>46176</v>
      </c>
      <c r="B1160" s="3" t="s">
        <v>121</v>
      </c>
      <c r="C1160">
        <v>57.020800000000001</v>
      </c>
    </row>
    <row r="1161" spans="1:3" x14ac:dyDescent="0.25">
      <c r="A1161" s="1">
        <v>46176</v>
      </c>
      <c r="B1161" s="3" t="s">
        <v>122</v>
      </c>
      <c r="C1161">
        <v>55.718400000000003</v>
      </c>
    </row>
    <row r="1162" spans="1:3" x14ac:dyDescent="0.25">
      <c r="A1162" s="1">
        <v>46176</v>
      </c>
      <c r="B1162" s="3" t="s">
        <v>123</v>
      </c>
      <c r="C1162">
        <v>55.0959</v>
      </c>
    </row>
    <row r="1163" spans="1:3" x14ac:dyDescent="0.25">
      <c r="A1163" s="1">
        <v>46176</v>
      </c>
      <c r="B1163" s="3" t="s">
        <v>124</v>
      </c>
      <c r="C1163">
        <v>53.978400000000001</v>
      </c>
    </row>
    <row r="1164" spans="1:3" x14ac:dyDescent="0.25">
      <c r="A1164" s="1">
        <v>46176</v>
      </c>
      <c r="B1164" s="3" t="s">
        <v>125</v>
      </c>
      <c r="C1164">
        <v>52.909199999999998</v>
      </c>
    </row>
    <row r="1165" spans="1:3" x14ac:dyDescent="0.25">
      <c r="A1165" s="1">
        <v>46176</v>
      </c>
      <c r="B1165" s="3" t="s">
        <v>14</v>
      </c>
      <c r="C1165">
        <v>45.706699999999998</v>
      </c>
    </row>
    <row r="1166" spans="1:3" x14ac:dyDescent="0.25">
      <c r="A1166" s="1">
        <v>46176</v>
      </c>
      <c r="B1166" s="3" t="s">
        <v>15</v>
      </c>
      <c r="C1166">
        <v>44.953299999999999</v>
      </c>
    </row>
    <row r="1167" spans="1:3" x14ac:dyDescent="0.25">
      <c r="A1167" s="1">
        <v>46176</v>
      </c>
      <c r="B1167" s="3" t="s">
        <v>16</v>
      </c>
      <c r="C1167">
        <v>44.027700000000003</v>
      </c>
    </row>
    <row r="1168" spans="1:3" x14ac:dyDescent="0.25">
      <c r="A1168" s="1">
        <v>46176</v>
      </c>
      <c r="B1168" s="3" t="s">
        <v>20</v>
      </c>
      <c r="C1168">
        <v>46.371200000000002</v>
      </c>
    </row>
    <row r="1169" spans="1:3" x14ac:dyDescent="0.25">
      <c r="A1169" s="1">
        <v>46176</v>
      </c>
      <c r="B1169" s="3" t="s">
        <v>17</v>
      </c>
      <c r="C1169">
        <v>45.907600000000002</v>
      </c>
    </row>
    <row r="1170" spans="1:3" x14ac:dyDescent="0.25">
      <c r="A1170" s="1">
        <v>46176</v>
      </c>
      <c r="B1170" s="3" t="s">
        <v>18</v>
      </c>
      <c r="C1170">
        <v>45.5304</v>
      </c>
    </row>
    <row r="1171" spans="1:3" x14ac:dyDescent="0.25">
      <c r="A1171" s="1">
        <v>46176</v>
      </c>
      <c r="B1171" s="3" t="s">
        <v>19</v>
      </c>
      <c r="C1171">
        <v>45.427799999999998</v>
      </c>
    </row>
    <row r="1172" spans="1:3" x14ac:dyDescent="0.25">
      <c r="A1172" s="1">
        <v>46176</v>
      </c>
      <c r="B1172" s="3" t="s">
        <v>86</v>
      </c>
      <c r="C1172">
        <v>50.382300000000001</v>
      </c>
    </row>
    <row r="1173" spans="1:3" x14ac:dyDescent="0.25">
      <c r="A1173" s="1">
        <v>46176</v>
      </c>
      <c r="B1173" s="3" t="s">
        <v>87</v>
      </c>
      <c r="C1173">
        <v>48.871000000000002</v>
      </c>
    </row>
    <row r="1174" spans="1:3" x14ac:dyDescent="0.25">
      <c r="A1174" s="1">
        <v>46176</v>
      </c>
      <c r="B1174" s="3" t="s">
        <v>88</v>
      </c>
      <c r="C1174">
        <v>48.2134</v>
      </c>
    </row>
    <row r="1175" spans="1:3" x14ac:dyDescent="0.25">
      <c r="A1175" s="1">
        <v>46176</v>
      </c>
      <c r="B1175" s="3" t="s">
        <v>89</v>
      </c>
      <c r="C1175">
        <v>46.949100000000001</v>
      </c>
    </row>
    <row r="1176" spans="1:3" x14ac:dyDescent="0.25">
      <c r="A1176" s="1">
        <v>46176</v>
      </c>
      <c r="B1176" s="3" t="s">
        <v>90</v>
      </c>
      <c r="C1176">
        <v>44.881500000000003</v>
      </c>
    </row>
    <row r="1177" spans="1:3" x14ac:dyDescent="0.25">
      <c r="A1177" s="1">
        <v>46177</v>
      </c>
      <c r="B1177" t="s">
        <v>117</v>
      </c>
      <c r="C1177">
        <v>58.500500000000002</v>
      </c>
    </row>
    <row r="1178" spans="1:3" x14ac:dyDescent="0.25">
      <c r="A1178" s="1">
        <v>46177</v>
      </c>
      <c r="B1178" t="s">
        <v>118</v>
      </c>
      <c r="C1178">
        <v>55.703299999999999</v>
      </c>
    </row>
    <row r="1179" spans="1:3" x14ac:dyDescent="0.25">
      <c r="A1179" s="1">
        <v>46177</v>
      </c>
      <c r="B1179" t="s">
        <v>119</v>
      </c>
      <c r="C1179">
        <v>56.400799999999997</v>
      </c>
    </row>
    <row r="1180" spans="1:3" x14ac:dyDescent="0.25">
      <c r="A1180" s="1">
        <v>46177</v>
      </c>
      <c r="B1180" t="s">
        <v>120</v>
      </c>
      <c r="C1180">
        <v>56.0259</v>
      </c>
    </row>
    <row r="1181" spans="1:3" x14ac:dyDescent="0.25">
      <c r="A1181" s="1">
        <v>46177</v>
      </c>
      <c r="B1181" t="s">
        <v>121</v>
      </c>
      <c r="C1181">
        <v>57.021099999999997</v>
      </c>
    </row>
    <row r="1182" spans="1:3" x14ac:dyDescent="0.25">
      <c r="A1182" s="1">
        <v>46177</v>
      </c>
      <c r="B1182" t="s">
        <v>122</v>
      </c>
      <c r="C1182">
        <v>55.7179</v>
      </c>
    </row>
    <row r="1183" spans="1:3" x14ac:dyDescent="0.25">
      <c r="A1183" s="1">
        <v>46177</v>
      </c>
      <c r="B1183" t="s">
        <v>123</v>
      </c>
      <c r="C1183">
        <v>55.095300000000002</v>
      </c>
    </row>
    <row r="1184" spans="1:3" x14ac:dyDescent="0.25">
      <c r="A1184" s="1">
        <v>46177</v>
      </c>
      <c r="B1184" t="s">
        <v>124</v>
      </c>
      <c r="C1184">
        <v>53.977699999999999</v>
      </c>
    </row>
    <row r="1185" spans="1:3" x14ac:dyDescent="0.25">
      <c r="A1185" s="1">
        <v>46177</v>
      </c>
      <c r="B1185" t="s">
        <v>125</v>
      </c>
      <c r="C1185">
        <v>52.908499999999997</v>
      </c>
    </row>
    <row r="1186" spans="1:3" x14ac:dyDescent="0.25">
      <c r="A1186" s="1">
        <v>46177</v>
      </c>
      <c r="B1186" t="s">
        <v>126</v>
      </c>
      <c r="C1186">
        <v>54.964399999999998</v>
      </c>
    </row>
    <row r="1187" spans="1:3" x14ac:dyDescent="0.25">
      <c r="A1187" s="1">
        <v>46177</v>
      </c>
      <c r="B1187" t="s">
        <v>127</v>
      </c>
      <c r="C1187">
        <v>54.554699999999997</v>
      </c>
    </row>
    <row r="1188" spans="1:3" x14ac:dyDescent="0.25">
      <c r="A1188" s="1">
        <v>46177</v>
      </c>
      <c r="B1188" t="s">
        <v>128</v>
      </c>
      <c r="C1188">
        <v>54.524999999999999</v>
      </c>
    </row>
    <row r="1189" spans="1:3" x14ac:dyDescent="0.25">
      <c r="A1189" s="1">
        <v>46177</v>
      </c>
      <c r="B1189" t="s">
        <v>129</v>
      </c>
      <c r="C1189">
        <v>54.438600000000001</v>
      </c>
    </row>
    <row r="1190" spans="1:3" x14ac:dyDescent="0.25">
      <c r="A1190" s="1">
        <v>46177</v>
      </c>
      <c r="B1190" t="s">
        <v>130</v>
      </c>
      <c r="C1190">
        <v>52.908499999999997</v>
      </c>
    </row>
    <row r="1191" spans="1:3" x14ac:dyDescent="0.25">
      <c r="A1191" s="1">
        <v>46177</v>
      </c>
      <c r="B1191" s="3" t="s">
        <v>97</v>
      </c>
      <c r="C1191">
        <v>65.428200000000004</v>
      </c>
    </row>
    <row r="1192" spans="1:3" x14ac:dyDescent="0.25">
      <c r="A1192" s="1">
        <v>46177</v>
      </c>
      <c r="B1192" s="3" t="s">
        <v>98</v>
      </c>
      <c r="C1192">
        <v>58.252099999999999</v>
      </c>
    </row>
    <row r="1193" spans="1:3" x14ac:dyDescent="0.25">
      <c r="A1193" s="1">
        <v>46177</v>
      </c>
      <c r="B1193" s="3" t="s">
        <v>99</v>
      </c>
      <c r="C1193">
        <v>53.565300000000001</v>
      </c>
    </row>
    <row r="1194" spans="1:3" x14ac:dyDescent="0.25">
      <c r="A1194" s="1">
        <v>46177</v>
      </c>
      <c r="B1194" s="3" t="s">
        <v>100</v>
      </c>
      <c r="C1194">
        <v>50.588999999999999</v>
      </c>
    </row>
    <row r="1195" spans="1:3" x14ac:dyDescent="0.25">
      <c r="A1195" s="1">
        <v>46177</v>
      </c>
      <c r="B1195" s="3" t="s">
        <v>101</v>
      </c>
      <c r="C1195">
        <v>76.384899999999988</v>
      </c>
    </row>
    <row r="1196" spans="1:3" x14ac:dyDescent="0.25">
      <c r="A1196" s="1">
        <v>46177</v>
      </c>
      <c r="B1196" s="3" t="s">
        <v>102</v>
      </c>
      <c r="C1196">
        <v>68.103899999999996</v>
      </c>
    </row>
    <row r="1197" spans="1:3" x14ac:dyDescent="0.25">
      <c r="A1197" s="1">
        <v>46177</v>
      </c>
      <c r="B1197" s="3" t="s">
        <v>103</v>
      </c>
      <c r="C1197">
        <v>68.021499999999989</v>
      </c>
    </row>
    <row r="1198" spans="1:3" x14ac:dyDescent="0.25">
      <c r="A1198" s="1">
        <v>46177</v>
      </c>
      <c r="B1198" s="3" t="s">
        <v>104</v>
      </c>
      <c r="C1198">
        <v>61.175899999999999</v>
      </c>
    </row>
    <row r="1199" spans="1:3" x14ac:dyDescent="0.25">
      <c r="A1199" s="1">
        <v>46177</v>
      </c>
      <c r="B1199" s="3" t="s">
        <v>105</v>
      </c>
      <c r="C1199">
        <v>55.573500000000003</v>
      </c>
    </row>
    <row r="1200" spans="1:3" x14ac:dyDescent="0.25">
      <c r="A1200" s="1">
        <v>46178</v>
      </c>
      <c r="B1200" s="3" t="s">
        <v>86</v>
      </c>
      <c r="C1200">
        <v>50.3825</v>
      </c>
    </row>
    <row r="1201" spans="1:4" x14ac:dyDescent="0.25">
      <c r="A1201" s="1">
        <v>46178</v>
      </c>
      <c r="B1201" s="3" t="s">
        <v>87</v>
      </c>
      <c r="C1201">
        <v>48.871000000000002</v>
      </c>
    </row>
    <row r="1202" spans="1:4" x14ac:dyDescent="0.25">
      <c r="A1202" s="1">
        <v>46178</v>
      </c>
      <c r="B1202" s="3" t="s">
        <v>88</v>
      </c>
      <c r="C1202">
        <v>48.213299999999997</v>
      </c>
    </row>
    <row r="1203" spans="1:4" x14ac:dyDescent="0.25">
      <c r="A1203" s="1">
        <v>46178</v>
      </c>
      <c r="B1203" s="3" t="s">
        <v>89</v>
      </c>
      <c r="C1203">
        <v>46.948799999999999</v>
      </c>
    </row>
    <row r="1204" spans="1:4" x14ac:dyDescent="0.25">
      <c r="A1204" s="1">
        <v>46178</v>
      </c>
      <c r="B1204" s="3" t="s">
        <v>90</v>
      </c>
      <c r="C1204">
        <v>44.8812</v>
      </c>
    </row>
    <row r="1205" spans="1:4" x14ac:dyDescent="0.25">
      <c r="A1205" s="1">
        <v>46181</v>
      </c>
      <c r="B1205" s="3" t="s">
        <v>86</v>
      </c>
      <c r="C1205">
        <v>50.382199999999997</v>
      </c>
      <c r="D1205" s="6"/>
    </row>
    <row r="1206" spans="1:4" x14ac:dyDescent="0.25">
      <c r="A1206" s="1">
        <v>46181</v>
      </c>
      <c r="B1206" s="18" t="s">
        <v>87</v>
      </c>
      <c r="C1206">
        <v>48.870699999999999</v>
      </c>
      <c r="D1206" s="6"/>
    </row>
    <row r="1207" spans="1:4" x14ac:dyDescent="0.25">
      <c r="A1207" s="1">
        <v>46181</v>
      </c>
      <c r="B1207" s="3" t="s">
        <v>88</v>
      </c>
      <c r="C1207">
        <v>48.213099999999997</v>
      </c>
      <c r="D1207" s="6"/>
    </row>
    <row r="1208" spans="1:4" x14ac:dyDescent="0.25">
      <c r="A1208" s="1">
        <v>46181</v>
      </c>
      <c r="B1208" s="3" t="s">
        <v>89</v>
      </c>
      <c r="C1208">
        <v>46.948599999999999</v>
      </c>
      <c r="D1208" s="6"/>
    </row>
    <row r="1209" spans="1:4" x14ac:dyDescent="0.25">
      <c r="A1209" s="1">
        <v>46181</v>
      </c>
      <c r="B1209" s="3" t="s">
        <v>90</v>
      </c>
      <c r="C1209">
        <v>44.881100000000004</v>
      </c>
      <c r="D1209" s="6"/>
    </row>
    <row r="1210" spans="1:4" x14ac:dyDescent="0.25">
      <c r="A1210" s="1">
        <v>46181</v>
      </c>
      <c r="B1210" s="3" t="s">
        <v>101</v>
      </c>
      <c r="C1210">
        <v>76.385400000000004</v>
      </c>
      <c r="D1210" s="6"/>
    </row>
    <row r="1211" spans="1:4" x14ac:dyDescent="0.25">
      <c r="A1211" s="1">
        <v>46181</v>
      </c>
      <c r="B1211" s="3" t="s">
        <v>102</v>
      </c>
      <c r="C1211">
        <v>68.103800000000007</v>
      </c>
      <c r="D1211" s="6"/>
    </row>
    <row r="1212" spans="1:4" x14ac:dyDescent="0.25">
      <c r="A1212" s="1">
        <v>46181</v>
      </c>
      <c r="B1212" s="3" t="s">
        <v>103</v>
      </c>
      <c r="C1212">
        <v>68.021500000000003</v>
      </c>
      <c r="D1212" s="6"/>
    </row>
    <row r="1213" spans="1:4" x14ac:dyDescent="0.25">
      <c r="A1213" s="1">
        <v>46181</v>
      </c>
      <c r="B1213" s="3" t="s">
        <v>104</v>
      </c>
      <c r="C1213">
        <v>61.176200000000001</v>
      </c>
      <c r="D1213" s="6"/>
    </row>
    <row r="1214" spans="1:4" x14ac:dyDescent="0.25">
      <c r="A1214" s="1">
        <v>46181</v>
      </c>
      <c r="B1214" s="3" t="s">
        <v>105</v>
      </c>
      <c r="C1214">
        <v>55.573900000000002</v>
      </c>
      <c r="D1214" s="6"/>
    </row>
    <row r="1215" spans="1:4" x14ac:dyDescent="0.25">
      <c r="A1215" s="1">
        <v>46182</v>
      </c>
      <c r="B1215" s="3" t="s">
        <v>121</v>
      </c>
      <c r="C1215">
        <v>57.021000000000001</v>
      </c>
    </row>
    <row r="1216" spans="1:4" x14ac:dyDescent="0.25">
      <c r="A1216" s="1">
        <v>46182</v>
      </c>
      <c r="B1216" s="3" t="s">
        <v>122</v>
      </c>
      <c r="C1216">
        <v>55.7179</v>
      </c>
    </row>
    <row r="1217" spans="1:3" x14ac:dyDescent="0.25">
      <c r="A1217" s="1">
        <v>46182</v>
      </c>
      <c r="B1217" s="3" t="s">
        <v>123</v>
      </c>
      <c r="C1217">
        <v>55.095199999999998</v>
      </c>
    </row>
    <row r="1218" spans="1:3" x14ac:dyDescent="0.25">
      <c r="A1218" s="1">
        <v>46182</v>
      </c>
      <c r="B1218" s="3" t="s">
        <v>124</v>
      </c>
      <c r="C1218">
        <v>53.977600000000002</v>
      </c>
    </row>
    <row r="1219" spans="1:3" x14ac:dyDescent="0.25">
      <c r="A1219" s="1">
        <v>46182</v>
      </c>
      <c r="B1219" s="3" t="s">
        <v>125</v>
      </c>
      <c r="C1219">
        <v>52.9086</v>
      </c>
    </row>
    <row r="1220" spans="1:3" x14ac:dyDescent="0.25">
      <c r="A1220" s="1">
        <v>46182</v>
      </c>
      <c r="B1220" s="3" t="s">
        <v>126</v>
      </c>
      <c r="C1220">
        <v>54.964100000000002</v>
      </c>
    </row>
    <row r="1221" spans="1:3" x14ac:dyDescent="0.25">
      <c r="A1221" s="1">
        <v>46182</v>
      </c>
      <c r="B1221" s="3" t="s">
        <v>127</v>
      </c>
      <c r="C1221">
        <v>54.554400000000001</v>
      </c>
    </row>
    <row r="1222" spans="1:3" x14ac:dyDescent="0.25">
      <c r="A1222" s="1">
        <v>46182</v>
      </c>
      <c r="B1222" s="3" t="s">
        <v>128</v>
      </c>
      <c r="C1222">
        <v>54.524500000000003</v>
      </c>
    </row>
    <row r="1223" spans="1:3" x14ac:dyDescent="0.25">
      <c r="A1223" s="1">
        <v>46182</v>
      </c>
      <c r="B1223" s="3" t="s">
        <v>129</v>
      </c>
      <c r="C1223">
        <v>54.438200000000002</v>
      </c>
    </row>
    <row r="1224" spans="1:3" x14ac:dyDescent="0.25">
      <c r="A1224" s="1">
        <v>46182</v>
      </c>
      <c r="B1224" s="3" t="s">
        <v>130</v>
      </c>
      <c r="C1224">
        <v>52.9086</v>
      </c>
    </row>
    <row r="1225" spans="1:3" x14ac:dyDescent="0.25">
      <c r="A1225" s="1">
        <v>46182</v>
      </c>
      <c r="B1225" s="3" t="s">
        <v>131</v>
      </c>
      <c r="C1225">
        <v>51.273299999999999</v>
      </c>
    </row>
    <row r="1226" spans="1:3" x14ac:dyDescent="0.25">
      <c r="A1226" s="1">
        <v>46182</v>
      </c>
      <c r="B1226" s="3" t="s">
        <v>133</v>
      </c>
      <c r="C1226">
        <v>50.578499999999998</v>
      </c>
    </row>
    <row r="1227" spans="1:3" x14ac:dyDescent="0.25">
      <c r="A1227" s="1">
        <v>46182</v>
      </c>
      <c r="B1227" s="3" t="s">
        <v>134</v>
      </c>
      <c r="C1227">
        <v>50.112400000000001</v>
      </c>
    </row>
    <row r="1228" spans="1:3" x14ac:dyDescent="0.25">
      <c r="A1228" s="1">
        <v>46182</v>
      </c>
      <c r="B1228" s="3" t="s">
        <v>135</v>
      </c>
      <c r="C1228">
        <v>49.764800000000001</v>
      </c>
    </row>
    <row r="1229" spans="1:3" x14ac:dyDescent="0.25">
      <c r="A1229" s="1">
        <v>46182</v>
      </c>
      <c r="B1229" s="3" t="s">
        <v>86</v>
      </c>
      <c r="C1229">
        <v>50.382300000000001</v>
      </c>
    </row>
    <row r="1230" spans="1:3" x14ac:dyDescent="0.25">
      <c r="A1230" s="1">
        <v>46182</v>
      </c>
      <c r="B1230" s="3" t="s">
        <v>87</v>
      </c>
      <c r="C1230">
        <v>48.870800000000003</v>
      </c>
    </row>
    <row r="1231" spans="1:3" x14ac:dyDescent="0.25">
      <c r="A1231" s="1">
        <v>46182</v>
      </c>
      <c r="B1231" s="3" t="s">
        <v>88</v>
      </c>
      <c r="C1231">
        <v>48.213099999999997</v>
      </c>
    </row>
    <row r="1232" spans="1:3" x14ac:dyDescent="0.25">
      <c r="A1232" s="1">
        <v>46182</v>
      </c>
      <c r="B1232" s="3" t="s">
        <v>89</v>
      </c>
      <c r="C1232">
        <v>46.948799999999999</v>
      </c>
    </row>
    <row r="1233" spans="1:4" x14ac:dyDescent="0.25">
      <c r="A1233" s="1">
        <v>46182</v>
      </c>
      <c r="B1233" s="3" t="s">
        <v>90</v>
      </c>
      <c r="C1233">
        <v>44.8812</v>
      </c>
    </row>
    <row r="1234" spans="1:4" x14ac:dyDescent="0.25">
      <c r="A1234" s="1">
        <v>46182</v>
      </c>
      <c r="B1234" s="3" t="s">
        <v>91</v>
      </c>
      <c r="C1234">
        <v>54.4039</v>
      </c>
      <c r="D1234" s="6"/>
    </row>
    <row r="1235" spans="1:4" x14ac:dyDescent="0.25">
      <c r="A1235" s="1">
        <v>46182</v>
      </c>
      <c r="B1235" s="3" t="s">
        <v>92</v>
      </c>
      <c r="C1235">
        <v>51.375500000000002</v>
      </c>
      <c r="D1235" s="6"/>
    </row>
    <row r="1236" spans="1:4" x14ac:dyDescent="0.25">
      <c r="A1236" s="1">
        <v>46182</v>
      </c>
      <c r="B1236" s="3" t="s">
        <v>93</v>
      </c>
      <c r="C1236">
        <v>50.102800000000002</v>
      </c>
      <c r="D1236" s="6"/>
    </row>
    <row r="1237" spans="1:4" x14ac:dyDescent="0.25">
      <c r="A1237" s="1">
        <v>46182</v>
      </c>
      <c r="B1237" s="3" t="s">
        <v>94</v>
      </c>
      <c r="C1237">
        <v>47.969299999999997</v>
      </c>
      <c r="D1237" s="6"/>
    </row>
    <row r="1238" spans="1:4" x14ac:dyDescent="0.25">
      <c r="A1238" s="1">
        <v>46182</v>
      </c>
      <c r="B1238" s="3" t="s">
        <v>95</v>
      </c>
      <c r="C1238">
        <v>44.997599999999998</v>
      </c>
      <c r="D1238" s="6"/>
    </row>
    <row r="1239" spans="1:4" x14ac:dyDescent="0.25">
      <c r="A1239" s="1">
        <v>46183</v>
      </c>
      <c r="B1239" s="3" t="s">
        <v>116</v>
      </c>
      <c r="C1239">
        <v>56.958500000000001</v>
      </c>
    </row>
    <row r="1240" spans="1:4" x14ac:dyDescent="0.25">
      <c r="A1240" s="1">
        <v>46183</v>
      </c>
      <c r="B1240" s="3" t="s">
        <v>117</v>
      </c>
      <c r="C1240">
        <v>58.500399999999999</v>
      </c>
    </row>
    <row r="1241" spans="1:4" x14ac:dyDescent="0.25">
      <c r="A1241" s="1">
        <v>46183</v>
      </c>
      <c r="B1241" s="3" t="s">
        <v>118</v>
      </c>
      <c r="C1241">
        <v>55.703099999999999</v>
      </c>
    </row>
    <row r="1242" spans="1:4" x14ac:dyDescent="0.25">
      <c r="A1242" s="1">
        <v>46183</v>
      </c>
      <c r="B1242" s="3" t="s">
        <v>119</v>
      </c>
      <c r="C1242">
        <v>56.400700000000001</v>
      </c>
    </row>
    <row r="1243" spans="1:4" x14ac:dyDescent="0.25">
      <c r="A1243" s="1">
        <v>46183</v>
      </c>
      <c r="B1243" s="3" t="s">
        <v>120</v>
      </c>
      <c r="C1243">
        <v>56.026000000000003</v>
      </c>
    </row>
    <row r="1244" spans="1:4" x14ac:dyDescent="0.25">
      <c r="A1244" s="1">
        <v>46183</v>
      </c>
      <c r="B1244" s="3" t="s">
        <v>121</v>
      </c>
      <c r="C1244">
        <v>57.020899999999997</v>
      </c>
      <c r="D1244" s="6"/>
    </row>
    <row r="1245" spans="1:4" x14ac:dyDescent="0.25">
      <c r="A1245" s="1">
        <v>46183</v>
      </c>
      <c r="B1245" s="3" t="s">
        <v>122</v>
      </c>
      <c r="C1245">
        <v>55.718000000000004</v>
      </c>
      <c r="D1245" s="6"/>
    </row>
    <row r="1246" spans="1:4" x14ac:dyDescent="0.25">
      <c r="A1246" s="1">
        <v>46183</v>
      </c>
      <c r="B1246" s="3" t="s">
        <v>123</v>
      </c>
      <c r="C1246">
        <v>55.095199999999998</v>
      </c>
      <c r="D1246" s="6"/>
    </row>
    <row r="1247" spans="1:4" x14ac:dyDescent="0.25">
      <c r="A1247" s="1">
        <v>46183</v>
      </c>
      <c r="B1247" s="3" t="s">
        <v>124</v>
      </c>
      <c r="C1247">
        <v>53.977800000000002</v>
      </c>
      <c r="D1247" s="6"/>
    </row>
    <row r="1248" spans="1:4" x14ac:dyDescent="0.25">
      <c r="A1248" s="1">
        <v>46183</v>
      </c>
      <c r="B1248" s="3" t="s">
        <v>125</v>
      </c>
      <c r="C1248">
        <v>52.908900000000003</v>
      </c>
      <c r="D1248" s="6"/>
    </row>
    <row r="1249" spans="1:4" x14ac:dyDescent="0.25">
      <c r="A1249" s="1">
        <v>46183</v>
      </c>
      <c r="B1249" t="s">
        <v>97</v>
      </c>
      <c r="C1249">
        <v>65.428700000000006</v>
      </c>
      <c r="D1249" s="6"/>
    </row>
    <row r="1250" spans="1:4" x14ac:dyDescent="0.25">
      <c r="A1250" s="1">
        <v>46183</v>
      </c>
      <c r="B1250" t="s">
        <v>98</v>
      </c>
      <c r="C1250">
        <v>58.252299999999998</v>
      </c>
      <c r="D1250" s="6"/>
    </row>
    <row r="1251" spans="1:4" x14ac:dyDescent="0.25">
      <c r="A1251" s="1">
        <v>46183</v>
      </c>
      <c r="B1251" t="s">
        <v>99</v>
      </c>
      <c r="C1251">
        <v>53.5655</v>
      </c>
      <c r="D1251" s="6"/>
    </row>
    <row r="1252" spans="1:4" x14ac:dyDescent="0.25">
      <c r="A1252" s="1">
        <v>46183</v>
      </c>
      <c r="B1252" t="s">
        <v>100</v>
      </c>
      <c r="C1252">
        <v>50.589100000000002</v>
      </c>
      <c r="D1252" s="6"/>
    </row>
    <row r="1253" spans="1:4" x14ac:dyDescent="0.25">
      <c r="A1253" s="1">
        <v>46183</v>
      </c>
      <c r="B1253" t="s">
        <v>101</v>
      </c>
      <c r="C1253">
        <v>76.384799999999998</v>
      </c>
      <c r="D1253" s="6"/>
    </row>
    <row r="1254" spans="1:4" x14ac:dyDescent="0.25">
      <c r="A1254" s="1">
        <v>46183</v>
      </c>
      <c r="B1254" t="s">
        <v>102</v>
      </c>
      <c r="C1254">
        <v>68.104200000000006</v>
      </c>
      <c r="D1254" s="6"/>
    </row>
    <row r="1255" spans="1:4" x14ac:dyDescent="0.25">
      <c r="A1255" s="1">
        <v>46183</v>
      </c>
      <c r="B1255" t="s">
        <v>103</v>
      </c>
      <c r="C1255">
        <v>68.021000000000001</v>
      </c>
      <c r="D1255" s="6"/>
    </row>
    <row r="1256" spans="1:4" x14ac:dyDescent="0.25">
      <c r="A1256" s="1">
        <v>46183</v>
      </c>
      <c r="B1256" t="s">
        <v>104</v>
      </c>
      <c r="C1256">
        <v>61.176099999999998</v>
      </c>
      <c r="D1256" s="6"/>
    </row>
    <row r="1257" spans="1:4" x14ac:dyDescent="0.25">
      <c r="A1257" s="1">
        <v>46183</v>
      </c>
      <c r="B1257" t="s">
        <v>105</v>
      </c>
      <c r="C1257">
        <v>55.573500000000003</v>
      </c>
      <c r="D1257" s="6"/>
    </row>
    <row r="1258" spans="1:4" x14ac:dyDescent="0.25">
      <c r="A1258" s="1">
        <v>46184</v>
      </c>
      <c r="B1258" s="3" t="s">
        <v>86</v>
      </c>
      <c r="C1258">
        <v>50.381599999999999</v>
      </c>
    </row>
    <row r="1259" spans="1:4" x14ac:dyDescent="0.25">
      <c r="A1259" s="1">
        <v>46184</v>
      </c>
      <c r="B1259" s="3" t="s">
        <v>87</v>
      </c>
      <c r="C1259">
        <v>48.870100000000001</v>
      </c>
    </row>
    <row r="1260" spans="1:4" x14ac:dyDescent="0.25">
      <c r="A1260" s="1">
        <v>46184</v>
      </c>
      <c r="B1260" s="3" t="s">
        <v>88</v>
      </c>
      <c r="C1260">
        <v>48.212499999999999</v>
      </c>
    </row>
    <row r="1261" spans="1:4" x14ac:dyDescent="0.25">
      <c r="A1261" s="1">
        <v>46184</v>
      </c>
      <c r="B1261" s="3" t="s">
        <v>89</v>
      </c>
      <c r="C1261">
        <v>46.948300000000003</v>
      </c>
    </row>
    <row r="1262" spans="1:4" x14ac:dyDescent="0.25">
      <c r="A1262" s="1">
        <v>46184</v>
      </c>
      <c r="B1262" s="3" t="s">
        <v>90</v>
      </c>
      <c r="C1262">
        <v>44.881300000000003</v>
      </c>
    </row>
    <row r="1263" spans="1:4" x14ac:dyDescent="0.25">
      <c r="A1263" s="1">
        <v>46185</v>
      </c>
      <c r="B1263" s="3" t="s">
        <v>14</v>
      </c>
      <c r="C1263">
        <v>45.706600000000002</v>
      </c>
    </row>
    <row r="1264" spans="1:4" x14ac:dyDescent="0.25">
      <c r="A1264" s="1">
        <v>46185</v>
      </c>
      <c r="B1264" s="3" t="s">
        <v>15</v>
      </c>
      <c r="C1264">
        <v>44.953400000000002</v>
      </c>
    </row>
    <row r="1265" spans="1:3" x14ac:dyDescent="0.25">
      <c r="A1265" s="1">
        <v>46185</v>
      </c>
      <c r="B1265" s="3" t="s">
        <v>16</v>
      </c>
      <c r="C1265">
        <v>44.027700000000003</v>
      </c>
    </row>
    <row r="1266" spans="1:3" x14ac:dyDescent="0.25">
      <c r="A1266" s="1">
        <v>46185</v>
      </c>
      <c r="B1266" s="3" t="s">
        <v>20</v>
      </c>
      <c r="C1266">
        <v>46.371000000000002</v>
      </c>
    </row>
    <row r="1267" spans="1:3" x14ac:dyDescent="0.25">
      <c r="A1267" s="1">
        <v>46185</v>
      </c>
      <c r="B1267" s="3" t="s">
        <v>17</v>
      </c>
      <c r="C1267">
        <v>45.907499999999999</v>
      </c>
    </row>
    <row r="1268" spans="1:3" x14ac:dyDescent="0.25">
      <c r="A1268" s="1">
        <v>46185</v>
      </c>
      <c r="B1268" s="3" t="s">
        <v>18</v>
      </c>
      <c r="C1268">
        <v>45.530299999999997</v>
      </c>
    </row>
    <row r="1269" spans="1:3" x14ac:dyDescent="0.25">
      <c r="A1269" s="1">
        <v>46185</v>
      </c>
      <c r="B1269" s="3" t="s">
        <v>19</v>
      </c>
      <c r="C1269">
        <v>45.427500000000002</v>
      </c>
    </row>
    <row r="1270" spans="1:3" x14ac:dyDescent="0.25">
      <c r="A1270" s="1">
        <v>46188</v>
      </c>
      <c r="B1270" s="3" t="s">
        <v>86</v>
      </c>
      <c r="C1270">
        <v>50.381900000000002</v>
      </c>
    </row>
    <row r="1271" spans="1:3" x14ac:dyDescent="0.25">
      <c r="A1271" s="1">
        <v>46188</v>
      </c>
      <c r="B1271" s="3" t="s">
        <v>87</v>
      </c>
      <c r="C1271">
        <v>48.869900000000001</v>
      </c>
    </row>
    <row r="1272" spans="1:3" x14ac:dyDescent="0.25">
      <c r="A1272" s="1">
        <v>46188</v>
      </c>
      <c r="B1272" s="3" t="s">
        <v>88</v>
      </c>
      <c r="C1272">
        <v>48.212299999999999</v>
      </c>
    </row>
    <row r="1273" spans="1:3" x14ac:dyDescent="0.25">
      <c r="A1273" s="1">
        <v>46188</v>
      </c>
      <c r="B1273" s="3" t="s">
        <v>89</v>
      </c>
      <c r="C1273">
        <v>46.948399999999999</v>
      </c>
    </row>
    <row r="1274" spans="1:3" x14ac:dyDescent="0.25">
      <c r="A1274" s="1">
        <v>46188</v>
      </c>
      <c r="B1274" s="3" t="s">
        <v>90</v>
      </c>
      <c r="C1274">
        <v>44.881300000000003</v>
      </c>
    </row>
    <row r="1275" spans="1:3" x14ac:dyDescent="0.25">
      <c r="A1275" s="1">
        <v>46189</v>
      </c>
      <c r="B1275" s="3" t="s">
        <v>86</v>
      </c>
      <c r="C1275">
        <v>50.381999999999998</v>
      </c>
    </row>
    <row r="1276" spans="1:3" x14ac:dyDescent="0.25">
      <c r="A1276" s="1">
        <v>46189</v>
      </c>
      <c r="B1276" s="3" t="s">
        <v>87</v>
      </c>
      <c r="C1276">
        <v>48.870100000000001</v>
      </c>
    </row>
    <row r="1277" spans="1:3" x14ac:dyDescent="0.25">
      <c r="A1277" s="1">
        <v>46189</v>
      </c>
      <c r="B1277" s="3" t="s">
        <v>88</v>
      </c>
      <c r="C1277">
        <v>48.212600000000002</v>
      </c>
    </row>
    <row r="1278" spans="1:3" x14ac:dyDescent="0.25">
      <c r="A1278" s="1">
        <v>46189</v>
      </c>
      <c r="B1278" s="3" t="s">
        <v>89</v>
      </c>
      <c r="C1278">
        <v>46.948599999999999</v>
      </c>
    </row>
    <row r="1279" spans="1:3" x14ac:dyDescent="0.25">
      <c r="A1279" s="1">
        <v>46189</v>
      </c>
      <c r="B1279" s="3" t="s">
        <v>90</v>
      </c>
      <c r="C1279">
        <v>44.8812</v>
      </c>
    </row>
    <row r="1280" spans="1:3" x14ac:dyDescent="0.25">
      <c r="A1280" s="1">
        <v>46189</v>
      </c>
      <c r="B1280" s="3" t="s">
        <v>91</v>
      </c>
      <c r="C1280">
        <v>54.404000000000003</v>
      </c>
    </row>
    <row r="1281" spans="1:3" x14ac:dyDescent="0.25">
      <c r="A1281" s="1">
        <v>46189</v>
      </c>
      <c r="B1281" s="3" t="s">
        <v>92</v>
      </c>
      <c r="C1281">
        <v>51.375500000000002</v>
      </c>
    </row>
    <row r="1282" spans="1:3" x14ac:dyDescent="0.25">
      <c r="A1282" s="1">
        <v>46189</v>
      </c>
      <c r="B1282" s="3" t="s">
        <v>93</v>
      </c>
      <c r="C1282">
        <v>50.102600000000002</v>
      </c>
    </row>
    <row r="1283" spans="1:3" x14ac:dyDescent="0.25">
      <c r="A1283" s="1">
        <v>46189</v>
      </c>
      <c r="B1283" s="3" t="s">
        <v>94</v>
      </c>
      <c r="C1283">
        <v>47.969000000000001</v>
      </c>
    </row>
    <row r="1284" spans="1:3" x14ac:dyDescent="0.25">
      <c r="A1284" s="1">
        <v>46189</v>
      </c>
      <c r="B1284" s="3" t="s">
        <v>95</v>
      </c>
      <c r="C1284">
        <v>44.997500000000002</v>
      </c>
    </row>
    <row r="1285" spans="1:3" x14ac:dyDescent="0.25">
      <c r="A1285" s="1">
        <v>46189</v>
      </c>
      <c r="B1285" s="3" t="s">
        <v>131</v>
      </c>
      <c r="C1285">
        <v>51.273200000000003</v>
      </c>
    </row>
    <row r="1286" spans="1:3" x14ac:dyDescent="0.25">
      <c r="A1286" s="1">
        <v>46189</v>
      </c>
      <c r="B1286" s="3" t="s">
        <v>132</v>
      </c>
      <c r="C1286">
        <v>50.8185</v>
      </c>
    </row>
    <row r="1287" spans="1:3" x14ac:dyDescent="0.25">
      <c r="A1287" s="1">
        <v>46189</v>
      </c>
      <c r="B1287" s="3" t="s">
        <v>133</v>
      </c>
      <c r="C1287">
        <v>50.578899999999997</v>
      </c>
    </row>
    <row r="1288" spans="1:3" x14ac:dyDescent="0.25">
      <c r="A1288" s="1">
        <v>46189</v>
      </c>
      <c r="B1288" s="3" t="s">
        <v>135</v>
      </c>
      <c r="C1288">
        <v>49.765000000000001</v>
      </c>
    </row>
    <row r="1289" spans="1:3" x14ac:dyDescent="0.25">
      <c r="A1289" s="1">
        <v>46189</v>
      </c>
      <c r="B1289" s="3" t="s">
        <v>126</v>
      </c>
      <c r="C1289">
        <v>54.963799999999999</v>
      </c>
    </row>
    <row r="1290" spans="1:3" x14ac:dyDescent="0.25">
      <c r="A1290" s="1">
        <v>46189</v>
      </c>
      <c r="B1290" s="3" t="s">
        <v>127</v>
      </c>
      <c r="C1290">
        <v>54.554200000000002</v>
      </c>
    </row>
    <row r="1291" spans="1:3" x14ac:dyDescent="0.25">
      <c r="A1291" s="1">
        <v>46189</v>
      </c>
      <c r="B1291" s="3" t="s">
        <v>128</v>
      </c>
      <c r="C1291">
        <v>54.524500000000003</v>
      </c>
    </row>
    <row r="1292" spans="1:3" x14ac:dyDescent="0.25">
      <c r="A1292" s="1">
        <v>46189</v>
      </c>
      <c r="B1292" s="3" t="s">
        <v>129</v>
      </c>
      <c r="C1292">
        <v>54.437899999999999</v>
      </c>
    </row>
    <row r="1293" spans="1:3" x14ac:dyDescent="0.25">
      <c r="A1293" s="1">
        <v>46190</v>
      </c>
      <c r="B1293" s="3" t="s">
        <v>86</v>
      </c>
      <c r="C1293">
        <v>50.381599999999999</v>
      </c>
    </row>
    <row r="1294" spans="1:3" x14ac:dyDescent="0.25">
      <c r="A1294" s="1">
        <v>46190</v>
      </c>
      <c r="B1294" s="3" t="s">
        <v>87</v>
      </c>
      <c r="C1294">
        <v>48.869599999999998</v>
      </c>
    </row>
    <row r="1295" spans="1:3" x14ac:dyDescent="0.25">
      <c r="A1295" s="1">
        <v>46190</v>
      </c>
      <c r="B1295" s="3" t="s">
        <v>88</v>
      </c>
      <c r="C1295">
        <v>48.2121</v>
      </c>
    </row>
    <row r="1296" spans="1:3" x14ac:dyDescent="0.25">
      <c r="A1296" s="1">
        <v>46190</v>
      </c>
      <c r="B1296" s="3" t="s">
        <v>89</v>
      </c>
      <c r="C1296">
        <v>46.948300000000003</v>
      </c>
    </row>
    <row r="1297" spans="1:3" x14ac:dyDescent="0.25">
      <c r="A1297" s="1">
        <v>46190</v>
      </c>
      <c r="B1297" s="3" t="s">
        <v>90</v>
      </c>
      <c r="C1297">
        <v>44.8812</v>
      </c>
    </row>
    <row r="1298" spans="1:3" x14ac:dyDescent="0.25">
      <c r="A1298" s="1">
        <v>46190</v>
      </c>
      <c r="B1298" s="3" t="s">
        <v>121</v>
      </c>
      <c r="C1298">
        <v>57.020400000000002</v>
      </c>
    </row>
    <row r="1299" spans="1:3" x14ac:dyDescent="0.25">
      <c r="A1299" s="1">
        <v>46190</v>
      </c>
      <c r="B1299" s="3" t="s">
        <v>122</v>
      </c>
      <c r="C1299">
        <v>55.717700000000001</v>
      </c>
    </row>
    <row r="1300" spans="1:3" x14ac:dyDescent="0.25">
      <c r="A1300" s="1">
        <v>46190</v>
      </c>
      <c r="B1300" s="3" t="s">
        <v>123</v>
      </c>
      <c r="C1300">
        <v>55.094299999999997</v>
      </c>
    </row>
    <row r="1301" spans="1:3" x14ac:dyDescent="0.25">
      <c r="A1301" s="1">
        <v>46190</v>
      </c>
      <c r="B1301" s="3" t="s">
        <v>124</v>
      </c>
      <c r="C1301">
        <v>53.977499999999999</v>
      </c>
    </row>
    <row r="1302" spans="1:3" x14ac:dyDescent="0.25">
      <c r="A1302" s="1">
        <v>46190</v>
      </c>
      <c r="B1302" s="3" t="s">
        <v>125</v>
      </c>
      <c r="C1302">
        <v>52.908900000000003</v>
      </c>
    </row>
    <row r="1303" spans="1:3" x14ac:dyDescent="0.25">
      <c r="A1303" s="1">
        <v>46190</v>
      </c>
      <c r="B1303" t="s">
        <v>132</v>
      </c>
      <c r="C1303">
        <v>50.8187</v>
      </c>
    </row>
    <row r="1304" spans="1:3" x14ac:dyDescent="0.25">
      <c r="A1304" s="1">
        <v>46190</v>
      </c>
      <c r="B1304" t="s">
        <v>133</v>
      </c>
      <c r="C1304">
        <v>50.579099999999997</v>
      </c>
    </row>
    <row r="1305" spans="1:3" x14ac:dyDescent="0.25">
      <c r="A1305" s="1">
        <v>46190</v>
      </c>
      <c r="B1305" t="s">
        <v>135</v>
      </c>
      <c r="C1305">
        <v>49.765099999999997</v>
      </c>
    </row>
  </sheetData>
  <autoFilter ref="A2:C101" xr:uid="{7A50A2BD-4C26-4EA1-87EC-9323EEC801E4}">
    <sortState xmlns:xlrd2="http://schemas.microsoft.com/office/spreadsheetml/2017/richdata2" ref="A3:C146">
      <sortCondition ref="A2:A101"/>
    </sortState>
  </autoFilter>
  <sortState xmlns:xlrd2="http://schemas.microsoft.com/office/spreadsheetml/2017/richdata2" ref="A2:C997">
    <sortCondition ref="A975:A997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02E9-4442-4AF9-9840-30FC19B3BFAB}">
  <dimension ref="A1:I371"/>
  <sheetViews>
    <sheetView topLeftCell="A91" workbookViewId="0">
      <selection activeCell="L80" sqref="L80"/>
    </sheetView>
  </sheetViews>
  <sheetFormatPr baseColWidth="10" defaultColWidth="11.42578125" defaultRowHeight="15" x14ac:dyDescent="0.25"/>
  <cols>
    <col min="1" max="1" width="15.7109375" style="7" customWidth="1"/>
    <col min="2" max="2" width="16.28515625" style="9" customWidth="1"/>
    <col min="3" max="3" width="11.5703125" style="9" bestFit="1" customWidth="1"/>
    <col min="4" max="4" width="15.42578125" customWidth="1"/>
    <col min="5" max="5" width="15.28515625" customWidth="1"/>
    <col min="6" max="6" width="12.42578125" style="3" bestFit="1" customWidth="1"/>
    <col min="7" max="8" width="13.140625" style="3" customWidth="1"/>
    <col min="9" max="9" width="27.7109375" customWidth="1"/>
  </cols>
  <sheetData>
    <row r="1" spans="1:9" x14ac:dyDescent="0.25">
      <c r="A1" s="10" t="s">
        <v>21</v>
      </c>
      <c r="B1" s="10" t="s">
        <v>22</v>
      </c>
      <c r="C1" s="10" t="s">
        <v>23</v>
      </c>
      <c r="D1" s="11" t="s">
        <v>24</v>
      </c>
      <c r="E1" s="11" t="s">
        <v>25</v>
      </c>
      <c r="F1" s="3" t="s">
        <v>26</v>
      </c>
      <c r="G1" s="3" t="s">
        <v>27</v>
      </c>
      <c r="H1" s="3" t="s">
        <v>28</v>
      </c>
      <c r="I1" s="3" t="s">
        <v>0</v>
      </c>
    </row>
    <row r="2" spans="1:9" x14ac:dyDescent="0.25">
      <c r="A2" t="s">
        <v>3</v>
      </c>
      <c r="B2" s="9">
        <v>513299.44400000002</v>
      </c>
      <c r="C2" s="9">
        <v>4786476.443</v>
      </c>
      <c r="D2">
        <v>43.230963536002093</v>
      </c>
      <c r="E2">
        <v>-2.836218586178437</v>
      </c>
      <c r="F2" s="13" cm="1">
        <f t="array" ref="F2">_xlfn.LET(
  _xlpm.clave, A2,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78.542699999999996</v>
      </c>
      <c r="G2" s="3" cm="1">
        <f t="array" ref="G2">_xlfn.LET(
  _xlpm.clave, A2,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78.542699999999996</v>
      </c>
      <c r="H2" s="12">
        <f>+(Tabla2[[#This Row],[Z FINAL]]-Tabla2[[#This Row],[Z INICIAL]])*1000</f>
        <v>0</v>
      </c>
      <c r="I2" s="3" t="str" cm="1">
        <f t="array" ref="I2">_xlfn.LET(
  _xlpm.clave, UPPER(TRIM(SUBSTITUTE(A2,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23/04/2026</v>
      </c>
    </row>
    <row r="3" spans="1:9" x14ac:dyDescent="0.25">
      <c r="A3" t="s">
        <v>4</v>
      </c>
      <c r="B3" s="9">
        <v>513274.2</v>
      </c>
      <c r="C3" s="9">
        <v>4786419.8830000004</v>
      </c>
      <c r="D3">
        <v>43.230454675407593</v>
      </c>
      <c r="E3">
        <v>-2.8365308235892841</v>
      </c>
      <c r="F3" s="13" cm="1">
        <f t="array" ref="F3">_xlfn.LET(
  _xlpm.clave, A3,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72.819800000000001</v>
      </c>
      <c r="G3" s="3" cm="1">
        <f t="array" ref="G3">_xlfn.LET(
  _xlpm.clave, A3,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72.805499999999995</v>
      </c>
      <c r="H3" s="12">
        <f>+(Tabla2[[#This Row],[Z FINAL]]-Tabla2[[#This Row],[Z INICIAL]])*1000</f>
        <v>-14.300000000005753</v>
      </c>
      <c r="I3" s="3" t="str" cm="1">
        <f t="array" ref="I3">_xlfn.LET(
  _xlpm.clave, UPPER(TRIM(SUBSTITUTE(A3,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23/04/2026</v>
      </c>
    </row>
    <row r="4" spans="1:9" x14ac:dyDescent="0.25">
      <c r="A4" t="s">
        <v>5</v>
      </c>
      <c r="B4" s="9">
        <v>513270.38400000008</v>
      </c>
      <c r="C4" s="9">
        <v>4786416.7769999998</v>
      </c>
      <c r="D4">
        <v>43.230426773980177</v>
      </c>
      <c r="E4">
        <v>-2.8365778914202688</v>
      </c>
      <c r="F4" s="13" cm="1">
        <f t="array" ref="F4">_xlfn.LET(
  _xlpm.clave, A4,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72.260900000000007</v>
      </c>
      <c r="G4" s="3" cm="1">
        <f t="array" ref="G4">_xlfn.LET(
  _xlpm.clave, A4,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72.266400000000004</v>
      </c>
      <c r="H4" s="12">
        <f>+(Tabla2[[#This Row],[Z FINAL]]-Tabla2[[#This Row],[Z INICIAL]])*1000</f>
        <v>5.49999999999784</v>
      </c>
      <c r="I4" s="3" t="str" cm="1">
        <f t="array" ref="I4">_xlfn.LET(
  _xlpm.clave, UPPER(TRIM(SUBSTITUTE(A4,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23/04/2026</v>
      </c>
    </row>
    <row r="5" spans="1:9" x14ac:dyDescent="0.25">
      <c r="A5" t="s">
        <v>6</v>
      </c>
      <c r="B5" s="9">
        <v>513258.3170000001</v>
      </c>
      <c r="C5" s="9">
        <v>4786394.6390000014</v>
      </c>
      <c r="D5">
        <v>43.230227640331321</v>
      </c>
      <c r="E5">
        <v>-2.8367270256192381</v>
      </c>
      <c r="F5" s="13" cm="1">
        <f t="array" ref="F5">_xlfn.LET(
  _xlpm.clave, A5,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70.915700000000001</v>
      </c>
      <c r="G5" s="3" cm="1">
        <f t="array" ref="G5">_xlfn.LET(
  _xlpm.clave, A5,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70.9131</v>
      </c>
      <c r="H5" s="12">
        <f>+(Tabla2[[#This Row],[Z FINAL]]-Tabla2[[#This Row],[Z INICIAL]])*1000</f>
        <v>-2.6000000000010459</v>
      </c>
      <c r="I5" s="3" t="str" cm="1">
        <f t="array" ref="I5">_xlfn.LET(
  _xlpm.clave, UPPER(TRIM(SUBSTITUTE(A5,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23/04/2026</v>
      </c>
    </row>
    <row r="6" spans="1:9" x14ac:dyDescent="0.25">
      <c r="A6" t="s">
        <v>7</v>
      </c>
      <c r="B6" s="9">
        <v>513222.85800000001</v>
      </c>
      <c r="C6" s="9">
        <v>4786321.2980000004</v>
      </c>
      <c r="D6">
        <v>43.229567849663368</v>
      </c>
      <c r="E6">
        <v>-2.8371654510037558</v>
      </c>
      <c r="F6" s="13" cm="1">
        <f t="array" ref="F6">_xlfn.LET(
  _xlpm.clave, A6,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70.272999999999996</v>
      </c>
      <c r="G6" s="3" cm="1">
        <f t="array" ref="G6">_xlfn.LET(
  _xlpm.clave, A6,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70.272899999999993</v>
      </c>
      <c r="H6" s="12">
        <f>+(Tabla2[[#This Row],[Z FINAL]]-Tabla2[[#This Row],[Z INICIAL]])*1000</f>
        <v>-0.10000000000331966</v>
      </c>
      <c r="I6" s="3" t="str" cm="1">
        <f t="array" ref="I6">_xlfn.LET(
  _xlpm.clave, UPPER(TRIM(SUBSTITUTE(A6,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23/04/2026</v>
      </c>
    </row>
    <row r="7" spans="1:9" x14ac:dyDescent="0.25">
      <c r="A7" t="s">
        <v>8</v>
      </c>
      <c r="B7" s="9">
        <v>513173.74400000012</v>
      </c>
      <c r="C7" s="9">
        <v>4786256.720999999</v>
      </c>
      <c r="D7">
        <v>43.228987212927308</v>
      </c>
      <c r="E7">
        <v>-2.8377718113597821</v>
      </c>
      <c r="F7" s="13" cm="1">
        <f t="array" ref="F7">_xlfn.LET(
  _xlpm.clave, A7,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66.596599999999995</v>
      </c>
      <c r="G7" s="3" cm="1">
        <f t="array" ref="G7">_xlfn.LET(
  _xlpm.clave, A7,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66.593299999999999</v>
      </c>
      <c r="H7" s="12">
        <f>+(Tabla2[[#This Row],[Z FINAL]]-Tabla2[[#This Row],[Z INICIAL]])*1000</f>
        <v>-3.2999999999958618</v>
      </c>
      <c r="I7" s="3" t="str" cm="1">
        <f t="array" ref="I7">_xlfn.LET(
  _xlpm.clave, UPPER(TRIM(SUBSTITUTE(A7,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23/04/2026</v>
      </c>
    </row>
    <row r="8" spans="1:9" x14ac:dyDescent="0.25">
      <c r="A8" t="s">
        <v>29</v>
      </c>
      <c r="B8" s="9">
        <v>512756.35900000011</v>
      </c>
      <c r="C8" s="9">
        <v>4786554.8350000009</v>
      </c>
      <c r="D8">
        <v>43.231678811138558</v>
      </c>
      <c r="E8">
        <v>-2.8429047891749031</v>
      </c>
      <c r="F8" s="13" cm="1">
        <f t="array" ref="F8">_xlfn.LET(
  _xlpm.clave, A8,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8" s="3" t="str" cm="1">
        <f t="array" ref="G8">_xlfn.LET(
  _xlpm.clave, A8,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8" s="12">
        <f>+(Tabla2[[#This Row],[Z FINAL]]-Tabla2[[#This Row],[Z INICIAL]])*1000</f>
        <v>0</v>
      </c>
      <c r="I8" s="3" t="str" cm="1">
        <f t="array" ref="I8">_xlfn.LET(
  _xlpm.clave, UPPER(TRIM(SUBSTITUTE(A8,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9" spans="1:9" x14ac:dyDescent="0.25">
      <c r="A9" t="s">
        <v>30</v>
      </c>
      <c r="B9" s="9">
        <v>512764.65700000018</v>
      </c>
      <c r="C9" s="9">
        <v>4786511.3370000022</v>
      </c>
      <c r="D9">
        <v>43.231286984715517</v>
      </c>
      <c r="E9">
        <v>-2.8428036059180379</v>
      </c>
      <c r="F9" s="13" cm="1">
        <f t="array" ref="F9">_xlfn.LET(
  _xlpm.clave, A9,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9" s="3" t="str" cm="1">
        <f t="array" ref="G9">_xlfn.LET(
  _xlpm.clave, A9,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9" s="12">
        <f>+(Tabla2[[#This Row],[Z FINAL]]-Tabla2[[#This Row],[Z INICIAL]])*1000</f>
        <v>0</v>
      </c>
      <c r="I9" s="3" t="str" cm="1">
        <f t="array" ref="I9">_xlfn.LET(
  _xlpm.clave, UPPER(TRIM(SUBSTITUTE(A9,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0" spans="1:9" x14ac:dyDescent="0.25">
      <c r="A10" t="s">
        <v>31</v>
      </c>
      <c r="B10" s="9">
        <v>512768.51300000009</v>
      </c>
      <c r="C10" s="9">
        <v>4786491.5600000015</v>
      </c>
      <c r="D10">
        <v>43.23110883367255</v>
      </c>
      <c r="E10">
        <v>-2.8427565773848378</v>
      </c>
      <c r="F10" s="13" cm="1">
        <f t="array" ref="F10">_xlfn.LET(
  _xlpm.clave, A10,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0" s="3" t="str" cm="1">
        <f t="array" ref="G10">_xlfn.LET(
  _xlpm.clave, A10,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0" s="12">
        <f>+(Tabla2[[#This Row],[Z FINAL]]-Tabla2[[#This Row],[Z INICIAL]])*1000</f>
        <v>0</v>
      </c>
      <c r="I10" s="3" t="str" cm="1">
        <f t="array" ref="I10">_xlfn.LET(
  _xlpm.clave, UPPER(TRIM(SUBSTITUTE(A10,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1" spans="1:9" x14ac:dyDescent="0.25">
      <c r="A11" t="s">
        <v>32</v>
      </c>
      <c r="B11" s="9">
        <v>512760.47900000022</v>
      </c>
      <c r="C11" s="9">
        <v>4786527.6516600018</v>
      </c>
      <c r="D11">
        <v>43.231433963878992</v>
      </c>
      <c r="E11">
        <v>-2.8428546802429939</v>
      </c>
      <c r="F11" s="13" cm="1">
        <f t="array" ref="F11">_xlfn.LET(
  _xlpm.clave, A11,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1" s="3" t="str" cm="1">
        <f t="array" ref="G11">_xlfn.LET(
  _xlpm.clave, A11,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1" s="12">
        <f>+(Tabla2[[#This Row],[Z FINAL]]-Tabla2[[#This Row],[Z INICIAL]])*1000</f>
        <v>0</v>
      </c>
      <c r="I11" s="3" t="str" cm="1">
        <f t="array" ref="I11">_xlfn.LET(
  _xlpm.clave, UPPER(TRIM(SUBSTITUTE(A11,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2" spans="1:9" x14ac:dyDescent="0.25">
      <c r="A12" t="s">
        <v>33</v>
      </c>
      <c r="B12" s="9">
        <v>512774.28300000011</v>
      </c>
      <c r="C12" s="9">
        <v>4786462.5730000008</v>
      </c>
      <c r="D12">
        <v>43.230847716982787</v>
      </c>
      <c r="E12">
        <v>-2.8426861917900639</v>
      </c>
      <c r="F12" s="13" cm="1">
        <f t="array" ref="F12">_xlfn.LET(
  _xlpm.clave, A12,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2" s="3" t="str" cm="1">
        <f t="array" ref="G12">_xlfn.LET(
  _xlpm.clave, A12,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2" s="12">
        <f>+(Tabla2[[#This Row],[Z FINAL]]-Tabla2[[#This Row],[Z INICIAL]])*1000</f>
        <v>0</v>
      </c>
      <c r="I12" s="3" t="str" cm="1">
        <f t="array" ref="I12">_xlfn.LET(
  _xlpm.clave, UPPER(TRIM(SUBSTITUTE(A12,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3" spans="1:9" x14ac:dyDescent="0.25">
      <c r="A13" t="s">
        <v>34</v>
      </c>
      <c r="B13" s="9">
        <v>512704.82700000022</v>
      </c>
      <c r="C13" s="9">
        <v>4786543.8969999999</v>
      </c>
      <c r="D13">
        <v>43.231581187524341</v>
      </c>
      <c r="E13">
        <v>-2.843539658004103</v>
      </c>
      <c r="F13" s="13" cm="1">
        <f t="array" ref="F13">_xlfn.LET(
  _xlpm.clave, A13,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3" s="3" t="str" cm="1">
        <f t="array" ref="G13">_xlfn.LET(
  _xlpm.clave, A13,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3" s="12">
        <f>+(Tabla2[[#This Row],[Z FINAL]]-Tabla2[[#This Row],[Z INICIAL]])*1000</f>
        <v>0</v>
      </c>
      <c r="I13" s="3" t="str" cm="1">
        <f t="array" ref="I13">_xlfn.LET(
  _xlpm.clave, UPPER(TRIM(SUBSTITUTE(A13,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4" spans="1:9" x14ac:dyDescent="0.25">
      <c r="A14" t="s">
        <v>35</v>
      </c>
      <c r="B14" s="9">
        <v>512709.27800000011</v>
      </c>
      <c r="C14" s="9">
        <v>4786522.7379999999</v>
      </c>
      <c r="D14">
        <v>43.231390582281307</v>
      </c>
      <c r="E14">
        <v>-2.8434853315512272</v>
      </c>
      <c r="F14" s="13" cm="1">
        <f t="array" ref="F14">_xlfn.LET(
  _xlpm.clave, A14,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4" s="3" t="str" cm="1">
        <f t="array" ref="G14">_xlfn.LET(
  _xlpm.clave, A14,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4" s="12">
        <f>+(Tabla2[[#This Row],[Z FINAL]]-Tabla2[[#This Row],[Z INICIAL]])*1000</f>
        <v>0</v>
      </c>
      <c r="I14" s="3" t="str" cm="1">
        <f t="array" ref="I14">_xlfn.LET(
  _xlpm.clave, UPPER(TRIM(SUBSTITUTE(A14,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5" spans="1:9" x14ac:dyDescent="0.25">
      <c r="A15" t="s">
        <v>36</v>
      </c>
      <c r="B15" s="9">
        <v>512713.07300000009</v>
      </c>
      <c r="C15" s="9">
        <v>4786505.9510000004</v>
      </c>
      <c r="D15">
        <v>43.231239356574847</v>
      </c>
      <c r="E15">
        <v>-2.8434389832464859</v>
      </c>
      <c r="F15" s="13" cm="1">
        <f t="array" ref="F15">_xlfn.LET(
  _xlpm.clave, A15,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5" s="3" t="str" cm="1">
        <f t="array" ref="G15">_xlfn.LET(
  _xlpm.clave, A15,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5" s="12">
        <f>+(Tabla2[[#This Row],[Z FINAL]]-Tabla2[[#This Row],[Z INICIAL]])*1000</f>
        <v>0</v>
      </c>
      <c r="I15" s="3" t="str" cm="1">
        <f t="array" ref="I15">_xlfn.LET(
  _xlpm.clave, UPPER(TRIM(SUBSTITUTE(A15,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6" spans="1:9" x14ac:dyDescent="0.25">
      <c r="A16" t="s">
        <v>37</v>
      </c>
      <c r="B16" s="9">
        <v>512719.84300000011</v>
      </c>
      <c r="C16" s="9">
        <v>4786474.307</v>
      </c>
      <c r="D16">
        <v>43.230954297977803</v>
      </c>
      <c r="E16">
        <v>-2.8433563409964631</v>
      </c>
      <c r="F16" s="13" cm="1">
        <f t="array" ref="F16">_xlfn.LET(
  _xlpm.clave, A16,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6" s="3" t="str" cm="1">
        <f t="array" ref="G16">_xlfn.LET(
  _xlpm.clave, A16,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6" s="12">
        <f>+(Tabla2[[#This Row],[Z FINAL]]-Tabla2[[#This Row],[Z INICIAL]])*1000</f>
        <v>0</v>
      </c>
      <c r="I16" s="3" t="str" cm="1">
        <f t="array" ref="I16">_xlfn.LET(
  _xlpm.clave, UPPER(TRIM(SUBSTITUTE(A16,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7" spans="1:9" x14ac:dyDescent="0.25">
      <c r="A17" t="s">
        <v>38</v>
      </c>
      <c r="B17" s="9">
        <v>512724.97000000009</v>
      </c>
      <c r="C17" s="9">
        <v>4786454.9409999996</v>
      </c>
      <c r="D17">
        <v>43.230779826638859</v>
      </c>
      <c r="E17">
        <v>-2.8432936494826242</v>
      </c>
      <c r="F17" s="13" cm="1">
        <f t="array" ref="F17">_xlfn.LET(
  _xlpm.clave, A17,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7" s="3" t="str" cm="1">
        <f t="array" ref="G17">_xlfn.LET(
  _xlpm.clave, A17,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7" s="12">
        <f>+(Tabla2[[#This Row],[Z FINAL]]-Tabla2[[#This Row],[Z INICIAL]])*1000</f>
        <v>0</v>
      </c>
      <c r="I17" s="3" t="str" cm="1">
        <f t="array" ref="I17">_xlfn.LET(
  _xlpm.clave, UPPER(TRIM(SUBSTITUTE(A17,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8" spans="1:9" x14ac:dyDescent="0.25">
      <c r="A18" t="s">
        <v>39</v>
      </c>
      <c r="B18" s="9">
        <v>512612.04399999999</v>
      </c>
      <c r="C18" s="9">
        <v>4786530.0710000014</v>
      </c>
      <c r="D18">
        <v>43.231458245658693</v>
      </c>
      <c r="E18">
        <v>-2.84468259556485</v>
      </c>
      <c r="F18" s="13" cm="1">
        <f t="array" ref="F18">_xlfn.LET(
  _xlpm.clave, A18,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8" s="3" t="str" cm="1">
        <f t="array" ref="G18">_xlfn.LET(
  _xlpm.clave, A18,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8" s="12">
        <f>+(Tabla2[[#This Row],[Z FINAL]]-Tabla2[[#This Row],[Z INICIAL]])*1000</f>
        <v>0</v>
      </c>
      <c r="I18" s="3" t="str" cm="1">
        <f t="array" ref="I18">_xlfn.LET(
  _xlpm.clave, UPPER(TRIM(SUBSTITUTE(A18,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9" spans="1:9" x14ac:dyDescent="0.25">
      <c r="A19" t="s">
        <v>40</v>
      </c>
      <c r="B19" s="9">
        <v>512616.473</v>
      </c>
      <c r="C19" s="9">
        <v>4786509.04</v>
      </c>
      <c r="D19">
        <v>43.231268793917522</v>
      </c>
      <c r="E19">
        <v>-2.8446285336572892</v>
      </c>
      <c r="F19" s="13" cm="1">
        <f t="array" ref="F19">_xlfn.LET(
  _xlpm.clave, A19,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9" s="3" t="str" cm="1">
        <f t="array" ref="G19">_xlfn.LET(
  _xlpm.clave, A19,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9" s="12">
        <f>+(Tabla2[[#This Row],[Z FINAL]]-Tabla2[[#This Row],[Z INICIAL]])*1000</f>
        <v>0</v>
      </c>
      <c r="I19" s="3" t="str" cm="1">
        <f t="array" ref="I19">_xlfn.LET(
  _xlpm.clave, UPPER(TRIM(SUBSTITUTE(A19,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0" spans="1:9" x14ac:dyDescent="0.25">
      <c r="A20" t="s">
        <v>41</v>
      </c>
      <c r="B20" s="9">
        <v>512619.516</v>
      </c>
      <c r="C20" s="9">
        <v>4786494.8389999997</v>
      </c>
      <c r="D20">
        <v>43.231140867381939</v>
      </c>
      <c r="E20">
        <v>-2.844591384250768</v>
      </c>
      <c r="F20" s="13" cm="1">
        <f t="array" ref="F20">_xlfn.LET(
  _xlpm.clave, A20,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0" s="3" t="str" cm="1">
        <f t="array" ref="G20">_xlfn.LET(
  _xlpm.clave, A20,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0" s="12">
        <f>+(Tabla2[[#This Row],[Z FINAL]]-Tabla2[[#This Row],[Z INICIAL]])*1000</f>
        <v>0</v>
      </c>
      <c r="I20" s="3" t="str" cm="1">
        <f t="array" ref="I20">_xlfn.LET(
  _xlpm.clave, UPPER(TRIM(SUBSTITUTE(A20,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1" spans="1:9" x14ac:dyDescent="0.25">
      <c r="A21" t="s">
        <v>42</v>
      </c>
      <c r="B21" s="9">
        <v>512622.49200000009</v>
      </c>
      <c r="C21" s="9">
        <v>4786480.4230000013</v>
      </c>
      <c r="D21">
        <v>43.231011005943927</v>
      </c>
      <c r="E21">
        <v>-2.8445550650154909</v>
      </c>
      <c r="F21" s="13" cm="1">
        <f t="array" ref="F21">_xlfn.LET(
  _xlpm.clave, A21,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1" s="3" t="str" cm="1">
        <f t="array" ref="G21">_xlfn.LET(
  _xlpm.clave, A21,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1" s="12">
        <f>+(Tabla2[[#This Row],[Z FINAL]]-Tabla2[[#This Row],[Z INICIAL]])*1000</f>
        <v>0</v>
      </c>
      <c r="I21" s="3" t="str" cm="1">
        <f t="array" ref="I21">_xlfn.LET(
  _xlpm.clave, UPPER(TRIM(SUBSTITUTE(A21,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2" spans="1:9" x14ac:dyDescent="0.25">
      <c r="A22" t="s">
        <v>43</v>
      </c>
      <c r="B22" s="9">
        <v>512627.701</v>
      </c>
      <c r="C22" s="9">
        <v>4786455.4919999996</v>
      </c>
      <c r="D22">
        <v>43.230786422770088</v>
      </c>
      <c r="E22">
        <v>-2.844491487608813</v>
      </c>
      <c r="F22" s="13" cm="1">
        <f t="array" ref="F22">_xlfn.LET(
  _xlpm.clave, A22,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2" s="3" t="str" cm="1">
        <f t="array" ref="G22">_xlfn.LET(
  _xlpm.clave, A22,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2" s="12">
        <f>+(Tabla2[[#This Row],[Z FINAL]]-Tabla2[[#This Row],[Z INICIAL]])*1000</f>
        <v>0</v>
      </c>
      <c r="I22" s="3" t="str" cm="1">
        <f t="array" ref="I22">_xlfn.LET(
  _xlpm.clave, UPPER(TRIM(SUBSTITUTE(A22,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3" spans="1:9" x14ac:dyDescent="0.25">
      <c r="A23" t="s">
        <v>44</v>
      </c>
      <c r="B23" s="9">
        <v>512601.46800000011</v>
      </c>
      <c r="C23" s="9">
        <v>4786527.5290000001</v>
      </c>
      <c r="D23">
        <v>43.23143553248358</v>
      </c>
      <c r="E23">
        <v>-2.8448128966817809</v>
      </c>
      <c r="F23" s="13" cm="1">
        <f t="array" ref="F23">_xlfn.LET(
  _xlpm.clave, A23,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3" s="3" t="str" cm="1">
        <f t="array" ref="G23">_xlfn.LET(
  _xlpm.clave, A23,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3" s="12">
        <f>+(Tabla2[[#This Row],[Z FINAL]]-Tabla2[[#This Row],[Z INICIAL]])*1000</f>
        <v>0</v>
      </c>
      <c r="I23" s="3" t="str" cm="1">
        <f t="array" ref="I23">_xlfn.LET(
  _xlpm.clave, UPPER(TRIM(SUBSTITUTE(A23,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4" spans="1:9" x14ac:dyDescent="0.25">
      <c r="A24" t="s">
        <v>45</v>
      </c>
      <c r="B24" s="9">
        <v>512606.54900000012</v>
      </c>
      <c r="C24" s="9">
        <v>4786504.6790000014</v>
      </c>
      <c r="D24">
        <v>43.231229690371428</v>
      </c>
      <c r="E24">
        <v>-2.8447508466373339</v>
      </c>
      <c r="F24" s="13" cm="1">
        <f t="array" ref="F24">_xlfn.LET(
  _xlpm.clave, A24,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4" s="3" t="str" cm="1">
        <f t="array" ref="G24">_xlfn.LET(
  _xlpm.clave, A24,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4" s="12">
        <f>+(Tabla2[[#This Row],[Z FINAL]]-Tabla2[[#This Row],[Z INICIAL]])*1000</f>
        <v>0</v>
      </c>
      <c r="I24" s="3" t="str" cm="1">
        <f t="array" ref="I24">_xlfn.LET(
  _xlpm.clave, UPPER(TRIM(SUBSTITUTE(A24,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5" spans="1:9" x14ac:dyDescent="0.25">
      <c r="A25" t="s">
        <v>46</v>
      </c>
      <c r="B25" s="9">
        <v>512608.973</v>
      </c>
      <c r="C25" s="9">
        <v>4786491.8459999999</v>
      </c>
      <c r="D25">
        <v>43.231114092640581</v>
      </c>
      <c r="E25">
        <v>-2.8447212886431621</v>
      </c>
      <c r="F25" s="13" cm="1">
        <f t="array" ref="F25">_xlfn.LET(
  _xlpm.clave, A25,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5" s="3" t="str" cm="1">
        <f t="array" ref="G25">_xlfn.LET(
  _xlpm.clave, A25,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5" s="12">
        <f>+(Tabla2[[#This Row],[Z FINAL]]-Tabla2[[#This Row],[Z INICIAL]])*1000</f>
        <v>0</v>
      </c>
      <c r="I25" s="3" t="str" cm="1">
        <f t="array" ref="I25">_xlfn.LET(
  _xlpm.clave, UPPER(TRIM(SUBSTITUTE(A25,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6" spans="1:9" x14ac:dyDescent="0.25">
      <c r="A26" t="s">
        <v>47</v>
      </c>
      <c r="B26" s="9">
        <v>512610.7240000001</v>
      </c>
      <c r="C26" s="9">
        <v>4786481.5439999998</v>
      </c>
      <c r="D26">
        <v>43.231021297028057</v>
      </c>
      <c r="E26">
        <v>-2.8446999608010861</v>
      </c>
      <c r="F26" s="13" cm="1">
        <f t="array" ref="F26">_xlfn.LET(
  _xlpm.clave, A26,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6" s="3" t="str" cm="1">
        <f t="array" ref="G26">_xlfn.LET(
  _xlpm.clave, A26,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6" s="12">
        <f>+(Tabla2[[#This Row],[Z FINAL]]-Tabla2[[#This Row],[Z INICIAL]])*1000</f>
        <v>0</v>
      </c>
      <c r="I26" s="3" t="str" cm="1">
        <f t="array" ref="I26">_xlfn.LET(
  _xlpm.clave, UPPER(TRIM(SUBSTITUTE(A26,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7" spans="1:9" x14ac:dyDescent="0.25">
      <c r="A27" t="s">
        <v>48</v>
      </c>
      <c r="B27" s="9">
        <v>512615.9200000001</v>
      </c>
      <c r="C27" s="9">
        <v>4786459.7870000014</v>
      </c>
      <c r="D27">
        <v>43.230825295046948</v>
      </c>
      <c r="E27">
        <v>-2.844636470348008</v>
      </c>
      <c r="F27" s="13" cm="1">
        <f t="array" ref="F27">_xlfn.LET(
  _xlpm.clave, A27,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7" s="3" t="str" cm="1">
        <f t="array" ref="G27">_xlfn.LET(
  _xlpm.clave, A27,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7" s="12">
        <f>+(Tabla2[[#This Row],[Z FINAL]]-Tabla2[[#This Row],[Z INICIAL]])*1000</f>
        <v>0</v>
      </c>
      <c r="I27" s="3" t="str" cm="1">
        <f t="array" ref="I27">_xlfn.LET(
  _xlpm.clave, UPPER(TRIM(SUBSTITUTE(A27,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8" spans="1:9" x14ac:dyDescent="0.25">
      <c r="A28" t="s">
        <v>49</v>
      </c>
      <c r="B28" s="9">
        <v>512573.18900000001</v>
      </c>
      <c r="C28" s="9">
        <v>4786506.8440000014</v>
      </c>
      <c r="D28">
        <v>43.231249742309537</v>
      </c>
      <c r="E28">
        <v>-2.8451616228958101</v>
      </c>
      <c r="F28" s="13" cm="1">
        <f t="array" ref="F28">_xlfn.LET(
  _xlpm.clave, A28,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8" s="3" t="str" cm="1">
        <f t="array" ref="G28">_xlfn.LET(
  _xlpm.clave, A28,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8" s="12">
        <f>+(Tabla2[[#This Row],[Z FINAL]]-Tabla2[[#This Row],[Z INICIAL]])*1000</f>
        <v>0</v>
      </c>
      <c r="I28" s="3" t="str" cm="1">
        <f t="array" ref="I28">_xlfn.LET(
  _xlpm.clave, UPPER(TRIM(SUBSTITUTE(A28,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9" spans="1:9" x14ac:dyDescent="0.25">
      <c r="A29" t="s">
        <v>50</v>
      </c>
      <c r="B29" s="9">
        <v>512573.609</v>
      </c>
      <c r="C29" s="9">
        <v>4786494.9409999996</v>
      </c>
      <c r="D29">
        <v>43.231142552454273</v>
      </c>
      <c r="E29">
        <v>-2.845156721969226</v>
      </c>
      <c r="F29" s="13" cm="1">
        <f t="array" ref="F29">_xlfn.LET(
  _xlpm.clave, A29,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9" s="3" t="str" cm="1">
        <f t="array" ref="G29">_xlfn.LET(
  _xlpm.clave, A29,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9" s="12">
        <f>+(Tabla2[[#This Row],[Z FINAL]]-Tabla2[[#This Row],[Z INICIAL]])*1000</f>
        <v>0</v>
      </c>
      <c r="I29" s="3" t="str" cm="1">
        <f t="array" ref="I29">_xlfn.LET(
  _xlpm.clave, UPPER(TRIM(SUBSTITUTE(A29,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30" spans="1:9" x14ac:dyDescent="0.25">
      <c r="A30" t="s">
        <v>51</v>
      </c>
      <c r="B30" s="9">
        <v>512585.5140000002</v>
      </c>
      <c r="C30" s="9">
        <v>4786417.7850000001</v>
      </c>
      <c r="D30">
        <v>43.230447587825623</v>
      </c>
      <c r="E30">
        <v>-2.8450118735709711</v>
      </c>
      <c r="F30" s="13" cm="1">
        <f t="array" ref="F30">_xlfn.LET(
  _xlpm.clave, A30,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30" s="3" t="str" cm="1">
        <f t="array" ref="G30">_xlfn.LET(
  _xlpm.clave, A30,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30" s="12">
        <f>+(Tabla2[[#This Row],[Z FINAL]]-Tabla2[[#This Row],[Z INICIAL]])*1000</f>
        <v>0</v>
      </c>
      <c r="I30" s="3" t="str" cm="1">
        <f t="array" ref="I30">_xlfn.LET(
  _xlpm.clave, UPPER(TRIM(SUBSTITUTE(A30,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31" spans="1:9" x14ac:dyDescent="0.25">
      <c r="A31" t="s">
        <v>52</v>
      </c>
      <c r="B31" s="9">
        <v>512536.55200000003</v>
      </c>
      <c r="C31" s="9">
        <v>4786485.17</v>
      </c>
      <c r="D31">
        <v>43.231055184371819</v>
      </c>
      <c r="E31">
        <v>-2.845613297266036</v>
      </c>
      <c r="F31" s="13" cm="1">
        <f t="array" ref="F31">_xlfn.LET(
  _xlpm.clave, A31,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31" s="3" t="str" cm="1">
        <f t="array" ref="G31">_xlfn.LET(
  _xlpm.clave, A31,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31" s="12">
        <f>+(Tabla2[[#This Row],[Z FINAL]]-Tabla2[[#This Row],[Z INICIAL]])*1000</f>
        <v>0</v>
      </c>
      <c r="I31" s="3" t="str" cm="1">
        <f t="array" ref="I31">_xlfn.LET(
  _xlpm.clave, UPPER(TRIM(SUBSTITUTE(A31,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32" spans="1:9" x14ac:dyDescent="0.25">
      <c r="A32" t="s">
        <v>53</v>
      </c>
      <c r="B32" s="9">
        <v>512537.26</v>
      </c>
      <c r="C32" s="9">
        <v>4786458.0839999998</v>
      </c>
      <c r="D32">
        <v>43.230811271488093</v>
      </c>
      <c r="E32">
        <v>-2.8456051939873062</v>
      </c>
      <c r="F32" s="13" cm="1">
        <f t="array" ref="F32">_xlfn.LET(
  _xlpm.clave, A32,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32" s="3" t="str" cm="1">
        <f t="array" ref="G32">_xlfn.LET(
  _xlpm.clave, A32,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32" s="12">
        <f>+(Tabla2[[#This Row],[Z FINAL]]-Tabla2[[#This Row],[Z INICIAL]])*1000</f>
        <v>0</v>
      </c>
      <c r="I32" s="3" t="str" cm="1">
        <f t="array" ref="I32">_xlfn.LET(
  _xlpm.clave, UPPER(TRIM(SUBSTITUTE(A32,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33" spans="1:9" x14ac:dyDescent="0.25">
      <c r="A33" t="s">
        <v>54</v>
      </c>
      <c r="B33" s="9">
        <v>512526.48100000003</v>
      </c>
      <c r="C33" s="9">
        <v>4786528.4730000002</v>
      </c>
      <c r="D33">
        <v>43.231445281882444</v>
      </c>
      <c r="E33">
        <v>-2.8457363370036122</v>
      </c>
      <c r="F33" s="13" cm="1">
        <f t="array" ref="F33">_xlfn.LET(
  _xlpm.clave, A33,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33" s="3" t="str" cm="1">
        <f t="array" ref="G33">_xlfn.LET(
  _xlpm.clave, A33,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33" s="12">
        <f>+(Tabla2[[#This Row],[Z FINAL]]-Tabla2[[#This Row],[Z INICIAL]])*1000</f>
        <v>0</v>
      </c>
      <c r="I33" s="3" t="str" cm="1">
        <f t="array" ref="I33">_xlfn.LET(
  _xlpm.clave, UPPER(TRIM(SUBSTITUTE(A33,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34" spans="1:9" x14ac:dyDescent="0.25">
      <c r="A34" t="s">
        <v>55</v>
      </c>
      <c r="B34" s="9">
        <v>512523.076</v>
      </c>
      <c r="C34" s="9">
        <v>4786508.1720000003</v>
      </c>
      <c r="D34">
        <v>43.231262534156187</v>
      </c>
      <c r="E34">
        <v>-2.8457787303671762</v>
      </c>
      <c r="F34" s="13" cm="1">
        <f t="array" ref="F34">_xlfn.LET(
  _xlpm.clave, A34,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34" s="3" t="str" cm="1">
        <f t="array" ref="G34">_xlfn.LET(
  _xlpm.clave, A34,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34" s="12">
        <f>+(Tabla2[[#This Row],[Z FINAL]]-Tabla2[[#This Row],[Z INICIAL]])*1000</f>
        <v>0</v>
      </c>
      <c r="I34" s="3" t="str" cm="1">
        <f t="array" ref="I34">_xlfn.LET(
  _xlpm.clave, UPPER(TRIM(SUBSTITUTE(A34,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35" spans="1:9" x14ac:dyDescent="0.25">
      <c r="A35" t="s">
        <v>56</v>
      </c>
      <c r="B35" s="9">
        <v>512518.228</v>
      </c>
      <c r="C35" s="9">
        <v>4786484.2539999997</v>
      </c>
      <c r="D35">
        <v>43.231047240381379</v>
      </c>
      <c r="E35">
        <v>-2.845838975946497</v>
      </c>
      <c r="F35" s="13" cm="1">
        <f t="array" ref="F35">_xlfn.LET(
  _xlpm.clave, A35,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35" s="3" t="str" cm="1">
        <f t="array" ref="G35">_xlfn.LET(
  _xlpm.clave, A35,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35" s="12">
        <f>+(Tabla2[[#This Row],[Z FINAL]]-Tabla2[[#This Row],[Z INICIAL]])*1000</f>
        <v>0</v>
      </c>
      <c r="I35" s="3" t="str" cm="1">
        <f t="array" ref="I35">_xlfn.LET(
  _xlpm.clave, UPPER(TRIM(SUBSTITUTE(A35,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36" spans="1:9" x14ac:dyDescent="0.25">
      <c r="A36" t="s">
        <v>57</v>
      </c>
      <c r="B36" s="9">
        <v>512516.67200000008</v>
      </c>
      <c r="C36" s="9">
        <v>4786472.7489999998</v>
      </c>
      <c r="D36">
        <v>43.230943667207427</v>
      </c>
      <c r="E36">
        <v>-2.8458583989768589</v>
      </c>
      <c r="F36" s="13" cm="1">
        <f t="array" ref="F36">_xlfn.LET(
  _xlpm.clave, A36,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36" s="3" t="str" cm="1">
        <f t="array" ref="G36">_xlfn.LET(
  _xlpm.clave, A36,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36" s="12">
        <f>+(Tabla2[[#This Row],[Z FINAL]]-Tabla2[[#This Row],[Z INICIAL]])*1000</f>
        <v>0</v>
      </c>
      <c r="I36" s="3" t="str" cm="1">
        <f t="array" ref="I36">_xlfn.LET(
  _xlpm.clave, UPPER(TRIM(SUBSTITUTE(A36,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37" spans="1:9" x14ac:dyDescent="0.25">
      <c r="A37" t="s">
        <v>58</v>
      </c>
      <c r="B37" s="9">
        <v>512515.05900000012</v>
      </c>
      <c r="C37" s="9">
        <v>4786441.6430000002</v>
      </c>
      <c r="D37">
        <v>43.230663593976757</v>
      </c>
      <c r="E37">
        <v>-2.8458789686190689</v>
      </c>
      <c r="F37" s="13" cm="1">
        <f t="array" ref="F37">_xlfn.LET(
  _xlpm.clave, A37,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37" s="3" t="str" cm="1">
        <f t="array" ref="G37">_xlfn.LET(
  _xlpm.clave, A37,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37" s="12">
        <f>+(Tabla2[[#This Row],[Z FINAL]]-Tabla2[[#This Row],[Z INICIAL]])*1000</f>
        <v>0</v>
      </c>
      <c r="I37" s="3" t="str" cm="1">
        <f t="array" ref="I37">_xlfn.LET(
  _xlpm.clave, UPPER(TRIM(SUBSTITUTE(A37,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38" spans="1:9" x14ac:dyDescent="0.25">
      <c r="A38" t="s">
        <v>59</v>
      </c>
      <c r="B38" s="9">
        <v>512484.848</v>
      </c>
      <c r="C38" s="9">
        <v>4786537.0099999988</v>
      </c>
      <c r="D38">
        <v>43.231522845155567</v>
      </c>
      <c r="E38">
        <v>-2.8462488525117222</v>
      </c>
      <c r="F38" s="13" cm="1">
        <f t="array" ref="F38">_xlfn.LET(
  _xlpm.clave, A38,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38" s="3" t="str" cm="1">
        <f t="array" ref="G38">_xlfn.LET(
  _xlpm.clave, A38,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38" s="12">
        <f>+(Tabla2[[#This Row],[Z FINAL]]-Tabla2[[#This Row],[Z INICIAL]])*1000</f>
        <v>0</v>
      </c>
      <c r="I38" s="3" t="str" cm="1">
        <f t="array" ref="I38">_xlfn.LET(
  _xlpm.clave, UPPER(TRIM(SUBSTITUTE(A38,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39" spans="1:9" x14ac:dyDescent="0.25">
      <c r="A39" t="s">
        <v>60</v>
      </c>
      <c r="B39" s="9">
        <v>512480.451</v>
      </c>
      <c r="C39" s="9">
        <v>4786512.0040000007</v>
      </c>
      <c r="D39">
        <v>43.231297746573482</v>
      </c>
      <c r="E39">
        <v>-2.8463035672796599</v>
      </c>
      <c r="F39" s="13" cm="1">
        <f t="array" ref="F39">_xlfn.LET(
  _xlpm.clave, A39,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39" s="3" t="str" cm="1">
        <f t="array" ref="G39">_xlfn.LET(
  _xlpm.clave, A39,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39" s="12">
        <f>+(Tabla2[[#This Row],[Z FINAL]]-Tabla2[[#This Row],[Z INICIAL]])*1000</f>
        <v>0</v>
      </c>
      <c r="I39" s="3" t="str" cm="1">
        <f t="array" ref="I39">_xlfn.LET(
  _xlpm.clave, UPPER(TRIM(SUBSTITUTE(A39,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40" spans="1:9" x14ac:dyDescent="0.25">
      <c r="A40" t="s">
        <v>61</v>
      </c>
      <c r="B40" s="9">
        <v>512481.17200000002</v>
      </c>
      <c r="C40" s="9">
        <v>4786492.3190000001</v>
      </c>
      <c r="D40">
        <v>43.231120477263559</v>
      </c>
      <c r="E40">
        <v>-2.8462951336538662</v>
      </c>
      <c r="F40" s="13" cm="1">
        <f t="array" ref="F40">_xlfn.LET(
  _xlpm.clave, A40,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40" s="3" t="str" cm="1">
        <f t="array" ref="G40">_xlfn.LET(
  _xlpm.clave, A40,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40" s="12">
        <f>+(Tabla2[[#This Row],[Z FINAL]]-Tabla2[[#This Row],[Z INICIAL]])*1000</f>
        <v>0</v>
      </c>
      <c r="I40" s="3" t="str" cm="1">
        <f t="array" ref="I40">_xlfn.LET(
  _xlpm.clave, UPPER(TRIM(SUBSTITUTE(A40,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41" spans="1:9" x14ac:dyDescent="0.25">
      <c r="A41" t="s">
        <v>62</v>
      </c>
      <c r="B41" s="9">
        <v>512479.08</v>
      </c>
      <c r="C41" s="9">
        <v>4786471.8229999999</v>
      </c>
      <c r="D41">
        <v>43.23093595168195</v>
      </c>
      <c r="E41">
        <v>-2.8463213601233188</v>
      </c>
      <c r="F41" s="13" cm="1">
        <f t="array" ref="F41">_xlfn.LET(
  _xlpm.clave, A41,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41" s="3" t="str" cm="1">
        <f t="array" ref="G41">_xlfn.LET(
  _xlpm.clave, A41,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41" s="12">
        <f>+(Tabla2[[#This Row],[Z FINAL]]-Tabla2[[#This Row],[Z INICIAL]])*1000</f>
        <v>0</v>
      </c>
      <c r="I41" s="3" t="str" cm="1">
        <f t="array" ref="I41">_xlfn.LET(
  _xlpm.clave, UPPER(TRIM(SUBSTITUTE(A41,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42" spans="1:9" x14ac:dyDescent="0.25">
      <c r="A42" t="s">
        <v>63</v>
      </c>
      <c r="B42" s="9">
        <v>512460.30800000002</v>
      </c>
      <c r="C42" s="9">
        <v>4786518.1639999999</v>
      </c>
      <c r="D42">
        <v>43.231353548478651</v>
      </c>
      <c r="E42">
        <v>-2.846551487774327</v>
      </c>
      <c r="F42" s="13" cm="1">
        <f t="array" ref="F42">_xlfn.LET(
  _xlpm.clave, A42,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42" s="3" t="str" cm="1">
        <f t="array" ref="G42">_xlfn.LET(
  _xlpm.clave, A42,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42" s="12">
        <f>+(Tabla2[[#This Row],[Z FINAL]]-Tabla2[[#This Row],[Z INICIAL]])*1000</f>
        <v>0</v>
      </c>
      <c r="I42" s="3" t="str" cm="1">
        <f t="array" ref="I42">_xlfn.LET(
  _xlpm.clave, UPPER(TRIM(SUBSTITUTE(A42,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43" spans="1:9" x14ac:dyDescent="0.25">
      <c r="A43" t="s">
        <v>64</v>
      </c>
      <c r="B43" s="9">
        <v>512462.45400000009</v>
      </c>
      <c r="C43" s="9">
        <v>4786505.1120000007</v>
      </c>
      <c r="D43">
        <v>43.231235983775449</v>
      </c>
      <c r="E43">
        <v>-2.8465253548121892</v>
      </c>
      <c r="F43" s="13" cm="1">
        <f t="array" ref="F43">_xlfn.LET(
  _xlpm.clave, A43,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43" s="3" t="str" cm="1">
        <f t="array" ref="G43">_xlfn.LET(
  _xlpm.clave, A43,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43" s="12">
        <f>+(Tabla2[[#This Row],[Z FINAL]]-Tabla2[[#This Row],[Z INICIAL]])*1000</f>
        <v>0</v>
      </c>
      <c r="I43" s="3" t="str" cm="1">
        <f t="array" ref="I43">_xlfn.LET(
  _xlpm.clave, UPPER(TRIM(SUBSTITUTE(A43,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44" spans="1:9" x14ac:dyDescent="0.25">
      <c r="A44" t="s">
        <v>65</v>
      </c>
      <c r="B44" s="9">
        <v>512465.283</v>
      </c>
      <c r="C44" s="9">
        <v>4786492.7719999999</v>
      </c>
      <c r="D44">
        <v>43.231124819119387</v>
      </c>
      <c r="E44">
        <v>-2.846490794785923</v>
      </c>
      <c r="F44" s="13" cm="1">
        <f t="array" ref="F44">_xlfn.LET(
  _xlpm.clave, A44,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44" s="3" t="str" cm="1">
        <f t="array" ref="G44">_xlfn.LET(
  _xlpm.clave, A44,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44" s="12">
        <f>+(Tabla2[[#This Row],[Z FINAL]]-Tabla2[[#This Row],[Z INICIAL]])*1000</f>
        <v>0</v>
      </c>
      <c r="I44" s="3" t="str" cm="1">
        <f t="array" ref="I44">_xlfn.LET(
  _xlpm.clave, UPPER(TRIM(SUBSTITUTE(A44,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45" spans="1:9" x14ac:dyDescent="0.25">
      <c r="A45" t="s">
        <v>66</v>
      </c>
      <c r="B45" s="9">
        <v>512471.42300000001</v>
      </c>
      <c r="C45" s="9">
        <v>4786476.9870000007</v>
      </c>
      <c r="D45">
        <v>43.230982578549359</v>
      </c>
      <c r="E45">
        <v>-2.846415538230981</v>
      </c>
      <c r="F45" s="13" cm="1">
        <f t="array" ref="F45">_xlfn.LET(
  _xlpm.clave, A45,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45" s="3" t="str" cm="1">
        <f t="array" ref="G45">_xlfn.LET(
  _xlpm.clave, A45,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45" s="12">
        <f>+(Tabla2[[#This Row],[Z FINAL]]-Tabla2[[#This Row],[Z INICIAL]])*1000</f>
        <v>0</v>
      </c>
      <c r="I45" s="3" t="str" cm="1">
        <f t="array" ref="I45">_xlfn.LET(
  _xlpm.clave, UPPER(TRIM(SUBSTITUTE(A45,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46" spans="1:9" x14ac:dyDescent="0.25">
      <c r="A46" t="s">
        <v>67</v>
      </c>
      <c r="B46" s="9">
        <v>512479.38500000001</v>
      </c>
      <c r="C46" s="9">
        <v>4786458.2410000013</v>
      </c>
      <c r="D46">
        <v>43.230813644889423</v>
      </c>
      <c r="E46">
        <v>-2.8463179113807859</v>
      </c>
      <c r="F46" s="13" cm="1">
        <f t="array" ref="F46">_xlfn.LET(
  _xlpm.clave, A46,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46" s="3" t="str" cm="1">
        <f t="array" ref="G46">_xlfn.LET(
  _xlpm.clave, A46,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46" s="12">
        <f>+(Tabla2[[#This Row],[Z FINAL]]-Tabla2[[#This Row],[Z INICIAL]])*1000</f>
        <v>0</v>
      </c>
      <c r="I46" s="3" t="str" cm="1">
        <f t="array" ref="I46">_xlfn.LET(
  _xlpm.clave, UPPER(TRIM(SUBSTITUTE(A46,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47" spans="1:9" x14ac:dyDescent="0.25">
      <c r="A47" t="s">
        <v>68</v>
      </c>
      <c r="B47" s="9">
        <v>512450.94500000001</v>
      </c>
      <c r="C47" s="9">
        <v>4786509.4759999989</v>
      </c>
      <c r="D47">
        <v>43.231275470309491</v>
      </c>
      <c r="E47">
        <v>-2.846666988698547</v>
      </c>
      <c r="F47" s="13" cm="1">
        <f t="array" ref="F47">_xlfn.LET(
  _xlpm.clave, A47,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47" s="3" t="str" cm="1">
        <f t="array" ref="G47">_xlfn.LET(
  _xlpm.clave, A47,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47" s="12">
        <f>+(Tabla2[[#This Row],[Z FINAL]]-Tabla2[[#This Row],[Z INICIAL]])*1000</f>
        <v>0</v>
      </c>
      <c r="I47" s="3" t="str" cm="1">
        <f t="array" ref="I47">_xlfn.LET(
  _xlpm.clave, UPPER(TRIM(SUBSTITUTE(A47,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48" spans="1:9" x14ac:dyDescent="0.25">
      <c r="A48" t="s">
        <v>69</v>
      </c>
      <c r="B48" s="9">
        <v>512440.10200000001</v>
      </c>
      <c r="C48" s="9">
        <v>4786499.2410000013</v>
      </c>
      <c r="D48">
        <v>43.231183486170679</v>
      </c>
      <c r="E48">
        <v>-2.8468007502868882</v>
      </c>
      <c r="F48" s="13" cm="1">
        <f t="array" ref="F48">_xlfn.LET(
  _xlpm.clave, A48,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48" s="3" t="str" cm="1">
        <f t="array" ref="G48">_xlfn.LET(
  _xlpm.clave, A48,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48" s="12">
        <f>+(Tabla2[[#This Row],[Z FINAL]]-Tabla2[[#This Row],[Z INICIAL]])*1000</f>
        <v>0</v>
      </c>
      <c r="I48" s="3" t="str" cm="1">
        <f t="array" ref="I48">_xlfn.LET(
  _xlpm.clave, UPPER(TRIM(SUBSTITUTE(A48,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49" spans="1:9" x14ac:dyDescent="0.25">
      <c r="A49" t="s">
        <v>70</v>
      </c>
      <c r="B49" s="9">
        <v>512424.43900000007</v>
      </c>
      <c r="C49" s="9">
        <v>4786485.5630000001</v>
      </c>
      <c r="D49">
        <v>43.23106057811767</v>
      </c>
      <c r="E49">
        <v>-2.8469939467959229</v>
      </c>
      <c r="F49" s="13" cm="1">
        <f t="array" ref="F49">_xlfn.LET(
  _xlpm.clave, A49,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49" s="3" t="str" cm="1">
        <f t="array" ref="G49">_xlfn.LET(
  _xlpm.clave, A49,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49" s="12">
        <f>+(Tabla2[[#This Row],[Z FINAL]]-Tabla2[[#This Row],[Z INICIAL]])*1000</f>
        <v>0</v>
      </c>
      <c r="I49" s="3" t="str" cm="1">
        <f t="array" ref="I49">_xlfn.LET(
  _xlpm.clave, UPPER(TRIM(SUBSTITUTE(A49,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50" spans="1:9" x14ac:dyDescent="0.25">
      <c r="A50" t="s">
        <v>71</v>
      </c>
      <c r="B50" s="9">
        <v>512404.21300000011</v>
      </c>
      <c r="C50" s="9">
        <v>4786466.2390000001</v>
      </c>
      <c r="D50">
        <v>43.230886904279863</v>
      </c>
      <c r="E50">
        <v>-2.8472434621996499</v>
      </c>
      <c r="F50" s="13" cm="1">
        <f t="array" ref="F50">_xlfn.LET(
  _xlpm.clave, A50,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50" s="3" t="str" cm="1">
        <f t="array" ref="G50">_xlfn.LET(
  _xlpm.clave, A50,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50" s="12">
        <f>+(Tabla2[[#This Row],[Z FINAL]]-Tabla2[[#This Row],[Z INICIAL]])*1000</f>
        <v>0</v>
      </c>
      <c r="I50" s="3" t="str" cm="1">
        <f t="array" ref="I50">_xlfn.LET(
  _xlpm.clave, UPPER(TRIM(SUBSTITUTE(A50,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51" spans="1:9" x14ac:dyDescent="0.25">
      <c r="A51" t="s">
        <v>9</v>
      </c>
      <c r="B51" s="9">
        <v>513197.11378297512</v>
      </c>
      <c r="C51" s="9">
        <v>4786477.5447052997</v>
      </c>
      <c r="D51">
        <v>43.230975253710028</v>
      </c>
      <c r="E51">
        <v>-2.8374787419169789</v>
      </c>
      <c r="F51" s="13" cm="1">
        <f t="array" ref="F51">_xlfn.LET(
  _xlpm.clave, A51,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69.676000000000002</v>
      </c>
      <c r="G51" s="3" cm="1">
        <f t="array" ref="G51">_xlfn.LET(
  _xlpm.clave, A51,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69.676299999999998</v>
      </c>
      <c r="H51" s="12">
        <f>+(Tabla2[[#This Row],[Z FINAL]]-Tabla2[[#This Row],[Z INICIAL]])*1000</f>
        <v>0.29999999999574811</v>
      </c>
      <c r="I51" s="3" t="str" cm="1">
        <f t="array" ref="I51">_xlfn.LET(
  _xlpm.clave, UPPER(TRIM(SUBSTITUTE(A51,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28/04/2026</v>
      </c>
    </row>
    <row r="52" spans="1:9" x14ac:dyDescent="0.25">
      <c r="A52" t="s">
        <v>10</v>
      </c>
      <c r="B52" s="9">
        <v>513154.853</v>
      </c>
      <c r="C52" s="9">
        <v>4786399.1769999992</v>
      </c>
      <c r="D52">
        <v>43.230270314959583</v>
      </c>
      <c r="E52">
        <v>-2.8380010465725101</v>
      </c>
      <c r="F52" s="13" cm="1">
        <f t="array" ref="F52">_xlfn.LET(
  _xlpm.clave, A52,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69.657799999999995</v>
      </c>
      <c r="G52" s="3" cm="1">
        <f t="array" ref="G52">_xlfn.LET(
  _xlpm.clave, A52,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69.657700000000006</v>
      </c>
      <c r="H52" s="12">
        <f>+(Tabla2[[#This Row],[Z FINAL]]-Tabla2[[#This Row],[Z INICIAL]])*1000</f>
        <v>-9.9999999989108801E-2</v>
      </c>
      <c r="I52" s="3" t="str" cm="1">
        <f t="array" ref="I52">_xlfn.LET(
  _xlpm.clave, UPPER(TRIM(SUBSTITUTE(A52,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28/04/2026</v>
      </c>
    </row>
    <row r="53" spans="1:9" x14ac:dyDescent="0.25">
      <c r="A53" t="s">
        <v>11</v>
      </c>
      <c r="B53" s="9">
        <v>513146.67900000012</v>
      </c>
      <c r="C53" s="9">
        <v>4786376.5909999991</v>
      </c>
      <c r="D53">
        <v>43.230067077505211</v>
      </c>
      <c r="E53">
        <v>-2.838102245392979</v>
      </c>
      <c r="F53" s="13" cm="1">
        <f t="array" ref="F53">_xlfn.LET(
  _xlpm.clave, A53,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70.013800000000003</v>
      </c>
      <c r="G53" s="3" cm="1">
        <f t="array" ref="G53">_xlfn.LET(
  _xlpm.clave, A53,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70.013300000000001</v>
      </c>
      <c r="H53" s="12">
        <f>+(Tabla2[[#This Row],[Z FINAL]]-Tabla2[[#This Row],[Z INICIAL]])*1000</f>
        <v>-0.50000000000238742</v>
      </c>
      <c r="I53" s="3" t="str" cm="1">
        <f t="array" ref="I53">_xlfn.LET(
  _xlpm.clave, UPPER(TRIM(SUBSTITUTE(A53,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28/04/2026</v>
      </c>
    </row>
    <row r="54" spans="1:9" x14ac:dyDescent="0.25">
      <c r="A54" t="s">
        <v>12</v>
      </c>
      <c r="B54" s="9">
        <v>513135.24400000001</v>
      </c>
      <c r="C54" s="9">
        <v>4786354.2920000004</v>
      </c>
      <c r="D54">
        <v>43.229866481087647</v>
      </c>
      <c r="E54">
        <v>-2.8382435947373081</v>
      </c>
      <c r="F54" s="13" cm="1">
        <f t="array" ref="F54">_xlfn.LET(
  _xlpm.clave, A54,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73.930099999999996</v>
      </c>
      <c r="G54" s="3" cm="1">
        <f t="array" ref="G54">_xlfn.LET(
  _xlpm.clave, A54,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73.929199999999994</v>
      </c>
      <c r="H54" s="12">
        <f>+(Tabla2[[#This Row],[Z FINAL]]-Tabla2[[#This Row],[Z INICIAL]])*1000</f>
        <v>-0.90000000000145519</v>
      </c>
      <c r="I54" s="3" t="str" cm="1">
        <f t="array" ref="I54">_xlfn.LET(
  _xlpm.clave, UPPER(TRIM(SUBSTITUTE(A54,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28/04/2026</v>
      </c>
    </row>
    <row r="55" spans="1:9" x14ac:dyDescent="0.25">
      <c r="A55" t="s">
        <v>13</v>
      </c>
      <c r="B55" s="9">
        <v>513073.7790000001</v>
      </c>
      <c r="C55" s="9">
        <v>4786316.5099999988</v>
      </c>
      <c r="D55">
        <v>43.229527333543388</v>
      </c>
      <c r="E55">
        <v>-2.8390014094423348</v>
      </c>
      <c r="F55" s="13" cm="1">
        <f t="array" ref="F55">_xlfn.LET(
  _xlpm.clave, A55,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73.955399999999997</v>
      </c>
      <c r="G55" s="3" cm="1">
        <f t="array" ref="G55">_xlfn.LET(
  _xlpm.clave, A55,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73.954700000000003</v>
      </c>
      <c r="H55" s="12">
        <f>+(Tabla2[[#This Row],[Z FINAL]]-Tabla2[[#This Row],[Z INICIAL]])*1000</f>
        <v>-0.69999999999481588</v>
      </c>
      <c r="I55" s="3" t="str" cm="1">
        <f t="array" ref="I55">_xlfn.LET(
  _xlpm.clave, UPPER(TRIM(SUBSTITUTE(A55,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28/04/2026</v>
      </c>
    </row>
    <row r="56" spans="1:9" x14ac:dyDescent="0.25">
      <c r="A56" t="s">
        <v>72</v>
      </c>
      <c r="B56" s="9">
        <v>512227.04208569368</v>
      </c>
      <c r="C56" s="9">
        <v>4786627.6392808333</v>
      </c>
      <c r="D56">
        <v>43.232343156897663</v>
      </c>
      <c r="E56">
        <v>-2.8494217174160341</v>
      </c>
      <c r="F56" s="13" cm="1">
        <f t="array" ref="F56">_xlfn.LET(
  _xlpm.clave, A56,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56" s="3" t="str" cm="1">
        <f t="array" ref="G56">_xlfn.LET(
  _xlpm.clave, A56,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56" s="12">
        <f>+(Tabla2[[#This Row],[Z FINAL]]-Tabla2[[#This Row],[Z INICIAL]])*1000</f>
        <v>0</v>
      </c>
      <c r="I56" s="3" t="str" cm="1">
        <f t="array" ref="I56">_xlfn.LET(
  _xlpm.clave, UPPER(TRIM(SUBSTITUTE(A56,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57" spans="1:9" x14ac:dyDescent="0.25">
      <c r="A57" t="s">
        <v>73</v>
      </c>
      <c r="B57" s="9">
        <v>512200.8460933679</v>
      </c>
      <c r="C57" s="9">
        <v>4786591.5979511747</v>
      </c>
      <c r="D57">
        <v>43.23201903996744</v>
      </c>
      <c r="E57">
        <v>-2.8497451220916141</v>
      </c>
      <c r="F57" s="13" cm="1">
        <f t="array" ref="F57">_xlfn.LET(
  _xlpm.clave, A57,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57" s="3" t="str" cm="1">
        <f t="array" ref="G57">_xlfn.LET(
  _xlpm.clave, A57,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57" s="12">
        <f>+(Tabla2[[#This Row],[Z FINAL]]-Tabla2[[#This Row],[Z INICIAL]])*1000</f>
        <v>0</v>
      </c>
      <c r="I57" s="3" t="str" cm="1">
        <f t="array" ref="I57">_xlfn.LET(
  _xlpm.clave, UPPER(TRIM(SUBSTITUTE(A57,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58" spans="1:9" x14ac:dyDescent="0.25">
      <c r="A58" t="s">
        <v>74</v>
      </c>
      <c r="B58" s="9">
        <v>512195.47442223987</v>
      </c>
      <c r="C58" s="9">
        <v>4786583.8063219292</v>
      </c>
      <c r="D58">
        <v>43.231948965602953</v>
      </c>
      <c r="E58">
        <v>-2.8498114469234861</v>
      </c>
      <c r="F58" s="13" cm="1">
        <f t="array" ref="F58">_xlfn.LET(
  _xlpm.clave, A58,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58" s="3" t="str" cm="1">
        <f t="array" ref="G58">_xlfn.LET(
  _xlpm.clave, A58,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58" s="12">
        <f>+(Tabla2[[#This Row],[Z FINAL]]-Tabla2[[#This Row],[Z INICIAL]])*1000</f>
        <v>0</v>
      </c>
      <c r="I58" s="3" t="str" cm="1">
        <f t="array" ref="I58">_xlfn.LET(
  _xlpm.clave, UPPER(TRIM(SUBSTITUTE(A58,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59" spans="1:9" x14ac:dyDescent="0.25">
      <c r="A59" t="s">
        <v>75</v>
      </c>
      <c r="B59" s="9">
        <v>512165.3444676064</v>
      </c>
      <c r="C59" s="9">
        <v>4786544.3399815513</v>
      </c>
      <c r="D59">
        <v>43.231594069824233</v>
      </c>
      <c r="E59">
        <v>-2.850183369730912</v>
      </c>
      <c r="F59" s="13" cm="1">
        <f t="array" ref="F59">_xlfn.LET(
  _xlpm.clave, A59,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59" s="3" t="str" cm="1">
        <f t="array" ref="G59">_xlfn.LET(
  _xlpm.clave, A59,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59" s="12">
        <f>+(Tabla2[[#This Row],[Z FINAL]]-Tabla2[[#This Row],[Z INICIAL]])*1000</f>
        <v>0</v>
      </c>
      <c r="I59" s="3" t="str" cm="1">
        <f t="array" ref="I59">_xlfn.LET(
  _xlpm.clave, UPPER(TRIM(SUBSTITUTE(A59,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60" spans="1:9" x14ac:dyDescent="0.25">
      <c r="A60" t="s">
        <v>76</v>
      </c>
      <c r="B60" s="9">
        <v>512179.23278914619</v>
      </c>
      <c r="C60" s="9">
        <v>4786636.8112898478</v>
      </c>
      <c r="D60">
        <v>43.232426521476938</v>
      </c>
      <c r="E60">
        <v>-2.8500102932158931</v>
      </c>
      <c r="F60" s="13" cm="1">
        <f t="array" ref="F60">_xlfn.LET(
  _xlpm.clave, A60,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60" s="3" t="str" cm="1">
        <f t="array" ref="G60">_xlfn.LET(
  _xlpm.clave, A60,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60" s="12">
        <f>+(Tabla2[[#This Row],[Z FINAL]]-Tabla2[[#This Row],[Z INICIAL]])*1000</f>
        <v>0</v>
      </c>
      <c r="I60" s="3" t="str" cm="1">
        <f t="array" ref="I60">_xlfn.LET(
  _xlpm.clave, UPPER(TRIM(SUBSTITUTE(A60,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61" spans="1:9" x14ac:dyDescent="0.25">
      <c r="A61" t="s">
        <v>77</v>
      </c>
      <c r="B61" s="9">
        <v>512169.61637546477</v>
      </c>
      <c r="C61" s="9">
        <v>4786623.5617770134</v>
      </c>
      <c r="D61">
        <v>43.232307368893679</v>
      </c>
      <c r="E61">
        <v>-2.850129013239437</v>
      </c>
      <c r="F61" s="13" cm="1">
        <f t="array" ref="F61">_xlfn.LET(
  _xlpm.clave, A61,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61" s="3" t="str" cm="1">
        <f t="array" ref="G61">_xlfn.LET(
  _xlpm.clave, A61,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61" s="12">
        <f>+(Tabla2[[#This Row],[Z FINAL]]-Tabla2[[#This Row],[Z INICIAL]])*1000</f>
        <v>0</v>
      </c>
      <c r="I61" s="3" t="str" cm="1">
        <f t="array" ref="I61">_xlfn.LET(
  _xlpm.clave, UPPER(TRIM(SUBSTITUTE(A61,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62" spans="1:9" x14ac:dyDescent="0.25">
      <c r="A62" t="s">
        <v>78</v>
      </c>
      <c r="B62" s="9">
        <v>512157.06041701703</v>
      </c>
      <c r="C62" s="9">
        <v>4786607.2042803233</v>
      </c>
      <c r="D62">
        <v>43.232160277125097</v>
      </c>
      <c r="E62">
        <v>-2.850284002129865</v>
      </c>
      <c r="F62" s="13" cm="1">
        <f t="array" ref="F62">_xlfn.LET(
  _xlpm.clave, A62,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62" s="3" t="str" cm="1">
        <f t="array" ref="G62">_xlfn.LET(
  _xlpm.clave, A62,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62" s="12">
        <f>+(Tabla2[[#This Row],[Z FINAL]]-Tabla2[[#This Row],[Z INICIAL]])*1000</f>
        <v>0</v>
      </c>
      <c r="I62" s="3" t="str" cm="1">
        <f t="array" ref="I62">_xlfn.LET(
  _xlpm.clave, UPPER(TRIM(SUBSTITUTE(A62,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63" spans="1:9" x14ac:dyDescent="0.25">
      <c r="A63" t="s">
        <v>79</v>
      </c>
      <c r="B63" s="9">
        <v>512143.46001674602</v>
      </c>
      <c r="C63" s="9">
        <v>4786585.2701662686</v>
      </c>
      <c r="D63">
        <v>43.231962986226641</v>
      </c>
      <c r="E63">
        <v>-2.850451975436342</v>
      </c>
      <c r="F63" s="13" cm="1">
        <f t="array" ref="F63">_xlfn.LET(
  _xlpm.clave, A63,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63" s="3" t="str" cm="1">
        <f t="array" ref="G63">_xlfn.LET(
  _xlpm.clave, A63,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63" s="12">
        <f>+(Tabla2[[#This Row],[Z FINAL]]-Tabla2[[#This Row],[Z INICIAL]])*1000</f>
        <v>0</v>
      </c>
      <c r="I63" s="3" t="str" cm="1">
        <f t="array" ref="I63">_xlfn.LET(
  _xlpm.clave, UPPER(TRIM(SUBSTITUTE(A63,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64" spans="1:9" x14ac:dyDescent="0.25">
      <c r="A64" t="s">
        <v>80</v>
      </c>
      <c r="B64" s="9">
        <v>512127.39643221418</v>
      </c>
      <c r="C64" s="9">
        <v>4786563.9787275018</v>
      </c>
      <c r="D64">
        <v>43.231771521772558</v>
      </c>
      <c r="E64">
        <v>-2.8506502677090921</v>
      </c>
      <c r="F64" s="13" cm="1">
        <f t="array" ref="F64">_xlfn.LET(
  _xlpm.clave, A64,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64" s="3" t="str" cm="1">
        <f t="array" ref="G64">_xlfn.LET(
  _xlpm.clave, A64,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64" s="12">
        <f>+(Tabla2[[#This Row],[Z FINAL]]-Tabla2[[#This Row],[Z INICIAL]])*1000</f>
        <v>0</v>
      </c>
      <c r="I64" s="3" t="str" cm="1">
        <f t="array" ref="I64">_xlfn.LET(
  _xlpm.clave, UPPER(TRIM(SUBSTITUTE(A64,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65" spans="1:9" x14ac:dyDescent="0.25">
      <c r="A65" t="s">
        <v>81</v>
      </c>
      <c r="B65" s="9">
        <v>512140.32666999538</v>
      </c>
      <c r="C65" s="9">
        <v>4786645.4989999998</v>
      </c>
      <c r="D65">
        <v>43.232505378824591</v>
      </c>
      <c r="E65">
        <v>-2.8504892370808239</v>
      </c>
      <c r="F65" s="13" cm="1">
        <f t="array" ref="F65">_xlfn.LET(
  _xlpm.clave, A65,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65" s="3" t="str" cm="1">
        <f t="array" ref="G65">_xlfn.LET(
  _xlpm.clave, A65,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65" s="12">
        <f>+(Tabla2[[#This Row],[Z FINAL]]-Tabla2[[#This Row],[Z INICIAL]])*1000</f>
        <v>0</v>
      </c>
      <c r="I65" s="3" t="str" cm="1">
        <f t="array" ref="I65">_xlfn.LET(
  _xlpm.clave, UPPER(TRIM(SUBSTITUTE(A65,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66" spans="1:9" x14ac:dyDescent="0.25">
      <c r="A66" t="s">
        <v>82</v>
      </c>
      <c r="B66" s="9">
        <v>512116.31726997439</v>
      </c>
      <c r="C66" s="9">
        <v>4786631.2743031131</v>
      </c>
      <c r="D66">
        <v>43.232377675842137</v>
      </c>
      <c r="E66">
        <v>-2.850785229570699</v>
      </c>
      <c r="F66" s="13" cm="1">
        <f t="array" ref="F66">_xlfn.LET(
  _xlpm.clave, A66,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66" s="3" t="str" cm="1">
        <f t="array" ref="G66">_xlfn.LET(
  _xlpm.clave, A66,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66" s="12">
        <f>+(Tabla2[[#This Row],[Z FINAL]]-Tabla2[[#This Row],[Z INICIAL]])*1000</f>
        <v>0</v>
      </c>
      <c r="I66" s="3" t="str" cm="1">
        <f t="array" ref="I66">_xlfn.LET(
  _xlpm.clave, UPPER(TRIM(SUBSTITUTE(A66,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67" spans="1:9" x14ac:dyDescent="0.25">
      <c r="A67" t="s">
        <v>83</v>
      </c>
      <c r="B67" s="9">
        <v>512105.0877847037</v>
      </c>
      <c r="C67" s="9">
        <v>4786616.9821794033</v>
      </c>
      <c r="D67">
        <v>43.232249159948388</v>
      </c>
      <c r="E67">
        <v>-2.8509238360559062</v>
      </c>
      <c r="F67" s="13" cm="1">
        <f t="array" ref="F67">_xlfn.LET(
  _xlpm.clave, A67,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67" s="3" t="str" cm="1">
        <f t="array" ref="G67">_xlfn.LET(
  _xlpm.clave, A67,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67" s="12">
        <f>+(Tabla2[[#This Row],[Z FINAL]]-Tabla2[[#This Row],[Z INICIAL]])*1000</f>
        <v>0</v>
      </c>
      <c r="I67" s="3" t="str" cm="1">
        <f t="array" ref="I67">_xlfn.LET(
  _xlpm.clave, UPPER(TRIM(SUBSTITUTE(A67,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68" spans="1:9" x14ac:dyDescent="0.25">
      <c r="A68" t="s">
        <v>84</v>
      </c>
      <c r="B68" s="9">
        <v>512091.20645463991</v>
      </c>
      <c r="C68" s="9">
        <v>4786599.0932885138</v>
      </c>
      <c r="D68">
        <v>43.232088298609121</v>
      </c>
      <c r="E68">
        <v>-2.851095178539683</v>
      </c>
      <c r="F68" s="13" cm="1">
        <f t="array" ref="F68">_xlfn.LET(
  _xlpm.clave, A68,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68" s="3" t="str" cm="1">
        <f t="array" ref="G68">_xlfn.LET(
  _xlpm.clave, A68,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68" s="12">
        <f>+(Tabla2[[#This Row],[Z FINAL]]-Tabla2[[#This Row],[Z INICIAL]])*1000</f>
        <v>0</v>
      </c>
      <c r="I68" s="3" t="str" cm="1">
        <f t="array" ref="I68">_xlfn.LET(
  _xlpm.clave, UPPER(TRIM(SUBSTITUTE(A68,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69" spans="1:9" x14ac:dyDescent="0.25">
      <c r="A69" t="s">
        <v>85</v>
      </c>
      <c r="B69" s="9">
        <v>512080.68732774479</v>
      </c>
      <c r="C69" s="9">
        <v>4786585.8304537218</v>
      </c>
      <c r="D69">
        <v>43.231969039386577</v>
      </c>
      <c r="E69">
        <v>-2.851225013061637</v>
      </c>
      <c r="F69" s="13" cm="1">
        <f t="array" ref="F69">_xlfn.LET(
  _xlpm.clave, A69,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69" s="3" t="str" cm="1">
        <f t="array" ref="G69">_xlfn.LET(
  _xlpm.clave, A69,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69" s="12">
        <f>+(Tabla2[[#This Row],[Z FINAL]]-Tabla2[[#This Row],[Z INICIAL]])*1000</f>
        <v>0</v>
      </c>
      <c r="I69" s="3" t="str" cm="1">
        <f t="array" ref="I69">_xlfn.LET(
  _xlpm.clave, UPPER(TRIM(SUBSTITUTE(A69,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70" spans="1:9" x14ac:dyDescent="0.25">
      <c r="A70" t="s">
        <v>86</v>
      </c>
      <c r="B70" s="9">
        <v>511563.79852772917</v>
      </c>
      <c r="C70" s="9">
        <v>4786738.1763827614</v>
      </c>
      <c r="D70">
        <v>43.233348969147187</v>
      </c>
      <c r="E70">
        <v>-2.8575873413085309</v>
      </c>
      <c r="F70" s="13" cm="1">
        <f t="array" ref="F70">_xlfn.LET(
  _xlpm.clave, A70,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50.382850000000005</v>
      </c>
      <c r="G70" s="3" cm="1">
        <f t="array" ref="G70">_xlfn.LET(
  _xlpm.clave, A70,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50.381599999999999</v>
      </c>
      <c r="H70" s="12">
        <f>+(Tabla2[[#This Row],[Z FINAL]]-Tabla2[[#This Row],[Z INICIAL]])*1000</f>
        <v>-1.2500000000059686</v>
      </c>
      <c r="I70" s="3" t="str" cm="1">
        <f t="array" ref="I70">_xlfn.LET(
  _xlpm.clave, UPPER(TRIM(SUBSTITUTE(A70,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17/06/2026</v>
      </c>
    </row>
    <row r="71" spans="1:9" x14ac:dyDescent="0.25">
      <c r="A71" t="s">
        <v>87</v>
      </c>
      <c r="B71" s="9">
        <v>511536.73326293571</v>
      </c>
      <c r="C71" s="9">
        <v>4786727.0994009506</v>
      </c>
      <c r="D71">
        <v>43.233249638761293</v>
      </c>
      <c r="E71">
        <v>-2.8579208912353971</v>
      </c>
      <c r="F71" s="13" cm="1">
        <f t="array" ref="F71">_xlfn.LET(
  _xlpm.clave, A71,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48.871449999999996</v>
      </c>
      <c r="G71" s="3" cm="1">
        <f t="array" ref="G71">_xlfn.LET(
  _xlpm.clave, A71,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48.869599999999998</v>
      </c>
      <c r="H71" s="12">
        <f>+(Tabla2[[#This Row],[Z FINAL]]-Tabla2[[#This Row],[Z INICIAL]])*1000</f>
        <v>-1.8499999999974648</v>
      </c>
      <c r="I71" s="3" t="str" cm="1">
        <f t="array" ref="I71">_xlfn.LET(
  _xlpm.clave, UPPER(TRIM(SUBSTITUTE(A71,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17/06/2026</v>
      </c>
    </row>
    <row r="72" spans="1:9" x14ac:dyDescent="0.25">
      <c r="A72" t="s">
        <v>88</v>
      </c>
      <c r="B72" s="9">
        <v>511524.61186429072</v>
      </c>
      <c r="C72" s="9">
        <v>4786721.0135786831</v>
      </c>
      <c r="D72">
        <v>43.233195023089912</v>
      </c>
      <c r="E72">
        <v>-2.8580702974347778</v>
      </c>
      <c r="F72" s="13" cm="1">
        <f t="array" ref="F72">_xlfn.LET(
  _xlpm.clave, A72,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48.214950000000002</v>
      </c>
      <c r="G72" s="3" cm="1">
        <f t="array" ref="G72">_xlfn.LET(
  _xlpm.clave, A72,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48.2121</v>
      </c>
      <c r="H72" s="12">
        <f>+(Tabla2[[#This Row],[Z FINAL]]-Tabla2[[#This Row],[Z INICIAL]])*1000</f>
        <v>-2.8500000000022396</v>
      </c>
      <c r="I72" s="3" t="str" cm="1">
        <f t="array" ref="I72">_xlfn.LET(
  _xlpm.clave, UPPER(TRIM(SUBSTITUTE(A72,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17/06/2026</v>
      </c>
    </row>
    <row r="73" spans="1:9" x14ac:dyDescent="0.25">
      <c r="A73" t="s">
        <v>89</v>
      </c>
      <c r="B73" s="9">
        <v>511506.91515613918</v>
      </c>
      <c r="C73" s="9">
        <v>4786713.7927441765</v>
      </c>
      <c r="D73">
        <v>43.233130271857902</v>
      </c>
      <c r="E73">
        <v>-2.8582883887050512</v>
      </c>
      <c r="F73" s="13" cm="1">
        <f t="array" ref="F73">_xlfn.LET(
  _xlpm.clave, A73,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46.95035</v>
      </c>
      <c r="G73" s="3" cm="1">
        <f t="array" ref="G73">_xlfn.LET(
  _xlpm.clave, A73,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46.948300000000003</v>
      </c>
      <c r="H73" s="12">
        <f>+(Tabla2[[#This Row],[Z FINAL]]-Tabla2[[#This Row],[Z INICIAL]])*1000</f>
        <v>-2.0499999999969987</v>
      </c>
      <c r="I73" s="3" t="str" cm="1">
        <f t="array" ref="I73">_xlfn.LET(
  _xlpm.clave, UPPER(TRIM(SUBSTITUTE(A73,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17/06/2026</v>
      </c>
    </row>
    <row r="74" spans="1:9" x14ac:dyDescent="0.25">
      <c r="A74" t="s">
        <v>90</v>
      </c>
      <c r="B74" s="9">
        <v>511481.44500000012</v>
      </c>
      <c r="C74" s="9">
        <v>4786700.5040000016</v>
      </c>
      <c r="D74">
        <v>43.233010998896887</v>
      </c>
      <c r="E74">
        <v>-2.8586023381288772</v>
      </c>
      <c r="F74" s="13" cm="1">
        <f t="array" ref="F74">_xlfn.LET(
  _xlpm.clave, A74,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44.8812</v>
      </c>
      <c r="G74" s="3" cm="1">
        <f t="array" ref="G74">_xlfn.LET(
  _xlpm.clave, A74,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44.8812</v>
      </c>
      <c r="H74" s="12">
        <f>+(Tabla2[[#This Row],[Z FINAL]]-Tabla2[[#This Row],[Z INICIAL]])*1000</f>
        <v>0</v>
      </c>
      <c r="I74" s="3" t="str" cm="1">
        <f t="array" ref="I74">_xlfn.LET(
  _xlpm.clave, UPPER(TRIM(SUBSTITUTE(A74,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17/06/2026</v>
      </c>
    </row>
    <row r="75" spans="1:9" x14ac:dyDescent="0.25">
      <c r="A75" t="s">
        <v>91</v>
      </c>
      <c r="B75" s="9">
        <v>511489.4184670024</v>
      </c>
      <c r="C75" s="9">
        <v>4786779.811383822</v>
      </c>
      <c r="D75">
        <v>43.233725016247853</v>
      </c>
      <c r="E75">
        <v>-2.8585024904491041</v>
      </c>
      <c r="F75" s="13" cm="1">
        <f t="array" ref="F75">_xlfn.LET(
  _xlpm.clave, A75,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54.407699999999998</v>
      </c>
      <c r="G75" s="3" cm="1">
        <f t="array" ref="G75">_xlfn.LET(
  _xlpm.clave, A75,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54.404000000000003</v>
      </c>
      <c r="H75" s="12">
        <f>+(Tabla2[[#This Row],[Z FINAL]]-Tabla2[[#This Row],[Z INICIAL]])*1000</f>
        <v>-3.6999999999949296</v>
      </c>
      <c r="I75" s="3" t="str" cm="1">
        <f t="array" ref="I75">_xlfn.LET(
  _xlpm.clave, UPPER(TRIM(SUBSTITUTE(A75,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16/06/2026</v>
      </c>
    </row>
    <row r="76" spans="1:9" x14ac:dyDescent="0.25">
      <c r="A76" t="s">
        <v>92</v>
      </c>
      <c r="B76" s="9">
        <v>511480.4723983162</v>
      </c>
      <c r="C76" s="9">
        <v>4786756.4280270794</v>
      </c>
      <c r="D76">
        <v>43.233514592490657</v>
      </c>
      <c r="E76">
        <v>-2.8586131518627149</v>
      </c>
      <c r="F76" s="13" cm="1">
        <f t="array" ref="F76">_xlfn.LET(
  _xlpm.clave, A76,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51.382399999999997</v>
      </c>
      <c r="G76" s="3" cm="1">
        <f t="array" ref="G76">_xlfn.LET(
  _xlpm.clave, A76,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51.375500000000002</v>
      </c>
      <c r="H76" s="12">
        <f>+(Tabla2[[#This Row],[Z FINAL]]-Tabla2[[#This Row],[Z INICIAL]])*1000</f>
        <v>-6.8999999999945771</v>
      </c>
      <c r="I76" s="3" t="str" cm="1">
        <f t="array" ref="I76">_xlfn.LET(
  _xlpm.clave, UPPER(TRIM(SUBSTITUTE(A76,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16/06/2026</v>
      </c>
    </row>
    <row r="77" spans="1:9" x14ac:dyDescent="0.25">
      <c r="A77" t="s">
        <v>93</v>
      </c>
      <c r="B77" s="9">
        <v>511476.26559960161</v>
      </c>
      <c r="C77" s="9">
        <v>4786747.0469513657</v>
      </c>
      <c r="D77">
        <v>43.233430182788879</v>
      </c>
      <c r="E77">
        <v>-2.8586651554140641</v>
      </c>
      <c r="F77" s="13" cm="1">
        <f t="array" ref="F77">_xlfn.LET(
  _xlpm.clave, A77,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50.110433333333333</v>
      </c>
      <c r="G77" s="3" cm="1">
        <f t="array" ref="G77">_xlfn.LET(
  _xlpm.clave, A77,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50.102600000000002</v>
      </c>
      <c r="H77" s="12">
        <f>+(Tabla2[[#This Row],[Z FINAL]]-Tabla2[[#This Row],[Z INICIAL]])*1000</f>
        <v>-7.8333333333304722</v>
      </c>
      <c r="I77" s="3" t="str" cm="1">
        <f t="array" ref="I77">_xlfn.LET(
  _xlpm.clave, UPPER(TRIM(SUBSTITUTE(A77,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16/06/2026</v>
      </c>
    </row>
    <row r="78" spans="1:9" x14ac:dyDescent="0.25">
      <c r="A78" t="s">
        <v>94</v>
      </c>
      <c r="B78" s="9">
        <v>511469.13823487941</v>
      </c>
      <c r="C78" s="9">
        <v>4786732.5734225931</v>
      </c>
      <c r="D78">
        <v>43.233299961491262</v>
      </c>
      <c r="E78">
        <v>-2.8587532325160421</v>
      </c>
      <c r="F78" s="13" cm="1">
        <f t="array" ref="F78">_xlfn.LET(
  _xlpm.clave, A78,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47.972133333333339</v>
      </c>
      <c r="G78" s="3" cm="1">
        <f t="array" ref="G78">_xlfn.LET(
  _xlpm.clave, A78,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47.969000000000001</v>
      </c>
      <c r="H78" s="12">
        <f>+(Tabla2[[#This Row],[Z FINAL]]-Tabla2[[#This Row],[Z INICIAL]])*1000</f>
        <v>-3.1333333333378732</v>
      </c>
      <c r="I78" s="3" t="str" cm="1">
        <f t="array" ref="I78">_xlfn.LET(
  _xlpm.clave, UPPER(TRIM(SUBSTITUTE(A78,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16/06/2026</v>
      </c>
    </row>
    <row r="79" spans="1:9" x14ac:dyDescent="0.25">
      <c r="A79" t="s">
        <v>95</v>
      </c>
      <c r="B79" s="9">
        <v>511470.7073240038</v>
      </c>
      <c r="C79" s="9">
        <v>4786713.3166815033</v>
      </c>
      <c r="D79">
        <v>43.233126536554288</v>
      </c>
      <c r="E79">
        <v>-2.8587343091605941</v>
      </c>
      <c r="F79" s="13" cm="1">
        <f t="array" ref="F79">_xlfn.LET(
  _xlpm.clave, A79,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44.997999999999998</v>
      </c>
      <c r="G79" s="3" cm="1">
        <f t="array" ref="G79">_xlfn.LET(
  _xlpm.clave, A79,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44.997500000000002</v>
      </c>
      <c r="H79" s="12">
        <f>+(Tabla2[[#This Row],[Z FINAL]]-Tabla2[[#This Row],[Z INICIAL]])*1000</f>
        <v>-0.499999999995282</v>
      </c>
      <c r="I79" s="3" t="str" cm="1">
        <f t="array" ref="I79">_xlfn.LET(
  _xlpm.clave, UPPER(TRIM(SUBSTITUTE(A79,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16/06/2026</v>
      </c>
    </row>
    <row r="80" spans="1:9" x14ac:dyDescent="0.25">
      <c r="A80" t="s">
        <v>14</v>
      </c>
      <c r="B80" s="9">
        <v>511328.58600000001</v>
      </c>
      <c r="C80" s="9">
        <v>4786830.1809999999</v>
      </c>
      <c r="D80">
        <v>43.234181010999997</v>
      </c>
      <c r="E80">
        <v>-2.8604821762000001</v>
      </c>
      <c r="F80" s="13" cm="1">
        <f t="array" ref="F80">_xlfn.LET(
  _xlpm.clave, A80,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45.718699999999998</v>
      </c>
      <c r="G80" s="3" cm="1">
        <f t="array" ref="G80">_xlfn.LET(
  _xlpm.clave, A80,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45.706600000000002</v>
      </c>
      <c r="H80" s="12">
        <f>+(Tabla2[[#This Row],[Z FINAL]]-Tabla2[[#This Row],[Z INICIAL]])*1000</f>
        <v>-12.099999999996669</v>
      </c>
      <c r="I80" s="3" t="str" cm="1">
        <f t="array" ref="I80">_xlfn.LET(
  _xlpm.clave, UPPER(TRIM(SUBSTITUTE(A80,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12/06/2026</v>
      </c>
    </row>
    <row r="81" spans="1:9" x14ac:dyDescent="0.25">
      <c r="A81" t="s">
        <v>15</v>
      </c>
      <c r="B81" s="9">
        <v>511321.50199999998</v>
      </c>
      <c r="C81" s="9">
        <v>4786814.66</v>
      </c>
      <c r="D81">
        <v>43.234041355499997</v>
      </c>
      <c r="E81">
        <v>-2.8605697380640001</v>
      </c>
      <c r="F81" s="13" cm="1">
        <f t="array" ref="F81">_xlfn.LET(
  _xlpm.clave, A81,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44.963200000000001</v>
      </c>
      <c r="G81" s="3" cm="1">
        <f t="array" ref="G81">_xlfn.LET(
  _xlpm.clave, A81,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44.953400000000002</v>
      </c>
      <c r="H81" s="12">
        <f>+(Tabla2[[#This Row],[Z FINAL]]-Tabla2[[#This Row],[Z INICIAL]])*1000</f>
        <v>-9.7999999999984766</v>
      </c>
      <c r="I81" s="3" t="str" cm="1">
        <f t="array" ref="I81">_xlfn.LET(
  _xlpm.clave, UPPER(TRIM(SUBSTITUTE(A81,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12/06/2026</v>
      </c>
    </row>
    <row r="82" spans="1:9" x14ac:dyDescent="0.25">
      <c r="A82" t="s">
        <v>16</v>
      </c>
      <c r="B82" s="9">
        <v>511301.35399999999</v>
      </c>
      <c r="C82" s="9">
        <v>4786781.5870000003</v>
      </c>
      <c r="D82">
        <v>43.233743845399999</v>
      </c>
      <c r="E82">
        <v>-2.860818548318</v>
      </c>
      <c r="F82" s="13" cm="1">
        <f t="array" ref="F82">_xlfn.LET(
  _xlpm.clave, A82,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44.028599999999997</v>
      </c>
      <c r="G82" s="3" cm="1">
        <f t="array" ref="G82">_xlfn.LET(
  _xlpm.clave, A82,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44.027700000000003</v>
      </c>
      <c r="H82" s="12">
        <f>+(Tabla2[[#This Row],[Z FINAL]]-Tabla2[[#This Row],[Z INICIAL]])*1000</f>
        <v>-0.89999999999434976</v>
      </c>
      <c r="I82" s="3" t="str" cm="1">
        <f t="array" ref="I82">_xlfn.LET(
  _xlpm.clave, UPPER(TRIM(SUBSTITUTE(A82,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12/06/2026</v>
      </c>
    </row>
    <row r="83" spans="1:9" x14ac:dyDescent="0.25">
      <c r="A83" t="s">
        <v>20</v>
      </c>
      <c r="B83" s="9">
        <v>511310.12843133259</v>
      </c>
      <c r="C83" s="9">
        <v>4786839.825096312</v>
      </c>
      <c r="D83">
        <v>43.234268131113453</v>
      </c>
      <c r="E83">
        <v>-2.8607092983000002</v>
      </c>
      <c r="F83" s="13" cm="1">
        <f t="array" ref="F83">_xlfn.LET(
  _xlpm.clave, A83,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46.377600000000001</v>
      </c>
      <c r="G83" s="3" cm="1">
        <f t="array" ref="G83">_xlfn.LET(
  _xlpm.clave, A83,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46.371000000000002</v>
      </c>
      <c r="H83" s="12">
        <f>+(Tabla2[[#This Row],[Z FINAL]]-Tabla2[[#This Row],[Z INICIAL]])*1000</f>
        <v>-6.599999999998829</v>
      </c>
      <c r="I83" s="3" t="str" cm="1">
        <f t="array" ref="I83">_xlfn.LET(
  _xlpm.clave, UPPER(TRIM(SUBSTITUTE(A83,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12/06/2026</v>
      </c>
    </row>
    <row r="84" spans="1:9" x14ac:dyDescent="0.25">
      <c r="A84" t="s">
        <v>17</v>
      </c>
      <c r="B84" s="9">
        <v>511304.12481564429</v>
      </c>
      <c r="C84" s="9">
        <v>4786827.8117227964</v>
      </c>
      <c r="D84">
        <v>43.234160044361573</v>
      </c>
      <c r="E84">
        <v>-2.860783477045588</v>
      </c>
      <c r="F84" s="13" cm="1">
        <f t="array" ref="F84">_xlfn.LET(
  _xlpm.clave, A84,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45.916800000000002</v>
      </c>
      <c r="G84" s="3" cm="1">
        <f t="array" ref="G84">_xlfn.LET(
  _xlpm.clave, A84,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45.907499999999999</v>
      </c>
      <c r="H84" s="12">
        <f>+(Tabla2[[#This Row],[Z FINAL]]-Tabla2[[#This Row],[Z INICIAL]])*1000</f>
        <v>-9.3000000000031946</v>
      </c>
      <c r="I84" s="3" t="str" cm="1">
        <f t="array" ref="I84">_xlfn.LET(
  _xlpm.clave, UPPER(TRIM(SUBSTITUTE(A84,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12/06/2026</v>
      </c>
    </row>
    <row r="85" spans="1:9" x14ac:dyDescent="0.25">
      <c r="A85" t="s">
        <v>18</v>
      </c>
      <c r="B85" s="9">
        <v>511299.72834013682</v>
      </c>
      <c r="C85" s="9">
        <v>4786817.6177930646</v>
      </c>
      <c r="D85">
        <v>43.23406831701908</v>
      </c>
      <c r="E85">
        <v>-2.8608378307743272</v>
      </c>
      <c r="F85" s="13" cm="1">
        <f t="array" ref="F85">_xlfn.LET(
  _xlpm.clave, A85,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45.5351</v>
      </c>
      <c r="G85" s="3" cm="1">
        <f t="array" ref="G85">_xlfn.LET(
  _xlpm.clave, A85,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45.530299999999997</v>
      </c>
      <c r="H85" s="12">
        <f>+(Tabla2[[#This Row],[Z FINAL]]-Tabla2[[#This Row],[Z INICIAL]])*1000</f>
        <v>-4.8000000000030241</v>
      </c>
      <c r="I85" s="3" t="str" cm="1">
        <f t="array" ref="I85">_xlfn.LET(
  _xlpm.clave, UPPER(TRIM(SUBSTITUTE(A85,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12/06/2026</v>
      </c>
    </row>
    <row r="86" spans="1:9" x14ac:dyDescent="0.25">
      <c r="A86" t="s">
        <v>19</v>
      </c>
      <c r="B86" s="9">
        <v>511290.46754239389</v>
      </c>
      <c r="C86" s="9">
        <v>4786798.2595669618</v>
      </c>
      <c r="D86">
        <v>43.233894140788728</v>
      </c>
      <c r="E86">
        <v>-2.8609522784102759</v>
      </c>
      <c r="F86" s="13" cm="1">
        <f t="array" ref="F86">_xlfn.LET(
  _xlpm.clave, A86,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45.428699999999999</v>
      </c>
      <c r="G86" s="3" cm="1">
        <f t="array" ref="G86">_xlfn.LET(
  _xlpm.clave, A86,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45.427500000000002</v>
      </c>
      <c r="H86" s="12">
        <f>+(Tabla2[[#This Row],[Z FINAL]]-Tabla2[[#This Row],[Z INICIAL]])*1000</f>
        <v>-1.1999999999972033</v>
      </c>
      <c r="I86" s="3" t="str" cm="1">
        <f t="array" ref="I86">_xlfn.LET(
  _xlpm.clave, UPPER(TRIM(SUBSTITUTE(A86,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12/06/2026</v>
      </c>
    </row>
    <row r="87" spans="1:9" x14ac:dyDescent="0.25">
      <c r="A87" t="s">
        <v>96</v>
      </c>
      <c r="B87" s="9">
        <v>510853.94742954592</v>
      </c>
      <c r="C87" s="9">
        <v>4787007.1091983085</v>
      </c>
      <c r="D87">
        <v>43.235781175925368</v>
      </c>
      <c r="E87">
        <v>-2.8663241154555639</v>
      </c>
      <c r="F87" s="13" cm="1">
        <f t="array" ref="F87">_xlfn.LET(
  _xlpm.clave, A87,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87" s="3" t="str" cm="1">
        <f t="array" ref="G87">_xlfn.LET(
  _xlpm.clave, A87,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87" s="12">
        <f>+(Tabla2[[#This Row],[Z FINAL]]-Tabla2[[#This Row],[Z INICIAL]])*1000</f>
        <v>0</v>
      </c>
      <c r="I87" s="3" t="str" cm="1">
        <f t="array" ref="I87">_xlfn.LET(
  _xlpm.clave, UPPER(TRIM(SUBSTITUTE(A87,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88" spans="1:9" x14ac:dyDescent="0.25">
      <c r="A88" t="s">
        <v>97</v>
      </c>
      <c r="B88" s="9">
        <v>510841.97800000012</v>
      </c>
      <c r="C88" s="9">
        <v>4786990.8550000014</v>
      </c>
      <c r="D88">
        <v>43.235634984004221</v>
      </c>
      <c r="E88">
        <v>-2.8664718486626359</v>
      </c>
      <c r="F88" s="13" cm="1">
        <f t="array" ref="F88">_xlfn.LET(
  _xlpm.clave, A88,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65.427599999999998</v>
      </c>
      <c r="G88" s="3" cm="1">
        <f t="array" ref="G88">_xlfn.LET(
  _xlpm.clave, A88,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65.428700000000006</v>
      </c>
      <c r="H88" s="12">
        <f>+(Tabla2[[#This Row],[Z FINAL]]-Tabla2[[#This Row],[Z INICIAL]])*1000</f>
        <v>1.1000000000080945</v>
      </c>
      <c r="I88" s="3" t="str" cm="1">
        <f t="array" ref="I88">_xlfn.LET(
  _xlpm.clave, UPPER(TRIM(SUBSTITUTE(A88,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10/06/2026</v>
      </c>
    </row>
    <row r="89" spans="1:9" x14ac:dyDescent="0.25">
      <c r="A89" t="s">
        <v>98</v>
      </c>
      <c r="B89" s="9">
        <v>510823.67700000008</v>
      </c>
      <c r="C89" s="9">
        <v>4786970.0889999997</v>
      </c>
      <c r="D89">
        <v>43.235448255382202</v>
      </c>
      <c r="E89">
        <v>-2.866697647983782</v>
      </c>
      <c r="F89" s="13" cm="1">
        <f t="array" ref="F89">_xlfn.LET(
  _xlpm.clave, A89,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58.252499999999998</v>
      </c>
      <c r="G89" s="3" cm="1">
        <f t="array" ref="G89">_xlfn.LET(
  _xlpm.clave, A89,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58.252299999999998</v>
      </c>
      <c r="H89" s="12">
        <f>+(Tabla2[[#This Row],[Z FINAL]]-Tabla2[[#This Row],[Z INICIAL]])*1000</f>
        <v>-0.19999999999953388</v>
      </c>
      <c r="I89" s="3" t="str" cm="1">
        <f t="array" ref="I89">_xlfn.LET(
  _xlpm.clave, UPPER(TRIM(SUBSTITUTE(A89,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10/06/2026</v>
      </c>
    </row>
    <row r="90" spans="1:9" x14ac:dyDescent="0.25">
      <c r="A90" t="s">
        <v>99</v>
      </c>
      <c r="B90" s="9">
        <v>510808.44</v>
      </c>
      <c r="C90" s="9">
        <v>4786948.5970000001</v>
      </c>
      <c r="D90">
        <v>43.235254944996008</v>
      </c>
      <c r="E90">
        <v>-2.866885724727692</v>
      </c>
      <c r="F90" s="13" cm="1">
        <f t="array" ref="F90">_xlfn.LET(
  _xlpm.clave, A90,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53.564999999999998</v>
      </c>
      <c r="G90" s="3" cm="1">
        <f t="array" ref="G90">_xlfn.LET(
  _xlpm.clave, A90,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53.5655</v>
      </c>
      <c r="H90" s="12">
        <f>+(Tabla2[[#This Row],[Z FINAL]]-Tabla2[[#This Row],[Z INICIAL]])*1000</f>
        <v>0.50000000000238742</v>
      </c>
      <c r="I90" s="3" t="str" cm="1">
        <f t="array" ref="I90">_xlfn.LET(
  _xlpm.clave, UPPER(TRIM(SUBSTITUTE(A90,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10/06/2026</v>
      </c>
    </row>
    <row r="91" spans="1:9" x14ac:dyDescent="0.25">
      <c r="A91" t="s">
        <v>100</v>
      </c>
      <c r="B91" s="9">
        <v>510796.83999999962</v>
      </c>
      <c r="C91" s="9">
        <v>4786924.9200000009</v>
      </c>
      <c r="D91">
        <v>43.235041906979077</v>
      </c>
      <c r="E91">
        <v>-2.8670290508605651</v>
      </c>
      <c r="F91" s="13" cm="1">
        <f t="array" ref="F91">_xlfn.LET(
  _xlpm.clave, A91,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50.588999999999999</v>
      </c>
      <c r="G91" s="3" cm="1">
        <f t="array" ref="G91">_xlfn.LET(
  _xlpm.clave, A91,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50.589100000000002</v>
      </c>
      <c r="H91" s="12">
        <f>+(Tabla2[[#This Row],[Z FINAL]]-Tabla2[[#This Row],[Z INICIAL]])*1000</f>
        <v>0.10000000000331966</v>
      </c>
      <c r="I91" s="3" t="str" cm="1">
        <f t="array" ref="I91">_xlfn.LET(
  _xlpm.clave, UPPER(TRIM(SUBSTITUTE(A91,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10/06/2026</v>
      </c>
    </row>
    <row r="92" spans="1:9" x14ac:dyDescent="0.25">
      <c r="A92" t="s">
        <v>101</v>
      </c>
      <c r="B92" s="9">
        <v>510806.75400000002</v>
      </c>
      <c r="C92" s="9">
        <v>4787035.1150000012</v>
      </c>
      <c r="D92">
        <v>43.236034037275758</v>
      </c>
      <c r="E92">
        <v>-2.8669047935608929</v>
      </c>
      <c r="F92" s="13" cm="1">
        <f t="array" ref="F92">_xlfn.LET(
  _xlpm.clave, A92,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76.385000000000005</v>
      </c>
      <c r="G92" s="3" cm="1">
        <f t="array" ref="G92">_xlfn.LET(
  _xlpm.clave, A92,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76.384799999999998</v>
      </c>
      <c r="H92" s="12">
        <f>+(Tabla2[[#This Row],[Z FINAL]]-Tabla2[[#This Row],[Z INICIAL]])*1000</f>
        <v>-0.20000000000663931</v>
      </c>
      <c r="I92" s="3" t="str" cm="1">
        <f t="array" ref="I92">_xlfn.LET(
  _xlpm.clave, UPPER(TRIM(SUBSTITUTE(A92,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10/06/2026</v>
      </c>
    </row>
    <row r="93" spans="1:9" x14ac:dyDescent="0.25">
      <c r="A93" t="s">
        <v>102</v>
      </c>
      <c r="B93" s="9">
        <v>510774.196</v>
      </c>
      <c r="C93" s="9">
        <v>4787007.7350000013</v>
      </c>
      <c r="D93">
        <v>43.235787954567563</v>
      </c>
      <c r="E93">
        <v>-2.8673063094547659</v>
      </c>
      <c r="F93" s="13" cm="1">
        <f t="array" ref="F93">_xlfn.LET(
  _xlpm.clave, A93,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68.103200000000001</v>
      </c>
      <c r="G93" s="3" cm="1">
        <f t="array" ref="G93">_xlfn.LET(
  _xlpm.clave, A93,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68.104200000000006</v>
      </c>
      <c r="H93" s="12">
        <f>+(Tabla2[[#This Row],[Z FINAL]]-Tabla2[[#This Row],[Z INICIAL]])*1000</f>
        <v>1.0000000000047748</v>
      </c>
      <c r="I93" s="3" t="str" cm="1">
        <f t="array" ref="I93">_xlfn.LET(
  _xlpm.clave, UPPER(TRIM(SUBSTITUTE(A93,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10/06/2026</v>
      </c>
    </row>
    <row r="94" spans="1:9" x14ac:dyDescent="0.25">
      <c r="A94" t="s">
        <v>103</v>
      </c>
      <c r="B94" s="9">
        <v>510768.0990000001</v>
      </c>
      <c r="C94" s="9">
        <v>4787002.1409999998</v>
      </c>
      <c r="D94">
        <v>43.235737669381891</v>
      </c>
      <c r="E94">
        <v>-2.8673815084043359</v>
      </c>
      <c r="F94" s="13" cm="1">
        <f t="array" ref="F94">_xlfn.LET(
  _xlpm.clave, A94,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68.021500000000003</v>
      </c>
      <c r="G94" s="3" cm="1">
        <f t="array" ref="G94">_xlfn.LET(
  _xlpm.clave, A94,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68.021000000000001</v>
      </c>
      <c r="H94" s="12">
        <f>+(Tabla2[[#This Row],[Z FINAL]]-Tabla2[[#This Row],[Z INICIAL]])*1000</f>
        <v>-0.50000000000238742</v>
      </c>
      <c r="I94" s="3" t="str" cm="1">
        <f t="array" ref="I94">_xlfn.LET(
  _xlpm.clave, UPPER(TRIM(SUBSTITUTE(A94,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10/06/2026</v>
      </c>
    </row>
    <row r="95" spans="1:9" x14ac:dyDescent="0.25">
      <c r="A95" t="s">
        <v>104</v>
      </c>
      <c r="B95" s="9">
        <v>510754.85800000018</v>
      </c>
      <c r="C95" s="9">
        <v>4786990.9270000001</v>
      </c>
      <c r="D95">
        <v>43.235636879668959</v>
      </c>
      <c r="E95">
        <v>-2.8675448010989699</v>
      </c>
      <c r="F95" s="13" cm="1">
        <f t="array" ref="F95">_xlfn.LET(
  _xlpm.clave, A95,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61.176499999999997</v>
      </c>
      <c r="G95" s="3" cm="1">
        <f t="array" ref="G95">_xlfn.LET(
  _xlpm.clave, A95,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61.176099999999998</v>
      </c>
      <c r="H95" s="12">
        <f>+(Tabla2[[#This Row],[Z FINAL]]-Tabla2[[#This Row],[Z INICIAL]])*1000</f>
        <v>-0.39999999999906777</v>
      </c>
      <c r="I95" s="3" t="str" cm="1">
        <f t="array" ref="I95">_xlfn.LET(
  _xlpm.clave, UPPER(TRIM(SUBSTITUTE(A95,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10/06/2026</v>
      </c>
    </row>
    <row r="96" spans="1:9" x14ac:dyDescent="0.25">
      <c r="A96" t="s">
        <v>105</v>
      </c>
      <c r="B96" s="9">
        <v>510735.74900000001</v>
      </c>
      <c r="C96" s="9">
        <v>4786974.987999999</v>
      </c>
      <c r="D96">
        <v>43.23549362608766</v>
      </c>
      <c r="E96">
        <v>-2.8677804543324048</v>
      </c>
      <c r="F96" s="13" cm="1">
        <f t="array" ref="F96">_xlfn.LET(
  _xlpm.clave, A96,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55.573399999999999</v>
      </c>
      <c r="G96" s="3" cm="1">
        <f t="array" ref="G96">_xlfn.LET(
  _xlpm.clave, A96,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55.573500000000003</v>
      </c>
      <c r="H96" s="12">
        <f>+(Tabla2[[#This Row],[Z FINAL]]-Tabla2[[#This Row],[Z INICIAL]])*1000</f>
        <v>0.10000000000331966</v>
      </c>
      <c r="I96" s="3" t="str" cm="1">
        <f t="array" ref="I96">_xlfn.LET(
  _xlpm.clave, UPPER(TRIM(SUBSTITUTE(A96,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10/06/2026</v>
      </c>
    </row>
    <row r="97" spans="1:9" x14ac:dyDescent="0.25">
      <c r="A97" t="s">
        <v>106</v>
      </c>
      <c r="B97" s="9">
        <v>510657.82200000022</v>
      </c>
      <c r="C97" s="9">
        <v>4787097.2779999999</v>
      </c>
      <c r="D97">
        <v>43.236595915329218</v>
      </c>
      <c r="E97">
        <v>-2.868737823159702</v>
      </c>
      <c r="F97" s="13" cm="1">
        <f t="array" ref="F97">_xlfn.LET(
  _xlpm.clave, A97,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97" s="3" t="str" cm="1">
        <f t="array" ref="G97">_xlfn.LET(
  _xlpm.clave, A97,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97" s="12">
        <f>+(Tabla2[[#This Row],[Z FINAL]]-Tabla2[[#This Row],[Z INICIAL]])*1000</f>
        <v>0</v>
      </c>
      <c r="I97" s="3" t="str" cm="1">
        <f t="array" ref="I97">_xlfn.LET(
  _xlpm.clave, UPPER(TRIM(SUBSTITUTE(A97,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98" spans="1:9" x14ac:dyDescent="0.25">
      <c r="A98" t="s">
        <v>107</v>
      </c>
      <c r="B98" s="9">
        <v>510652.75400000002</v>
      </c>
      <c r="C98" s="9">
        <v>4787089.0599999987</v>
      </c>
      <c r="D98">
        <v>43.236521986360557</v>
      </c>
      <c r="E98">
        <v>-2.8688003994583648</v>
      </c>
      <c r="F98" s="13" cm="1">
        <f t="array" ref="F98">_xlfn.LET(
  _xlpm.clave, A98,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98" s="3" t="str" cm="1">
        <f t="array" ref="G98">_xlfn.LET(
  _xlpm.clave, A98,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98" s="12">
        <f>+(Tabla2[[#This Row],[Z FINAL]]-Tabla2[[#This Row],[Z INICIAL]])*1000</f>
        <v>0</v>
      </c>
      <c r="I98" s="3" t="str" cm="1">
        <f t="array" ref="I98">_xlfn.LET(
  _xlpm.clave, UPPER(TRIM(SUBSTITUTE(A98,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99" spans="1:9" x14ac:dyDescent="0.25">
      <c r="A99" t="s">
        <v>108</v>
      </c>
      <c r="B99" s="9">
        <v>510661.89200000011</v>
      </c>
      <c r="C99" s="9">
        <v>4787063.5939999996</v>
      </c>
      <c r="D99">
        <v>43.236292543709531</v>
      </c>
      <c r="E99">
        <v>-2.8686883482873262</v>
      </c>
      <c r="F99" s="13" cm="1">
        <f t="array" ref="F99">_xlfn.LET(
  _xlpm.clave, A99,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99" s="3" t="str" cm="1">
        <f t="array" ref="G99">_xlfn.LET(
  _xlpm.clave, A99,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99" s="12">
        <f>+(Tabla2[[#This Row],[Z FINAL]]-Tabla2[[#This Row],[Z INICIAL]])*1000</f>
        <v>0</v>
      </c>
      <c r="I99" s="3" t="str" cm="1">
        <f t="array" ref="I99">_xlfn.LET(
  _xlpm.clave, UPPER(TRIM(SUBSTITUTE(A99,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00" spans="1:9" x14ac:dyDescent="0.25">
      <c r="A100" t="s">
        <v>109</v>
      </c>
      <c r="B100" s="9">
        <v>510660.78235698398</v>
      </c>
      <c r="C100" s="9">
        <v>4787055.0667705201</v>
      </c>
      <c r="D100">
        <v>43.236215774305379</v>
      </c>
      <c r="E100">
        <v>-2.8687021794505938</v>
      </c>
      <c r="F100" s="13" cm="1">
        <f t="array" ref="F100">_xlfn.LET(
  _xlpm.clave, A100,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00" s="3" t="str" cm="1">
        <f t="array" ref="G100">_xlfn.LET(
  _xlpm.clave, A100,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00" s="12">
        <f>+(Tabla2[[#This Row],[Z FINAL]]-Tabla2[[#This Row],[Z INICIAL]])*1000</f>
        <v>0</v>
      </c>
      <c r="I100" s="3" t="str" cm="1">
        <f t="array" ref="I100">_xlfn.LET(
  _xlpm.clave, UPPER(TRIM(SUBSTITUTE(A100,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01" spans="1:9" x14ac:dyDescent="0.25">
      <c r="A101" t="s">
        <v>110</v>
      </c>
      <c r="B101" s="9">
        <v>510661.18999999989</v>
      </c>
      <c r="C101" s="9">
        <v>4787044.7170000002</v>
      </c>
      <c r="D101">
        <v>43.236122572027917</v>
      </c>
      <c r="E101">
        <v>-2.868697359045393</v>
      </c>
      <c r="F101" s="13" cm="1">
        <f t="array" ref="F101">_xlfn.LET(
  _xlpm.clave, A101,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01" s="3" t="str" cm="1">
        <f t="array" ref="G101">_xlfn.LET(
  _xlpm.clave, A101,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01" s="12">
        <f>+(Tabla2[[#This Row],[Z FINAL]]-Tabla2[[#This Row],[Z INICIAL]])*1000</f>
        <v>0</v>
      </c>
      <c r="I101" s="3" t="str" cm="1">
        <f t="array" ref="I101">_xlfn.LET(
  _xlpm.clave, UPPER(TRIM(SUBSTITUTE(A101,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02" spans="1:9" x14ac:dyDescent="0.25">
      <c r="A102" t="s">
        <v>111</v>
      </c>
      <c r="B102" s="9">
        <v>513080.34500000009</v>
      </c>
      <c r="C102" s="9">
        <v>4786483.3439999986</v>
      </c>
      <c r="D102">
        <v>43.231029508378413</v>
      </c>
      <c r="E102">
        <v>-2.8389165957528868</v>
      </c>
      <c r="F102" s="13" cm="1">
        <f t="array" ref="F102">_xlfn.LET(
  _xlpm.clave, A102,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67.023200000000003</v>
      </c>
      <c r="G102" s="3" cm="1">
        <f t="array" ref="G102">_xlfn.LET(
  _xlpm.clave, A102,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67.025300000000001</v>
      </c>
      <c r="H102" s="12">
        <f>+(Tabla2[[#This Row],[Z FINAL]]-Tabla2[[#This Row],[Z INICIAL]])*1000</f>
        <v>2.0999999999986585</v>
      </c>
      <c r="I102" s="3" t="str" cm="1">
        <f t="array" ref="I102">_xlfn.LET(
  _xlpm.clave, UPPER(TRIM(SUBSTITUTE(A102,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21/05/2026</v>
      </c>
    </row>
    <row r="103" spans="1:9" x14ac:dyDescent="0.25">
      <c r="A103" t="s">
        <v>112</v>
      </c>
      <c r="B103" s="9">
        <v>513064.68800000002</v>
      </c>
      <c r="C103" s="9">
        <v>4786455.0550000006</v>
      </c>
      <c r="D103">
        <v>43.230775046025457</v>
      </c>
      <c r="E103">
        <v>-2.839110079762214</v>
      </c>
      <c r="F103" s="13" cm="1">
        <f t="array" ref="F103">_xlfn.LET(
  _xlpm.clave, A103,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63.257800000000003</v>
      </c>
      <c r="G103" s="3" cm="1">
        <f t="array" ref="G103">_xlfn.LET(
  _xlpm.clave, A103,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63.258899999999997</v>
      </c>
      <c r="H103" s="12">
        <f>+(Tabla2[[#This Row],[Z FINAL]]-Tabla2[[#This Row],[Z INICIAL]])*1000</f>
        <v>1.0999999999938836</v>
      </c>
      <c r="I103" s="3" t="str" cm="1">
        <f t="array" ref="I103">_xlfn.LET(
  _xlpm.clave, UPPER(TRIM(SUBSTITUTE(A103,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21/05/2026</v>
      </c>
    </row>
    <row r="104" spans="1:9" x14ac:dyDescent="0.25">
      <c r="A104" t="s">
        <v>113</v>
      </c>
      <c r="B104" s="9">
        <v>513050.23700000008</v>
      </c>
      <c r="C104" s="9">
        <v>4786428.54</v>
      </c>
      <c r="D104">
        <v>43.230536536790432</v>
      </c>
      <c r="E104">
        <v>-2.8392886685751471</v>
      </c>
      <c r="F104" s="13" cm="1">
        <f t="array" ref="F104">_xlfn.LET(
  _xlpm.clave, A104,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62.107399999999998</v>
      </c>
      <c r="G104" s="3" cm="1">
        <f t="array" ref="G104">_xlfn.LET(
  _xlpm.clave, A104,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62.104900000000001</v>
      </c>
      <c r="H104" s="12">
        <f>+(Tabla2[[#This Row],[Z FINAL]]-Tabla2[[#This Row],[Z INICIAL]])*1000</f>
        <v>-2.4999999999977263</v>
      </c>
      <c r="I104" s="3" t="str" cm="1">
        <f t="array" ref="I104">_xlfn.LET(
  _xlpm.clave, UPPER(TRIM(SUBSTITUTE(A104,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21/05/2026</v>
      </c>
    </row>
    <row r="105" spans="1:9" x14ac:dyDescent="0.25">
      <c r="A105" t="s">
        <v>114</v>
      </c>
      <c r="B105" s="9">
        <v>513040.85400000011</v>
      </c>
      <c r="C105" s="9">
        <v>4786410.3480000002</v>
      </c>
      <c r="D105">
        <v>43.230372885715433</v>
      </c>
      <c r="E105">
        <v>-2.8394046481923678</v>
      </c>
      <c r="F105" s="13" cm="1">
        <f t="array" ref="F105">_xlfn.LET(
  _xlpm.clave, A105,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63.303100000000001</v>
      </c>
      <c r="G105" s="3" cm="1">
        <f t="array" ref="G105">_xlfn.LET(
  _xlpm.clave, A105,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63.3033</v>
      </c>
      <c r="H105" s="12">
        <f>+(Tabla2[[#This Row],[Z FINAL]]-Tabla2[[#This Row],[Z INICIAL]])*1000</f>
        <v>0.19999999999953388</v>
      </c>
      <c r="I105" s="3" t="str" cm="1">
        <f t="array" ref="I105">_xlfn.LET(
  _xlpm.clave, UPPER(TRIM(SUBSTITUTE(A105,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21/05/2026</v>
      </c>
    </row>
    <row r="106" spans="1:9" x14ac:dyDescent="0.25">
      <c r="A106" t="s">
        <v>115</v>
      </c>
      <c r="B106" s="9">
        <v>513001.26400000002</v>
      </c>
      <c r="C106" s="9">
        <v>4786355.2990000006</v>
      </c>
      <c r="D106">
        <v>43.229877869799033</v>
      </c>
      <c r="E106">
        <v>-2.8398934862817011</v>
      </c>
      <c r="F106" s="13" cm="1">
        <f t="array" ref="F106">_xlfn.LET(
  _xlpm.clave, A106,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65.750500000000002</v>
      </c>
      <c r="G106" s="3" cm="1">
        <f t="array" ref="G106">_xlfn.LET(
  _xlpm.clave, A106,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65.752300000000005</v>
      </c>
      <c r="H106" s="12">
        <f>+(Tabla2[[#This Row],[Z FINAL]]-Tabla2[[#This Row],[Z INICIAL]])*1000</f>
        <v>1.8000000000029104</v>
      </c>
      <c r="I106" s="3" t="str" cm="1">
        <f t="array" ref="I106">_xlfn.LET(
  _xlpm.clave, UPPER(TRIM(SUBSTITUTE(A106,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21/05/2026</v>
      </c>
    </row>
    <row r="107" spans="1:9" x14ac:dyDescent="0.25">
      <c r="A107" t="s">
        <v>116</v>
      </c>
      <c r="B107" s="9">
        <v>513032.625</v>
      </c>
      <c r="C107" s="9">
        <v>4786495.5389999989</v>
      </c>
      <c r="D107">
        <v>43.231140146535992</v>
      </c>
      <c r="E107">
        <v>-2.8395039733339691</v>
      </c>
      <c r="F107" s="13" cm="1">
        <f t="array" ref="F107">_xlfn.LET(
  _xlpm.clave, A107,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56.958500000000001</v>
      </c>
      <c r="G107" s="3" cm="1">
        <f t="array" ref="G107">_xlfn.LET(
  _xlpm.clave, A107,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56.958500000000001</v>
      </c>
      <c r="H107" s="12">
        <f>+(Tabla2[[#This Row],[Z FINAL]]-Tabla2[[#This Row],[Z INICIAL]])*1000</f>
        <v>0</v>
      </c>
      <c r="I107" s="3" t="str" cm="1">
        <f t="array" ref="I107">_xlfn.LET(
  _xlpm.clave, UPPER(TRIM(SUBSTITUTE(A107,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10/06/2026</v>
      </c>
    </row>
    <row r="108" spans="1:9" x14ac:dyDescent="0.25">
      <c r="A108" t="s">
        <v>117</v>
      </c>
      <c r="B108" s="9">
        <v>513030.01300000009</v>
      </c>
      <c r="C108" s="9">
        <v>4786468.8880000003</v>
      </c>
      <c r="D108">
        <v>43.230900207656937</v>
      </c>
      <c r="E108">
        <v>-2.8395367694212368</v>
      </c>
      <c r="F108" s="13" cm="1">
        <f t="array" ref="F108">_xlfn.LET(
  _xlpm.clave, A108,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58.500500000000002</v>
      </c>
      <c r="G108" s="3" cm="1">
        <f t="array" ref="G108">_xlfn.LET(
  _xlpm.clave, A108,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58.500399999999999</v>
      </c>
      <c r="H108" s="12">
        <f>+(Tabla2[[#This Row],[Z FINAL]]-Tabla2[[#This Row],[Z INICIAL]])*1000</f>
        <v>-0.10000000000331966</v>
      </c>
      <c r="I108" s="3" t="str" cm="1">
        <f t="array" ref="I108">_xlfn.LET(
  _xlpm.clave, UPPER(TRIM(SUBSTITUTE(A108,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10/06/2026</v>
      </c>
    </row>
    <row r="109" spans="1:9" x14ac:dyDescent="0.25">
      <c r="A109" t="s">
        <v>118</v>
      </c>
      <c r="B109" s="9">
        <v>513018.06</v>
      </c>
      <c r="C109" s="9">
        <v>4786450.3190000001</v>
      </c>
      <c r="D109">
        <v>43.230733205928232</v>
      </c>
      <c r="E109">
        <v>-2.8396844070372431</v>
      </c>
      <c r="F109" s="13" cm="1">
        <f t="array" ref="F109">_xlfn.LET(
  _xlpm.clave, A109,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55.7042</v>
      </c>
      <c r="G109" s="3" cm="1">
        <f t="array" ref="G109">_xlfn.LET(
  _xlpm.clave, A109,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55.703099999999999</v>
      </c>
      <c r="H109" s="12">
        <f>+(Tabla2[[#This Row],[Z FINAL]]-Tabla2[[#This Row],[Z INICIAL]])*1000</f>
        <v>-1.1000000000009891</v>
      </c>
      <c r="I109" s="3" t="str" cm="1">
        <f t="array" ref="I109">_xlfn.LET(
  _xlpm.clave, UPPER(TRIM(SUBSTITUTE(A109,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10/06/2026</v>
      </c>
    </row>
    <row r="110" spans="1:9" x14ac:dyDescent="0.25">
      <c r="A110" t="s">
        <v>119</v>
      </c>
      <c r="B110" s="9">
        <v>513009.02464999998</v>
      </c>
      <c r="C110" s="9">
        <v>4786429.324</v>
      </c>
      <c r="D110">
        <v>43.230544308311977</v>
      </c>
      <c r="E110">
        <v>-2.8397961708454922</v>
      </c>
      <c r="F110" s="13" cm="1">
        <f t="array" ref="F110">_xlfn.LET(
  _xlpm.clave, A110,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56.399700000000003</v>
      </c>
      <c r="G110" s="3" cm="1">
        <f t="array" ref="G110">_xlfn.LET(
  _xlpm.clave, A110,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56.400700000000001</v>
      </c>
      <c r="H110" s="12">
        <f>+(Tabla2[[#This Row],[Z FINAL]]-Tabla2[[#This Row],[Z INICIAL]])*1000</f>
        <v>0.99999999999766942</v>
      </c>
      <c r="I110" s="3" t="str" cm="1">
        <f t="array" ref="I110">_xlfn.LET(
  _xlpm.clave, UPPER(TRIM(SUBSTITUTE(A110,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10/06/2026</v>
      </c>
    </row>
    <row r="111" spans="1:9" x14ac:dyDescent="0.25">
      <c r="A111" t="s">
        <v>120</v>
      </c>
      <c r="B111" s="9">
        <v>512982.4062216836</v>
      </c>
      <c r="C111" s="9">
        <v>4786408.9449999873</v>
      </c>
      <c r="D111">
        <v>43.230361260276531</v>
      </c>
      <c r="E111">
        <v>-2.840124450455928</v>
      </c>
      <c r="F111" s="13" cm="1">
        <f t="array" ref="F111">_xlfn.LET(
  _xlpm.clave, A111,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56.024099999999997</v>
      </c>
      <c r="G111" s="3" cm="1">
        <f t="array" ref="G111">_xlfn.LET(
  _xlpm.clave, A111,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56.026000000000003</v>
      </c>
      <c r="H111" s="12">
        <f>+(Tabla2[[#This Row],[Z FINAL]]-Tabla2[[#This Row],[Z INICIAL]])*1000</f>
        <v>1.90000000000623</v>
      </c>
      <c r="I111" s="3" t="str" cm="1">
        <f t="array" ref="I111">_xlfn.LET(
  _xlpm.clave, UPPER(TRIM(SUBSTITUTE(A111,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10/06/2026</v>
      </c>
    </row>
    <row r="112" spans="1:9" x14ac:dyDescent="0.25">
      <c r="A112" t="s">
        <v>121</v>
      </c>
      <c r="B112" s="9">
        <v>512975.36358606367</v>
      </c>
      <c r="C112" s="9">
        <v>4786520.5120862434</v>
      </c>
      <c r="D112">
        <v>43.231366008569353</v>
      </c>
      <c r="E112">
        <v>-2.840208554178616</v>
      </c>
      <c r="F112" s="13" cm="1">
        <f t="array" ref="F112">_xlfn.LET(
  _xlpm.clave, A112,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57.020824999999995</v>
      </c>
      <c r="G112" s="3" cm="1">
        <f t="array" ref="G112">_xlfn.LET(
  _xlpm.clave, A112,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57.020400000000002</v>
      </c>
      <c r="H112" s="12">
        <f>+(Tabla2[[#This Row],[Z FINAL]]-Tabla2[[#This Row],[Z INICIAL]])*1000</f>
        <v>-0.42499999999279225</v>
      </c>
      <c r="I112" s="3" t="str" cm="1">
        <f t="array" ref="I112">_xlfn.LET(
  _xlpm.clave, UPPER(TRIM(SUBSTITUTE(A112,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17/06/2026</v>
      </c>
    </row>
    <row r="113" spans="1:9" x14ac:dyDescent="0.25">
      <c r="A113" t="s">
        <v>122</v>
      </c>
      <c r="B113" s="9">
        <v>512966.0950864554</v>
      </c>
      <c r="C113" s="9">
        <v>4786503.1349288309</v>
      </c>
      <c r="D113">
        <v>43.23120969202126</v>
      </c>
      <c r="E113">
        <v>-2.8403231037000909</v>
      </c>
      <c r="F113" s="13" cm="1">
        <f t="array" ref="F113">_xlfn.LET(
  _xlpm.clave, A113,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55.717800000000004</v>
      </c>
      <c r="G113" s="3" cm="1">
        <f t="array" ref="G113">_xlfn.LET(
  _xlpm.clave, A113,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55.717700000000001</v>
      </c>
      <c r="H113" s="12">
        <f>+(Tabla2[[#This Row],[Z FINAL]]-Tabla2[[#This Row],[Z INICIAL]])*1000</f>
        <v>-0.10000000000331966</v>
      </c>
      <c r="I113" s="3" t="str" cm="1">
        <f t="array" ref="I113">_xlfn.LET(
  _xlpm.clave, UPPER(TRIM(SUBSTITUTE(A113,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17/06/2026</v>
      </c>
    </row>
    <row r="114" spans="1:9" x14ac:dyDescent="0.25">
      <c r="A114" t="s">
        <v>123</v>
      </c>
      <c r="B114" s="9">
        <v>512956.17800000001</v>
      </c>
      <c r="C114" s="9">
        <v>4786483.4539999999</v>
      </c>
      <c r="D114">
        <v>43.231032641744306</v>
      </c>
      <c r="E114">
        <v>-2.8404456940173</v>
      </c>
      <c r="F114" s="13" cm="1">
        <f t="array" ref="F114">_xlfn.LET(
  _xlpm.clave, A114,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55.095350000000003</v>
      </c>
      <c r="G114" s="3" cm="1">
        <f t="array" ref="G114">_xlfn.LET(
  _xlpm.clave, A114,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55.094299999999997</v>
      </c>
      <c r="H114" s="12">
        <f>+(Tabla2[[#This Row],[Z FINAL]]-Tabla2[[#This Row],[Z INICIAL]])*1000</f>
        <v>-1.0500000000064347</v>
      </c>
      <c r="I114" s="3" t="str" cm="1">
        <f t="array" ref="I114">_xlfn.LET(
  _xlpm.clave, UPPER(TRIM(SUBSTITUTE(A114,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17/06/2026</v>
      </c>
    </row>
    <row r="115" spans="1:9" x14ac:dyDescent="0.25">
      <c r="A115" t="s">
        <v>124</v>
      </c>
      <c r="B115" s="9">
        <v>512946.02292875381</v>
      </c>
      <c r="C115" s="9">
        <v>4786465.5024037501</v>
      </c>
      <c r="D115">
        <v>43.230871167519282</v>
      </c>
      <c r="E115">
        <v>-2.840571173779241</v>
      </c>
      <c r="F115" s="13" cm="1">
        <f t="array" ref="F115">_xlfn.LET(
  _xlpm.clave, A115,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53.977499999999999</v>
      </c>
      <c r="G115" s="3" cm="1">
        <f t="array" ref="G115">_xlfn.LET(
  _xlpm.clave, A115,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53.977499999999999</v>
      </c>
      <c r="H115" s="12">
        <f>+(Tabla2[[#This Row],[Z FINAL]]-Tabla2[[#This Row],[Z INICIAL]])*1000</f>
        <v>0</v>
      </c>
      <c r="I115" s="3" t="str" cm="1">
        <f t="array" ref="I115">_xlfn.LET(
  _xlpm.clave, UPPER(TRIM(SUBSTITUTE(A115,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17/06/2026</v>
      </c>
    </row>
    <row r="116" spans="1:9" x14ac:dyDescent="0.25">
      <c r="A116" t="s">
        <v>125</v>
      </c>
      <c r="B116" s="9">
        <v>512935.5957093449</v>
      </c>
      <c r="C116" s="9">
        <v>4786445.9528066535</v>
      </c>
      <c r="D116">
        <v>43.230695308313457</v>
      </c>
      <c r="E116">
        <v>-2.840700041806191</v>
      </c>
      <c r="F116" s="13" cm="1">
        <f t="array" ref="F116">_xlfn.LET(
  _xlpm.clave, A116,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52.907825000000003</v>
      </c>
      <c r="G116" s="3" cm="1">
        <f t="array" ref="G116">_xlfn.LET(
  _xlpm.clave, A116,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52.908900000000003</v>
      </c>
      <c r="H116" s="12">
        <f>+(Tabla2[[#This Row],[Z FINAL]]-Tabla2[[#This Row],[Z INICIAL]])*1000</f>
        <v>1.0750000000001592</v>
      </c>
      <c r="I116" s="3" t="str" cm="1">
        <f t="array" ref="I116">_xlfn.LET(
  _xlpm.clave, UPPER(TRIM(SUBSTITUTE(A116,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17/06/2026</v>
      </c>
    </row>
    <row r="117" spans="1:9" x14ac:dyDescent="0.25">
      <c r="A117" t="s">
        <v>126</v>
      </c>
      <c r="B117" s="9">
        <v>512916.23781855789</v>
      </c>
      <c r="C117" s="9">
        <v>4786546.2522198362</v>
      </c>
      <c r="D117">
        <v>43.231598805211583</v>
      </c>
      <c r="E117">
        <v>-2.8409360817645242</v>
      </c>
      <c r="F117" s="13" cm="1">
        <f t="array" ref="F117">_xlfn.LET(
  _xlpm.clave, A117,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54.964599999999997</v>
      </c>
      <c r="G117" s="3" cm="1">
        <f t="array" ref="G117">_xlfn.LET(
  _xlpm.clave, A117,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54.963799999999999</v>
      </c>
      <c r="H117" s="12">
        <f>+(Tabla2[[#This Row],[Z FINAL]]-Tabla2[[#This Row],[Z INICIAL]])*1000</f>
        <v>-0.79999999999813554</v>
      </c>
      <c r="I117" s="3" t="str" cm="1">
        <f t="array" ref="I117">_xlfn.LET(
  _xlpm.clave, UPPER(TRIM(SUBSTITUTE(A117,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16/06/2026</v>
      </c>
    </row>
    <row r="118" spans="1:9" x14ac:dyDescent="0.25">
      <c r="A118" t="s">
        <v>127</v>
      </c>
      <c r="B118" s="9">
        <v>512918.75600000011</v>
      </c>
      <c r="C118" s="9">
        <v>4786524.9120000014</v>
      </c>
      <c r="D118">
        <v>43.231406600021181</v>
      </c>
      <c r="E118">
        <v>-2.8409055702214072</v>
      </c>
      <c r="F118" s="13" cm="1">
        <f t="array" ref="F118">_xlfn.LET(
  _xlpm.clave, A118,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54.555300000000003</v>
      </c>
      <c r="G118" s="3" cm="1">
        <f t="array" ref="G118">_xlfn.LET(
  _xlpm.clave, A118,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54.554200000000002</v>
      </c>
      <c r="H118" s="12">
        <f>+(Tabla2[[#This Row],[Z FINAL]]-Tabla2[[#This Row],[Z INICIAL]])*1000</f>
        <v>-1.1000000000009891</v>
      </c>
      <c r="I118" s="3" t="str" cm="1">
        <f t="array" ref="I118">_xlfn.LET(
  _xlpm.clave, UPPER(TRIM(SUBSTITUTE(A118,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16/06/2026</v>
      </c>
    </row>
    <row r="119" spans="1:9" x14ac:dyDescent="0.25">
      <c r="A119" t="s">
        <v>128</v>
      </c>
      <c r="B119" s="9">
        <v>512921.79400000011</v>
      </c>
      <c r="C119" s="9">
        <v>4786500.7879999997</v>
      </c>
      <c r="D119">
        <v>43.231189318832989</v>
      </c>
      <c r="E119">
        <v>-2.8408687225652769</v>
      </c>
      <c r="F119" s="13" cm="1">
        <f t="array" ref="F119">_xlfn.LET(
  _xlpm.clave, A119,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54.525399999999998</v>
      </c>
      <c r="G119" s="3" cm="1">
        <f t="array" ref="G119">_xlfn.LET(
  _xlpm.clave, A119,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54.524500000000003</v>
      </c>
      <c r="H119" s="12">
        <f>+(Tabla2[[#This Row],[Z FINAL]]-Tabla2[[#This Row],[Z INICIAL]])*1000</f>
        <v>-0.89999999999434976</v>
      </c>
      <c r="I119" s="3" t="str" cm="1">
        <f t="array" ref="I119">_xlfn.LET(
  _xlpm.clave, UPPER(TRIM(SUBSTITUTE(A119,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16/06/2026</v>
      </c>
    </row>
    <row r="120" spans="1:9" x14ac:dyDescent="0.25">
      <c r="A120" t="s">
        <v>129</v>
      </c>
      <c r="B120" s="9">
        <v>512923.9580000001</v>
      </c>
      <c r="C120" s="9">
        <v>4786490.8660000013</v>
      </c>
      <c r="D120">
        <v>43.23109993721939</v>
      </c>
      <c r="E120">
        <v>-2.8408423055921221</v>
      </c>
      <c r="F120" s="13" cm="1">
        <f t="array" ref="F120">_xlfn.LET(
  _xlpm.clave, A120,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54.4392</v>
      </c>
      <c r="G120" s="3" cm="1">
        <f t="array" ref="G120">_xlfn.LET(
  _xlpm.clave, A120,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54.437899999999999</v>
      </c>
      <c r="H120" s="12">
        <f>+(Tabla2[[#This Row],[Z FINAL]]-Tabla2[[#This Row],[Z INICIAL]])*1000</f>
        <v>-1.300000000000523</v>
      </c>
      <c r="I120" s="3" t="str" cm="1">
        <f t="array" ref="I120">_xlfn.LET(
  _xlpm.clave, UPPER(TRIM(SUBSTITUTE(A120,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16/06/2026</v>
      </c>
    </row>
    <row r="121" spans="1:9" x14ac:dyDescent="0.25">
      <c r="A121" t="s">
        <v>130</v>
      </c>
      <c r="B121" s="9">
        <v>512924.82354471361</v>
      </c>
      <c r="C121" s="9">
        <v>4786481.9956322853</v>
      </c>
      <c r="D121">
        <v>43.231020047470828</v>
      </c>
      <c r="E121">
        <v>-2.840831854361205</v>
      </c>
      <c r="F121" s="13" cm="1">
        <f t="array" ref="F121">_xlfn.LET(
  _xlpm.clave, A121,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52.909300000000002</v>
      </c>
      <c r="G121" s="3" cm="1">
        <f t="array" ref="G121">_xlfn.LET(
  _xlpm.clave, A121,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52.9086</v>
      </c>
      <c r="H121" s="12">
        <f>+(Tabla2[[#This Row],[Z FINAL]]-Tabla2[[#This Row],[Z INICIAL]])*1000</f>
        <v>-0.70000000000192131</v>
      </c>
      <c r="I121" s="3" t="str" cm="1">
        <f t="array" ref="I121">_xlfn.LET(
  _xlpm.clave, UPPER(TRIM(SUBSTITUTE(A121,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09/06/2026</v>
      </c>
    </row>
    <row r="122" spans="1:9" x14ac:dyDescent="0.25">
      <c r="A122" t="s">
        <v>131</v>
      </c>
      <c r="B122" s="9">
        <v>512811.4760000002</v>
      </c>
      <c r="C122" s="9">
        <v>4786567.0310000023</v>
      </c>
      <c r="D122">
        <v>43.231787698245547</v>
      </c>
      <c r="E122">
        <v>-2.8422257397443542</v>
      </c>
      <c r="F122" s="13" cm="1">
        <f t="array" ref="F122">_xlfn.LET(
  _xlpm.clave, A122,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51.273400000000002</v>
      </c>
      <c r="G122" s="3" cm="1">
        <f t="array" ref="G122">_xlfn.LET(
  _xlpm.clave, A122,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51.273200000000003</v>
      </c>
      <c r="H122" s="12">
        <f>+(Tabla2[[#This Row],[Z FINAL]]-Tabla2[[#This Row],[Z INICIAL]])*1000</f>
        <v>-0.19999999999953388</v>
      </c>
      <c r="I122" s="3" t="str" cm="1">
        <f t="array" ref="I122">_xlfn.LET(
  _xlpm.clave, UPPER(TRIM(SUBSTITUTE(A122,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16/06/2026</v>
      </c>
    </row>
    <row r="123" spans="1:9" x14ac:dyDescent="0.25">
      <c r="A123" t="s">
        <v>132</v>
      </c>
      <c r="B123" s="9">
        <v>512814.3896600001</v>
      </c>
      <c r="C123" s="9">
        <v>4786541.3230000008</v>
      </c>
      <c r="D123">
        <v>43.231556156171713</v>
      </c>
      <c r="E123">
        <v>-2.8421904552175299</v>
      </c>
      <c r="F123" s="13" cm="1">
        <f t="array" ref="F123">_xlfn.LET(
  _xlpm.clave, A123,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50.818199999999997</v>
      </c>
      <c r="G123" s="3" cm="1">
        <f t="array" ref="G123">_xlfn.LET(
  _xlpm.clave, A123,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50.8187</v>
      </c>
      <c r="H123" s="12">
        <f>+(Tabla2[[#This Row],[Z FINAL]]-Tabla2[[#This Row],[Z INICIAL]])*1000</f>
        <v>0.50000000000238742</v>
      </c>
      <c r="I123" s="3" t="str" cm="1">
        <f t="array" ref="I123">_xlfn.LET(
  _xlpm.clave, UPPER(TRIM(SUBSTITUTE(A123,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17/06/2026</v>
      </c>
    </row>
    <row r="124" spans="1:9" x14ac:dyDescent="0.25">
      <c r="A124" t="s">
        <v>133</v>
      </c>
      <c r="B124" s="9">
        <v>512818.4740000001</v>
      </c>
      <c r="C124" s="9">
        <v>4786518.3600000022</v>
      </c>
      <c r="D124">
        <v>43.231349312062122</v>
      </c>
      <c r="E124">
        <v>-2.842140690314729</v>
      </c>
      <c r="F124" s="13" cm="1">
        <f t="array" ref="F124">_xlfn.LET(
  _xlpm.clave, A124,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50.578499999999998</v>
      </c>
      <c r="G124" s="3" cm="1">
        <f t="array" ref="G124">_xlfn.LET(
  _xlpm.clave, A124,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50.579099999999997</v>
      </c>
      <c r="H124" s="12">
        <f>+(Tabla2[[#This Row],[Z FINAL]]-Tabla2[[#This Row],[Z INICIAL]])*1000</f>
        <v>0.59999999999860165</v>
      </c>
      <c r="I124" s="3" t="str" cm="1">
        <f t="array" ref="I124">_xlfn.LET(
  _xlpm.clave, UPPER(TRIM(SUBSTITUTE(A124,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17/06/2026</v>
      </c>
    </row>
    <row r="125" spans="1:9" x14ac:dyDescent="0.25">
      <c r="A125" t="s">
        <v>134</v>
      </c>
      <c r="B125" s="9">
        <v>512824.46100000018</v>
      </c>
      <c r="C125" s="9">
        <v>4786493.8600000013</v>
      </c>
      <c r="D125">
        <v>43.23112859536878</v>
      </c>
      <c r="E125">
        <v>-2.8420675304207461</v>
      </c>
      <c r="F125" s="13" cm="1">
        <f t="array" ref="F125">_xlfn.LET(
  _xlpm.clave, A125,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50.112099999999998</v>
      </c>
      <c r="G125" s="3" cm="1">
        <f t="array" ref="G125">_xlfn.LET(
  _xlpm.clave, A125,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50.112400000000001</v>
      </c>
      <c r="H125" s="12">
        <f>+(Tabla2[[#This Row],[Z FINAL]]-Tabla2[[#This Row],[Z INICIAL]])*1000</f>
        <v>0.30000000000285354</v>
      </c>
      <c r="I125" s="3" t="str" cm="1">
        <f t="array" ref="I125">_xlfn.LET(
  _xlpm.clave, UPPER(TRIM(SUBSTITUTE(A125,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09/06/2026</v>
      </c>
    </row>
    <row r="126" spans="1:9" x14ac:dyDescent="0.25">
      <c r="A126" t="s">
        <v>135</v>
      </c>
      <c r="B126" s="9">
        <v>512829.95900000021</v>
      </c>
      <c r="C126" s="9">
        <v>4786472.26</v>
      </c>
      <c r="D126">
        <v>43.230934000543591</v>
      </c>
      <c r="E126">
        <v>-2.8420003255590398</v>
      </c>
      <c r="F126" s="13" cm="1">
        <f t="array" ref="F126">_xlfn.LET(
  _xlpm.clave, A126,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49.764800000000001</v>
      </c>
      <c r="G126" s="3" cm="1">
        <f t="array" ref="G126">_xlfn.LET(
  _xlpm.clave, A126,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49.765099999999997</v>
      </c>
      <c r="H126" s="12">
        <f>+(Tabla2[[#This Row],[Z FINAL]]-Tabla2[[#This Row],[Z INICIAL]])*1000</f>
        <v>0.29999999999574811</v>
      </c>
      <c r="I126" s="3" t="str" cm="1">
        <f t="array" ref="I126">_xlfn.LET(
  _xlpm.clave, UPPER(TRIM(SUBSTITUTE(A126,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>17/06/2026</v>
      </c>
    </row>
    <row r="127" spans="1:9" x14ac:dyDescent="0.25">
      <c r="A127" t="s">
        <v>136</v>
      </c>
      <c r="B127" s="9">
        <v>512791.39309689548</v>
      </c>
      <c r="C127" s="9">
        <v>4786561.9750986798</v>
      </c>
      <c r="D127">
        <v>43.231742512242498</v>
      </c>
      <c r="E127">
        <v>-2.8424731784953861</v>
      </c>
      <c r="F127" s="13" cm="1">
        <f t="array" ref="F127">_xlfn.LET(
  _xlpm.clave, A127,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27" s="3" t="str" cm="1">
        <f t="array" ref="G127">_xlfn.LET(
  _xlpm.clave, A127,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27" s="12">
        <f>+(Tabla2[[#This Row],[Z FINAL]]-Tabla2[[#This Row],[Z INICIAL]])*1000</f>
        <v>0</v>
      </c>
      <c r="I127" s="3" t="str" cm="1">
        <f t="array" ref="I127">_xlfn.LET(
  _xlpm.clave, UPPER(TRIM(SUBSTITUTE(A127,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28" spans="1:9" x14ac:dyDescent="0.25">
      <c r="A128" t="s">
        <v>137</v>
      </c>
      <c r="B128" s="9">
        <v>512797.07500000019</v>
      </c>
      <c r="C128" s="9">
        <v>4786533.8200000022</v>
      </c>
      <c r="D128">
        <v>43.231488887916917</v>
      </c>
      <c r="E128">
        <v>-2.8424038589986038</v>
      </c>
      <c r="F128" s="13" cm="1">
        <f t="array" ref="F128">_xlfn.LET(
  _xlpm.clave, A128,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28" s="3" t="str" cm="1">
        <f t="array" ref="G128">_xlfn.LET(
  _xlpm.clave, A128,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28" s="12">
        <f>+(Tabla2[[#This Row],[Z FINAL]]-Tabla2[[#This Row],[Z INICIAL]])*1000</f>
        <v>0</v>
      </c>
      <c r="I128" s="3" t="str" cm="1">
        <f t="array" ref="I128">_xlfn.LET(
  _xlpm.clave, UPPER(TRIM(SUBSTITUTE(A128,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29" spans="1:9" x14ac:dyDescent="0.25">
      <c r="A129" t="s">
        <v>138</v>
      </c>
      <c r="B129" s="9">
        <v>512800.72300000011</v>
      </c>
      <c r="C129" s="9">
        <v>4786514.330000001</v>
      </c>
      <c r="D129">
        <v>43.231313324593543</v>
      </c>
      <c r="E129">
        <v>-2.842359386321704</v>
      </c>
      <c r="F129" s="13" cm="1">
        <f t="array" ref="F129">_xlfn.LET(
  _xlpm.clave, A129,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29" s="3" t="str" cm="1">
        <f t="array" ref="G129">_xlfn.LET(
  _xlpm.clave, A129,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29" s="12">
        <f>+(Tabla2[[#This Row],[Z FINAL]]-Tabla2[[#This Row],[Z INICIAL]])*1000</f>
        <v>0</v>
      </c>
      <c r="I129" s="3" t="str" cm="1">
        <f t="array" ref="I129">_xlfn.LET(
  _xlpm.clave, UPPER(TRIM(SUBSTITUTE(A129,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30" spans="1:9" x14ac:dyDescent="0.25">
      <c r="A130" t="s">
        <v>139</v>
      </c>
      <c r="B130" s="9">
        <v>512804.73700000008</v>
      </c>
      <c r="C130" s="9">
        <v>4786494.0250000022</v>
      </c>
      <c r="D130">
        <v>43.231130416211748</v>
      </c>
      <c r="E130">
        <v>-2.8423104255667928</v>
      </c>
      <c r="F130" s="13" cm="1">
        <f t="array" ref="F130">_xlfn.LET(
  _xlpm.clave, A130,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30" s="3" t="str" cm="1">
        <f t="array" ref="G130">_xlfn.LET(
  _xlpm.clave, A130,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30" s="12">
        <f>+(Tabla2[[#This Row],[Z FINAL]]-Tabla2[[#This Row],[Z INICIAL]])*1000</f>
        <v>0</v>
      </c>
      <c r="I130" s="3" t="str" cm="1">
        <f t="array" ref="I130">_xlfn.LET(
  _xlpm.clave, UPPER(TRIM(SUBSTITUTE(A130,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31" spans="1:9" x14ac:dyDescent="0.25">
      <c r="A131" t="s">
        <v>140</v>
      </c>
      <c r="B131" s="9">
        <v>512808.788079586</v>
      </c>
      <c r="C131" s="9">
        <v>4786474.9290114269</v>
      </c>
      <c r="D131">
        <v>43.230958393949003</v>
      </c>
      <c r="E131">
        <v>-2.8422609803976422</v>
      </c>
      <c r="F131" s="13" cm="1">
        <f t="array" ref="F131">_xlfn.LET(
  _xlpm.clave, A131,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31" s="3" t="str" cm="1">
        <f t="array" ref="G131">_xlfn.LET(
  _xlpm.clave, A131,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31" s="12">
        <f>+(Tabla2[[#This Row],[Z FINAL]]-Tabla2[[#This Row],[Z INICIAL]])*1000</f>
        <v>0</v>
      </c>
      <c r="I131" s="3" t="str" cm="1">
        <f t="array" ref="I131">_xlfn.LET(
  _xlpm.clave, UPPER(TRIM(SUBSTITUTE(A131,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32" spans="1:9" x14ac:dyDescent="0.25">
      <c r="A132" t="s">
        <v>141</v>
      </c>
      <c r="B132" s="9">
        <v>512770.18900000007</v>
      </c>
      <c r="C132" s="9">
        <v>4786556.512000001</v>
      </c>
      <c r="D132">
        <v>43.231693677998997</v>
      </c>
      <c r="E132">
        <v>-2.8427344338218981</v>
      </c>
      <c r="F132" s="13" cm="1">
        <f t="array" ref="F132">_xlfn.LET(
  _xlpm.clave, A132,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32" s="3" t="str" cm="1">
        <f t="array" ref="G132">_xlfn.LET(
  _xlpm.clave, A132,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32" s="12">
        <f>+(Tabla2[[#This Row],[Z FINAL]]-Tabla2[[#This Row],[Z INICIAL]])*1000</f>
        <v>0</v>
      </c>
      <c r="I132" s="3" t="str" cm="1">
        <f t="array" ref="I132">_xlfn.LET(
  _xlpm.clave, UPPER(TRIM(SUBSTITUTE(A132,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33" spans="1:9" x14ac:dyDescent="0.25">
      <c r="A133" t="s">
        <v>142</v>
      </c>
      <c r="B133" s="9">
        <v>512773.9470000001</v>
      </c>
      <c r="C133" s="9">
        <v>4786536.9580000006</v>
      </c>
      <c r="D133">
        <v>43.231517536645747</v>
      </c>
      <c r="E133">
        <v>-2.8426886068837449</v>
      </c>
      <c r="F133" s="13" cm="1">
        <f t="array" ref="F133">_xlfn.LET(
  _xlpm.clave, A133,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33" s="3" t="str" cm="1">
        <f t="array" ref="G133">_xlfn.LET(
  _xlpm.clave, A133,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33" s="12">
        <f>+(Tabla2[[#This Row],[Z FINAL]]-Tabla2[[#This Row],[Z INICIAL]])*1000</f>
        <v>0</v>
      </c>
      <c r="I133" s="3" t="str" cm="1">
        <f t="array" ref="I133">_xlfn.LET(
  _xlpm.clave, UPPER(TRIM(SUBSTITUTE(A133,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34" spans="1:9" x14ac:dyDescent="0.25">
      <c r="A134" t="s">
        <v>143</v>
      </c>
      <c r="B134" s="9">
        <v>512778.96400000009</v>
      </c>
      <c r="C134" s="9">
        <v>4786513.2400000021</v>
      </c>
      <c r="D134">
        <v>43.231303878407623</v>
      </c>
      <c r="E134">
        <v>-2.842627372175059</v>
      </c>
      <c r="F134" s="13" cm="1">
        <f t="array" ref="F134">_xlfn.LET(
  _xlpm.clave, A134,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34" s="3" t="str" cm="1">
        <f t="array" ref="G134">_xlfn.LET(
  _xlpm.clave, A134,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34" s="12">
        <f>+(Tabla2[[#This Row],[Z FINAL]]-Tabla2[[#This Row],[Z INICIAL]])*1000</f>
        <v>0</v>
      </c>
      <c r="I134" s="3" t="str" cm="1">
        <f t="array" ref="I134">_xlfn.LET(
  _xlpm.clave, UPPER(TRIM(SUBSTITUTE(A134,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35" spans="1:9" x14ac:dyDescent="0.25">
      <c r="A135" t="s">
        <v>144</v>
      </c>
      <c r="B135" s="9">
        <v>512782.73800000019</v>
      </c>
      <c r="C135" s="9">
        <v>4786491.3580000009</v>
      </c>
      <c r="D135">
        <v>43.231106773807433</v>
      </c>
      <c r="E135">
        <v>-2.842581402747185</v>
      </c>
      <c r="F135" s="13" cm="1">
        <f t="array" ref="F135">_xlfn.LET(
  _xlpm.clave, A135,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35" s="3" t="str" cm="1">
        <f t="array" ref="G135">_xlfn.LET(
  _xlpm.clave, A135,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35" s="12">
        <f>+(Tabla2[[#This Row],[Z FINAL]]-Tabla2[[#This Row],[Z INICIAL]])*1000</f>
        <v>0</v>
      </c>
      <c r="I135" s="3" t="str" cm="1">
        <f t="array" ref="I135">_xlfn.LET(
  _xlpm.clave, UPPER(TRIM(SUBSTITUTE(A135,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36" spans="1:9" x14ac:dyDescent="0.25">
      <c r="A136" t="s">
        <v>145</v>
      </c>
      <c r="B136" s="9">
        <v>512787.89900000009</v>
      </c>
      <c r="C136" s="9">
        <v>4786469.956000003</v>
      </c>
      <c r="D136">
        <v>43.230913967922866</v>
      </c>
      <c r="E136">
        <v>-2.8425183417878341</v>
      </c>
      <c r="F136" s="13" cm="1">
        <f t="array" ref="F136">_xlfn.LET(
  _xlpm.clave, A136,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36" s="3" t="str" cm="1">
        <f t="array" ref="G136">_xlfn.LET(
  _xlpm.clave, A136,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36" s="12">
        <f>+(Tabla2[[#This Row],[Z FINAL]]-Tabla2[[#This Row],[Z INICIAL]])*1000</f>
        <v>0</v>
      </c>
      <c r="I136" s="3" t="str" cm="1">
        <f t="array" ref="I136">_xlfn.LET(
  _xlpm.clave, UPPER(TRIM(SUBSTITUTE(A136,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37" spans="1:9" x14ac:dyDescent="0.25">
      <c r="A137" t="s">
        <v>146</v>
      </c>
      <c r="B137" s="9">
        <v>510687.610348496</v>
      </c>
      <c r="C137" s="9">
        <v>4787266.1173383398</v>
      </c>
      <c r="D137">
        <v>-2.8683676770045601</v>
      </c>
      <c r="E137">
        <v>43.238115840010003</v>
      </c>
      <c r="F137" s="13" cm="1">
        <f t="array" ref="F137">_xlfn.LET(
  _xlpm.clave, A137,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37" s="3" t="str" cm="1">
        <f t="array" ref="G137">_xlfn.LET(
  _xlpm.clave, A137,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37" s="12">
        <f>+(Tabla2[[#This Row],[Z FINAL]]-Tabla2[[#This Row],[Z INICIAL]])*1000</f>
        <v>0</v>
      </c>
      <c r="I137" s="3" t="str" cm="1">
        <f t="array" ref="I137">_xlfn.LET(
  _xlpm.clave, UPPER(TRIM(SUBSTITUTE(A137,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38" spans="1:9" x14ac:dyDescent="0.25">
      <c r="A138" t="s">
        <v>147</v>
      </c>
      <c r="B138" s="9">
        <v>510746.33346676198</v>
      </c>
      <c r="C138" s="9">
        <v>4787231.9619583199</v>
      </c>
      <c r="D138">
        <v>-2.8676450902492601</v>
      </c>
      <c r="E138">
        <v>43.237807446885803</v>
      </c>
      <c r="F138" s="13" cm="1">
        <f t="array" ref="F138">_xlfn.LET(
  _xlpm.clave, A138,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38" s="3" t="str" cm="1">
        <f t="array" ref="G138">_xlfn.LET(
  _xlpm.clave, A138,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38" s="12">
        <f>+(Tabla2[[#This Row],[Z FINAL]]-Tabla2[[#This Row],[Z INICIAL]])*1000</f>
        <v>0</v>
      </c>
      <c r="I138" s="3" t="str" cm="1">
        <f t="array" ref="I138">_xlfn.LET(
  _xlpm.clave, UPPER(TRIM(SUBSTITUTE(A138,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39" spans="1:9" x14ac:dyDescent="0.25">
      <c r="A139" t="s">
        <v>148</v>
      </c>
      <c r="B139" s="9">
        <v>510805.23319304601</v>
      </c>
      <c r="C139" s="9">
        <v>4787198.1052781204</v>
      </c>
      <c r="D139">
        <v>-2.86692032979149</v>
      </c>
      <c r="E139">
        <v>43.237501736364003</v>
      </c>
      <c r="F139" s="13" cm="1">
        <f t="array" ref="F139">_xlfn.LET(
  _xlpm.clave, A139,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39" s="3" t="str" cm="1">
        <f t="array" ref="G139">_xlfn.LET(
  _xlpm.clave, A139,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39" s="12">
        <f>+(Tabla2[[#This Row],[Z FINAL]]-Tabla2[[#This Row],[Z INICIAL]])*1000</f>
        <v>0</v>
      </c>
      <c r="I139" s="3" t="str" cm="1">
        <f t="array" ref="I139">_xlfn.LET(
  _xlpm.clave, UPPER(TRIM(SUBSTITUTE(A139,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40" spans="1:9" x14ac:dyDescent="0.25">
      <c r="A140" t="s">
        <v>149</v>
      </c>
      <c r="B140" s="9">
        <v>510864.13291947299</v>
      </c>
      <c r="C140" s="9">
        <v>4787164.2485981602</v>
      </c>
      <c r="D140">
        <v>-2.8661955765886802</v>
      </c>
      <c r="E140">
        <v>43.237196021244301</v>
      </c>
      <c r="F140" s="13" cm="1">
        <f t="array" ref="F140">_xlfn.LET(
  _xlpm.clave, A140,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40" s="3" t="str" cm="1">
        <f t="array" ref="G140">_xlfn.LET(
  _xlpm.clave, A140,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40" s="12">
        <f>+(Tabla2[[#This Row],[Z FINAL]]-Tabla2[[#This Row],[Z INICIAL]])*1000</f>
        <v>0</v>
      </c>
      <c r="I140" s="3" t="str" cm="1">
        <f t="array" ref="I140">_xlfn.LET(
  _xlpm.clave, UPPER(TRIM(SUBSTITUTE(A140,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41" spans="1:9" x14ac:dyDescent="0.25">
      <c r="A141" t="s">
        <v>150</v>
      </c>
      <c r="B141" s="9">
        <v>510923.03661641502</v>
      </c>
      <c r="C141" s="9">
        <v>4787130.3988425303</v>
      </c>
      <c r="D141">
        <v>-2.8654707816017901</v>
      </c>
      <c r="E141">
        <v>43.236890363820102</v>
      </c>
      <c r="F141" s="13" cm="1">
        <f t="array" ref="F141">_xlfn.LET(
  _xlpm.clave, A141,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41" s="3" t="str" cm="1">
        <f t="array" ref="G141">_xlfn.LET(
  _xlpm.clave, A141,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41" s="12">
        <f>+(Tabla2[[#This Row],[Z FINAL]]-Tabla2[[#This Row],[Z INICIAL]])*1000</f>
        <v>0</v>
      </c>
      <c r="I141" s="3" t="str" cm="1">
        <f t="array" ref="I141">_xlfn.LET(
  _xlpm.clave, UPPER(TRIM(SUBSTITUTE(A141,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42" spans="1:9" x14ac:dyDescent="0.25">
      <c r="A142" t="s">
        <v>151</v>
      </c>
      <c r="B142" s="9">
        <v>510984.63405069802</v>
      </c>
      <c r="C142" s="9">
        <v>4787102.0362996804</v>
      </c>
      <c r="D142">
        <v>-2.8647127084708801</v>
      </c>
      <c r="E142">
        <v>43.236634073230597</v>
      </c>
      <c r="F142" s="13" cm="1">
        <f t="array" ref="F142">_xlfn.LET(
  _xlpm.clave, A142,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42" s="3" t="str" cm="1">
        <f t="array" ref="G142">_xlfn.LET(
  _xlpm.clave, A142,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42" s="12">
        <f>+(Tabla2[[#This Row],[Z FINAL]]-Tabla2[[#This Row],[Z INICIAL]])*1000</f>
        <v>0</v>
      </c>
      <c r="I142" s="3" t="str" cm="1">
        <f t="array" ref="I142">_xlfn.LET(
  _xlpm.clave, UPPER(TRIM(SUBSTITUTE(A142,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43" spans="1:9" x14ac:dyDescent="0.25">
      <c r="A143" t="s">
        <v>152</v>
      </c>
      <c r="B143" s="9">
        <v>511050.735610809</v>
      </c>
      <c r="C143" s="9">
        <v>4787086.67936002</v>
      </c>
      <c r="D143">
        <v>-2.8638989084233599</v>
      </c>
      <c r="E143">
        <v>43.236494823074501</v>
      </c>
      <c r="F143" s="13" cm="1">
        <f t="array" ref="F143">_xlfn.LET(
  _xlpm.clave, A143,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43" s="3" t="str" cm="1">
        <f t="array" ref="G143">_xlfn.LET(
  _xlpm.clave, A143,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43" s="12">
        <f>+(Tabla2[[#This Row],[Z FINAL]]-Tabla2[[#This Row],[Z INICIAL]])*1000</f>
        <v>0</v>
      </c>
      <c r="I143" s="3" t="str" cm="1">
        <f t="array" ref="I143">_xlfn.LET(
  _xlpm.clave, UPPER(TRIM(SUBSTITUTE(A143,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44" spans="1:9" x14ac:dyDescent="0.25">
      <c r="A144" t="s">
        <v>153</v>
      </c>
      <c r="B144" s="9">
        <v>511117.576555031</v>
      </c>
      <c r="C144" s="9">
        <v>4787074.5244957097</v>
      </c>
      <c r="D144">
        <v>-2.86307594131083</v>
      </c>
      <c r="E144">
        <v>43.236384389938301</v>
      </c>
      <c r="F144" s="13" cm="1">
        <f t="array" ref="F144">_xlfn.LET(
  _xlpm.clave, A144,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44" s="3" t="str" cm="1">
        <f t="array" ref="G144">_xlfn.LET(
  _xlpm.clave, A144,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44" s="12">
        <f>+(Tabla2[[#This Row],[Z FINAL]]-Tabla2[[#This Row],[Z INICIAL]])*1000</f>
        <v>0</v>
      </c>
      <c r="I144" s="3" t="str" cm="1">
        <f t="array" ref="I144">_xlfn.LET(
  _xlpm.clave, UPPER(TRIM(SUBSTITUTE(A144,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45" spans="1:9" x14ac:dyDescent="0.25">
      <c r="A145" t="s">
        <v>154</v>
      </c>
      <c r="B145" s="9">
        <v>511184.41749924602</v>
      </c>
      <c r="C145" s="9">
        <v>4787062.3696313696</v>
      </c>
      <c r="D145">
        <v>-2.8622529771873699</v>
      </c>
      <c r="E145">
        <v>43.236273950879202</v>
      </c>
      <c r="F145" s="13" cm="1">
        <f t="array" ref="F145">_xlfn.LET(
  _xlpm.clave, A145,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45" s="3" t="str" cm="1">
        <f t="array" ref="G145">_xlfn.LET(
  _xlpm.clave, A145,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45" s="12">
        <f>+(Tabla2[[#This Row],[Z FINAL]]-Tabla2[[#This Row],[Z INICIAL]])*1000</f>
        <v>0</v>
      </c>
      <c r="I145" s="3" t="str" cm="1">
        <f t="array" ref="I145">_xlfn.LET(
  _xlpm.clave, UPPER(TRIM(SUBSTITUTE(A145,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46" spans="1:9" x14ac:dyDescent="0.25">
      <c r="A146" t="s">
        <v>155</v>
      </c>
      <c r="B146" s="9">
        <v>511251.06505765102</v>
      </c>
      <c r="C146" s="9">
        <v>4787049.2424826398</v>
      </c>
      <c r="D146">
        <v>-2.8614324176123298</v>
      </c>
      <c r="E146">
        <v>43.236154753668202</v>
      </c>
      <c r="F146" s="13" cm="1">
        <f t="array" ref="F146">_xlfn.LET(
  _xlpm.clave, A146,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46" s="3" t="str" cm="1">
        <f t="array" ref="G146">_xlfn.LET(
  _xlpm.clave, A146,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46" s="12">
        <f>+(Tabla2[[#This Row],[Z FINAL]]-Tabla2[[#This Row],[Z INICIAL]])*1000</f>
        <v>0</v>
      </c>
      <c r="I146" s="3" t="str" cm="1">
        <f t="array" ref="I146">_xlfn.LET(
  _xlpm.clave, UPPER(TRIM(SUBSTITUTE(A146,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47" spans="1:9" x14ac:dyDescent="0.25">
      <c r="A147" t="s">
        <v>156</v>
      </c>
      <c r="B147" s="9">
        <v>510625.07070737</v>
      </c>
      <c r="C147" s="9">
        <v>4787291.6791640799</v>
      </c>
      <c r="D147">
        <v>-2.8691374424012501</v>
      </c>
      <c r="E147">
        <v>43.238346900040398</v>
      </c>
      <c r="F147" s="13" cm="1">
        <f t="array" ref="F147">_xlfn.LET(
  _xlpm.clave, A147,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47" s="3" t="str" cm="1">
        <f t="array" ref="G147">_xlfn.LET(
  _xlpm.clave, A147,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47" s="12">
        <f>+(Tabla2[[#This Row],[Z FINAL]]-Tabla2[[#This Row],[Z INICIAL]])*1000</f>
        <v>0</v>
      </c>
      <c r="I147" s="3" t="str" cm="1">
        <f t="array" ref="I147">_xlfn.LET(
  _xlpm.clave, UPPER(TRIM(SUBSTITUTE(A147,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48" spans="1:9" x14ac:dyDescent="0.25">
      <c r="A148" t="s">
        <v>157</v>
      </c>
      <c r="B148" s="9">
        <v>511316.31696694402</v>
      </c>
      <c r="C148" s="9">
        <v>4787030.4302984104</v>
      </c>
      <c r="D148">
        <v>-2.8606291665800399</v>
      </c>
      <c r="E148">
        <v>43.235984379527899</v>
      </c>
      <c r="F148" s="13" cm="1">
        <f t="array" ref="F148">_xlfn.LET(
  _xlpm.clave, A148,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48" s="3" t="str" cm="1">
        <f t="array" ref="G148">_xlfn.LET(
  _xlpm.clave, A148,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48" s="12">
        <f>+(Tabla2[[#This Row],[Z FINAL]]-Tabla2[[#This Row],[Z INICIAL]])*1000</f>
        <v>0</v>
      </c>
      <c r="I148" s="3" t="str" cm="1">
        <f t="array" ref="I148">_xlfn.LET(
  _xlpm.clave, UPPER(TRIM(SUBSTITUTE(A148,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49" spans="1:9" x14ac:dyDescent="0.25">
      <c r="A149" t="s">
        <v>158</v>
      </c>
      <c r="B149" s="9">
        <v>511379.402195459</v>
      </c>
      <c r="C149" s="9">
        <v>4787005.2916184999</v>
      </c>
      <c r="D149">
        <v>-2.8598527351022298</v>
      </c>
      <c r="E149">
        <v>43.235757064298902</v>
      </c>
      <c r="F149" s="13" cm="1">
        <f t="array" ref="F149">_xlfn.LET(
  _xlpm.clave, A149,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49" s="3" t="str" cm="1">
        <f t="array" ref="G149">_xlfn.LET(
  _xlpm.clave, A149,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49" s="12">
        <f>+(Tabla2[[#This Row],[Z FINAL]]-Tabla2[[#This Row],[Z INICIAL]])*1000</f>
        <v>0</v>
      </c>
      <c r="I149" s="3" t="str" cm="1">
        <f t="array" ref="I149">_xlfn.LET(
  _xlpm.clave, UPPER(TRIM(SUBSTITUTE(A149,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50" spans="1:9" x14ac:dyDescent="0.25">
      <c r="A150" t="s">
        <v>159</v>
      </c>
      <c r="B150" s="9">
        <v>511440.46823532198</v>
      </c>
      <c r="C150" s="9">
        <v>4786975.5256112898</v>
      </c>
      <c r="D150">
        <v>-2.8591012733044998</v>
      </c>
      <c r="E150">
        <v>43.235488106780799</v>
      </c>
      <c r="F150" s="13" cm="1">
        <f t="array" ref="F150">_xlfn.LET(
  _xlpm.clave, A150,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50" s="3" t="str" cm="1">
        <f t="array" ref="G150">_xlfn.LET(
  _xlpm.clave, A150,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50" s="12">
        <f>+(Tabla2[[#This Row],[Z FINAL]]-Tabla2[[#This Row],[Z INICIAL]])*1000</f>
        <v>0</v>
      </c>
      <c r="I150" s="3" t="str" cm="1">
        <f t="array" ref="I150">_xlfn.LET(
  _xlpm.clave, UPPER(TRIM(SUBSTITUTE(A150,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51" spans="1:9" x14ac:dyDescent="0.25">
      <c r="A151" t="s">
        <v>160</v>
      </c>
      <c r="B151" s="9">
        <v>511501.35615811602</v>
      </c>
      <c r="C151" s="9">
        <v>4786945.3906912096</v>
      </c>
      <c r="D151">
        <v>-2.85835201946843</v>
      </c>
      <c r="E151">
        <v>43.235215825087302</v>
      </c>
      <c r="F151" s="13" cm="1">
        <f t="array" ref="F151">_xlfn.LET(
  _xlpm.clave, A151,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51" s="3" t="str" cm="1">
        <f t="array" ref="G151">_xlfn.LET(
  _xlpm.clave, A151,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51" s="12">
        <f>+(Tabla2[[#This Row],[Z FINAL]]-Tabla2[[#This Row],[Z INICIAL]])*1000</f>
        <v>0</v>
      </c>
      <c r="I151" s="3" t="str" cm="1">
        <f t="array" ref="I151">_xlfn.LET(
  _xlpm.clave, UPPER(TRIM(SUBSTITUTE(A151,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52" spans="1:9" x14ac:dyDescent="0.25">
      <c r="A152" t="s">
        <v>161</v>
      </c>
      <c r="B152" s="9">
        <v>511562.22550523002</v>
      </c>
      <c r="C152" s="9">
        <v>4786915.2184461299</v>
      </c>
      <c r="D152">
        <v>-2.8576030018639802</v>
      </c>
      <c r="E152">
        <v>43.234943202670998</v>
      </c>
      <c r="F152" s="13" cm="1">
        <f t="array" ref="F152">_xlfn.LET(
  _xlpm.clave, A152,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52" s="3" t="str" cm="1">
        <f t="array" ref="G152">_xlfn.LET(
  _xlpm.clave, A152,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52" s="12">
        <f>+(Tabla2[[#This Row],[Z FINAL]]-Tabla2[[#This Row],[Z INICIAL]])*1000</f>
        <v>0</v>
      </c>
      <c r="I152" s="3" t="str" cm="1">
        <f t="array" ref="I152">_xlfn.LET(
  _xlpm.clave, UPPER(TRIM(SUBSTITUTE(A152,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53" spans="1:9" x14ac:dyDescent="0.25">
      <c r="A153" t="s">
        <v>162</v>
      </c>
      <c r="B153" s="9">
        <v>511622.40071906499</v>
      </c>
      <c r="C153" s="9">
        <v>4786883.6885988796</v>
      </c>
      <c r="D153">
        <v>-2.85686256823832</v>
      </c>
      <c r="E153">
        <v>43.234658361253899</v>
      </c>
      <c r="F153" s="13" cm="1">
        <f t="array" ref="F153">_xlfn.LET(
  _xlpm.clave, A153,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53" s="3" t="str" cm="1">
        <f t="array" ref="G153">_xlfn.LET(
  _xlpm.clave, A153,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53" s="12">
        <f>+(Tabla2[[#This Row],[Z FINAL]]-Tabla2[[#This Row],[Z INICIAL]])*1000</f>
        <v>0</v>
      </c>
      <c r="I153" s="3" t="str" cm="1">
        <f t="array" ref="I153">_xlfn.LET(
  _xlpm.clave, UPPER(TRIM(SUBSTITUTE(A153,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54" spans="1:9" x14ac:dyDescent="0.25">
      <c r="A154" t="s">
        <v>163</v>
      </c>
      <c r="B154" s="9">
        <v>511682.366598183</v>
      </c>
      <c r="C154" s="9">
        <v>4786851.7582701603</v>
      </c>
      <c r="D154">
        <v>-2.85612472807794</v>
      </c>
      <c r="E154">
        <v>43.234369912068701</v>
      </c>
      <c r="F154" s="13" cm="1">
        <f t="array" ref="F154">_xlfn.LET(
  _xlpm.clave, A154,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54" s="3" t="str" cm="1">
        <f t="array" ref="G154">_xlfn.LET(
  _xlpm.clave, A154,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54" s="12">
        <f>+(Tabla2[[#This Row],[Z FINAL]]-Tabla2[[#This Row],[Z INICIAL]])*1000</f>
        <v>0</v>
      </c>
      <c r="I154" s="3" t="str" cm="1">
        <f t="array" ref="I154">_xlfn.LET(
  _xlpm.clave, UPPER(TRIM(SUBSTITUTE(A154,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55" spans="1:9" x14ac:dyDescent="0.25">
      <c r="A155" t="s">
        <v>164</v>
      </c>
      <c r="B155" s="9">
        <v>511742.33247718401</v>
      </c>
      <c r="C155" s="9">
        <v>4786819.82794121</v>
      </c>
      <c r="D155">
        <v>-2.8553868948821499</v>
      </c>
      <c r="E155">
        <v>43.234081458122098</v>
      </c>
      <c r="F155" s="13" cm="1">
        <f t="array" ref="F155">_xlfn.LET(
  _xlpm.clave, A155,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55" s="3" t="str" cm="1">
        <f t="array" ref="G155">_xlfn.LET(
  _xlpm.clave, A155,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55" s="12">
        <f>+(Tabla2[[#This Row],[Z FINAL]]-Tabla2[[#This Row],[Z INICIAL]])*1000</f>
        <v>0</v>
      </c>
      <c r="I155" s="3" t="str" cm="1">
        <f t="array" ref="I155">_xlfn.LET(
  _xlpm.clave, UPPER(TRIM(SUBSTITUTE(A155,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56" spans="1:9" x14ac:dyDescent="0.25">
      <c r="A156" t="s">
        <v>165</v>
      </c>
      <c r="B156" s="9">
        <v>511802.578266381</v>
      </c>
      <c r="C156" s="9">
        <v>4786788.45091586</v>
      </c>
      <c r="D156">
        <v>-2.8546456096057602</v>
      </c>
      <c r="E156">
        <v>43.233797977354698</v>
      </c>
      <c r="F156" s="13" cm="1">
        <f t="array" ref="F156">_xlfn.LET(
  _xlpm.clave, A156,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56" s="3" t="str" cm="1">
        <f t="array" ref="G156">_xlfn.LET(
  _xlpm.clave, A156,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56" s="12">
        <f>+(Tabla2[[#This Row],[Z FINAL]]-Tabla2[[#This Row],[Z INICIAL]])*1000</f>
        <v>0</v>
      </c>
      <c r="I156" s="3" t="str" cm="1">
        <f t="array" ref="I156">_xlfn.LET(
  _xlpm.clave, UPPER(TRIM(SUBSTITUTE(A156,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57" spans="1:9" x14ac:dyDescent="0.25">
      <c r="A157" t="s">
        <v>166</v>
      </c>
      <c r="B157" s="9">
        <v>511869.32075916301</v>
      </c>
      <c r="C157" s="9">
        <v>4786788.0101048797</v>
      </c>
      <c r="D157">
        <v>-2.8538236560169801</v>
      </c>
      <c r="E157">
        <v>43.233792960667401</v>
      </c>
      <c r="F157" s="13" cm="1">
        <f t="array" ref="F157">_xlfn.LET(
  _xlpm.clave, A157,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57" s="3" t="str" cm="1">
        <f t="array" ref="G157">_xlfn.LET(
  _xlpm.clave, A157,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57" s="12">
        <f>+(Tabla2[[#This Row],[Z FINAL]]-Tabla2[[#This Row],[Z INICIAL]])*1000</f>
        <v>0</v>
      </c>
      <c r="I157" s="3" t="str" cm="1">
        <f t="array" ref="I157">_xlfn.LET(
  _xlpm.clave, UPPER(TRIM(SUBSTITUTE(A157,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58" spans="1:9" x14ac:dyDescent="0.25">
      <c r="A158" t="s">
        <v>167</v>
      </c>
      <c r="B158" s="9">
        <v>511936.40921511</v>
      </c>
      <c r="C158" s="9">
        <v>4786798.7148528704</v>
      </c>
      <c r="D158">
        <v>-2.8529972006663802</v>
      </c>
      <c r="E158">
        <v>43.2338882949187</v>
      </c>
      <c r="F158" s="13" cm="1">
        <f t="array" ref="F158">_xlfn.LET(
  _xlpm.clave, A158,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58" s="3" t="str" cm="1">
        <f t="array" ref="G158">_xlfn.LET(
  _xlpm.clave, A158,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58" s="12">
        <f>+(Tabla2[[#This Row],[Z FINAL]]-Tabla2[[#This Row],[Z INICIAL]])*1000</f>
        <v>0</v>
      </c>
      <c r="I158" s="3" t="str" cm="1">
        <f t="array" ref="I158">_xlfn.LET(
  _xlpm.clave, UPPER(TRIM(SUBSTITUTE(A158,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59" spans="1:9" x14ac:dyDescent="0.25">
      <c r="A159" t="s">
        <v>168</v>
      </c>
      <c r="B159" s="9">
        <v>512003.731280295</v>
      </c>
      <c r="C159" s="9">
        <v>4786807.6975168604</v>
      </c>
      <c r="D159">
        <v>-2.8521679032299501</v>
      </c>
      <c r="E159">
        <v>43.233968112642103</v>
      </c>
      <c r="F159" s="13" cm="1">
        <f t="array" ref="F159">_xlfn.LET(
  _xlpm.clave, A159,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59" s="3" t="str" cm="1">
        <f t="array" ref="G159">_xlfn.LET(
  _xlpm.clave, A159,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59" s="12">
        <f>+(Tabla2[[#This Row],[Z FINAL]]-Tabla2[[#This Row],[Z INICIAL]])*1000</f>
        <v>0</v>
      </c>
      <c r="I159" s="3" t="str" cm="1">
        <f t="array" ref="I159">_xlfn.LET(
  _xlpm.clave, UPPER(TRIM(SUBSTITUTE(A159,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60" spans="1:9" x14ac:dyDescent="0.25">
      <c r="A160" t="s">
        <v>169</v>
      </c>
      <c r="B160" s="9">
        <v>512071.60582288698</v>
      </c>
      <c r="C160" s="9">
        <v>4786809.5364099797</v>
      </c>
      <c r="D160">
        <v>-2.85133195598686</v>
      </c>
      <c r="E160">
        <v>43.233983588064497</v>
      </c>
      <c r="F160" s="13" cm="1">
        <f t="array" ref="F160">_xlfn.LET(
  _xlpm.clave, A160,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60" s="3" t="str" cm="1">
        <f t="array" ref="G160">_xlfn.LET(
  _xlpm.clave, A160,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60" s="12">
        <f>+(Tabla2[[#This Row],[Z FINAL]]-Tabla2[[#This Row],[Z INICIAL]])*1000</f>
        <v>0</v>
      </c>
      <c r="I160" s="3" t="str" cm="1">
        <f t="array" ref="I160">_xlfn.LET(
  _xlpm.clave, UPPER(TRIM(SUBSTITUTE(A160,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61" spans="1:9" x14ac:dyDescent="0.25">
      <c r="A161" t="s">
        <v>170</v>
      </c>
      <c r="B161" s="9">
        <v>512139.24163716001</v>
      </c>
      <c r="C161" s="9">
        <v>4786803.5594255701</v>
      </c>
      <c r="D161">
        <v>-2.8504991204310399</v>
      </c>
      <c r="E161">
        <v>43.233928681657403</v>
      </c>
      <c r="F161" s="13" cm="1">
        <f t="array" ref="F161">_xlfn.LET(
  _xlpm.clave, A161,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61" s="3" t="str" cm="1">
        <f t="array" ref="G161">_xlfn.LET(
  _xlpm.clave, A161,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61" s="12">
        <f>+(Tabla2[[#This Row],[Z FINAL]]-Tabla2[[#This Row],[Z INICIAL]])*1000</f>
        <v>0</v>
      </c>
      <c r="I161" s="3" t="str" cm="1">
        <f t="array" ref="I161">_xlfn.LET(
  _xlpm.clave, UPPER(TRIM(SUBSTITUTE(A161,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62" spans="1:9" x14ac:dyDescent="0.25">
      <c r="A162" t="s">
        <v>171</v>
      </c>
      <c r="B162" s="9">
        <v>512205.74406764703</v>
      </c>
      <c r="C162" s="9">
        <v>4786789.8570677396</v>
      </c>
      <c r="D162">
        <v>-2.8496804154960902</v>
      </c>
      <c r="E162">
        <v>43.233804222941899</v>
      </c>
      <c r="F162" s="13" cm="1">
        <f t="array" ref="F162">_xlfn.LET(
  _xlpm.clave, A162,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62" s="3" t="str" cm="1">
        <f t="array" ref="G162">_xlfn.LET(
  _xlpm.clave, A162,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62" s="12">
        <f>+(Tabla2[[#This Row],[Z FINAL]]-Tabla2[[#This Row],[Z INICIAL]])*1000</f>
        <v>0</v>
      </c>
      <c r="I162" s="3" t="str" cm="1">
        <f t="array" ref="I162">_xlfn.LET(
  _xlpm.clave, UPPER(TRIM(SUBSTITUTE(A162,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63" spans="1:9" x14ac:dyDescent="0.25">
      <c r="A163" t="s">
        <v>172</v>
      </c>
      <c r="B163" s="9">
        <v>512270.28073198698</v>
      </c>
      <c r="C163" s="9">
        <v>4786768.73442329</v>
      </c>
      <c r="D163">
        <v>-2.8488860882240101</v>
      </c>
      <c r="E163">
        <v>43.233612972964302</v>
      </c>
      <c r="F163" s="13" cm="1">
        <f t="array" ref="F163">_xlfn.LET(
  _xlpm.clave, A163,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63" s="3" t="str" cm="1">
        <f t="array" ref="G163">_xlfn.LET(
  _xlpm.clave, A163,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63" s="12">
        <f>+(Tabla2[[#This Row],[Z FINAL]]-Tabla2[[#This Row],[Z INICIAL]])*1000</f>
        <v>0</v>
      </c>
      <c r="I163" s="3" t="str" cm="1">
        <f t="array" ref="I163">_xlfn.LET(
  _xlpm.clave, UPPER(TRIM(SUBSTITUTE(A163,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64" spans="1:9" x14ac:dyDescent="0.25">
      <c r="A164" t="s">
        <v>173</v>
      </c>
      <c r="B164" s="9">
        <v>512333.71266362601</v>
      </c>
      <c r="C164" s="9">
        <v>4786744.4066979503</v>
      </c>
      <c r="D164">
        <v>-2.8481054427885102</v>
      </c>
      <c r="E164">
        <v>43.233392874778801</v>
      </c>
      <c r="F164" s="13" cm="1">
        <f t="array" ref="F164">_xlfn.LET(
  _xlpm.clave, A164,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64" s="3" t="str" cm="1">
        <f t="array" ref="G164">_xlfn.LET(
  _xlpm.clave, A164,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64" s="12">
        <f>+(Tabla2[[#This Row],[Z FINAL]]-Tabla2[[#This Row],[Z INICIAL]])*1000</f>
        <v>0</v>
      </c>
      <c r="I164" s="3" t="str" cm="1">
        <f t="array" ref="I164">_xlfn.LET(
  _xlpm.clave, UPPER(TRIM(SUBSTITUTE(A164,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65" spans="1:9" x14ac:dyDescent="0.25">
      <c r="A165" t="s">
        <v>174</v>
      </c>
      <c r="B165" s="9">
        <v>512397.13676258398</v>
      </c>
      <c r="C165" s="9">
        <v>4786720.0584696401</v>
      </c>
      <c r="D165">
        <v>-2.84732489990617</v>
      </c>
      <c r="E165">
        <v>43.233172586773001</v>
      </c>
      <c r="F165" s="13" cm="1">
        <f t="array" ref="F165">_xlfn.LET(
  _xlpm.clave, A165,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65" s="3" t="str" cm="1">
        <f t="array" ref="G165">_xlfn.LET(
  _xlpm.clave, A165,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65" s="12">
        <f>+(Tabla2[[#This Row],[Z FINAL]]-Tabla2[[#This Row],[Z INICIAL]])*1000</f>
        <v>0</v>
      </c>
      <c r="I165" s="3" t="str" cm="1">
        <f t="array" ref="I165">_xlfn.LET(
  _xlpm.clave, UPPER(TRIM(SUBSTITUTE(A165,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66" spans="1:9" x14ac:dyDescent="0.25">
      <c r="A166" t="s">
        <v>175</v>
      </c>
      <c r="B166" s="9">
        <v>512460.560861354</v>
      </c>
      <c r="C166" s="9">
        <v>4786695.7102408297</v>
      </c>
      <c r="D166">
        <v>-2.8465443626649498</v>
      </c>
      <c r="E166">
        <v>43.232952293434302</v>
      </c>
      <c r="F166" s="13" cm="1">
        <f t="array" ref="F166">_xlfn.LET(
  _xlpm.clave, A166,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66" s="3" t="str" cm="1">
        <f t="array" ref="G166">_xlfn.LET(
  _xlpm.clave, A166,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66" s="12">
        <f>+(Tabla2[[#This Row],[Z FINAL]]-Tabla2[[#This Row],[Z INICIAL]])*1000</f>
        <v>0</v>
      </c>
      <c r="I166" s="3" t="str" cm="1">
        <f t="array" ref="I166">_xlfn.LET(
  _xlpm.clave, UPPER(TRIM(SUBSTITUTE(A166,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67" spans="1:9" x14ac:dyDescent="0.25">
      <c r="A167" t="s">
        <v>176</v>
      </c>
      <c r="B167" s="9">
        <v>512524.88411824801</v>
      </c>
      <c r="C167" s="9">
        <v>4786674.4836229496</v>
      </c>
      <c r="D167">
        <v>-2.8457526868343699</v>
      </c>
      <c r="E167">
        <v>43.232760088984797</v>
      </c>
      <c r="F167" s="13" cm="1">
        <f t="array" ref="F167">_xlfn.LET(
  _xlpm.clave, A167,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67" s="3" t="str" cm="1">
        <f t="array" ref="G167">_xlfn.LET(
  _xlpm.clave, A167,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67" s="12">
        <f>+(Tabla2[[#This Row],[Z FINAL]]-Tabla2[[#This Row],[Z INICIAL]])*1000</f>
        <v>0</v>
      </c>
      <c r="I167" s="3" t="str" cm="1">
        <f t="array" ref="I167">_xlfn.LET(
  _xlpm.clave, UPPER(TRIM(SUBSTITUTE(A167,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68" spans="1:9" x14ac:dyDescent="0.25">
      <c r="A168" t="s">
        <v>177</v>
      </c>
      <c r="B168" s="9">
        <v>512592.44328997697</v>
      </c>
      <c r="C168" s="9">
        <v>4786681.0582478801</v>
      </c>
      <c r="D168">
        <v>-2.8449205303504699</v>
      </c>
      <c r="E168">
        <v>43.232818166611203</v>
      </c>
      <c r="F168" s="13" cm="1">
        <f t="array" ref="F168">_xlfn.LET(
  _xlpm.clave, A168,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68" s="3" t="str" cm="1">
        <f t="array" ref="G168">_xlfn.LET(
  _xlpm.clave, A168,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68" s="12">
        <f>+(Tabla2[[#This Row],[Z FINAL]]-Tabla2[[#This Row],[Z INICIAL]])*1000</f>
        <v>0</v>
      </c>
      <c r="I168" s="3" t="str" cm="1">
        <f t="array" ref="I168">_xlfn.LET(
  _xlpm.clave, UPPER(TRIM(SUBSTITUTE(A168,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69" spans="1:9" x14ac:dyDescent="0.25">
      <c r="A169" t="s">
        <v>178</v>
      </c>
      <c r="B169" s="9">
        <v>512659.88520283898</v>
      </c>
      <c r="C169" s="9">
        <v>4786689.2461011</v>
      </c>
      <c r="D169">
        <v>-2.8440897793465001</v>
      </c>
      <c r="E169">
        <v>43.232890766773302</v>
      </c>
      <c r="F169" s="13" cm="1">
        <f t="array" ref="F169">_xlfn.LET(
  _xlpm.clave, A169,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69" s="3" t="str" cm="1">
        <f t="array" ref="G169">_xlfn.LET(
  _xlpm.clave, A169,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69" s="12">
        <f>+(Tabla2[[#This Row],[Z FINAL]]-Tabla2[[#This Row],[Z INICIAL]])*1000</f>
        <v>0</v>
      </c>
      <c r="I169" s="3" t="str" cm="1">
        <f t="array" ref="I169">_xlfn.LET(
  _xlpm.clave, UPPER(TRIM(SUBSTITUTE(A169,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70" spans="1:9" x14ac:dyDescent="0.25">
      <c r="A170" t="s">
        <v>179</v>
      </c>
      <c r="B170" s="9">
        <v>512727.32711571403</v>
      </c>
      <c r="C170" s="9">
        <v>4786697.43395421</v>
      </c>
      <c r="D170">
        <v>-2.8432590263871198</v>
      </c>
      <c r="E170">
        <v>43.232963360896797</v>
      </c>
      <c r="F170" s="13" cm="1">
        <f t="array" ref="F170">_xlfn.LET(
  _xlpm.clave, A170,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70" s="3" t="str" cm="1">
        <f t="array" ref="G170">_xlfn.LET(
  _xlpm.clave, A170,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70" s="12">
        <f>+(Tabla2[[#This Row],[Z FINAL]]-Tabla2[[#This Row],[Z INICIAL]])*1000</f>
        <v>0</v>
      </c>
      <c r="I170" s="3" t="str" cm="1">
        <f t="array" ref="I170">_xlfn.LET(
  _xlpm.clave, UPPER(TRIM(SUBSTITUTE(A170,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71" spans="1:9" x14ac:dyDescent="0.25">
      <c r="A171" t="s">
        <v>180</v>
      </c>
      <c r="B171" s="9">
        <v>512794.84392483498</v>
      </c>
      <c r="C171" s="9">
        <v>4786704.9260046901</v>
      </c>
      <c r="D171">
        <v>-2.842427365247</v>
      </c>
      <c r="E171">
        <v>43.233029682225798</v>
      </c>
      <c r="F171" s="13" cm="1">
        <f t="array" ref="F171">_xlfn.LET(
  _xlpm.clave, A171,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71" s="3" t="str" cm="1">
        <f t="array" ref="G171">_xlfn.LET(
  _xlpm.clave, A171,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71" s="12">
        <f>+(Tabla2[[#This Row],[Z FINAL]]-Tabla2[[#This Row],[Z INICIAL]])*1000</f>
        <v>0</v>
      </c>
      <c r="I171" s="3" t="str" cm="1">
        <f t="array" ref="I171">_xlfn.LET(
  _xlpm.clave, UPPER(TRIM(SUBSTITUTE(A171,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72" spans="1:9" x14ac:dyDescent="0.25">
      <c r="A172" t="s">
        <v>181</v>
      </c>
      <c r="B172" s="9">
        <v>512862.71742164501</v>
      </c>
      <c r="C172" s="9">
        <v>4786705.4823363498</v>
      </c>
      <c r="D172">
        <v>-2.8415914713662702</v>
      </c>
      <c r="E172">
        <v>43.233033537443603</v>
      </c>
      <c r="F172" s="13" cm="1">
        <f t="array" ref="F172">_xlfn.LET(
  _xlpm.clave, A172,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72" s="3" t="str" cm="1">
        <f t="array" ref="G172">_xlfn.LET(
  _xlpm.clave, A172,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72" s="12">
        <f>+(Tabla2[[#This Row],[Z FINAL]]-Tabla2[[#This Row],[Z INICIAL]])*1000</f>
        <v>0</v>
      </c>
      <c r="I172" s="3" t="str" cm="1">
        <f t="array" ref="I172">_xlfn.LET(
  _xlpm.clave, UPPER(TRIM(SUBSTITUTE(A172,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73" spans="1:9" x14ac:dyDescent="0.25">
      <c r="A173" t="s">
        <v>182</v>
      </c>
      <c r="B173" s="9">
        <v>512929.87711159798</v>
      </c>
      <c r="C173" s="9">
        <v>4786695.6922730701</v>
      </c>
      <c r="D173">
        <v>-2.8407646106903401</v>
      </c>
      <c r="E173">
        <v>43.232944232727</v>
      </c>
      <c r="F173" s="13" cm="1">
        <f t="array" ref="F173">_xlfn.LET(
  _xlpm.clave, A173,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73" s="3" t="str" cm="1">
        <f t="array" ref="G173">_xlfn.LET(
  _xlpm.clave, A173,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73" s="12">
        <f>+(Tabla2[[#This Row],[Z FINAL]]-Tabla2[[#This Row],[Z INICIAL]])*1000</f>
        <v>0</v>
      </c>
      <c r="I173" s="3" t="str" cm="1">
        <f t="array" ref="I173">_xlfn.LET(
  _xlpm.clave, UPPER(TRIM(SUBSTITUTE(A173,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74" spans="1:9" x14ac:dyDescent="0.25">
      <c r="A174" t="s">
        <v>183</v>
      </c>
      <c r="B174" s="9">
        <v>512994.73478870699</v>
      </c>
      <c r="C174" s="9">
        <v>4786675.6996989502</v>
      </c>
      <c r="D174">
        <v>-2.839966342671</v>
      </c>
      <c r="E174">
        <v>43.232763091280198</v>
      </c>
      <c r="F174" s="13" cm="1">
        <f t="array" ref="F174">_xlfn.LET(
  _xlpm.clave, A174,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74" s="3" t="str" cm="1">
        <f t="array" ref="G174">_xlfn.LET(
  _xlpm.clave, A174,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74" s="12">
        <f>+(Tabla2[[#This Row],[Z FINAL]]-Tabla2[[#This Row],[Z INICIAL]])*1000</f>
        <v>0</v>
      </c>
      <c r="I174" s="3" t="str" cm="1">
        <f t="array" ref="I174">_xlfn.LET(
  _xlpm.clave, UPPER(TRIM(SUBSTITUTE(A174,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75" spans="1:9" x14ac:dyDescent="0.25">
      <c r="A175" t="s">
        <v>184</v>
      </c>
      <c r="B175" s="9">
        <v>513055.957952014</v>
      </c>
      <c r="C175" s="9">
        <v>4786646.3640048401</v>
      </c>
      <c r="D175">
        <v>-2.8392130602785599</v>
      </c>
      <c r="E175">
        <v>43.232497875301398</v>
      </c>
      <c r="F175" s="13" cm="1">
        <f t="array" ref="F175">_xlfn.LET(
  _xlpm.clave, A175,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75" s="3" t="str" cm="1">
        <f t="array" ref="G175">_xlfn.LET(
  _xlpm.clave, A175,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75" s="12">
        <f>+(Tabla2[[#This Row],[Z FINAL]]-Tabla2[[#This Row],[Z INICIAL]])*1000</f>
        <v>0</v>
      </c>
      <c r="I175" s="3" t="str" cm="1">
        <f t="array" ref="I175">_xlfn.LET(
  _xlpm.clave, UPPER(TRIM(SUBSTITUTE(A175,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76" spans="1:9" x14ac:dyDescent="0.25">
      <c r="A176" t="s">
        <v>185</v>
      </c>
      <c r="B176" s="9">
        <v>513114.98811378598</v>
      </c>
      <c r="C176" s="9">
        <v>4786612.7363097603</v>
      </c>
      <c r="D176">
        <v>-2.83848689355225</v>
      </c>
      <c r="E176">
        <v>43.232194044363901</v>
      </c>
      <c r="F176" s="13" cm="1">
        <f t="array" ref="F176">_xlfn.LET(
  _xlpm.clave, A176,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76" s="3" t="str" cm="1">
        <f t="array" ref="G176">_xlfn.LET(
  _xlpm.clave, A176,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76" s="12">
        <f>+(Tabla2[[#This Row],[Z FINAL]]-Tabla2[[#This Row],[Z INICIAL]])*1000</f>
        <v>0</v>
      </c>
      <c r="I176" s="3" t="str" cm="1">
        <f t="array" ref="I176">_xlfn.LET(
  _xlpm.clave, UPPER(TRIM(SUBSTITUTE(A176,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77" spans="1:9" x14ac:dyDescent="0.25">
      <c r="A177" t="s">
        <v>186</v>
      </c>
      <c r="B177" s="9">
        <v>513173.95225752</v>
      </c>
      <c r="C177" s="9">
        <v>4786578.9919427596</v>
      </c>
      <c r="D177">
        <v>-2.83776154984831</v>
      </c>
      <c r="E177">
        <v>43.231889159373097</v>
      </c>
      <c r="F177" s="13" cm="1">
        <f t="array" ref="F177">_xlfn.LET(
  _xlpm.clave, A177,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77" s="3" t="str" cm="1">
        <f t="array" ref="G177">_xlfn.LET(
  _xlpm.clave, A177,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77" s="12">
        <f>+(Tabla2[[#This Row],[Z FINAL]]-Tabla2[[#This Row],[Z INICIAL]])*1000</f>
        <v>0</v>
      </c>
      <c r="I177" s="3" t="str" cm="1">
        <f t="array" ref="I177">_xlfn.LET(
  _xlpm.clave, UPPER(TRIM(SUBSTITUTE(A177,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78" spans="1:9" x14ac:dyDescent="0.25">
      <c r="A178" t="s">
        <v>187</v>
      </c>
      <c r="B178" s="9">
        <v>513232.91640101798</v>
      </c>
      <c r="C178" s="9">
        <v>4786545.2475753399</v>
      </c>
      <c r="D178">
        <v>-2.8370362133940001</v>
      </c>
      <c r="E178">
        <v>43.231584269771098</v>
      </c>
      <c r="F178" s="13" cm="1">
        <f t="array" ref="F178">_xlfn.LET(
  _xlpm.clave, A178,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78" s="3" t="str" cm="1">
        <f t="array" ref="G178">_xlfn.LET(
  _xlpm.clave, A178,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78" s="12">
        <f>+(Tabla2[[#This Row],[Z FINAL]]-Tabla2[[#This Row],[Z INICIAL]])*1000</f>
        <v>0</v>
      </c>
      <c r="I178" s="3" t="str" cm="1">
        <f t="array" ref="I178">_xlfn.LET(
  _xlpm.clave, UPPER(TRIM(SUBSTITUTE(A178,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79" spans="1:9" x14ac:dyDescent="0.25">
      <c r="A179" t="s">
        <v>188</v>
      </c>
      <c r="B179" s="9">
        <v>513291.88054455601</v>
      </c>
      <c r="C179" s="9">
        <v>4786511.50320799</v>
      </c>
      <c r="D179">
        <v>-2.8363108841731299</v>
      </c>
      <c r="E179">
        <v>43.231279375570502</v>
      </c>
      <c r="F179" s="13" cm="1">
        <f t="array" ref="F179">_xlfn.LET(
  _xlpm.clave, A179,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79" s="3" t="str" cm="1">
        <f t="array" ref="G179">_xlfn.LET(
  _xlpm.clave, A179,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79" s="12">
        <f>+(Tabla2[[#This Row],[Z FINAL]]-Tabla2[[#This Row],[Z INICIAL]])*1000</f>
        <v>0</v>
      </c>
      <c r="I179" s="3" t="str" cm="1">
        <f t="array" ref="I179">_xlfn.LET(
  _xlpm.clave, UPPER(TRIM(SUBSTITUTE(A179,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80" spans="1:9" x14ac:dyDescent="0.25">
      <c r="A180" t="s">
        <v>189</v>
      </c>
      <c r="B180" s="9">
        <v>513344.71785597398</v>
      </c>
      <c r="C180" s="9">
        <v>4786469.3773373198</v>
      </c>
      <c r="D180">
        <v>-2.8356612160542101</v>
      </c>
      <c r="E180">
        <v>43.230899112347302</v>
      </c>
      <c r="F180" s="13" cm="1">
        <f t="array" ref="F180">_xlfn.LET(
  _xlpm.clave, A180,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80" s="3" t="str" cm="1">
        <f t="array" ref="G180">_xlfn.LET(
  _xlpm.clave, A180,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80" s="12">
        <f>+(Tabla2[[#This Row],[Z FINAL]]-Tabla2[[#This Row],[Z INICIAL]])*1000</f>
        <v>0</v>
      </c>
      <c r="I180" s="3" t="str" cm="1">
        <f t="array" ref="I180">_xlfn.LET(
  _xlpm.clave, UPPER(TRIM(SUBSTITUTE(A180,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81" spans="1:9" x14ac:dyDescent="0.25">
      <c r="A181" t="s">
        <v>190</v>
      </c>
      <c r="B181" s="9">
        <v>513379.70642544201</v>
      </c>
      <c r="C181" s="9">
        <v>4786411.5797327096</v>
      </c>
      <c r="D181">
        <v>-2.8352317392565398</v>
      </c>
      <c r="E181">
        <v>43.230378043117298</v>
      </c>
      <c r="F181" s="13" cm="1">
        <f t="array" ref="F181">_xlfn.LET(
  _xlpm.clave, A181,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81" s="3" t="str" cm="1">
        <f t="array" ref="G181">_xlfn.LET(
  _xlpm.clave, A181,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81" s="12">
        <f>+(Tabla2[[#This Row],[Z FINAL]]-Tabla2[[#This Row],[Z INICIAL]])*1000</f>
        <v>0</v>
      </c>
      <c r="I181" s="3" t="str" cm="1">
        <f t="array" ref="I181">_xlfn.LET(
  _xlpm.clave, UPPER(TRIM(SUBSTITUTE(A181,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82" spans="1:9" x14ac:dyDescent="0.25">
      <c r="A182" t="s">
        <v>191</v>
      </c>
      <c r="B182" s="9">
        <v>513392.03271715599</v>
      </c>
      <c r="C182" s="9">
        <v>4786345.1492692297</v>
      </c>
      <c r="D182">
        <v>-2.8350815570107799</v>
      </c>
      <c r="E182">
        <v>43.229779638672802</v>
      </c>
      <c r="F182" s="13" cm="1">
        <f t="array" ref="F182">_xlfn.LET(
  _xlpm.clave, A182,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82" s="3" t="str" cm="1">
        <f t="array" ref="G182">_xlfn.LET(
  _xlpm.clave, A182,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82" s="12">
        <f>+(Tabla2[[#This Row],[Z FINAL]]-Tabla2[[#This Row],[Z INICIAL]])*1000</f>
        <v>0</v>
      </c>
      <c r="I182" s="3" t="str" cm="1">
        <f t="array" ref="I182">_xlfn.LET(
  _xlpm.clave, UPPER(TRIM(SUBSTITUTE(A182,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83" spans="1:9" x14ac:dyDescent="0.25">
      <c r="A183" t="s">
        <v>192</v>
      </c>
      <c r="B183" s="9">
        <v>513380.466130185</v>
      </c>
      <c r="C183" s="9">
        <v>4786278.60271997</v>
      </c>
      <c r="D183">
        <v>-2.8352256093076398</v>
      </c>
      <c r="E183">
        <v>43.2291806128177</v>
      </c>
      <c r="F183" s="13" cm="1">
        <f t="array" ref="F183">_xlfn.LET(
  _xlpm.clave, A183,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83" s="3" t="str" cm="1">
        <f t="array" ref="G183">_xlfn.LET(
  _xlpm.clave, A183,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83" s="12">
        <f>+(Tabla2[[#This Row],[Z FINAL]]-Tabla2[[#This Row],[Z INICIAL]])*1000</f>
        <v>0</v>
      </c>
      <c r="I183" s="3" t="str" cm="1">
        <f t="array" ref="I183">_xlfn.LET(
  _xlpm.clave, UPPER(TRIM(SUBSTITUTE(A183,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84" spans="1:9" x14ac:dyDescent="0.25">
      <c r="A184" t="s">
        <v>193</v>
      </c>
      <c r="B184" s="9">
        <v>513346.39730260998</v>
      </c>
      <c r="C184" s="9">
        <v>4786220.2476525297</v>
      </c>
      <c r="D184">
        <v>-2.8356465616761901</v>
      </c>
      <c r="E184">
        <v>43.228655746917902</v>
      </c>
      <c r="F184" s="13" cm="1">
        <f t="array" ref="F184">_xlfn.LET(
  _xlpm.clave, A184,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84" s="3" t="str" cm="1">
        <f t="array" ref="G184">_xlfn.LET(
  _xlpm.clave, A184,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84" s="12">
        <f>+(Tabla2[[#This Row],[Z FINAL]]-Tabla2[[#This Row],[Z INICIAL]])*1000</f>
        <v>0</v>
      </c>
      <c r="I184" s="3" t="str" cm="1">
        <f t="array" ref="I184">_xlfn.LET(
  _xlpm.clave, UPPER(TRIM(SUBSTITUTE(A184,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85" spans="1:9" x14ac:dyDescent="0.25">
      <c r="A185" t="s">
        <v>194</v>
      </c>
      <c r="B185" s="9">
        <v>513293.90386954299</v>
      </c>
      <c r="C185" s="9">
        <v>4786177.7097685495</v>
      </c>
      <c r="D185">
        <v>-2.83629401152495</v>
      </c>
      <c r="E185">
        <v>43.228273633185601</v>
      </c>
      <c r="F185" s="13" cm="1">
        <f t="array" ref="F185">_xlfn.LET(
  _xlpm.clave, A185,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85" s="3" t="str" cm="1">
        <f t="array" ref="G185">_xlfn.LET(
  _xlpm.clave, A185,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85" s="12">
        <f>+(Tabla2[[#This Row],[Z FINAL]]-Tabla2[[#This Row],[Z INICIAL]])*1000</f>
        <v>0</v>
      </c>
      <c r="I185" s="3" t="str" cm="1">
        <f t="array" ref="I185">_xlfn.LET(
  _xlpm.clave, UPPER(TRIM(SUBSTITUTE(A185,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86" spans="1:9" x14ac:dyDescent="0.25">
      <c r="A186" t="s">
        <v>195</v>
      </c>
      <c r="B186" s="9">
        <v>513229.92792923102</v>
      </c>
      <c r="C186" s="9">
        <v>4786156.0346828196</v>
      </c>
      <c r="D186">
        <v>-2.8370823513115302</v>
      </c>
      <c r="E186">
        <v>43.228079580318301</v>
      </c>
      <c r="F186" s="13" cm="1">
        <f t="array" ref="F186">_xlfn.LET(
  _xlpm.clave, A186,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86" s="3" t="str" cm="1">
        <f t="array" ref="G186">_xlfn.LET(
  _xlpm.clave, A186,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86" s="12">
        <f>+(Tabla2[[#This Row],[Z FINAL]]-Tabla2[[#This Row],[Z INICIAL]])*1000</f>
        <v>0</v>
      </c>
      <c r="I186" s="3" t="str" cm="1">
        <f t="array" ref="I186">_xlfn.LET(
  _xlpm.clave, UPPER(TRIM(SUBSTITUTE(A186,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87" spans="1:9" x14ac:dyDescent="0.25">
      <c r="A187" t="s">
        <v>196</v>
      </c>
      <c r="B187" s="9">
        <v>513162.38936195499</v>
      </c>
      <c r="C187" s="9">
        <v>4786158.1589848297</v>
      </c>
      <c r="D187">
        <v>-2.83791398930809</v>
      </c>
      <c r="E187">
        <v>43.228099890382602</v>
      </c>
      <c r="F187" s="13" cm="1">
        <f t="array" ref="F187">_xlfn.LET(
  _xlpm.clave, A187,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87" s="3" t="str" cm="1">
        <f t="array" ref="G187">_xlfn.LET(
  _xlpm.clave, A187,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87" s="12">
        <f>+(Tabla2[[#This Row],[Z FINAL]]-Tabla2[[#This Row],[Z INICIAL]])*1000</f>
        <v>0</v>
      </c>
      <c r="I187" s="3" t="str" cm="1">
        <f t="array" ref="I187">_xlfn.LET(
  _xlpm.clave, UPPER(TRIM(SUBSTITUTE(A187,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88" spans="1:9" x14ac:dyDescent="0.25">
      <c r="A188" t="s">
        <v>197</v>
      </c>
      <c r="B188" s="9">
        <v>513099.75920043798</v>
      </c>
      <c r="C188" s="9">
        <v>4786183.6243991796</v>
      </c>
      <c r="D188">
        <v>-2.8386846300978501</v>
      </c>
      <c r="E188">
        <v>43.228330288770202</v>
      </c>
      <c r="F188" s="13" cm="1">
        <f t="array" ref="F188">_xlfn.LET(
  _xlpm.clave, A188,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88" s="3" t="str" cm="1">
        <f t="array" ref="G188">_xlfn.LET(
  _xlpm.clave, A188,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88" s="12">
        <f>+(Tabla2[[#This Row],[Z FINAL]]-Tabla2[[#This Row],[Z INICIAL]])*1000</f>
        <v>0</v>
      </c>
      <c r="I188" s="3" t="str" cm="1">
        <f t="array" ref="I188">_xlfn.LET(
  _xlpm.clave, UPPER(TRIM(SUBSTITUTE(A188,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89" spans="1:9" x14ac:dyDescent="0.25">
      <c r="A189" t="s">
        <v>198</v>
      </c>
      <c r="B189" s="9">
        <v>513040.79505690502</v>
      </c>
      <c r="C189" s="9">
        <v>4786217.3687665397</v>
      </c>
      <c r="D189">
        <v>-2.83940993626224</v>
      </c>
      <c r="E189">
        <v>43.228635168046502</v>
      </c>
      <c r="F189" s="13" cm="1">
        <f t="array" ref="F189">_xlfn.LET(
  _xlpm.clave, A189,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89" s="3" t="str" cm="1">
        <f t="array" ref="G189">_xlfn.LET(
  _xlpm.clave, A189,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89" s="12">
        <f>+(Tabla2[[#This Row],[Z FINAL]]-Tabla2[[#This Row],[Z INICIAL]])*1000</f>
        <v>0</v>
      </c>
      <c r="I189" s="3" t="str" cm="1">
        <f t="array" ref="I189">_xlfn.LET(
  _xlpm.clave, UPPER(TRIM(SUBSTITUTE(A189,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90" spans="1:9" x14ac:dyDescent="0.25">
      <c r="A190" t="s">
        <v>199</v>
      </c>
      <c r="B190" s="9">
        <v>512981.83091314201</v>
      </c>
      <c r="C190" s="9">
        <v>4786251.1131334901</v>
      </c>
      <c r="D190">
        <v>-2.84013524967762</v>
      </c>
      <c r="E190">
        <v>43.2289400427101</v>
      </c>
      <c r="F190" s="13" cm="1">
        <f t="array" ref="F190">_xlfn.LET(
  _xlpm.clave, A190,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90" s="3" t="str" cm="1">
        <f t="array" ref="G190">_xlfn.LET(
  _xlpm.clave, A190,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90" s="12">
        <f>+(Tabla2[[#This Row],[Z FINAL]]-Tabla2[[#This Row],[Z INICIAL]])*1000</f>
        <v>0</v>
      </c>
      <c r="I190" s="3" t="str" cm="1">
        <f t="array" ref="I190">_xlfn.LET(
  _xlpm.clave, UPPER(TRIM(SUBSTITUTE(A190,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91" spans="1:9" x14ac:dyDescent="0.25">
      <c r="A191" t="s">
        <v>200</v>
      </c>
      <c r="B191" s="9">
        <v>512922.86676952598</v>
      </c>
      <c r="C191" s="9">
        <v>4786284.8575007003</v>
      </c>
      <c r="D191">
        <v>-2.8408605703236698</v>
      </c>
      <c r="E191">
        <v>43.229244912776799</v>
      </c>
      <c r="F191" s="13" cm="1">
        <f t="array" ref="F191">_xlfn.LET(
  _xlpm.clave, A191,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91" s="3" t="str" cm="1">
        <f t="array" ref="G191">_xlfn.LET(
  _xlpm.clave, A191,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91" s="12">
        <f>+(Tabla2[[#This Row],[Z FINAL]]-Tabla2[[#This Row],[Z INICIAL]])*1000</f>
        <v>0</v>
      </c>
      <c r="I191" s="3" t="str" cm="1">
        <f t="array" ref="I191">_xlfn.LET(
  _xlpm.clave, UPPER(TRIM(SUBSTITUTE(A191,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92" spans="1:9" x14ac:dyDescent="0.25">
      <c r="A192" t="s">
        <v>201</v>
      </c>
      <c r="B192" s="9">
        <v>512863.71817603899</v>
      </c>
      <c r="C192" s="9">
        <v>4786318.2690093899</v>
      </c>
      <c r="D192">
        <v>-2.8415881773959901</v>
      </c>
      <c r="E192">
        <v>43.229546784094097</v>
      </c>
      <c r="F192" s="13" cm="1">
        <f t="array" ref="F192">_xlfn.LET(
  _xlpm.clave, A192,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92" s="3" t="str" cm="1">
        <f t="array" ref="G192">_xlfn.LET(
  _xlpm.clave, A192,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92" s="12">
        <f>+(Tabla2[[#This Row],[Z FINAL]]-Tabla2[[#This Row],[Z INICIAL]])*1000</f>
        <v>0</v>
      </c>
      <c r="I192" s="3" t="str" cm="1">
        <f t="array" ref="I192">_xlfn.LET(
  _xlpm.clave, UPPER(TRIM(SUBSTITUTE(A192,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93" spans="1:9" x14ac:dyDescent="0.25">
      <c r="A193" t="s">
        <v>202</v>
      </c>
      <c r="B193" s="9">
        <v>512797.367848925</v>
      </c>
      <c r="C193" s="9">
        <v>4786323.1470193798</v>
      </c>
      <c r="D193">
        <v>-2.8424051403602202</v>
      </c>
      <c r="E193">
        <v>43.2295918375711</v>
      </c>
      <c r="F193" s="13" cm="1">
        <f t="array" ref="F193">_xlfn.LET(
  _xlpm.clave, A193,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93" s="3" t="str" cm="1">
        <f t="array" ref="G193">_xlfn.LET(
  _xlpm.clave, A193,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93" s="12">
        <f>+(Tabla2[[#This Row],[Z FINAL]]-Tabla2[[#This Row],[Z INICIAL]])*1000</f>
        <v>0</v>
      </c>
      <c r="I193" s="3" t="str" cm="1">
        <f t="array" ref="I193">_xlfn.LET(
  _xlpm.clave, UPPER(TRIM(SUBSTITUTE(A193,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94" spans="1:9" x14ac:dyDescent="0.25">
      <c r="A194" t="s">
        <v>203</v>
      </c>
      <c r="B194" s="9">
        <v>512729.92592949001</v>
      </c>
      <c r="C194" s="9">
        <v>4786314.9592203004</v>
      </c>
      <c r="D194">
        <v>-2.8432358485924198</v>
      </c>
      <c r="E194">
        <v>43.229519250025099</v>
      </c>
      <c r="F194" s="13" cm="1">
        <f t="array" ref="F194">_xlfn.LET(
  _xlpm.clave, A194,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94" s="3" t="str" cm="1">
        <f t="array" ref="G194">_xlfn.LET(
  _xlpm.clave, A194,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94" s="12">
        <f>+(Tabla2[[#This Row],[Z FINAL]]-Tabla2[[#This Row],[Z INICIAL]])*1000</f>
        <v>0</v>
      </c>
      <c r="I194" s="3" t="str" cm="1">
        <f t="array" ref="I194">_xlfn.LET(
  _xlpm.clave, UPPER(TRIM(SUBSTITUTE(A194,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95" spans="1:9" x14ac:dyDescent="0.25">
      <c r="A195" t="s">
        <v>204</v>
      </c>
      <c r="B195" s="9">
        <v>512662.48401665199</v>
      </c>
      <c r="C195" s="9">
        <v>4786306.7713668896</v>
      </c>
      <c r="D195">
        <v>-2.84406655478851</v>
      </c>
      <c r="E195">
        <v>43.229446655948102</v>
      </c>
      <c r="F195" s="13" cm="1">
        <f t="array" ref="F195">_xlfn.LET(
  _xlpm.clave, A195,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95" s="3" t="str" cm="1">
        <f t="array" ref="G195">_xlfn.LET(
  _xlpm.clave, A195,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95" s="12">
        <f>+(Tabla2[[#This Row],[Z FINAL]]-Tabla2[[#This Row],[Z INICIAL]])*1000</f>
        <v>0</v>
      </c>
      <c r="I195" s="3" t="str" cm="1">
        <f t="array" ref="I195">_xlfn.LET(
  _xlpm.clave, UPPER(TRIM(SUBSTITUTE(A195,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96" spans="1:9" x14ac:dyDescent="0.25">
      <c r="A196" t="s">
        <v>205</v>
      </c>
      <c r="B196" s="9">
        <v>512595.03741818399</v>
      </c>
      <c r="C196" s="9">
        <v>4786298.62283115</v>
      </c>
      <c r="D196">
        <v>-2.8448973158354902</v>
      </c>
      <c r="E196">
        <v>43.229374409962602</v>
      </c>
      <c r="F196" s="13" cm="1">
        <f t="array" ref="F196">_xlfn.LET(
  _xlpm.clave, A196,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96" s="3" t="str" cm="1">
        <f t="array" ref="G196">_xlfn.LET(
  _xlpm.clave, A196,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96" s="12">
        <f>+(Tabla2[[#This Row],[Z FINAL]]-Tabla2[[#This Row],[Z INICIAL]])*1000</f>
        <v>0</v>
      </c>
      <c r="I196" s="3" t="str" cm="1">
        <f t="array" ref="I196">_xlfn.LET(
  _xlpm.clave, UPPER(TRIM(SUBSTITUTE(A196,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97" spans="1:9" x14ac:dyDescent="0.25">
      <c r="A197" t="s">
        <v>206</v>
      </c>
      <c r="B197" s="9">
        <v>512527.275950977</v>
      </c>
      <c r="C197" s="9">
        <v>4786294.3504839102</v>
      </c>
      <c r="D197">
        <v>-2.8457318643695899</v>
      </c>
      <c r="E197">
        <v>43.229337067062303</v>
      </c>
      <c r="F197" s="13" cm="1">
        <f t="array" ref="F197">_xlfn.LET(
  _xlpm.clave, A197,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97" s="3" t="str" cm="1">
        <f t="array" ref="G197">_xlfn.LET(
  _xlpm.clave, A197,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97" s="12">
        <f>+(Tabla2[[#This Row],[Z FINAL]]-Tabla2[[#This Row],[Z INICIAL]])*1000</f>
        <v>0</v>
      </c>
      <c r="I197" s="3" t="str" cm="1">
        <f t="array" ref="I197">_xlfn.LET(
  _xlpm.clave, UPPER(TRIM(SUBSTITUTE(A197,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98" spans="1:9" x14ac:dyDescent="0.25">
      <c r="A198" t="s">
        <v>207</v>
      </c>
      <c r="B198" s="9">
        <v>512459.628451114</v>
      </c>
      <c r="C198" s="9">
        <v>4786299.83088258</v>
      </c>
      <c r="D198">
        <v>-2.8465647881621399</v>
      </c>
      <c r="E198">
        <v>43.229387536704301</v>
      </c>
      <c r="F198" s="13" cm="1">
        <f t="array" ref="F198">_xlfn.LET(
  _xlpm.clave, A198,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98" s="3" t="str" cm="1">
        <f t="array" ref="G198">_xlfn.LET(
  _xlpm.clave, A198,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98" s="12">
        <f>+(Tabla2[[#This Row],[Z FINAL]]-Tabla2[[#This Row],[Z INICIAL]])*1000</f>
        <v>0</v>
      </c>
      <c r="I198" s="3" t="str" cm="1">
        <f t="array" ref="I198">_xlfn.LET(
  _xlpm.clave, UPPER(TRIM(SUBSTITUTE(A198,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199" spans="1:9" x14ac:dyDescent="0.25">
      <c r="A199" t="s">
        <v>208</v>
      </c>
      <c r="B199" s="9">
        <v>512393.61499931902</v>
      </c>
      <c r="C199" s="9">
        <v>4786315.6065080902</v>
      </c>
      <c r="D199">
        <v>-2.8473773594574201</v>
      </c>
      <c r="E199">
        <v>43.2295306788304</v>
      </c>
      <c r="F199" s="13" cm="1">
        <f t="array" ref="F199">_xlfn.LET(
  _xlpm.clave, A199,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199" s="3" t="str" cm="1">
        <f t="array" ref="G199">_xlfn.LET(
  _xlpm.clave, A199,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199" s="12">
        <f>+(Tabla2[[#This Row],[Z FINAL]]-Tabla2[[#This Row],[Z INICIAL]])*1000</f>
        <v>0</v>
      </c>
      <c r="I199" s="3" t="str" cm="1">
        <f t="array" ref="I199">_xlfn.LET(
  _xlpm.clave, UPPER(TRIM(SUBSTITUTE(A199,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00" spans="1:9" x14ac:dyDescent="0.25">
      <c r="A200" t="s">
        <v>209</v>
      </c>
      <c r="B200" s="9">
        <v>512329.79734471999</v>
      </c>
      <c r="C200" s="9">
        <v>4786338.8703833204</v>
      </c>
      <c r="D200">
        <v>-2.8481627268194298</v>
      </c>
      <c r="E200">
        <v>43.229741208711197</v>
      </c>
      <c r="F200" s="13" cm="1">
        <f t="array" ref="F200">_xlfn.LET(
  _xlpm.clave, A200,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00" s="3" t="str" cm="1">
        <f t="array" ref="G200">_xlfn.LET(
  _xlpm.clave, A200,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00" s="12">
        <f>+(Tabla2[[#This Row],[Z FINAL]]-Tabla2[[#This Row],[Z INICIAL]])*1000</f>
        <v>0</v>
      </c>
      <c r="I200" s="3" t="str" cm="1">
        <f t="array" ref="I200">_xlfn.LET(
  _xlpm.clave, UPPER(TRIM(SUBSTITUTE(A200,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01" spans="1:9" x14ac:dyDescent="0.25">
      <c r="A201" t="s">
        <v>210</v>
      </c>
      <c r="B201" s="9">
        <v>512266.37324590603</v>
      </c>
      <c r="C201" s="9">
        <v>4786363.2186120097</v>
      </c>
      <c r="D201">
        <v>-2.8489432289757599</v>
      </c>
      <c r="E201">
        <v>43.2299614910795</v>
      </c>
      <c r="F201" s="13" cm="1">
        <f t="array" ref="F201">_xlfn.LET(
  _xlpm.clave, A201,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01" s="3" t="str" cm="1">
        <f t="array" ref="G201">_xlfn.LET(
  _xlpm.clave, A201,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01" s="12">
        <f>+(Tabla2[[#This Row],[Z FINAL]]-Tabla2[[#This Row],[Z INICIAL]])*1000</f>
        <v>0</v>
      </c>
      <c r="I201" s="3" t="str" cm="1">
        <f t="array" ref="I201">_xlfn.LET(
  _xlpm.clave, UPPER(TRIM(SUBSTITUTE(A201,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02" spans="1:9" x14ac:dyDescent="0.25">
      <c r="A202" t="s">
        <v>211</v>
      </c>
      <c r="B202" s="9">
        <v>512202.94914716203</v>
      </c>
      <c r="C202" s="9">
        <v>4786387.5668408899</v>
      </c>
      <c r="D202">
        <v>-2.8497237367717001</v>
      </c>
      <c r="E202">
        <v>43.230181768118499</v>
      </c>
      <c r="F202" s="13" cm="1">
        <f t="array" ref="F202">_xlfn.LET(
  _xlpm.clave, A202,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02" s="3" t="str" cm="1">
        <f t="array" ref="G202">_xlfn.LET(
  _xlpm.clave, A202,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02" s="12">
        <f>+(Tabla2[[#This Row],[Z FINAL]]-Tabla2[[#This Row],[Z INICIAL]])*1000</f>
        <v>0</v>
      </c>
      <c r="I202" s="3" t="str" cm="1">
        <f t="array" ref="I202">_xlfn.LET(
  _xlpm.clave, UPPER(TRIM(SUBSTITUTE(A202,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03" spans="1:9" x14ac:dyDescent="0.25">
      <c r="A203" t="s">
        <v>212</v>
      </c>
      <c r="B203" s="9">
        <v>512139.52323966398</v>
      </c>
      <c r="C203" s="9">
        <v>4786411.9103461104</v>
      </c>
      <c r="D203">
        <v>-2.8505042725760998</v>
      </c>
      <c r="E203">
        <v>43.230401997330198</v>
      </c>
      <c r="F203" s="13" cm="1">
        <f t="array" ref="F203">_xlfn.LET(
  _xlpm.clave, A203,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03" s="3" t="str" cm="1">
        <f t="array" ref="G203">_xlfn.LET(
  _xlpm.clave, A203,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03" s="12">
        <f>+(Tabla2[[#This Row],[Z FINAL]]-Tabla2[[#This Row],[Z INICIAL]])*1000</f>
        <v>0</v>
      </c>
      <c r="I203" s="3" t="str" cm="1">
        <f t="array" ref="I203">_xlfn.LET(
  _xlpm.clave, UPPER(TRIM(SUBSTITUTE(A203,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04" spans="1:9" x14ac:dyDescent="0.25">
      <c r="A204" t="s">
        <v>213</v>
      </c>
      <c r="B204" s="9">
        <v>512073.97345479397</v>
      </c>
      <c r="C204" s="9">
        <v>4786428.8125254698</v>
      </c>
      <c r="D204">
        <v>-2.8513111320191999</v>
      </c>
      <c r="E204">
        <v>43.230555248335001</v>
      </c>
      <c r="F204" s="13" cm="1">
        <f t="array" ref="F204">_xlfn.LET(
  _xlpm.clave, A204,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04" s="3" t="str" cm="1">
        <f t="array" ref="G204">_xlfn.LET(
  _xlpm.clave, A204,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04" s="12">
        <f>+(Tabla2[[#This Row],[Z FINAL]]-Tabla2[[#This Row],[Z INICIAL]])*1000</f>
        <v>0</v>
      </c>
      <c r="I204" s="3" t="str" cm="1">
        <f t="array" ref="I204">_xlfn.LET(
  _xlpm.clave, UPPER(TRIM(SUBSTITUTE(A204,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05" spans="1:9" x14ac:dyDescent="0.25">
      <c r="A205" t="s">
        <v>214</v>
      </c>
      <c r="B205" s="9">
        <v>512006.36540628498</v>
      </c>
      <c r="C205" s="9">
        <v>4786425.0688169003</v>
      </c>
      <c r="D205">
        <v>-2.8521437920527899</v>
      </c>
      <c r="E205">
        <v>43.230522616461698</v>
      </c>
      <c r="F205" s="13" cm="1">
        <f t="array" ref="F205">_xlfn.LET(
  _xlpm.clave, A205,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05" s="3" t="str" cm="1">
        <f t="array" ref="G205">_xlfn.LET(
  _xlpm.clave, A205,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05" s="12">
        <f>+(Tabla2[[#This Row],[Z FINAL]]-Tabla2[[#This Row],[Z INICIAL]])*1000</f>
        <v>0</v>
      </c>
      <c r="I205" s="3" t="str" cm="1">
        <f t="array" ref="I205">_xlfn.LET(
  _xlpm.clave, UPPER(TRIM(SUBSTITUTE(A205,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06" spans="1:9" x14ac:dyDescent="0.25">
      <c r="A206" t="s">
        <v>215</v>
      </c>
      <c r="B206" s="9">
        <v>511939.27673573</v>
      </c>
      <c r="C206" s="9">
        <v>4786414.3654158004</v>
      </c>
      <c r="D206">
        <v>-2.8529702058403599</v>
      </c>
      <c r="E206">
        <v>43.230427300389401</v>
      </c>
      <c r="F206" s="13" cm="1">
        <f t="array" ref="F206">_xlfn.LET(
  _xlpm.clave, A206,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06" s="3" t="str" cm="1">
        <f t="array" ref="G206">_xlfn.LET(
  _xlpm.clave, A206,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06" s="12">
        <f>+(Tabla2[[#This Row],[Z FINAL]]-Tabla2[[#This Row],[Z INICIAL]])*1000</f>
        <v>0</v>
      </c>
      <c r="I206" s="3" t="str" cm="1">
        <f t="array" ref="I206">_xlfn.LET(
  _xlpm.clave, UPPER(TRIM(SUBSTITUTE(A206,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07" spans="1:9" x14ac:dyDescent="0.25">
      <c r="A207" t="s">
        <v>216</v>
      </c>
      <c r="B207" s="9">
        <v>511872.01275373303</v>
      </c>
      <c r="C207" s="9">
        <v>4786404.9184818398</v>
      </c>
      <c r="D207">
        <v>-2.8537987489377801</v>
      </c>
      <c r="E207">
        <v>43.2303432952001</v>
      </c>
      <c r="F207" s="13" cm="1">
        <f t="array" ref="F207">_xlfn.LET(
  _xlpm.clave, A207,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07" s="3" t="str" cm="1">
        <f t="array" ref="G207">_xlfn.LET(
  _xlpm.clave, A207,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07" s="12">
        <f>+(Tabla2[[#This Row],[Z FINAL]]-Tabla2[[#This Row],[Z INICIAL]])*1000</f>
        <v>0</v>
      </c>
      <c r="I207" s="3" t="str" cm="1">
        <f t="array" ref="I207">_xlfn.LET(
  _xlpm.clave, UPPER(TRIM(SUBSTITUTE(A207,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08" spans="1:9" x14ac:dyDescent="0.25">
      <c r="A208" t="s">
        <v>217</v>
      </c>
      <c r="B208" s="9">
        <v>511804.157869994</v>
      </c>
      <c r="C208" s="9">
        <v>4786403.40958081</v>
      </c>
      <c r="D208">
        <v>-2.8546343966974499</v>
      </c>
      <c r="E208">
        <v>43.230330772845697</v>
      </c>
      <c r="F208" s="13" cm="1">
        <f t="array" ref="F208">_xlfn.LET(
  _xlpm.clave, A208,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08" s="3" t="str" cm="1">
        <f t="array" ref="G208">_xlfn.LET(
  _xlpm.clave, A208,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08" s="12">
        <f>+(Tabla2[[#This Row],[Z FINAL]]-Tabla2[[#This Row],[Z INICIAL]])*1000</f>
        <v>0</v>
      </c>
      <c r="I208" s="3" t="str" cm="1">
        <f t="array" ref="I208">_xlfn.LET(
  _xlpm.clave, UPPER(TRIM(SUBSTITUTE(A208,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09" spans="1:9" x14ac:dyDescent="0.25">
      <c r="A209" t="s">
        <v>218</v>
      </c>
      <c r="B209" s="9">
        <v>511736.87641063199</v>
      </c>
      <c r="C209" s="9">
        <v>4786412.3236970101</v>
      </c>
      <c r="D209">
        <v>-2.8554627607786398</v>
      </c>
      <c r="E209">
        <v>43.230412091585002</v>
      </c>
      <c r="F209" s="13" cm="1">
        <f t="array" ref="F209">_xlfn.LET(
  _xlpm.clave, A209,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09" s="3" t="str" cm="1">
        <f t="array" ref="G209">_xlfn.LET(
  _xlpm.clave, A209,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09" s="12">
        <f>+(Tabla2[[#This Row],[Z FINAL]]-Tabla2[[#This Row],[Z INICIAL]])*1000</f>
        <v>0</v>
      </c>
      <c r="I209" s="3" t="str" cm="1">
        <f t="array" ref="I209">_xlfn.LET(
  _xlpm.clave, UPPER(TRIM(SUBSTITUTE(A209,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10" spans="1:9" x14ac:dyDescent="0.25">
      <c r="A210" t="s">
        <v>219</v>
      </c>
      <c r="B210" s="9">
        <v>511671.76586354699</v>
      </c>
      <c r="C210" s="9">
        <v>4786431.4763697004</v>
      </c>
      <c r="D210">
        <v>-2.8562641761335201</v>
      </c>
      <c r="E210">
        <v>43.2305855658526</v>
      </c>
      <c r="F210" s="13" cm="1">
        <f t="array" ref="F210">_xlfn.LET(
  _xlpm.clave, A210,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10" s="3" t="str" cm="1">
        <f t="array" ref="G210">_xlfn.LET(
  _xlpm.clave, A210,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10" s="12">
        <f>+(Tabla2[[#This Row],[Z FINAL]]-Tabla2[[#This Row],[Z INICIAL]])*1000</f>
        <v>0</v>
      </c>
      <c r="I210" s="3" t="str" cm="1">
        <f t="array" ref="I210">_xlfn.LET(
  _xlpm.clave, UPPER(TRIM(SUBSTITUTE(A210,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11" spans="1:9" x14ac:dyDescent="0.25">
      <c r="A211" t="s">
        <v>220</v>
      </c>
      <c r="B211" s="9">
        <v>511610.05921349599</v>
      </c>
      <c r="C211" s="9">
        <v>4786459.7973000202</v>
      </c>
      <c r="D211">
        <v>-2.8570234846578</v>
      </c>
      <c r="E211">
        <v>43.230841539518998</v>
      </c>
      <c r="F211" s="13" cm="1">
        <f t="array" ref="F211">_xlfn.LET(
  _xlpm.clave, A211,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11" s="3" t="str" cm="1">
        <f t="array" ref="G211">_xlfn.LET(
  _xlpm.clave, A211,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11" s="12">
        <f>+(Tabla2[[#This Row],[Z FINAL]]-Tabla2[[#This Row],[Z INICIAL]])*1000</f>
        <v>0</v>
      </c>
      <c r="I211" s="3" t="str" cm="1">
        <f t="array" ref="I211">_xlfn.LET(
  _xlpm.clave, UPPER(TRIM(SUBSTITUTE(A211,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12" spans="1:9" x14ac:dyDescent="0.25">
      <c r="A212" t="s">
        <v>221</v>
      </c>
      <c r="B212" s="9">
        <v>511550.07250886603</v>
      </c>
      <c r="C212" s="9">
        <v>4786491.6882947097</v>
      </c>
      <c r="D212">
        <v>-2.8577615438447199</v>
      </c>
      <c r="E212">
        <v>43.231129629156499</v>
      </c>
      <c r="F212" s="13" cm="1">
        <f t="array" ref="F212">_xlfn.LET(
  _xlpm.clave, A212,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12" s="3" t="str" cm="1">
        <f t="array" ref="G212">_xlfn.LET(
  _xlpm.clave, A212,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12" s="12">
        <f>+(Tabla2[[#This Row],[Z FINAL]]-Tabla2[[#This Row],[Z INICIAL]])*1000</f>
        <v>0</v>
      </c>
      <c r="I212" s="3" t="str" cm="1">
        <f t="array" ref="I212">_xlfn.LET(
  _xlpm.clave, UPPER(TRIM(SUBSTITUTE(A212,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13" spans="1:9" x14ac:dyDescent="0.25">
      <c r="A213" t="s">
        <v>222</v>
      </c>
      <c r="B213" s="9">
        <v>511490.10662966501</v>
      </c>
      <c r="C213" s="9">
        <v>4786523.61862328</v>
      </c>
      <c r="D213">
        <v>-2.8584993527029501</v>
      </c>
      <c r="E213">
        <v>43.2314180679044</v>
      </c>
      <c r="F213" s="13" cm="1">
        <f t="array" ref="F213">_xlfn.LET(
  _xlpm.clave, A213,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13" s="3" t="str" cm="1">
        <f t="array" ref="G213">_xlfn.LET(
  _xlpm.clave, A213,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13" s="12">
        <f>+(Tabla2[[#This Row],[Z FINAL]]-Tabla2[[#This Row],[Z INICIAL]])*1000</f>
        <v>0</v>
      </c>
      <c r="I213" s="3" t="str" cm="1">
        <f t="array" ref="I213">_xlfn.LET(
  _xlpm.clave, UPPER(TRIM(SUBSTITUTE(A213,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14" spans="1:9" x14ac:dyDescent="0.25">
      <c r="A214" t="s">
        <v>223</v>
      </c>
      <c r="B214" s="9">
        <v>511430.14075061301</v>
      </c>
      <c r="C214" s="9">
        <v>4786555.5489521297</v>
      </c>
      <c r="D214">
        <v>-2.85923716853274</v>
      </c>
      <c r="E214">
        <v>43.231706501887601</v>
      </c>
      <c r="F214" s="13" cm="1">
        <f t="array" ref="F214">_xlfn.LET(
  _xlpm.clave, A214,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14" s="3" t="str" cm="1">
        <f t="array" ref="G214">_xlfn.LET(
  _xlpm.clave, A214,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14" s="12">
        <f>+(Tabla2[[#This Row],[Z FINAL]]-Tabla2[[#This Row],[Z INICIAL]])*1000</f>
        <v>0</v>
      </c>
      <c r="I214" s="3" t="str" cm="1">
        <f t="array" ref="I214">_xlfn.LET(
  _xlpm.clave, UPPER(TRIM(SUBSTITUTE(A214,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15" spans="1:9" x14ac:dyDescent="0.25">
      <c r="A215" t="s">
        <v>224</v>
      </c>
      <c r="B215" s="9">
        <v>511369.69818541902</v>
      </c>
      <c r="C215" s="9">
        <v>4786586.5575622004</v>
      </c>
      <c r="D215">
        <v>-2.8599808807546201</v>
      </c>
      <c r="E215">
        <v>43.231986638495997</v>
      </c>
      <c r="F215" s="13" cm="1">
        <f t="array" ref="F215">_xlfn.LET(
  _xlpm.clave, A215,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15" s="3" t="str" cm="1">
        <f t="array" ref="G215">_xlfn.LET(
  _xlpm.clave, A215,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15" s="12">
        <f>+(Tabla2[[#This Row],[Z FINAL]]-Tabla2[[#This Row],[Z INICIAL]])*1000</f>
        <v>0</v>
      </c>
      <c r="I215" s="3" t="str" cm="1">
        <f t="array" ref="I215">_xlfn.LET(
  _xlpm.clave, UPPER(TRIM(SUBSTITUTE(A215,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16" spans="1:9" x14ac:dyDescent="0.25">
      <c r="A216" t="s">
        <v>225</v>
      </c>
      <c r="B216" s="9">
        <v>511308.810262474</v>
      </c>
      <c r="C216" s="9">
        <v>4786616.6924819797</v>
      </c>
      <c r="D216">
        <v>-2.8607301023521301</v>
      </c>
      <c r="E216">
        <v>43.232258909626701</v>
      </c>
      <c r="F216" s="13" cm="1">
        <f t="array" ref="F216">_xlfn.LET(
  _xlpm.clave, A216,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16" s="3" t="str" cm="1">
        <f t="array" ref="G216">_xlfn.LET(
  _xlpm.clave, A216,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16" s="12">
        <f>+(Tabla2[[#This Row],[Z FINAL]]-Tabla2[[#This Row],[Z INICIAL]])*1000</f>
        <v>0</v>
      </c>
      <c r="I216" s="3" t="str" cm="1">
        <f t="array" ref="I216">_xlfn.LET(
  _xlpm.clave, UPPER(TRIM(SUBSTITUTE(A216,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17" spans="1:9" x14ac:dyDescent="0.25">
      <c r="A217" t="s">
        <v>226</v>
      </c>
      <c r="B217" s="9">
        <v>511247.92233928799</v>
      </c>
      <c r="C217" s="9">
        <v>4786646.8274012804</v>
      </c>
      <c r="D217">
        <v>-2.8614793306359698</v>
      </c>
      <c r="E217">
        <v>43.232531175839902</v>
      </c>
      <c r="F217" s="13" cm="1">
        <f t="array" ref="F217">_xlfn.LET(
  _xlpm.clave, A217,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17" s="3" t="str" cm="1">
        <f t="array" ref="G217">_xlfn.LET(
  _xlpm.clave, A217,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17" s="12">
        <f>+(Tabla2[[#This Row],[Z FINAL]]-Tabla2[[#This Row],[Z INICIAL]])*1000</f>
        <v>0</v>
      </c>
      <c r="I217" s="3" t="str" cm="1">
        <f t="array" ref="I217">_xlfn.LET(
  _xlpm.clave, UPPER(TRIM(SUBSTITUTE(A217,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18" spans="1:9" x14ac:dyDescent="0.25">
      <c r="A218" t="s">
        <v>227</v>
      </c>
      <c r="B218" s="9">
        <v>511185.513245298</v>
      </c>
      <c r="C218" s="9">
        <v>4786673.4490322703</v>
      </c>
      <c r="D218">
        <v>-2.8622473704339901</v>
      </c>
      <c r="E218">
        <v>43.232771823609902</v>
      </c>
      <c r="F218" s="13" cm="1">
        <f t="array" ref="F218">_xlfn.LET(
  _xlpm.clave, A218,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18" s="3" t="str" cm="1">
        <f t="array" ref="G218">_xlfn.LET(
  _xlpm.clave, A218,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18" s="12">
        <f>+(Tabla2[[#This Row],[Z FINAL]]-Tabla2[[#This Row],[Z INICIAL]])*1000</f>
        <v>0</v>
      </c>
      <c r="I218" s="3" t="str" cm="1">
        <f t="array" ref="I218">_xlfn.LET(
  _xlpm.clave, UPPER(TRIM(SUBSTITUTE(A218,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19" spans="1:9" x14ac:dyDescent="0.25">
      <c r="A219" t="s">
        <v>228</v>
      </c>
      <c r="B219" s="9">
        <v>511119.20736911002</v>
      </c>
      <c r="C219" s="9">
        <v>4786687.9960138602</v>
      </c>
      <c r="D219">
        <v>-2.8630636497126698</v>
      </c>
      <c r="E219">
        <v>43.232903795111497</v>
      </c>
      <c r="F219" s="13" cm="1">
        <f t="array" ref="F219">_xlfn.LET(
  _xlpm.clave, A219,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19" s="3" t="str" cm="1">
        <f t="array" ref="G219">_xlfn.LET(
  _xlpm.clave, A219,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19" s="12">
        <f>+(Tabla2[[#This Row],[Z FINAL]]-Tabla2[[#This Row],[Z INICIAL]])*1000</f>
        <v>0</v>
      </c>
      <c r="I219" s="3" t="str" cm="1">
        <f t="array" ref="I219">_xlfn.LET(
  _xlpm.clave, UPPER(TRIM(SUBSTITUTE(A219,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20" spans="1:9" x14ac:dyDescent="0.25">
      <c r="A220" t="s">
        <v>229</v>
      </c>
      <c r="B220" s="9">
        <v>511052.36642492999</v>
      </c>
      <c r="C220" s="9">
        <v>4786700.1508783996</v>
      </c>
      <c r="D220">
        <v>-2.8638865699810498</v>
      </c>
      <c r="E220">
        <v>43.233014228346001</v>
      </c>
      <c r="F220" s="13" cm="1">
        <f t="array" ref="F220">_xlfn.LET(
  _xlpm.clave, A220,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20" s="3" t="str" cm="1">
        <f t="array" ref="G220">_xlfn.LET(
  _xlpm.clave, A220,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20" s="12">
        <f>+(Tabla2[[#This Row],[Z FINAL]]-Tabla2[[#This Row],[Z INICIAL]])*1000</f>
        <v>0</v>
      </c>
      <c r="I220" s="3" t="str" cm="1">
        <f t="array" ref="I220">_xlfn.LET(
  _xlpm.clave, UPPER(TRIM(SUBSTITUTE(A220,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21" spans="1:9" x14ac:dyDescent="0.25">
      <c r="A221" t="s">
        <v>230</v>
      </c>
      <c r="B221" s="9">
        <v>510985.525480713</v>
      </c>
      <c r="C221" s="9">
        <v>4786712.3057427397</v>
      </c>
      <c r="D221">
        <v>-2.8647094932366799</v>
      </c>
      <c r="E221">
        <v>43.233124655659502</v>
      </c>
      <c r="F221" s="13" cm="1">
        <f t="array" ref="F221">_xlfn.LET(
  _xlpm.clave, A221,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21" s="3" t="str" cm="1">
        <f t="array" ref="G221">_xlfn.LET(
  _xlpm.clave, A221,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21" s="12">
        <f>+(Tabla2[[#This Row],[Z FINAL]]-Tabla2[[#This Row],[Z INICIAL]])*1000</f>
        <v>0</v>
      </c>
      <c r="I221" s="3" t="str" cm="1">
        <f t="array" ref="I221">_xlfn.LET(
  _xlpm.clave, UPPER(TRIM(SUBSTITUTE(A221,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22" spans="1:9" x14ac:dyDescent="0.25">
      <c r="A222" t="s">
        <v>231</v>
      </c>
      <c r="B222" s="9">
        <v>510918.95028702402</v>
      </c>
      <c r="C222" s="9">
        <v>4786725.7755684704</v>
      </c>
      <c r="D222">
        <v>-2.86552912063974</v>
      </c>
      <c r="E222">
        <v>43.233246914036897</v>
      </c>
      <c r="F222" s="13" cm="1">
        <f t="array" ref="F222">_xlfn.LET(
  _xlpm.clave, A222,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22" s="3" t="str" cm="1">
        <f t="array" ref="G222">_xlfn.LET(
  _xlpm.clave, A222,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22" s="12">
        <f>+(Tabla2[[#This Row],[Z FINAL]]-Tabla2[[#This Row],[Z INICIAL]])*1000</f>
        <v>0</v>
      </c>
      <c r="I222" s="3" t="str" cm="1">
        <f t="array" ref="I222">_xlfn.LET(
  _xlpm.clave, UPPER(TRIM(SUBSTITUTE(A222,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23" spans="1:9" x14ac:dyDescent="0.25">
      <c r="A223" t="s">
        <v>232</v>
      </c>
      <c r="B223" s="9">
        <v>510853.87028430298</v>
      </c>
      <c r="C223" s="9">
        <v>4786745.1741176499</v>
      </c>
      <c r="D223">
        <v>-2.8663302208384498</v>
      </c>
      <c r="E223">
        <v>43.233422531394602</v>
      </c>
      <c r="F223" s="13" cm="1">
        <f t="array" ref="F223">_xlfn.LET(
  _xlpm.clave, A223,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23" s="3" t="str" cm="1">
        <f t="array" ref="G223">_xlfn.LET(
  _xlpm.clave, A223,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23" s="12">
        <f>+(Tabla2[[#This Row],[Z FINAL]]-Tabla2[[#This Row],[Z INICIAL]])*1000</f>
        <v>0</v>
      </c>
      <c r="I223" s="3" t="str" cm="1">
        <f t="array" ref="I223">_xlfn.LET(
  _xlpm.clave, UPPER(TRIM(SUBSTITUTE(A223,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24" spans="1:9" x14ac:dyDescent="0.25">
      <c r="A224" t="s">
        <v>233</v>
      </c>
      <c r="B224" s="9">
        <v>510791.01467916998</v>
      </c>
      <c r="C224" s="9">
        <v>4786770.8818045901</v>
      </c>
      <c r="D224">
        <v>-2.8671038078505799</v>
      </c>
      <c r="E224">
        <v>43.233654923193001</v>
      </c>
      <c r="F224" s="13" cm="1">
        <f t="array" ref="F224">_xlfn.LET(
  _xlpm.clave, A224,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24" s="3" t="str" cm="1">
        <f t="array" ref="G224">_xlfn.LET(
  _xlpm.clave, A224,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24" s="12">
        <f>+(Tabla2[[#This Row],[Z FINAL]]-Tabla2[[#This Row],[Z INICIAL]])*1000</f>
        <v>0</v>
      </c>
      <c r="I224" s="3" t="str" cm="1">
        <f t="array" ref="I224">_xlfn.LET(
  _xlpm.clave, UPPER(TRIM(SUBSTITUTE(A224,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25" spans="1:9" x14ac:dyDescent="0.25">
      <c r="A225" t="s">
        <v>234</v>
      </c>
      <c r="B225" s="9">
        <v>510730.918797736</v>
      </c>
      <c r="C225" s="9">
        <v>4786802.5182118798</v>
      </c>
      <c r="D225">
        <v>-2.8678432981089901</v>
      </c>
      <c r="E225">
        <v>43.233940656836801</v>
      </c>
      <c r="F225" s="13" cm="1">
        <f t="array" ref="F225">_xlfn.LET(
  _xlpm.clave, A225,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25" s="3" t="str" cm="1">
        <f t="array" ref="G225">_xlfn.LET(
  _xlpm.clave, A225,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25" s="12">
        <f>+(Tabla2[[#This Row],[Z FINAL]]-Tabla2[[#This Row],[Z INICIAL]])*1000</f>
        <v>0</v>
      </c>
      <c r="I225" s="3" t="str" cm="1">
        <f t="array" ref="I225">_xlfn.LET(
  _xlpm.clave, UPPER(TRIM(SUBSTITUTE(A225,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26" spans="1:9" x14ac:dyDescent="0.25">
      <c r="A226" t="s">
        <v>235</v>
      </c>
      <c r="B226" s="9">
        <v>510672.01835497603</v>
      </c>
      <c r="C226" s="9">
        <v>4786836.3736451697</v>
      </c>
      <c r="D226">
        <v>-2.8685680298841501</v>
      </c>
      <c r="E226">
        <v>43.234246350435498</v>
      </c>
      <c r="F226" s="13" cm="1">
        <f t="array" ref="F226">_xlfn.LET(
  _xlpm.clave, A226,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26" s="3" t="str" cm="1">
        <f t="array" ref="G226">_xlfn.LET(
  _xlpm.clave, A226,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26" s="12">
        <f>+(Tabla2[[#This Row],[Z FINAL]]-Tabla2[[#This Row],[Z INICIAL]])*1000</f>
        <v>0</v>
      </c>
      <c r="I226" s="3" t="str" cm="1">
        <f t="array" ref="I226">_xlfn.LET(
  _xlpm.clave, UPPER(TRIM(SUBSTITUTE(A226,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27" spans="1:9" x14ac:dyDescent="0.25">
      <c r="A227" t="s">
        <v>236</v>
      </c>
      <c r="B227" s="9">
        <v>510613.11862831301</v>
      </c>
      <c r="C227" s="9">
        <v>4786870.2303247098</v>
      </c>
      <c r="D227">
        <v>-2.8692927600673199</v>
      </c>
      <c r="E227">
        <v>43.234552050648901</v>
      </c>
      <c r="F227" s="13" cm="1">
        <f t="array" ref="F227">_xlfn.LET(
  _xlpm.clave, A227,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27" s="3" t="str" cm="1">
        <f t="array" ref="G227">_xlfn.LET(
  _xlpm.clave, A227,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27" s="12">
        <f>+(Tabla2[[#This Row],[Z FINAL]]-Tabla2[[#This Row],[Z INICIAL]])*1000</f>
        <v>0</v>
      </c>
      <c r="I227" s="3" t="str" cm="1">
        <f t="array" ref="I227">_xlfn.LET(
  _xlpm.clave, UPPER(TRIM(SUBSTITUTE(A227,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28" spans="1:9" x14ac:dyDescent="0.25">
      <c r="A228" t="s">
        <v>237</v>
      </c>
      <c r="B228" s="9">
        <v>510554.21890215599</v>
      </c>
      <c r="C228" s="9">
        <v>4786904.0870051403</v>
      </c>
      <c r="D228">
        <v>-2.8700174974940502</v>
      </c>
      <c r="E228">
        <v>43.234857746273697</v>
      </c>
      <c r="F228" s="13" cm="1">
        <f t="array" ref="F228">_xlfn.LET(
  _xlpm.clave, A228,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28" s="3" t="str" cm="1">
        <f t="array" ref="G228">_xlfn.LET(
  _xlpm.clave, A228,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28" s="12">
        <f>+(Tabla2[[#This Row],[Z FINAL]]-Tabla2[[#This Row],[Z INICIAL]])*1000</f>
        <v>0</v>
      </c>
      <c r="I228" s="3" t="str" cm="1">
        <f t="array" ref="I228">_xlfn.LET(
  _xlpm.clave, UPPER(TRIM(SUBSTITUTE(A228,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29" spans="1:9" x14ac:dyDescent="0.25">
      <c r="A229" t="s">
        <v>238</v>
      </c>
      <c r="B229" s="9">
        <v>510495.45205228502</v>
      </c>
      <c r="C229" s="9">
        <v>4786938.17092478</v>
      </c>
      <c r="D229">
        <v>-2.8707406013868599</v>
      </c>
      <c r="E229">
        <v>43.2351654816677</v>
      </c>
      <c r="F229" s="13" cm="1">
        <f t="array" ref="F229">_xlfn.LET(
  _xlpm.clave, A229,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29" s="3" t="str" cm="1">
        <f t="array" ref="G229">_xlfn.LET(
  _xlpm.clave, A229,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29" s="12">
        <f>+(Tabla2[[#This Row],[Z FINAL]]-Tabla2[[#This Row],[Z INICIAL]])*1000</f>
        <v>0</v>
      </c>
      <c r="I229" s="3" t="str" cm="1">
        <f t="array" ref="I229">_xlfn.LET(
  _xlpm.clave, UPPER(TRIM(SUBSTITUTE(A229,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30" spans="1:9" x14ac:dyDescent="0.25">
      <c r="A230" t="s">
        <v>239</v>
      </c>
      <c r="B230" s="9">
        <v>510442.70245148998</v>
      </c>
      <c r="C230" s="9">
        <v>4786980.4926824998</v>
      </c>
      <c r="D230">
        <v>-2.8713894494138099</v>
      </c>
      <c r="E230">
        <v>43.235547308426199</v>
      </c>
      <c r="F230" s="13" cm="1">
        <f t="array" ref="F230">_xlfn.LET(
  _xlpm.clave, A230,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30" s="3" t="str" cm="1">
        <f t="array" ref="G230">_xlfn.LET(
  _xlpm.clave, A230,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30" s="12">
        <f>+(Tabla2[[#This Row],[Z FINAL]]-Tabla2[[#This Row],[Z INICIAL]])*1000</f>
        <v>0</v>
      </c>
      <c r="I230" s="3" t="str" cm="1">
        <f t="array" ref="I230">_xlfn.LET(
  _xlpm.clave, UPPER(TRIM(SUBSTITUTE(A230,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31" spans="1:9" x14ac:dyDescent="0.25">
      <c r="A231" t="s">
        <v>240</v>
      </c>
      <c r="B231" s="9">
        <v>510407.90504112799</v>
      </c>
      <c r="C231" s="9">
        <v>4787038.39546673</v>
      </c>
      <c r="D231">
        <v>-2.87181691450425</v>
      </c>
      <c r="E231">
        <v>43.2360691863611</v>
      </c>
      <c r="F231" s="13" cm="1">
        <f t="array" ref="F231">_xlfn.LET(
  _xlpm.clave, A231,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31" s="3" t="str" cm="1">
        <f t="array" ref="G231">_xlfn.LET(
  _xlpm.clave, A231,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31" s="12">
        <f>+(Tabla2[[#This Row],[Z FINAL]]-Tabla2[[#This Row],[Z INICIAL]])*1000</f>
        <v>0</v>
      </c>
      <c r="I231" s="3" t="str" cm="1">
        <f t="array" ref="I231">_xlfn.LET(
  _xlpm.clave, UPPER(TRIM(SUBSTITUTE(A231,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32" spans="1:9" x14ac:dyDescent="0.25">
      <c r="A232" t="s">
        <v>241</v>
      </c>
      <c r="B232" s="9">
        <v>510395.36425170401</v>
      </c>
      <c r="C232" s="9">
        <v>4787104.7756484598</v>
      </c>
      <c r="D232">
        <v>-2.87197011428891</v>
      </c>
      <c r="E232">
        <v>43.236667092590103</v>
      </c>
      <c r="F232" s="13" cm="1">
        <f t="array" ref="F232">_xlfn.LET(
  _xlpm.clave, A232,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32" s="3" t="str" cm="1">
        <f t="array" ref="G232">_xlfn.LET(
  _xlpm.clave, A232,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32" s="12">
        <f>+(Tabla2[[#This Row],[Z FINAL]]-Tabla2[[#This Row],[Z INICIAL]])*1000</f>
        <v>0</v>
      </c>
      <c r="I232" s="3" t="str" cm="1">
        <f t="array" ref="I232">_xlfn.LET(
  _xlpm.clave, UPPER(TRIM(SUBSTITUTE(A232,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33" spans="1:9" x14ac:dyDescent="0.25">
      <c r="A233" t="s">
        <v>242</v>
      </c>
      <c r="B233" s="9">
        <v>510406.98368329601</v>
      </c>
      <c r="C233" s="9">
        <v>4787171.3412452899</v>
      </c>
      <c r="D233">
        <v>-2.8718257527495199</v>
      </c>
      <c r="E233">
        <v>43.2372663351575</v>
      </c>
      <c r="F233" s="13" cm="1">
        <f t="array" ref="F233">_xlfn.LET(
  _xlpm.clave, A233,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33" s="3" t="str" cm="1">
        <f t="array" ref="G233">_xlfn.LET(
  _xlpm.clave, A233,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33" s="12">
        <f>+(Tabla2[[#This Row],[Z FINAL]]-Tabla2[[#This Row],[Z INICIAL]])*1000</f>
        <v>0</v>
      </c>
      <c r="I233" s="3" t="str" cm="1">
        <f t="array" ref="I233">_xlfn.LET(
  _xlpm.clave, UPPER(TRIM(SUBSTITUTE(A233,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34" spans="1:9" x14ac:dyDescent="0.25">
      <c r="A234" t="s">
        <v>243</v>
      </c>
      <c r="B234" s="9">
        <v>510441.19958648999</v>
      </c>
      <c r="C234" s="9">
        <v>4787229.5836357102</v>
      </c>
      <c r="D234">
        <v>-2.8714032418044302</v>
      </c>
      <c r="E234">
        <v>43.237790317057801</v>
      </c>
      <c r="F234" s="13" cm="1">
        <f t="array" ref="F234">_xlfn.LET(
  _xlpm.clave, A234,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34" s="3" t="str" cm="1">
        <f t="array" ref="G234">_xlfn.LET(
  _xlpm.clave, A234,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34" s="12">
        <f>+(Tabla2[[#This Row],[Z FINAL]]-Tabla2[[#This Row],[Z INICIAL]])*1000</f>
        <v>0</v>
      </c>
      <c r="I234" s="3" t="str" cm="1">
        <f t="array" ref="I234">_xlfn.LET(
  _xlpm.clave, UPPER(TRIM(SUBSTITUTE(A234,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35" spans="1:9" x14ac:dyDescent="0.25">
      <c r="A235" t="s">
        <v>244</v>
      </c>
      <c r="B235" s="9">
        <v>510493.50295294699</v>
      </c>
      <c r="C235" s="9">
        <v>4787272.3551936597</v>
      </c>
      <c r="D235">
        <v>-2.8707582464038701</v>
      </c>
      <c r="E235">
        <v>43.238174735813601</v>
      </c>
      <c r="F235" s="13" cm="1">
        <f t="array" ref="F235">_xlfn.LET(
  _xlpm.clave, A235,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35" s="3" t="str" cm="1">
        <f t="array" ref="G235">_xlfn.LET(
  _xlpm.clave, A235,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35" s="12">
        <f>+(Tabla2[[#This Row],[Z FINAL]]-Tabla2[[#This Row],[Z INICIAL]])*1000</f>
        <v>0</v>
      </c>
      <c r="I235" s="3" t="str" cm="1">
        <f t="array" ref="I235">_xlfn.LET(
  _xlpm.clave, UPPER(TRIM(SUBSTITUTE(A235,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36" spans="1:9" x14ac:dyDescent="0.25">
      <c r="A236" t="s">
        <v>245</v>
      </c>
      <c r="B236" s="9">
        <v>510557.561401479</v>
      </c>
      <c r="C236" s="9">
        <v>4787293.8672992997</v>
      </c>
      <c r="D236">
        <v>-2.8699688696060499</v>
      </c>
      <c r="E236">
        <v>43.238367551626098</v>
      </c>
      <c r="F236" s="13" cm="1">
        <f t="array" ref="F236">_xlfn.LET(
  _xlpm.clave, A236,
  _xlpm.r_fechas, 'HITOS NIVELACIÓN'!$A$3:$A$200024,
  _xlpm.r_cods, 'HITOS NIVELACIÓN'!$B$3:$B$200024,
  _xlpm.r_cotas, 'HITOS NIVELACIÓN'!$C$3:$C$200024,
  _xlpm.fecha_min, _xlfn.MINIFS(_xlpm.r_fechas, _xlpm.r_cods, _xlpm.clave),
  IF(_xlpm.fecha_min=0, 0, _xlfn.XLOOKUP(_xlpm.clave &amp; _xlpm.fecha_min, _xlpm.r_cods &amp; _xlpm.r_fechas, _xlpm.r_cotas, 0, 0))
)</f>
        <v>0</v>
      </c>
      <c r="G236" s="3" t="str" cm="1">
        <f t="array" ref="G236">_xlfn.LET(
  _xlpm.clave, A236,
  _xlpm.r_fechas, 'HITOS NIVELACIÓN'!$A$3:$A$200024,
  _xlpm.r_cods, 'HITOS NIVELACIÓN'!$B$3:$B$200024,
  _xlpm.r_cotas, 'HITOS NIVELACIÓN'!$C$3:$C$200024,
  _xlpm.fecha_max, _xlfn.MAXIFS(_xlpm.r_fechas, _xlpm.r_cods, _xlpm.clave),
  IF(_xlpm.fecha_max=0, "0", _xlfn.XLOOKUP(_xlpm.clave &amp; _xlpm.fecha_max, _xlpm.r_cods &amp; _xlpm.r_fechas, _xlpm.r_cotas, "0", 0))
)</f>
        <v>0</v>
      </c>
      <c r="H236" s="12">
        <f>+(Tabla2[[#This Row],[Z FINAL]]-Tabla2[[#This Row],[Z INICIAL]])*1000</f>
        <v>0</v>
      </c>
      <c r="I236" s="3" t="str" cm="1">
        <f t="array" ref="I236">_xlfn.LET(
  _xlpm.clave, UPPER(TRIM(SUBSTITUTE(A236, CHAR(160), " "))),
  _xlpm.cods, UPPER(TRIM(SUBSTITUTE('HITOS NIVELACIÓN'!$B$3:$B$200024, CHAR(160), " "))),
  _xlpm.fechas_raw, 'HITOS NIVELACIÓN'!$A$3:$A$200024,
  _xlpm.m, _xlpm.cods=_xlpm.clave,
  _xlpm.filt, _xlfn._xlws.FILTER(_xlpm.fechas_raw, _xlpm.m, ""),
  _xlpm.fmax, IFERROR(INDEX(_xlfn._xlws.SORT(_xlpm.filt, 1, -1), 1), ""),
  IF(_xlpm.fmax="", "", TEXT(_xlpm.fmax, "dd/mm/aaaa"))
)</f>
        <v/>
      </c>
    </row>
    <row r="237" spans="1:9" x14ac:dyDescent="0.25">
      <c r="A237"/>
    </row>
    <row r="238" spans="1:9" x14ac:dyDescent="0.25">
      <c r="A238"/>
    </row>
    <row r="239" spans="1:9" x14ac:dyDescent="0.25">
      <c r="A239"/>
    </row>
    <row r="240" spans="1:9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</sheetData>
  <sortState xmlns:xlrd2="http://schemas.microsoft.com/office/spreadsheetml/2017/richdata2" ref="A2:E371">
    <sortCondition ref="A2:A371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EDEC1C8EA2604C976AFA7FA6114EAF" ma:contentTypeVersion="12" ma:contentTypeDescription="Crear nuevo documento." ma:contentTypeScope="" ma:versionID="6fe5b24ef0ef6f4d2767b87ba4bf6146">
  <xsd:schema xmlns:xsd="http://www.w3.org/2001/XMLSchema" xmlns:xs="http://www.w3.org/2001/XMLSchema" xmlns:p="http://schemas.microsoft.com/office/2006/metadata/properties" xmlns:ns2="1623f259-20e3-4505-9b5f-e476ee064b97" targetNamespace="http://schemas.microsoft.com/office/2006/metadata/properties" ma:root="true" ma:fieldsID="471bb4e8a147d6e62f9cf616d4367d82" ns2:_="">
    <xsd:import namespace="1623f259-20e3-4505-9b5f-e476ee064b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3f259-20e3-4505-9b5f-e476ee064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4c05725-b570-4336-96bd-411e578e9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3f259-20e3-4505-9b5f-e476ee064b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A65925-5DE6-4846-BCAE-1508C210789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97F51D7-D1F1-4164-B08B-EF1E44D6DB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23f259-20e3-4505-9b5f-e476ee064b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D20FFB-EA11-4786-AE7A-FD5880E6EE5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1A4F0B6-1CC1-4577-9C7E-242201F5A866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1623f259-20e3-4505-9b5f-e476ee064b97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HITOS NIVELACIÓN</vt:lpstr>
      <vt:lpstr>HITOS TOTAL_260409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METRO BENGOETXE</dc:creator>
  <cp:keywords/>
  <dc:description/>
  <cp:lastModifiedBy>Pablo Garcia Altarribas</cp:lastModifiedBy>
  <cp:revision/>
  <dcterms:created xsi:type="dcterms:W3CDTF">2014-01-15T17:47:48Z</dcterms:created>
  <dcterms:modified xsi:type="dcterms:W3CDTF">2026-06-18T08:44:59Z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0x010100CDEDEC1C8EA2604C976AFA7FA6114EAF</vt:lpwstr>
  </property>
</Properties>
</file>