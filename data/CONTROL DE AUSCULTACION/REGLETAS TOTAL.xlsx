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"/>
    </mc:Choice>
  </mc:AlternateContent>
  <xr:revisionPtr revIDLastSave="0" documentId="13_ncr:1_{F8CFE7E3-D1C1-4607-9E81-D1A28E522D0E}" xr6:coauthVersionLast="47" xr6:coauthVersionMax="47" xr10:uidLastSave="{00000000-0000-0000-0000-000000000000}"/>
  <bookViews>
    <workbookView xWindow="-120" yWindow="-120" windowWidth="29040" windowHeight="15720" firstSheet="16" activeTab="17" xr2:uid="{00000000-000D-0000-FFFF-FFFF00000000}"/>
  </bookViews>
  <sheets>
    <sheet name="TZ-6" sheetId="7" state="hidden" r:id="rId1"/>
    <sheet name="TZ-8" sheetId="9" state="hidden" r:id="rId2"/>
    <sheet name="TZ-10" sheetId="11" state="hidden" r:id="rId3"/>
    <sheet name="TZ-12" sheetId="14" state="hidden" r:id="rId4"/>
    <sheet name="TZ-14" sheetId="16" state="hidden" r:id="rId5"/>
    <sheet name="TZ-16" sheetId="18" state="hidden" r:id="rId6"/>
    <sheet name="TZ-18" sheetId="20" state="hidden" r:id="rId7"/>
    <sheet name="TZ-20" sheetId="22" state="hidden" r:id="rId8"/>
    <sheet name="TZ-22" sheetId="24" state="hidden" r:id="rId9"/>
    <sheet name="TZ-24" sheetId="28" state="hidden" r:id="rId10"/>
    <sheet name="TZ-26" sheetId="31" state="hidden" r:id="rId11"/>
    <sheet name="TZ-28" sheetId="33" state="hidden" r:id="rId12"/>
    <sheet name="TZ-30" sheetId="35" state="hidden" r:id="rId13"/>
    <sheet name="TZ-32" sheetId="37" state="hidden" r:id="rId14"/>
    <sheet name="TZ-34" sheetId="39" state="hidden" r:id="rId15"/>
    <sheet name="TZ-36" sheetId="41" state="hidden" r:id="rId16"/>
    <sheet name="RGT.OLABARRIETA" sheetId="156" r:id="rId17"/>
    <sheet name="RGT.BENGOETXE" sheetId="152" r:id="rId18"/>
    <sheet name="RGT.GALDAKAO" sheetId="155" r:id="rId19"/>
    <sheet name="RGT.APARC.SUB" sheetId="154" r:id="rId20"/>
    <sheet name="RGT.ABUSU" sheetId="153" r:id="rId21"/>
    <sheet name="TZ-112" sheetId="118" state="hidden" r:id="rId22"/>
    <sheet name="TZ-114" sheetId="120" state="hidden" r:id="rId23"/>
    <sheet name="TZ-115" sheetId="122" state="hidden" r:id="rId24"/>
    <sheet name="TZ-116" sheetId="123" state="hidden" r:id="rId25"/>
    <sheet name="TZ-130" sheetId="145" state="hidden" r:id="rId26"/>
  </sheets>
  <definedNames>
    <definedName name="_xlnm._FilterDatabase" localSheetId="17" hidden="1">'RGT.BENGOETXE'!$A$1:$C$161</definedName>
    <definedName name="_xlnm.Print_Area" localSheetId="2">'TZ-10'!$B$2:$Y$59</definedName>
    <definedName name="_xlnm.Print_Area" localSheetId="21">'TZ-112'!$B$2:$Y$59</definedName>
    <definedName name="_xlnm.Print_Area" localSheetId="22">'TZ-114'!$B$2:$Y$59</definedName>
    <definedName name="_xlnm.Print_Area" localSheetId="23">'TZ-115'!$B$2:$Y$59</definedName>
    <definedName name="_xlnm.Print_Area" localSheetId="24">'TZ-116'!$B$2:$Y$59</definedName>
    <definedName name="_xlnm.Print_Area" localSheetId="3">'TZ-12'!$B$2:$Y$59</definedName>
    <definedName name="_xlnm.Print_Area" localSheetId="25">'TZ-130'!$B$2:$Y$59</definedName>
    <definedName name="_xlnm.Print_Area" localSheetId="4">'TZ-14'!$B$2:$Y$59</definedName>
    <definedName name="_xlnm.Print_Area" localSheetId="5">'TZ-16'!$B$2:$Y$59</definedName>
    <definedName name="_xlnm.Print_Area" localSheetId="6">'TZ-18'!$B$2:$Y$59</definedName>
    <definedName name="_xlnm.Print_Area" localSheetId="7">'TZ-20'!$B$2:$Y$59</definedName>
    <definedName name="_xlnm.Print_Area" localSheetId="8">'TZ-22'!$B$2:$Y$59</definedName>
    <definedName name="_xlnm.Print_Area" localSheetId="9">'TZ-24'!$B$2:$Y$59</definedName>
    <definedName name="_xlnm.Print_Area" localSheetId="10">'TZ-26'!$B$2:$Y$59</definedName>
    <definedName name="_xlnm.Print_Area" localSheetId="11">'TZ-28'!$B$2:$Y$59</definedName>
    <definedName name="_xlnm.Print_Area" localSheetId="12">'TZ-30'!$B$2:$Y$59</definedName>
    <definedName name="_xlnm.Print_Area" localSheetId="13">'TZ-32'!$B$2:$Y$59</definedName>
    <definedName name="_xlnm.Print_Area" localSheetId="14">'TZ-34'!$B$2:$Y$59</definedName>
    <definedName name="_xlnm.Print_Area" localSheetId="15">'TZ-36'!$B$2:$Y$59</definedName>
    <definedName name="_xlnm.Print_Area" localSheetId="0">'TZ-6'!$B$2:$Y$59</definedName>
    <definedName name="_xlnm.Print_Area" localSheetId="1">'TZ-8'!$B$2:$Y$59</definedName>
    <definedName name="CAB" localSheetId="2">OFFSET('TZ-10'!$C$17,0,8,COUNTA('TZ-10'!$C$17:$C$153),1)</definedName>
    <definedName name="CAB" localSheetId="21">OFFSET('TZ-112'!$C$17,0,8,COUNTA('TZ-112'!$C$17:$C$153),1)</definedName>
    <definedName name="CAB" localSheetId="22">OFFSET('TZ-114'!$C$17,0,8,COUNTA('TZ-114'!$C$17:$C$153),1)</definedName>
    <definedName name="CAB" localSheetId="23">OFFSET('TZ-115'!$C$17,0,8,COUNTA('TZ-115'!$C$17:$C$153),1)</definedName>
    <definedName name="CAB" localSheetId="24">OFFSET('TZ-116'!$C$17,0,8,COUNTA('TZ-116'!$C$17:$C$153),1)</definedName>
    <definedName name="CAB" localSheetId="3">OFFSET('TZ-12'!$C$17,0,8,COUNTA('TZ-12'!$C$17:$C$153),1)</definedName>
    <definedName name="CAB" localSheetId="25">OFFSET('TZ-130'!$C$17,0,8,COUNTA('TZ-130'!$C$17:$C$153),1)</definedName>
    <definedName name="CAB" localSheetId="4">OFFSET('TZ-14'!$C$17,0,8,COUNTA('TZ-14'!$C$17:$C$153),1)</definedName>
    <definedName name="CAB" localSheetId="5">OFFSET('TZ-16'!$C$17,0,8,COUNTA('TZ-16'!$C$17:$C$153),1)</definedName>
    <definedName name="CAB" localSheetId="6">OFFSET('TZ-18'!$C$17,0,8,COUNTA('TZ-18'!$C$17:$C$153),1)</definedName>
    <definedName name="CAB" localSheetId="7">OFFSET('TZ-20'!$C$17,0,8,COUNTA('TZ-20'!$C$17:$C$153),1)</definedName>
    <definedName name="CAB" localSheetId="8">OFFSET('TZ-22'!$C$17,0,8,COUNTA('TZ-22'!$C$17:$C$153),1)</definedName>
    <definedName name="CAB" localSheetId="9">OFFSET('TZ-24'!$C$17,0,8,COUNTA('TZ-24'!$C$17:$C$153),1)</definedName>
    <definedName name="CAB" localSheetId="10">OFFSET('TZ-26'!$C$17,0,8,COUNTA('TZ-26'!$C$17:$C$153),1)</definedName>
    <definedName name="CAB" localSheetId="11">OFFSET('TZ-28'!$C$17,0,8,COUNTA('TZ-28'!$C$17:$C$153),1)</definedName>
    <definedName name="CAB" localSheetId="12">OFFSET('TZ-30'!$C$17,0,8,COUNTA('TZ-30'!$C$17:$C$153),1)</definedName>
    <definedName name="CAB" localSheetId="13">OFFSET('TZ-32'!$C$17,0,8,COUNTA('TZ-32'!$C$17:$C$153),1)</definedName>
    <definedName name="CAB" localSheetId="14">OFFSET('TZ-34'!$C$17,0,8,COUNTA('TZ-34'!$C$17:$C$153),1)</definedName>
    <definedName name="CAB" localSheetId="15">OFFSET('TZ-36'!$C$17,0,8,COUNTA('TZ-36'!$C$17:$C$153),1)</definedName>
    <definedName name="CAB" localSheetId="0">OFFSET('TZ-6'!$C$17,0,8,COUNTA('TZ-6'!$C$17:$C$153),1)</definedName>
    <definedName name="CAB" localSheetId="1">OFFSET('TZ-8'!$C$17,0,8,COUNTA('TZ-8'!$C$17:$C$153),1)</definedName>
    <definedName name="CAC" localSheetId="2">OFFSET('TZ-10'!$D$17,0,8,COUNTA('TZ-10'!$D$17:$D$153),1)</definedName>
    <definedName name="CAC" localSheetId="21">OFFSET('TZ-112'!$D$17,0,8,COUNTA('TZ-112'!$D$17:$D$153),1)</definedName>
    <definedName name="CAC" localSheetId="22">OFFSET('TZ-114'!$D$17,0,8,COUNTA('TZ-114'!$D$17:$D$153),1)</definedName>
    <definedName name="CAC" localSheetId="23">OFFSET('TZ-115'!$D$17,0,8,COUNTA('TZ-115'!$D$17:$D$153),1)</definedName>
    <definedName name="CAC" localSheetId="24">OFFSET('TZ-116'!$D$17,0,8,COUNTA('TZ-116'!$D$17:$D$153),1)</definedName>
    <definedName name="CAC" localSheetId="3">OFFSET('TZ-12'!$D$17,0,8,COUNTA('TZ-12'!$D$17:$D$153),1)</definedName>
    <definedName name="CAC" localSheetId="25">OFFSET('TZ-130'!$D$17,0,8,COUNTA('TZ-130'!$D$17:$D$153),1)</definedName>
    <definedName name="CAC" localSheetId="4">OFFSET('TZ-14'!$D$17,0,8,COUNTA('TZ-14'!$D$17:$D$153),1)</definedName>
    <definedName name="CAC" localSheetId="5">OFFSET('TZ-16'!$D$17,0,8,COUNTA('TZ-16'!$D$17:$D$153),1)</definedName>
    <definedName name="CAC" localSheetId="6">OFFSET('TZ-18'!$D$17,0,8,COUNTA('TZ-18'!$D$17:$D$153),1)</definedName>
    <definedName name="CAC" localSheetId="7">OFFSET('TZ-20'!$D$17,0,8,COUNTA('TZ-20'!$D$17:$D$153),1)</definedName>
    <definedName name="CAC" localSheetId="8">OFFSET('TZ-22'!$D$17,0,8,COUNTA('TZ-22'!$D$17:$D$153),1)</definedName>
    <definedName name="CAC" localSheetId="9">OFFSET('TZ-24'!$D$17,0,8,COUNTA('TZ-24'!$D$17:$D$153),1)</definedName>
    <definedName name="CAC" localSheetId="10">OFFSET('TZ-26'!$D$17,0,8,COUNTA('TZ-26'!$D$17:$D$153),1)</definedName>
    <definedName name="CAC" localSheetId="11">OFFSET('TZ-28'!$D$17,0,8,COUNTA('TZ-28'!$D$17:$D$153),1)</definedName>
    <definedName name="CAC" localSheetId="12">OFFSET('TZ-30'!$D$17,0,8,COUNTA('TZ-30'!$D$17:$D$153),1)</definedName>
    <definedName name="CAC" localSheetId="13">OFFSET('TZ-32'!$D$17,0,8,COUNTA('TZ-32'!$D$17:$D$153),1)</definedName>
    <definedName name="CAC" localSheetId="14">OFFSET('TZ-34'!$D$17,0,8,COUNTA('TZ-34'!$D$17:$D$153),1)</definedName>
    <definedName name="CAC" localSheetId="15">OFFSET('TZ-36'!$D$17,0,8,COUNTA('TZ-36'!$D$17:$D$153),1)</definedName>
    <definedName name="CAC" localSheetId="0">OFFSET('TZ-6'!$D$17,0,8,COUNTA('TZ-6'!$D$17:$D$153),1)</definedName>
    <definedName name="CAC" localSheetId="1">OFFSET('TZ-8'!$D$17,0,8,COUNTA('TZ-8'!$D$17:$D$153),1)</definedName>
    <definedName name="CBC" localSheetId="2">OFFSET('TZ-10'!$E$17,0,8,COUNTA('TZ-10'!$E$17:$E$153),1)</definedName>
    <definedName name="CBC" localSheetId="21">OFFSET('TZ-112'!$E$17,0,8,COUNTA('TZ-112'!$E$17:$E$153),1)</definedName>
    <definedName name="CBC" localSheetId="22">OFFSET('TZ-114'!$E$17,0,8,COUNTA('TZ-114'!$E$17:$E$153),1)</definedName>
    <definedName name="CBC" localSheetId="23">OFFSET('TZ-115'!$E$17,0,8,COUNTA('TZ-115'!$E$17:$E$153),1)</definedName>
    <definedName name="CBC" localSheetId="24">OFFSET('TZ-116'!$E$17,0,8,COUNTA('TZ-116'!$E$17:$E$153),1)</definedName>
    <definedName name="CBC" localSheetId="3">OFFSET('TZ-12'!$E$17,0,8,COUNTA('TZ-12'!$E$17:$E$153),1)</definedName>
    <definedName name="CBC" localSheetId="25">OFFSET('TZ-130'!$E$17,0,8,COUNTA('TZ-130'!$E$17:$E$153),1)</definedName>
    <definedName name="CBC" localSheetId="4">OFFSET('TZ-14'!$E$17,0,8,COUNTA('TZ-14'!$E$17:$E$153),1)</definedName>
    <definedName name="CBC" localSheetId="5">OFFSET('TZ-16'!$E$17,0,8,COUNTA('TZ-16'!$E$17:$E$153),1)</definedName>
    <definedName name="CBC" localSheetId="6">OFFSET('TZ-18'!$E$17,0,8,COUNTA('TZ-18'!$E$17:$E$153),1)</definedName>
    <definedName name="CBC" localSheetId="7">OFFSET('TZ-20'!$E$17,0,8,COUNTA('TZ-20'!$E$17:$E$153),1)</definedName>
    <definedName name="CBC" localSheetId="8">OFFSET('TZ-22'!$E$17,0,8,COUNTA('TZ-22'!$E$17:$E$153),1)</definedName>
    <definedName name="CBC" localSheetId="9">OFFSET('TZ-24'!$E$17,0,8,COUNTA('TZ-24'!$E$17:$E$153),1)</definedName>
    <definedName name="CBC" localSheetId="10">OFFSET('TZ-26'!$E$17,0,8,COUNTA('TZ-26'!$E$17:$E$153),1)</definedName>
    <definedName name="CBC" localSheetId="11">OFFSET('TZ-28'!$E$17,0,8,COUNTA('TZ-28'!$E$17:$E$153),1)</definedName>
    <definedName name="CBC" localSheetId="12">OFFSET('TZ-30'!$E$17,0,8,COUNTA('TZ-30'!$E$17:$E$153),1)</definedName>
    <definedName name="CBC" localSheetId="13">OFFSET('TZ-32'!$E$17,0,8,COUNTA('TZ-32'!$E$17:$E$153),1)</definedName>
    <definedName name="CBC" localSheetId="14">OFFSET('TZ-34'!$E$17,0,8,COUNTA('TZ-34'!$E$17:$E$153),1)</definedName>
    <definedName name="CBC" localSheetId="15">OFFSET('TZ-36'!$E$17,0,8,COUNTA('TZ-36'!$E$17:$E$153),1)</definedName>
    <definedName name="CBC" localSheetId="0">OFFSET('TZ-6'!$E$17,0,8,COUNTA('TZ-6'!$E$17:$E$153),1)</definedName>
    <definedName name="CBC" localSheetId="1">OFFSET('TZ-8'!$E$17,0,8,COUNTA('TZ-8'!$E$17:$E$153),1)</definedName>
    <definedName name="DISTANCIA" localSheetId="2">OFFSET('TZ-10'!$J$17,0,1,COUNTA('TZ-10'!$J$17:$J$153),1)</definedName>
    <definedName name="DISTANCIA" localSheetId="21">OFFSET('TZ-112'!$J$17,0,1,COUNTA('TZ-112'!$J$17:$J$153),1)</definedName>
    <definedName name="DISTANCIA" localSheetId="22">OFFSET('TZ-114'!$J$17,0,1,COUNTA('TZ-114'!$J$17:$J$153),1)</definedName>
    <definedName name="DISTANCIA" localSheetId="23">OFFSET('TZ-115'!$J$17,0,1,COUNTA('TZ-115'!$J$17:$J$153),1)</definedName>
    <definedName name="DISTANCIA" localSheetId="24">OFFSET('TZ-116'!$J$17,0,1,COUNTA('TZ-116'!$J$17:$J$153),1)</definedName>
    <definedName name="DISTANCIA" localSheetId="3">OFFSET('TZ-12'!$J$17,0,1,COUNTA('TZ-12'!$J$17:$J$153),1)</definedName>
    <definedName name="DISTANCIA" localSheetId="25">OFFSET('TZ-130'!$J$17,0,1,COUNTA('TZ-130'!$J$17:$J$153),1)</definedName>
    <definedName name="DISTANCIA" localSheetId="4">OFFSET('TZ-14'!$J$17,0,1,COUNTA('TZ-14'!$J$17:$J$153),1)</definedName>
    <definedName name="DISTANCIA" localSheetId="5">OFFSET('TZ-16'!$J$17,0,1,COUNTA('TZ-16'!$J$17:$J$153),1)</definedName>
    <definedName name="DISTANCIA" localSheetId="6">OFFSET('TZ-18'!$J$17,0,1,COUNTA('TZ-18'!$J$17:$J$153),1)</definedName>
    <definedName name="DISTANCIA" localSheetId="7">OFFSET('TZ-20'!$J$17,0,1,COUNTA('TZ-20'!$J$17:$J$153),1)</definedName>
    <definedName name="DISTANCIA" localSheetId="8">OFFSET('TZ-22'!$J$17,0,1,COUNTA('TZ-22'!$J$17:$J$153),1)</definedName>
    <definedName name="DISTANCIA" localSheetId="9">OFFSET('TZ-24'!$J$17,0,1,COUNTA('TZ-24'!$J$17:$J$153),1)</definedName>
    <definedName name="DISTANCIA" localSheetId="10">OFFSET('TZ-26'!$J$17,0,1,COUNTA('TZ-26'!$J$17:$J$153),1)</definedName>
    <definedName name="DISTANCIA" localSheetId="11">OFFSET('TZ-28'!$J$17,0,1,COUNTA('TZ-28'!$J$17:$J$153),1)</definedName>
    <definedName name="DISTANCIA" localSheetId="12">OFFSET('TZ-30'!$J$17,0,1,COUNTA('TZ-30'!$J$17:$J$153),1)</definedName>
    <definedName name="DISTANCIA" localSheetId="13">OFFSET('TZ-32'!$J$17,0,1,COUNTA('TZ-32'!$J$17:$J$153),1)</definedName>
    <definedName name="DISTANCIA" localSheetId="14">OFFSET('TZ-34'!$J$17,0,1,COUNTA('TZ-34'!$J$17:$J$153),1)</definedName>
    <definedName name="DISTANCIA" localSheetId="15">OFFSET('TZ-36'!$J$17,0,1,COUNTA('TZ-36'!$J$17:$J$153),1)</definedName>
    <definedName name="DISTANCIA" localSheetId="0">OFFSET('TZ-6'!$J$17,0,1,COUNTA('TZ-6'!$J$17:$J$153),1)</definedName>
    <definedName name="DISTANCIA" localSheetId="1">OFFSET('TZ-8'!$J$17,0,1,COUNTA('TZ-8'!$J$17:$J$153),1)</definedName>
    <definedName name="FECHA" localSheetId="2">OFFSET('TZ-10'!$B$17,0,0,COUNTA('TZ-10'!$B$17:$B$153),1)</definedName>
    <definedName name="FECHA" localSheetId="21">OFFSET('TZ-112'!$B$17,0,0,COUNTA('TZ-112'!$B$17:$B$153),1)</definedName>
    <definedName name="FECHA" localSheetId="22">OFFSET('TZ-114'!$B$17,0,0,COUNTA('TZ-114'!$B$17:$B$153),1)</definedName>
    <definedName name="FECHA" localSheetId="23">OFFSET('TZ-115'!$B$17,0,0,COUNTA('TZ-115'!$B$17:$B$153),1)</definedName>
    <definedName name="FECHA" localSheetId="24">OFFSET('TZ-116'!$B$17,0,0,COUNTA('TZ-116'!$B$17:$B$153),1)</definedName>
    <definedName name="FECHA" localSheetId="3">OFFSET('TZ-12'!$B$17,0,0,COUNTA('TZ-12'!$B$17:$B$153),1)</definedName>
    <definedName name="FECHA" localSheetId="25">OFFSET('TZ-130'!$B$17,0,0,COUNTA('TZ-130'!$B$17:$B$153),1)</definedName>
    <definedName name="FECHA" localSheetId="4">OFFSET('TZ-14'!$B$17,0,0,COUNTA('TZ-14'!$B$17:$B$153),1)</definedName>
    <definedName name="FECHA" localSheetId="5">OFFSET('TZ-16'!$B$17,0,0,COUNTA('TZ-16'!$B$17:$B$153),1)</definedName>
    <definedName name="FECHA" localSheetId="6">OFFSET('TZ-18'!$B$17,0,0,COUNTA('TZ-18'!$B$17:$B$153),1)</definedName>
    <definedName name="FECHA" localSheetId="7">OFFSET('TZ-20'!$B$17,0,0,COUNTA('TZ-20'!$B$17:$B$153),1)</definedName>
    <definedName name="FECHA" localSheetId="8">OFFSET('TZ-22'!$B$17,0,0,COUNTA('TZ-22'!$B$17:$B$153),1)</definedName>
    <definedName name="FECHA" localSheetId="9">OFFSET('TZ-24'!$B$17,0,0,COUNTA('TZ-24'!$B$17:$B$153),1)</definedName>
    <definedName name="FECHA" localSheetId="10">OFFSET('TZ-26'!$B$17,0,0,COUNTA('TZ-26'!$B$17:$B$153),1)</definedName>
    <definedName name="FECHA" localSheetId="11">OFFSET('TZ-28'!$B$17,0,0,COUNTA('TZ-28'!$B$17:$B$153),1)</definedName>
    <definedName name="FECHA" localSheetId="12">OFFSET('TZ-30'!$B$17,0,0,COUNTA('TZ-30'!$B$17:$B$153),1)</definedName>
    <definedName name="FECHA" localSheetId="13">OFFSET('TZ-32'!$B$17,0,0,COUNTA('TZ-32'!$B$17:$B$153),1)</definedName>
    <definedName name="FECHA" localSheetId="14">OFFSET('TZ-34'!$B$17,0,0,COUNTA('TZ-34'!$B$17:$B$153),1)</definedName>
    <definedName name="FECHA" localSheetId="15">OFFSET('TZ-36'!$B$17,0,0,COUNTA('TZ-36'!$B$17:$B$153),1)</definedName>
    <definedName name="FECHA" localSheetId="0">OFFSET('TZ-6'!$B$17,0,0,COUNTA('TZ-6'!$B$17:$B$153),1)</definedName>
    <definedName name="FECHA" localSheetId="1">OFFSET('TZ-8'!$B$17,0,0,COUNTA('TZ-8'!$B$17:$B$153),1)</definedName>
    <definedName name="_xlnm.Print_Titles" localSheetId="2">'TZ-10'!$2:$15</definedName>
    <definedName name="_xlnm.Print_Titles" localSheetId="21">'TZ-112'!$2:$15</definedName>
    <definedName name="_xlnm.Print_Titles" localSheetId="22">'TZ-114'!$2:$15</definedName>
    <definedName name="_xlnm.Print_Titles" localSheetId="23">'TZ-115'!$2:$15</definedName>
    <definedName name="_xlnm.Print_Titles" localSheetId="24">'TZ-116'!$2:$15</definedName>
    <definedName name="_xlnm.Print_Titles" localSheetId="3">'TZ-12'!$2:$15</definedName>
    <definedName name="_xlnm.Print_Titles" localSheetId="25">'TZ-130'!$2:$15</definedName>
    <definedName name="_xlnm.Print_Titles" localSheetId="4">'TZ-14'!$2:$15</definedName>
    <definedName name="_xlnm.Print_Titles" localSheetId="5">'TZ-16'!$2:$15</definedName>
    <definedName name="_xlnm.Print_Titles" localSheetId="6">'TZ-18'!$2:$15</definedName>
    <definedName name="_xlnm.Print_Titles" localSheetId="7">'TZ-20'!$2:$15</definedName>
    <definedName name="_xlnm.Print_Titles" localSheetId="8">'TZ-22'!$2:$15</definedName>
    <definedName name="_xlnm.Print_Titles" localSheetId="9">'TZ-24'!$2:$15</definedName>
    <definedName name="_xlnm.Print_Titles" localSheetId="10">'TZ-26'!$2:$15</definedName>
    <definedName name="_xlnm.Print_Titles" localSheetId="11">'TZ-28'!$2:$15</definedName>
    <definedName name="_xlnm.Print_Titles" localSheetId="12">'TZ-30'!$2:$15</definedName>
    <definedName name="_xlnm.Print_Titles" localSheetId="13">'TZ-32'!$2:$15</definedName>
    <definedName name="_xlnm.Print_Titles" localSheetId="14">'TZ-34'!$2:$15</definedName>
    <definedName name="_xlnm.Print_Titles" localSheetId="15">'TZ-36'!$2:$15</definedName>
    <definedName name="_xlnm.Print_Titles" localSheetId="0">'TZ-6'!$2:$15</definedName>
    <definedName name="_xlnm.Print_Titles" localSheetId="1">'TZ-8'!$2:$15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45" l="1"/>
  <c r="K42" i="145" l="1"/>
  <c r="K41" i="145"/>
  <c r="K40" i="145"/>
  <c r="K39" i="145"/>
  <c r="K38" i="145"/>
  <c r="K37" i="145" l="1"/>
  <c r="O44" i="145"/>
  <c r="P44" i="145"/>
  <c r="Q44" i="145"/>
  <c r="O45" i="145"/>
  <c r="P45" i="145"/>
  <c r="Q45" i="145"/>
  <c r="O46" i="145"/>
  <c r="P46" i="145"/>
  <c r="Q46" i="145"/>
  <c r="O47" i="145"/>
  <c r="P47" i="145"/>
  <c r="Q47" i="145"/>
  <c r="O48" i="145"/>
  <c r="P48" i="145"/>
  <c r="Q48" i="145"/>
  <c r="O49" i="145"/>
  <c r="P49" i="145"/>
  <c r="Q49" i="145"/>
  <c r="O50" i="145"/>
  <c r="P50" i="145"/>
  <c r="Q50" i="145"/>
  <c r="O51" i="145"/>
  <c r="P51" i="145"/>
  <c r="Q51" i="145"/>
  <c r="O52" i="145"/>
  <c r="P52" i="145"/>
  <c r="Q52" i="145"/>
  <c r="O53" i="145"/>
  <c r="P53" i="145"/>
  <c r="Q53" i="145"/>
  <c r="O54" i="145"/>
  <c r="P54" i="145"/>
  <c r="Q54" i="145"/>
  <c r="O55" i="145"/>
  <c r="P55" i="145"/>
  <c r="Q55" i="145"/>
  <c r="O56" i="145"/>
  <c r="P56" i="145"/>
  <c r="Q56" i="145"/>
  <c r="O57" i="145"/>
  <c r="P57" i="145"/>
  <c r="Q57" i="145"/>
  <c r="O58" i="145"/>
  <c r="P58" i="145"/>
  <c r="Q58" i="145"/>
  <c r="O59" i="145"/>
  <c r="P59" i="145"/>
  <c r="Q59" i="145"/>
  <c r="O60" i="145"/>
  <c r="P60" i="145"/>
  <c r="Q60" i="145"/>
  <c r="O61" i="145"/>
  <c r="P61" i="145"/>
  <c r="Q61" i="145"/>
  <c r="O62" i="145"/>
  <c r="P62" i="145"/>
  <c r="Q62" i="145"/>
  <c r="O63" i="145"/>
  <c r="P63" i="145"/>
  <c r="Q63" i="145"/>
  <c r="O64" i="145"/>
  <c r="P64" i="145"/>
  <c r="Q64" i="145"/>
  <c r="O65" i="145"/>
  <c r="P65" i="145"/>
  <c r="Q65" i="145"/>
  <c r="O66" i="145"/>
  <c r="P66" i="145"/>
  <c r="Q66" i="145"/>
  <c r="O67" i="145"/>
  <c r="P67" i="145"/>
  <c r="Q67" i="145"/>
  <c r="O68" i="145"/>
  <c r="P68" i="145"/>
  <c r="Q68" i="145"/>
  <c r="O69" i="145"/>
  <c r="P69" i="145"/>
  <c r="Q69" i="145"/>
  <c r="O70" i="145"/>
  <c r="P70" i="145"/>
  <c r="Q70" i="145"/>
  <c r="O71" i="145"/>
  <c r="P71" i="145"/>
  <c r="Q71" i="145"/>
  <c r="O72" i="145"/>
  <c r="P72" i="145"/>
  <c r="Q72" i="145"/>
  <c r="O73" i="145"/>
  <c r="P73" i="145"/>
  <c r="Q73" i="145"/>
  <c r="O74" i="145"/>
  <c r="P74" i="145"/>
  <c r="Q74" i="145"/>
  <c r="O75" i="145"/>
  <c r="P75" i="145"/>
  <c r="Q75" i="145"/>
  <c r="O76" i="145"/>
  <c r="P76" i="145"/>
  <c r="Q76" i="145"/>
  <c r="O77" i="145"/>
  <c r="P77" i="145"/>
  <c r="Q77" i="145"/>
  <c r="O78" i="145"/>
  <c r="P78" i="145"/>
  <c r="Q78" i="145"/>
  <c r="O79" i="145"/>
  <c r="P79" i="145"/>
  <c r="Q79" i="145"/>
  <c r="O80" i="145"/>
  <c r="P80" i="145"/>
  <c r="Q80" i="145"/>
  <c r="O81" i="145"/>
  <c r="P81" i="145"/>
  <c r="Q81" i="145"/>
  <c r="O82" i="145"/>
  <c r="P82" i="145"/>
  <c r="Q82" i="145"/>
  <c r="O83" i="145"/>
  <c r="P83" i="145"/>
  <c r="Q83" i="145"/>
  <c r="O84" i="145"/>
  <c r="P84" i="145"/>
  <c r="Q84" i="145"/>
  <c r="O85" i="145"/>
  <c r="P85" i="145"/>
  <c r="Q85" i="145"/>
  <c r="O86" i="145"/>
  <c r="P86" i="145"/>
  <c r="Q86" i="145"/>
  <c r="O87" i="145"/>
  <c r="P87" i="145"/>
  <c r="Q87" i="145"/>
  <c r="O88" i="145"/>
  <c r="P88" i="145"/>
  <c r="Q88" i="145"/>
  <c r="O89" i="145"/>
  <c r="P89" i="145"/>
  <c r="Q89" i="145"/>
  <c r="O90" i="145"/>
  <c r="P90" i="145"/>
  <c r="Q90" i="145"/>
  <c r="O91" i="145"/>
  <c r="P91" i="145"/>
  <c r="Q91" i="145"/>
  <c r="O92" i="145"/>
  <c r="P92" i="145"/>
  <c r="Q92" i="145"/>
  <c r="O93" i="145"/>
  <c r="P93" i="145"/>
  <c r="Q93" i="145"/>
  <c r="O94" i="145"/>
  <c r="P94" i="145"/>
  <c r="Q94" i="145"/>
  <c r="O95" i="145"/>
  <c r="P95" i="145"/>
  <c r="Q95" i="145"/>
  <c r="O96" i="145"/>
  <c r="P96" i="145"/>
  <c r="Q96" i="145"/>
  <c r="O97" i="145"/>
  <c r="P97" i="145"/>
  <c r="Q97" i="145"/>
  <c r="O98" i="145"/>
  <c r="P98" i="145"/>
  <c r="Q98" i="145"/>
  <c r="O99" i="145"/>
  <c r="P99" i="145"/>
  <c r="Q99" i="145"/>
  <c r="O100" i="145"/>
  <c r="P100" i="145"/>
  <c r="Q100" i="145"/>
  <c r="O101" i="145"/>
  <c r="P101" i="145"/>
  <c r="Q101" i="145"/>
  <c r="O102" i="145"/>
  <c r="P102" i="145"/>
  <c r="Q102" i="145"/>
  <c r="O103" i="145"/>
  <c r="P103" i="145"/>
  <c r="Q103" i="145"/>
  <c r="O104" i="145"/>
  <c r="P104" i="145"/>
  <c r="Q104" i="145"/>
  <c r="O105" i="145"/>
  <c r="P105" i="145"/>
  <c r="Q105" i="145"/>
  <c r="O106" i="145"/>
  <c r="P106" i="145"/>
  <c r="Q106" i="145"/>
  <c r="O107" i="145"/>
  <c r="P107" i="145"/>
  <c r="Q107" i="145"/>
  <c r="O108" i="145"/>
  <c r="P108" i="145"/>
  <c r="Q108" i="145"/>
  <c r="O109" i="145"/>
  <c r="P109" i="145"/>
  <c r="Q109" i="145"/>
  <c r="O110" i="145"/>
  <c r="P110" i="145"/>
  <c r="Q110" i="145"/>
  <c r="O111" i="145"/>
  <c r="P111" i="145"/>
  <c r="Q111" i="145"/>
  <c r="O112" i="145"/>
  <c r="P112" i="145"/>
  <c r="Q112" i="145"/>
  <c r="O113" i="145"/>
  <c r="P113" i="145"/>
  <c r="Q113" i="145"/>
  <c r="O114" i="145"/>
  <c r="P114" i="145"/>
  <c r="Q114" i="145"/>
  <c r="O115" i="145"/>
  <c r="P115" i="145"/>
  <c r="Q115" i="145"/>
  <c r="O116" i="145"/>
  <c r="P116" i="145"/>
  <c r="Q116" i="145"/>
  <c r="O117" i="145"/>
  <c r="P117" i="145"/>
  <c r="Q117" i="145"/>
  <c r="O118" i="145"/>
  <c r="P118" i="145"/>
  <c r="Q118" i="145"/>
  <c r="O119" i="145"/>
  <c r="P119" i="145"/>
  <c r="Q119" i="145"/>
  <c r="O120" i="145"/>
  <c r="P120" i="145"/>
  <c r="Q120" i="145"/>
  <c r="O121" i="145"/>
  <c r="P121" i="145"/>
  <c r="Q121" i="145"/>
  <c r="O122" i="145"/>
  <c r="P122" i="145"/>
  <c r="Q122" i="145"/>
  <c r="O123" i="145"/>
  <c r="P123" i="145"/>
  <c r="Q123" i="145"/>
  <c r="O124" i="145"/>
  <c r="P124" i="145"/>
  <c r="Q124" i="145"/>
  <c r="O125" i="145"/>
  <c r="P125" i="145"/>
  <c r="Q125" i="145"/>
  <c r="O126" i="145"/>
  <c r="P126" i="145"/>
  <c r="Q126" i="145"/>
  <c r="O127" i="145"/>
  <c r="P127" i="145"/>
  <c r="Q127" i="145"/>
  <c r="O128" i="145"/>
  <c r="P128" i="145"/>
  <c r="Q128" i="145"/>
  <c r="O129" i="145"/>
  <c r="P129" i="145"/>
  <c r="Q129" i="145"/>
  <c r="O130" i="145"/>
  <c r="P130" i="145"/>
  <c r="Q130" i="145"/>
  <c r="O131" i="145"/>
  <c r="P131" i="145"/>
  <c r="Q131" i="145"/>
  <c r="O132" i="145"/>
  <c r="P132" i="145"/>
  <c r="Q132" i="145"/>
  <c r="O133" i="145"/>
  <c r="P133" i="145"/>
  <c r="Q133" i="145"/>
  <c r="O134" i="145"/>
  <c r="P134" i="145"/>
  <c r="Q134" i="145"/>
  <c r="O135" i="145"/>
  <c r="P135" i="145"/>
  <c r="Q135" i="145"/>
  <c r="O136" i="145"/>
  <c r="P136" i="145"/>
  <c r="Q136" i="145"/>
  <c r="O137" i="145"/>
  <c r="P137" i="145"/>
  <c r="Q137" i="145"/>
  <c r="O138" i="145"/>
  <c r="P138" i="145"/>
  <c r="Q138" i="145"/>
  <c r="O139" i="145"/>
  <c r="P139" i="145"/>
  <c r="Q139" i="145"/>
  <c r="O140" i="145"/>
  <c r="P140" i="145"/>
  <c r="Q140" i="145"/>
  <c r="O141" i="145"/>
  <c r="P141" i="145"/>
  <c r="Q141" i="145"/>
  <c r="O142" i="145"/>
  <c r="P142" i="145"/>
  <c r="Q142" i="145"/>
  <c r="O143" i="145"/>
  <c r="P143" i="145"/>
  <c r="Q143" i="145"/>
  <c r="O144" i="145"/>
  <c r="P144" i="145"/>
  <c r="Q144" i="145"/>
  <c r="O145" i="145"/>
  <c r="P145" i="145"/>
  <c r="Q145" i="145"/>
  <c r="O146" i="145"/>
  <c r="P146" i="145"/>
  <c r="Q146" i="145"/>
  <c r="O147" i="145"/>
  <c r="P147" i="145"/>
  <c r="Q147" i="145"/>
  <c r="O148" i="145"/>
  <c r="P148" i="145"/>
  <c r="Q148" i="145"/>
  <c r="O149" i="145"/>
  <c r="P149" i="145"/>
  <c r="Q149" i="145"/>
  <c r="O150" i="145"/>
  <c r="P150" i="145"/>
  <c r="Q150" i="145"/>
  <c r="O151" i="145"/>
  <c r="P151" i="145"/>
  <c r="Q151" i="145"/>
  <c r="O152" i="145"/>
  <c r="P152" i="145"/>
  <c r="Q152" i="145"/>
  <c r="O153" i="145"/>
  <c r="P153" i="145"/>
  <c r="Q153" i="145"/>
  <c r="K36" i="145" l="1"/>
  <c r="K35" i="145"/>
  <c r="K34" i="145"/>
  <c r="K33" i="145"/>
  <c r="W7" i="145"/>
  <c r="X32" i="145"/>
  <c r="W32" i="145"/>
  <c r="V32" i="145"/>
  <c r="U32" i="145"/>
  <c r="T32" i="145"/>
  <c r="S32" i="145"/>
  <c r="R32" i="145"/>
  <c r="N32" i="145"/>
  <c r="M32" i="145"/>
  <c r="L32" i="145"/>
  <c r="K32" i="145"/>
  <c r="U31" i="145"/>
  <c r="T31" i="145"/>
  <c r="S31" i="145"/>
  <c r="R31" i="145"/>
  <c r="N31" i="145"/>
  <c r="Q31" i="145" s="1"/>
  <c r="M31" i="145"/>
  <c r="L31" i="145"/>
  <c r="O31" i="145" s="1"/>
  <c r="K31" i="145"/>
  <c r="X30" i="145"/>
  <c r="W30" i="145"/>
  <c r="V30" i="145"/>
  <c r="U30" i="145"/>
  <c r="T30" i="145"/>
  <c r="S30" i="145"/>
  <c r="R30" i="145"/>
  <c r="Q30" i="145"/>
  <c r="P30" i="145"/>
  <c r="O30" i="145"/>
  <c r="N30" i="145"/>
  <c r="M30" i="145"/>
  <c r="L30" i="145"/>
  <c r="K30" i="145"/>
  <c r="X29" i="145"/>
  <c r="W29" i="145"/>
  <c r="V29" i="145"/>
  <c r="U29" i="145"/>
  <c r="T29" i="145"/>
  <c r="S29" i="145"/>
  <c r="R29" i="145"/>
  <c r="Q29" i="145"/>
  <c r="P29" i="145"/>
  <c r="O29" i="145"/>
  <c r="N29" i="145"/>
  <c r="M29" i="145"/>
  <c r="L29" i="145"/>
  <c r="K29" i="145"/>
  <c r="X28" i="145"/>
  <c r="W28" i="145"/>
  <c r="V28" i="145"/>
  <c r="U28" i="145"/>
  <c r="T28" i="145"/>
  <c r="S28" i="145"/>
  <c r="R28" i="145"/>
  <c r="Q28" i="145"/>
  <c r="P28" i="145"/>
  <c r="O28" i="145"/>
  <c r="N28" i="145"/>
  <c r="M28" i="145"/>
  <c r="L28" i="145"/>
  <c r="K28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X26" i="145"/>
  <c r="W26" i="145"/>
  <c r="V26" i="145"/>
  <c r="U26" i="145"/>
  <c r="T26" i="145"/>
  <c r="S26" i="145"/>
  <c r="R26" i="145"/>
  <c r="Q26" i="145"/>
  <c r="P26" i="145"/>
  <c r="O26" i="145"/>
  <c r="N26" i="145"/>
  <c r="M26" i="145"/>
  <c r="L26" i="145"/>
  <c r="K26" i="145"/>
  <c r="X25" i="145"/>
  <c r="W25" i="145"/>
  <c r="V25" i="145"/>
  <c r="U25" i="145"/>
  <c r="T25" i="145"/>
  <c r="S25" i="145"/>
  <c r="R25" i="145"/>
  <c r="Q25" i="145"/>
  <c r="P25" i="145"/>
  <c r="O25" i="145"/>
  <c r="N25" i="145"/>
  <c r="M25" i="145"/>
  <c r="L25" i="145"/>
  <c r="K25" i="145"/>
  <c r="X24" i="145"/>
  <c r="W24" i="145"/>
  <c r="V24" i="145"/>
  <c r="U24" i="145"/>
  <c r="T24" i="145"/>
  <c r="S24" i="145"/>
  <c r="R24" i="145"/>
  <c r="Q24" i="145"/>
  <c r="P24" i="145"/>
  <c r="O24" i="145"/>
  <c r="N24" i="145"/>
  <c r="M24" i="145"/>
  <c r="L24" i="145"/>
  <c r="K24" i="145"/>
  <c r="X23" i="145"/>
  <c r="W23" i="145"/>
  <c r="V23" i="145"/>
  <c r="U23" i="145"/>
  <c r="T23" i="145"/>
  <c r="S23" i="145"/>
  <c r="R23" i="145"/>
  <c r="Q23" i="145"/>
  <c r="P23" i="145"/>
  <c r="O23" i="145"/>
  <c r="N23" i="145"/>
  <c r="M23" i="145"/>
  <c r="L23" i="145"/>
  <c r="K23" i="145"/>
  <c r="X22" i="145"/>
  <c r="W22" i="145"/>
  <c r="V22" i="145"/>
  <c r="U22" i="145"/>
  <c r="T22" i="145"/>
  <c r="S22" i="145"/>
  <c r="R22" i="145"/>
  <c r="Q22" i="145"/>
  <c r="P22" i="145"/>
  <c r="O22" i="145"/>
  <c r="N22" i="145"/>
  <c r="M22" i="145"/>
  <c r="L22" i="145"/>
  <c r="K22" i="145"/>
  <c r="X21" i="145"/>
  <c r="W21" i="145"/>
  <c r="V21" i="145"/>
  <c r="U21" i="145"/>
  <c r="T21" i="145"/>
  <c r="S21" i="145"/>
  <c r="R21" i="145"/>
  <c r="Q21" i="145"/>
  <c r="P21" i="145"/>
  <c r="O21" i="145"/>
  <c r="N21" i="145"/>
  <c r="M21" i="145"/>
  <c r="L21" i="145"/>
  <c r="K21" i="145"/>
  <c r="X20" i="145"/>
  <c r="W20" i="145"/>
  <c r="V20" i="145"/>
  <c r="U20" i="145"/>
  <c r="T20" i="145"/>
  <c r="S20" i="145"/>
  <c r="R20" i="145"/>
  <c r="Q20" i="145"/>
  <c r="P20" i="145"/>
  <c r="O20" i="145"/>
  <c r="N20" i="145"/>
  <c r="M20" i="145"/>
  <c r="L20" i="145"/>
  <c r="K20" i="145"/>
  <c r="X19" i="145"/>
  <c r="W19" i="145"/>
  <c r="V19" i="145"/>
  <c r="U19" i="145"/>
  <c r="T19" i="145"/>
  <c r="S19" i="145"/>
  <c r="R19" i="145"/>
  <c r="Q19" i="145"/>
  <c r="P19" i="145"/>
  <c r="O19" i="145"/>
  <c r="N19" i="145"/>
  <c r="M19" i="145"/>
  <c r="L19" i="145"/>
  <c r="K19" i="145"/>
  <c r="X18" i="145"/>
  <c r="W18" i="145"/>
  <c r="V18" i="145"/>
  <c r="U18" i="145"/>
  <c r="T18" i="145"/>
  <c r="S18" i="145"/>
  <c r="R18" i="145"/>
  <c r="Q18" i="145"/>
  <c r="P18" i="145"/>
  <c r="O18" i="145"/>
  <c r="N18" i="145"/>
  <c r="M18" i="145"/>
  <c r="L18" i="145"/>
  <c r="K18" i="145"/>
  <c r="X17" i="145"/>
  <c r="W17" i="145"/>
  <c r="V17" i="145"/>
  <c r="S17" i="145"/>
  <c r="R17" i="145"/>
  <c r="Q17" i="145"/>
  <c r="P17" i="145"/>
  <c r="O17" i="145"/>
  <c r="N17" i="145"/>
  <c r="M17" i="145"/>
  <c r="L17" i="145"/>
  <c r="K17" i="145"/>
  <c r="R16" i="145"/>
  <c r="N16" i="145"/>
  <c r="M16" i="145"/>
  <c r="L16" i="145"/>
  <c r="K16" i="145"/>
  <c r="Y2" i="145"/>
  <c r="L33" i="145"/>
  <c r="M33" i="145"/>
  <c r="N33" i="145"/>
  <c r="R33" i="145"/>
  <c r="S33" i="145"/>
  <c r="T33" i="145"/>
  <c r="U33" i="145"/>
  <c r="V33" i="145"/>
  <c r="W33" i="145"/>
  <c r="X33" i="145"/>
  <c r="L34" i="145"/>
  <c r="M34" i="145"/>
  <c r="N34" i="145"/>
  <c r="R34" i="145"/>
  <c r="S34" i="145"/>
  <c r="T34" i="145"/>
  <c r="U34" i="145"/>
  <c r="V34" i="145"/>
  <c r="W34" i="145"/>
  <c r="X34" i="145"/>
  <c r="L35" i="145"/>
  <c r="M35" i="145"/>
  <c r="N35" i="145"/>
  <c r="R35" i="145"/>
  <c r="S35" i="145"/>
  <c r="T35" i="145"/>
  <c r="U35" i="145"/>
  <c r="V35" i="145"/>
  <c r="W35" i="145"/>
  <c r="X35" i="145"/>
  <c r="L36" i="145"/>
  <c r="M36" i="145"/>
  <c r="N36" i="145"/>
  <c r="R36" i="145"/>
  <c r="S36" i="145"/>
  <c r="T36" i="145"/>
  <c r="U36" i="145"/>
  <c r="V36" i="145"/>
  <c r="W36" i="145"/>
  <c r="X36" i="145"/>
  <c r="L37" i="145"/>
  <c r="M37" i="145"/>
  <c r="N37" i="145"/>
  <c r="R37" i="145"/>
  <c r="S37" i="145"/>
  <c r="T37" i="145"/>
  <c r="U37" i="145"/>
  <c r="V37" i="145"/>
  <c r="W37" i="145"/>
  <c r="X37" i="145"/>
  <c r="L38" i="145"/>
  <c r="M38" i="145"/>
  <c r="N38" i="145"/>
  <c r="R38" i="145"/>
  <c r="S38" i="145"/>
  <c r="T38" i="145"/>
  <c r="U38" i="145"/>
  <c r="V38" i="145"/>
  <c r="W38" i="145"/>
  <c r="X38" i="145"/>
  <c r="L39" i="145"/>
  <c r="M39" i="145"/>
  <c r="N39" i="145"/>
  <c r="R39" i="145"/>
  <c r="S39" i="145"/>
  <c r="T39" i="145"/>
  <c r="U39" i="145"/>
  <c r="V39" i="145"/>
  <c r="W39" i="145"/>
  <c r="X39" i="145"/>
  <c r="L40" i="145"/>
  <c r="M40" i="145"/>
  <c r="N40" i="145"/>
  <c r="R40" i="145"/>
  <c r="S40" i="145"/>
  <c r="T40" i="145"/>
  <c r="U40" i="145"/>
  <c r="V40" i="145"/>
  <c r="W40" i="145"/>
  <c r="X40" i="145"/>
  <c r="L41" i="145"/>
  <c r="M41" i="145"/>
  <c r="N41" i="145"/>
  <c r="R41" i="145"/>
  <c r="S41" i="145"/>
  <c r="T41" i="145"/>
  <c r="U41" i="145"/>
  <c r="V41" i="145"/>
  <c r="W41" i="145"/>
  <c r="X41" i="145"/>
  <c r="L42" i="145"/>
  <c r="M42" i="145"/>
  <c r="N42" i="145"/>
  <c r="R42" i="145"/>
  <c r="S42" i="145"/>
  <c r="T42" i="145"/>
  <c r="U42" i="145"/>
  <c r="V42" i="145"/>
  <c r="W42" i="145"/>
  <c r="X42" i="145"/>
  <c r="L43" i="145"/>
  <c r="M43" i="145"/>
  <c r="N43" i="145"/>
  <c r="R43" i="145"/>
  <c r="S43" i="145"/>
  <c r="T43" i="145"/>
  <c r="U43" i="145"/>
  <c r="V43" i="145"/>
  <c r="W43" i="145"/>
  <c r="X43" i="145"/>
  <c r="L44" i="145"/>
  <c r="M44" i="145"/>
  <c r="N44" i="145"/>
  <c r="R44" i="145"/>
  <c r="S44" i="145"/>
  <c r="T44" i="145"/>
  <c r="U44" i="145"/>
  <c r="V44" i="145"/>
  <c r="W44" i="145"/>
  <c r="X44" i="145"/>
  <c r="L45" i="145"/>
  <c r="M45" i="145"/>
  <c r="N45" i="145"/>
  <c r="R45" i="145"/>
  <c r="S45" i="145"/>
  <c r="T45" i="145"/>
  <c r="U45" i="145"/>
  <c r="V45" i="145"/>
  <c r="W45" i="145"/>
  <c r="X45" i="145"/>
  <c r="L46" i="145"/>
  <c r="M46" i="145"/>
  <c r="N46" i="145"/>
  <c r="R46" i="145"/>
  <c r="S46" i="145"/>
  <c r="T46" i="145"/>
  <c r="U46" i="145"/>
  <c r="V46" i="145"/>
  <c r="W46" i="145"/>
  <c r="X46" i="145"/>
  <c r="L47" i="145"/>
  <c r="M47" i="145"/>
  <c r="N47" i="145"/>
  <c r="R47" i="145"/>
  <c r="S47" i="145"/>
  <c r="T47" i="145"/>
  <c r="U47" i="145"/>
  <c r="V47" i="145"/>
  <c r="W47" i="145"/>
  <c r="X47" i="145"/>
  <c r="L48" i="145"/>
  <c r="M48" i="145"/>
  <c r="N48" i="145"/>
  <c r="R48" i="145"/>
  <c r="S48" i="145"/>
  <c r="T48" i="145"/>
  <c r="U48" i="145"/>
  <c r="V48" i="145"/>
  <c r="W48" i="145"/>
  <c r="X48" i="145"/>
  <c r="L49" i="145"/>
  <c r="M49" i="145"/>
  <c r="N49" i="145"/>
  <c r="R49" i="145"/>
  <c r="S49" i="145"/>
  <c r="T49" i="145"/>
  <c r="U49" i="145"/>
  <c r="V49" i="145"/>
  <c r="W49" i="145"/>
  <c r="X49" i="145"/>
  <c r="L50" i="145"/>
  <c r="M50" i="145"/>
  <c r="N50" i="145"/>
  <c r="R50" i="145"/>
  <c r="S50" i="145"/>
  <c r="T50" i="145"/>
  <c r="U50" i="145"/>
  <c r="V50" i="145"/>
  <c r="W50" i="145"/>
  <c r="X50" i="145"/>
  <c r="L51" i="145"/>
  <c r="M51" i="145"/>
  <c r="N51" i="145"/>
  <c r="R51" i="145"/>
  <c r="S51" i="145"/>
  <c r="T51" i="145"/>
  <c r="U51" i="145"/>
  <c r="V51" i="145"/>
  <c r="W51" i="145"/>
  <c r="X51" i="145"/>
  <c r="L52" i="145"/>
  <c r="M52" i="145"/>
  <c r="N52" i="145"/>
  <c r="R52" i="145"/>
  <c r="S52" i="145"/>
  <c r="T52" i="145"/>
  <c r="U52" i="145"/>
  <c r="V52" i="145"/>
  <c r="W52" i="145"/>
  <c r="X52" i="145"/>
  <c r="L53" i="145"/>
  <c r="M53" i="145"/>
  <c r="N53" i="145"/>
  <c r="R53" i="145"/>
  <c r="S53" i="145"/>
  <c r="T53" i="145"/>
  <c r="U53" i="145"/>
  <c r="V53" i="145"/>
  <c r="W53" i="145"/>
  <c r="X53" i="145"/>
  <c r="L54" i="145"/>
  <c r="M54" i="145"/>
  <c r="N54" i="145"/>
  <c r="R54" i="145"/>
  <c r="S54" i="145"/>
  <c r="T54" i="145"/>
  <c r="U54" i="145"/>
  <c r="V54" i="145"/>
  <c r="W54" i="145"/>
  <c r="X54" i="145"/>
  <c r="L55" i="145"/>
  <c r="M55" i="145"/>
  <c r="N55" i="145"/>
  <c r="R55" i="145"/>
  <c r="S55" i="145"/>
  <c r="T55" i="145"/>
  <c r="U55" i="145"/>
  <c r="V55" i="145"/>
  <c r="W55" i="145"/>
  <c r="X55" i="145"/>
  <c r="L56" i="145"/>
  <c r="M56" i="145"/>
  <c r="N56" i="145"/>
  <c r="R56" i="145"/>
  <c r="S56" i="145"/>
  <c r="T56" i="145"/>
  <c r="U56" i="145"/>
  <c r="V56" i="145"/>
  <c r="W56" i="145"/>
  <c r="X56" i="145"/>
  <c r="L57" i="145"/>
  <c r="M57" i="145"/>
  <c r="N57" i="145"/>
  <c r="R57" i="145"/>
  <c r="S57" i="145"/>
  <c r="T57" i="145"/>
  <c r="U57" i="145"/>
  <c r="V57" i="145"/>
  <c r="W57" i="145"/>
  <c r="X57" i="145"/>
  <c r="L58" i="145"/>
  <c r="M58" i="145"/>
  <c r="N58" i="145"/>
  <c r="R58" i="145"/>
  <c r="S58" i="145"/>
  <c r="T58" i="145"/>
  <c r="U58" i="145"/>
  <c r="V58" i="145"/>
  <c r="W58" i="145"/>
  <c r="X58" i="145"/>
  <c r="L59" i="145"/>
  <c r="M59" i="145"/>
  <c r="N59" i="145"/>
  <c r="R59" i="145"/>
  <c r="S59" i="145"/>
  <c r="T59" i="145"/>
  <c r="U59" i="145"/>
  <c r="V59" i="145"/>
  <c r="W59" i="145"/>
  <c r="X59" i="145"/>
  <c r="L60" i="145"/>
  <c r="M60" i="145"/>
  <c r="N60" i="145"/>
  <c r="R60" i="145"/>
  <c r="S60" i="145"/>
  <c r="T60" i="145"/>
  <c r="U60" i="145"/>
  <c r="V60" i="145"/>
  <c r="W60" i="145"/>
  <c r="X60" i="145"/>
  <c r="L61" i="145"/>
  <c r="M61" i="145"/>
  <c r="N61" i="145"/>
  <c r="R61" i="145"/>
  <c r="S61" i="145"/>
  <c r="T61" i="145"/>
  <c r="U61" i="145"/>
  <c r="V61" i="145"/>
  <c r="W61" i="145"/>
  <c r="X61" i="145"/>
  <c r="L62" i="145"/>
  <c r="M62" i="145"/>
  <c r="N62" i="145"/>
  <c r="R62" i="145"/>
  <c r="S62" i="145"/>
  <c r="T62" i="145"/>
  <c r="U62" i="145"/>
  <c r="V62" i="145"/>
  <c r="W62" i="145"/>
  <c r="X62" i="145"/>
  <c r="L63" i="145"/>
  <c r="M63" i="145"/>
  <c r="N63" i="145"/>
  <c r="R63" i="145"/>
  <c r="S63" i="145"/>
  <c r="T63" i="145"/>
  <c r="U63" i="145"/>
  <c r="V63" i="145"/>
  <c r="W63" i="145"/>
  <c r="X63" i="145"/>
  <c r="L64" i="145"/>
  <c r="M64" i="145"/>
  <c r="N64" i="145"/>
  <c r="R64" i="145"/>
  <c r="S64" i="145"/>
  <c r="T64" i="145"/>
  <c r="U64" i="145"/>
  <c r="V64" i="145"/>
  <c r="W64" i="145"/>
  <c r="X64" i="145"/>
  <c r="L65" i="145"/>
  <c r="M65" i="145"/>
  <c r="N65" i="145"/>
  <c r="R65" i="145"/>
  <c r="S65" i="145"/>
  <c r="T65" i="145"/>
  <c r="U65" i="145"/>
  <c r="V65" i="145"/>
  <c r="W65" i="145"/>
  <c r="X65" i="145"/>
  <c r="L66" i="145"/>
  <c r="M66" i="145"/>
  <c r="N66" i="145"/>
  <c r="R66" i="145"/>
  <c r="S66" i="145"/>
  <c r="T66" i="145"/>
  <c r="U66" i="145"/>
  <c r="V66" i="145"/>
  <c r="W66" i="145"/>
  <c r="X66" i="145"/>
  <c r="L67" i="145"/>
  <c r="M67" i="145"/>
  <c r="N67" i="145"/>
  <c r="R67" i="145"/>
  <c r="S67" i="145"/>
  <c r="T67" i="145"/>
  <c r="U67" i="145"/>
  <c r="V67" i="145"/>
  <c r="W67" i="145"/>
  <c r="X67" i="145"/>
  <c r="L68" i="145"/>
  <c r="M68" i="145"/>
  <c r="N68" i="145"/>
  <c r="R68" i="145"/>
  <c r="S68" i="145"/>
  <c r="T68" i="145"/>
  <c r="U68" i="145"/>
  <c r="V68" i="145"/>
  <c r="W68" i="145"/>
  <c r="X68" i="145"/>
  <c r="L69" i="145"/>
  <c r="M69" i="145"/>
  <c r="N69" i="145"/>
  <c r="R69" i="145"/>
  <c r="S69" i="145"/>
  <c r="T69" i="145"/>
  <c r="U69" i="145"/>
  <c r="V69" i="145"/>
  <c r="W69" i="145"/>
  <c r="X69" i="145"/>
  <c r="L70" i="145"/>
  <c r="M70" i="145"/>
  <c r="N70" i="145"/>
  <c r="R70" i="145"/>
  <c r="S70" i="145"/>
  <c r="T70" i="145"/>
  <c r="U70" i="145"/>
  <c r="V70" i="145"/>
  <c r="W70" i="145"/>
  <c r="X70" i="145"/>
  <c r="L71" i="145"/>
  <c r="M71" i="145"/>
  <c r="N71" i="145"/>
  <c r="R71" i="145"/>
  <c r="S71" i="145"/>
  <c r="T71" i="145"/>
  <c r="U71" i="145"/>
  <c r="V71" i="145"/>
  <c r="W71" i="145"/>
  <c r="X71" i="145"/>
  <c r="L72" i="145"/>
  <c r="M72" i="145"/>
  <c r="N72" i="145"/>
  <c r="R72" i="145"/>
  <c r="S72" i="145"/>
  <c r="T72" i="145"/>
  <c r="U72" i="145"/>
  <c r="V72" i="145"/>
  <c r="W72" i="145"/>
  <c r="X72" i="145"/>
  <c r="L73" i="145"/>
  <c r="M73" i="145"/>
  <c r="N73" i="145"/>
  <c r="R73" i="145"/>
  <c r="S73" i="145"/>
  <c r="T73" i="145"/>
  <c r="U73" i="145"/>
  <c r="V73" i="145"/>
  <c r="W73" i="145"/>
  <c r="X73" i="145"/>
  <c r="L74" i="145"/>
  <c r="M74" i="145"/>
  <c r="N74" i="145"/>
  <c r="R74" i="145"/>
  <c r="S74" i="145"/>
  <c r="T74" i="145"/>
  <c r="U74" i="145"/>
  <c r="V74" i="145"/>
  <c r="W74" i="145"/>
  <c r="X74" i="145"/>
  <c r="L75" i="145"/>
  <c r="M75" i="145"/>
  <c r="N75" i="145"/>
  <c r="R75" i="145"/>
  <c r="S75" i="145"/>
  <c r="T75" i="145"/>
  <c r="U75" i="145"/>
  <c r="V75" i="145"/>
  <c r="W75" i="145"/>
  <c r="X75" i="145"/>
  <c r="L76" i="145"/>
  <c r="M76" i="145"/>
  <c r="N76" i="145"/>
  <c r="R76" i="145"/>
  <c r="S76" i="145"/>
  <c r="T76" i="145"/>
  <c r="U76" i="145"/>
  <c r="V76" i="145"/>
  <c r="W76" i="145"/>
  <c r="X76" i="145"/>
  <c r="L77" i="145"/>
  <c r="M77" i="145"/>
  <c r="N77" i="145"/>
  <c r="R77" i="145"/>
  <c r="S77" i="145"/>
  <c r="T77" i="145"/>
  <c r="U77" i="145"/>
  <c r="V77" i="145"/>
  <c r="W77" i="145"/>
  <c r="X77" i="145"/>
  <c r="L78" i="145"/>
  <c r="M78" i="145"/>
  <c r="N78" i="145"/>
  <c r="R78" i="145"/>
  <c r="S78" i="145"/>
  <c r="T78" i="145"/>
  <c r="U78" i="145"/>
  <c r="V78" i="145"/>
  <c r="W78" i="145"/>
  <c r="X78" i="145"/>
  <c r="L79" i="145"/>
  <c r="M79" i="145"/>
  <c r="N79" i="145"/>
  <c r="R79" i="145"/>
  <c r="S79" i="145"/>
  <c r="T79" i="145"/>
  <c r="U79" i="145"/>
  <c r="V79" i="145"/>
  <c r="W79" i="145"/>
  <c r="X79" i="145"/>
  <c r="L80" i="145"/>
  <c r="M80" i="145"/>
  <c r="N80" i="145"/>
  <c r="R80" i="145"/>
  <c r="S80" i="145"/>
  <c r="T80" i="145"/>
  <c r="U80" i="145"/>
  <c r="V80" i="145"/>
  <c r="W80" i="145"/>
  <c r="X80" i="145"/>
  <c r="L81" i="145"/>
  <c r="M81" i="145"/>
  <c r="N81" i="145"/>
  <c r="R81" i="145"/>
  <c r="S81" i="145"/>
  <c r="T81" i="145"/>
  <c r="U81" i="145"/>
  <c r="V81" i="145"/>
  <c r="W81" i="145"/>
  <c r="X81" i="145"/>
  <c r="L82" i="145"/>
  <c r="M82" i="145"/>
  <c r="N82" i="145"/>
  <c r="R82" i="145"/>
  <c r="S82" i="145"/>
  <c r="T82" i="145"/>
  <c r="U82" i="145"/>
  <c r="V82" i="145"/>
  <c r="W82" i="145"/>
  <c r="X82" i="145"/>
  <c r="L83" i="145"/>
  <c r="M83" i="145"/>
  <c r="N83" i="145"/>
  <c r="R83" i="145"/>
  <c r="S83" i="145"/>
  <c r="T83" i="145"/>
  <c r="U83" i="145"/>
  <c r="V83" i="145"/>
  <c r="W83" i="145"/>
  <c r="X83" i="145"/>
  <c r="L84" i="145"/>
  <c r="M84" i="145"/>
  <c r="N84" i="145"/>
  <c r="R84" i="145"/>
  <c r="S84" i="145"/>
  <c r="T84" i="145"/>
  <c r="U84" i="145"/>
  <c r="V84" i="145"/>
  <c r="W84" i="145"/>
  <c r="X84" i="145"/>
  <c r="L85" i="145"/>
  <c r="M85" i="145"/>
  <c r="N85" i="145"/>
  <c r="R85" i="145"/>
  <c r="S85" i="145"/>
  <c r="T85" i="145"/>
  <c r="U85" i="145"/>
  <c r="V85" i="145"/>
  <c r="W85" i="145"/>
  <c r="X85" i="145"/>
  <c r="L86" i="145"/>
  <c r="M86" i="145"/>
  <c r="N86" i="145"/>
  <c r="R86" i="145"/>
  <c r="S86" i="145"/>
  <c r="T86" i="145"/>
  <c r="U86" i="145"/>
  <c r="V86" i="145"/>
  <c r="W86" i="145"/>
  <c r="X86" i="145"/>
  <c r="L87" i="145"/>
  <c r="M87" i="145"/>
  <c r="N87" i="145"/>
  <c r="R87" i="145"/>
  <c r="S87" i="145"/>
  <c r="T87" i="145"/>
  <c r="U87" i="145"/>
  <c r="V87" i="145"/>
  <c r="W87" i="145"/>
  <c r="X87" i="145"/>
  <c r="L88" i="145"/>
  <c r="M88" i="145"/>
  <c r="N88" i="145"/>
  <c r="R88" i="145"/>
  <c r="S88" i="145"/>
  <c r="T88" i="145"/>
  <c r="U88" i="145"/>
  <c r="V88" i="145"/>
  <c r="W88" i="145"/>
  <c r="X88" i="145"/>
  <c r="L89" i="145"/>
  <c r="M89" i="145"/>
  <c r="N89" i="145"/>
  <c r="R89" i="145"/>
  <c r="S89" i="145"/>
  <c r="T89" i="145"/>
  <c r="U89" i="145"/>
  <c r="V89" i="145"/>
  <c r="W89" i="145"/>
  <c r="X89" i="145"/>
  <c r="L90" i="145"/>
  <c r="M90" i="145"/>
  <c r="N90" i="145"/>
  <c r="R90" i="145"/>
  <c r="S90" i="145"/>
  <c r="T90" i="145"/>
  <c r="U90" i="145"/>
  <c r="V90" i="145"/>
  <c r="W90" i="145"/>
  <c r="X90" i="145"/>
  <c r="L91" i="145"/>
  <c r="M91" i="145"/>
  <c r="N91" i="145"/>
  <c r="R91" i="145"/>
  <c r="S91" i="145"/>
  <c r="T91" i="145"/>
  <c r="U91" i="145"/>
  <c r="V91" i="145"/>
  <c r="W91" i="145"/>
  <c r="X91" i="145"/>
  <c r="L92" i="145"/>
  <c r="M92" i="145"/>
  <c r="N92" i="145"/>
  <c r="R92" i="145"/>
  <c r="S92" i="145"/>
  <c r="T92" i="145"/>
  <c r="U92" i="145"/>
  <c r="V92" i="145"/>
  <c r="W92" i="145"/>
  <c r="X92" i="145"/>
  <c r="L93" i="145"/>
  <c r="M93" i="145"/>
  <c r="N93" i="145"/>
  <c r="R93" i="145"/>
  <c r="S93" i="145"/>
  <c r="T93" i="145"/>
  <c r="U93" i="145"/>
  <c r="V93" i="145"/>
  <c r="W93" i="145"/>
  <c r="X93" i="145"/>
  <c r="L94" i="145"/>
  <c r="M94" i="145"/>
  <c r="N94" i="145"/>
  <c r="R94" i="145"/>
  <c r="S94" i="145"/>
  <c r="T94" i="145"/>
  <c r="U94" i="145"/>
  <c r="V94" i="145"/>
  <c r="W94" i="145"/>
  <c r="X94" i="145"/>
  <c r="L95" i="145"/>
  <c r="M95" i="145"/>
  <c r="N95" i="145"/>
  <c r="R95" i="145"/>
  <c r="S95" i="145"/>
  <c r="T95" i="145"/>
  <c r="U95" i="145"/>
  <c r="V95" i="145"/>
  <c r="W95" i="145"/>
  <c r="X95" i="145"/>
  <c r="L96" i="145"/>
  <c r="M96" i="145"/>
  <c r="N96" i="145"/>
  <c r="R96" i="145"/>
  <c r="S96" i="145"/>
  <c r="T96" i="145"/>
  <c r="U96" i="145"/>
  <c r="V96" i="145"/>
  <c r="W96" i="145"/>
  <c r="X96" i="145"/>
  <c r="L97" i="145"/>
  <c r="M97" i="145"/>
  <c r="N97" i="145"/>
  <c r="R97" i="145"/>
  <c r="S97" i="145"/>
  <c r="T97" i="145"/>
  <c r="U97" i="145"/>
  <c r="V97" i="145"/>
  <c r="W97" i="145"/>
  <c r="X97" i="145"/>
  <c r="L98" i="145"/>
  <c r="M98" i="145"/>
  <c r="N98" i="145"/>
  <c r="R98" i="145"/>
  <c r="S98" i="145"/>
  <c r="T98" i="145"/>
  <c r="U98" i="145"/>
  <c r="V98" i="145"/>
  <c r="W98" i="145"/>
  <c r="X98" i="145"/>
  <c r="L99" i="145"/>
  <c r="M99" i="145"/>
  <c r="N99" i="145"/>
  <c r="R99" i="145"/>
  <c r="S99" i="145"/>
  <c r="T99" i="145"/>
  <c r="U99" i="145"/>
  <c r="V99" i="145"/>
  <c r="W99" i="145"/>
  <c r="X99" i="145"/>
  <c r="L100" i="145"/>
  <c r="M100" i="145"/>
  <c r="N100" i="145"/>
  <c r="R100" i="145"/>
  <c r="S100" i="145"/>
  <c r="T100" i="145"/>
  <c r="U100" i="145"/>
  <c r="V100" i="145"/>
  <c r="W100" i="145"/>
  <c r="X100" i="145"/>
  <c r="L101" i="145"/>
  <c r="M101" i="145"/>
  <c r="N101" i="145"/>
  <c r="R101" i="145"/>
  <c r="S101" i="145"/>
  <c r="T101" i="145"/>
  <c r="U101" i="145"/>
  <c r="V101" i="145"/>
  <c r="W101" i="145"/>
  <c r="X101" i="145"/>
  <c r="L102" i="145"/>
  <c r="M102" i="145"/>
  <c r="N102" i="145"/>
  <c r="R102" i="145"/>
  <c r="S102" i="145"/>
  <c r="T102" i="145"/>
  <c r="U102" i="145"/>
  <c r="V102" i="145"/>
  <c r="W102" i="145"/>
  <c r="X102" i="145"/>
  <c r="L103" i="145"/>
  <c r="M103" i="145"/>
  <c r="N103" i="145"/>
  <c r="R103" i="145"/>
  <c r="S103" i="145"/>
  <c r="T103" i="145"/>
  <c r="U103" i="145"/>
  <c r="V103" i="145"/>
  <c r="W103" i="145"/>
  <c r="X103" i="145"/>
  <c r="L104" i="145"/>
  <c r="M104" i="145"/>
  <c r="N104" i="145"/>
  <c r="R104" i="145"/>
  <c r="S104" i="145"/>
  <c r="T104" i="145"/>
  <c r="U104" i="145"/>
  <c r="V104" i="145"/>
  <c r="W104" i="145"/>
  <c r="X104" i="145"/>
  <c r="L105" i="145"/>
  <c r="M105" i="145"/>
  <c r="N105" i="145"/>
  <c r="R105" i="145"/>
  <c r="S105" i="145"/>
  <c r="T105" i="145"/>
  <c r="U105" i="145"/>
  <c r="V105" i="145"/>
  <c r="W105" i="145"/>
  <c r="X105" i="145"/>
  <c r="L106" i="145"/>
  <c r="M106" i="145"/>
  <c r="N106" i="145"/>
  <c r="R106" i="145"/>
  <c r="S106" i="145"/>
  <c r="T106" i="145"/>
  <c r="U106" i="145"/>
  <c r="V106" i="145"/>
  <c r="W106" i="145"/>
  <c r="X106" i="145"/>
  <c r="L107" i="145"/>
  <c r="M107" i="145"/>
  <c r="N107" i="145"/>
  <c r="R107" i="145"/>
  <c r="S107" i="145"/>
  <c r="T107" i="145"/>
  <c r="U107" i="145"/>
  <c r="V107" i="145"/>
  <c r="W107" i="145"/>
  <c r="X107" i="145"/>
  <c r="L108" i="145"/>
  <c r="M108" i="145"/>
  <c r="N108" i="145"/>
  <c r="R108" i="145"/>
  <c r="S108" i="145"/>
  <c r="T108" i="145"/>
  <c r="U108" i="145"/>
  <c r="V108" i="145"/>
  <c r="W108" i="145"/>
  <c r="X108" i="145"/>
  <c r="L109" i="145"/>
  <c r="M109" i="145"/>
  <c r="N109" i="145"/>
  <c r="R109" i="145"/>
  <c r="S109" i="145"/>
  <c r="T109" i="145"/>
  <c r="U109" i="145"/>
  <c r="V109" i="145"/>
  <c r="W109" i="145"/>
  <c r="X109" i="145"/>
  <c r="L110" i="145"/>
  <c r="M110" i="145"/>
  <c r="N110" i="145"/>
  <c r="R110" i="145"/>
  <c r="S110" i="145"/>
  <c r="T110" i="145"/>
  <c r="U110" i="145"/>
  <c r="V110" i="145"/>
  <c r="W110" i="145"/>
  <c r="X110" i="145"/>
  <c r="L111" i="145"/>
  <c r="M111" i="145"/>
  <c r="N111" i="145"/>
  <c r="R111" i="145"/>
  <c r="S111" i="145"/>
  <c r="T111" i="145"/>
  <c r="U111" i="145"/>
  <c r="V111" i="145"/>
  <c r="W111" i="145"/>
  <c r="X111" i="145"/>
  <c r="L112" i="145"/>
  <c r="M112" i="145"/>
  <c r="N112" i="145"/>
  <c r="R112" i="145"/>
  <c r="S112" i="145"/>
  <c r="T112" i="145"/>
  <c r="U112" i="145"/>
  <c r="V112" i="145"/>
  <c r="W112" i="145"/>
  <c r="X112" i="145"/>
  <c r="L113" i="145"/>
  <c r="M113" i="145"/>
  <c r="N113" i="145"/>
  <c r="R113" i="145"/>
  <c r="S113" i="145"/>
  <c r="T113" i="145"/>
  <c r="U113" i="145"/>
  <c r="V113" i="145"/>
  <c r="W113" i="145"/>
  <c r="X113" i="145"/>
  <c r="L114" i="145"/>
  <c r="M114" i="145"/>
  <c r="N114" i="145"/>
  <c r="R114" i="145"/>
  <c r="S114" i="145"/>
  <c r="T114" i="145"/>
  <c r="U114" i="145"/>
  <c r="V114" i="145"/>
  <c r="W114" i="145"/>
  <c r="X114" i="145"/>
  <c r="L115" i="145"/>
  <c r="M115" i="145"/>
  <c r="N115" i="145"/>
  <c r="R115" i="145"/>
  <c r="S115" i="145"/>
  <c r="T115" i="145"/>
  <c r="U115" i="145"/>
  <c r="V115" i="145"/>
  <c r="W115" i="145"/>
  <c r="X115" i="145"/>
  <c r="L116" i="145"/>
  <c r="M116" i="145"/>
  <c r="N116" i="145"/>
  <c r="R116" i="145"/>
  <c r="S116" i="145"/>
  <c r="T116" i="145"/>
  <c r="U116" i="145"/>
  <c r="V116" i="145"/>
  <c r="W116" i="145"/>
  <c r="X116" i="145"/>
  <c r="L117" i="145"/>
  <c r="M117" i="145"/>
  <c r="N117" i="145"/>
  <c r="R117" i="145"/>
  <c r="S117" i="145"/>
  <c r="T117" i="145"/>
  <c r="U117" i="145"/>
  <c r="V117" i="145"/>
  <c r="W117" i="145"/>
  <c r="X117" i="145"/>
  <c r="L118" i="145"/>
  <c r="M118" i="145"/>
  <c r="N118" i="145"/>
  <c r="R118" i="145"/>
  <c r="S118" i="145"/>
  <c r="T118" i="145"/>
  <c r="U118" i="145"/>
  <c r="V118" i="145"/>
  <c r="W118" i="145"/>
  <c r="X118" i="145"/>
  <c r="L119" i="145"/>
  <c r="M119" i="145"/>
  <c r="N119" i="145"/>
  <c r="R119" i="145"/>
  <c r="S119" i="145"/>
  <c r="T119" i="145"/>
  <c r="U119" i="145"/>
  <c r="V119" i="145"/>
  <c r="W119" i="145"/>
  <c r="X119" i="145"/>
  <c r="L120" i="145"/>
  <c r="M120" i="145"/>
  <c r="N120" i="145"/>
  <c r="R120" i="145"/>
  <c r="S120" i="145"/>
  <c r="T120" i="145"/>
  <c r="U120" i="145"/>
  <c r="V120" i="145"/>
  <c r="W120" i="145"/>
  <c r="X120" i="145"/>
  <c r="L121" i="145"/>
  <c r="M121" i="145"/>
  <c r="N121" i="145"/>
  <c r="R121" i="145"/>
  <c r="S121" i="145"/>
  <c r="T121" i="145"/>
  <c r="U121" i="145"/>
  <c r="V121" i="145"/>
  <c r="W121" i="145"/>
  <c r="X121" i="145"/>
  <c r="L122" i="145"/>
  <c r="M122" i="145"/>
  <c r="N122" i="145"/>
  <c r="R122" i="145"/>
  <c r="S122" i="145"/>
  <c r="T122" i="145"/>
  <c r="U122" i="145"/>
  <c r="V122" i="145"/>
  <c r="W122" i="145"/>
  <c r="X122" i="145"/>
  <c r="L123" i="145"/>
  <c r="M123" i="145"/>
  <c r="N123" i="145"/>
  <c r="R123" i="145"/>
  <c r="S123" i="145"/>
  <c r="T123" i="145"/>
  <c r="U123" i="145"/>
  <c r="V123" i="145"/>
  <c r="W123" i="145"/>
  <c r="X123" i="145"/>
  <c r="L124" i="145"/>
  <c r="M124" i="145"/>
  <c r="N124" i="145"/>
  <c r="R124" i="145"/>
  <c r="S124" i="145"/>
  <c r="T124" i="145"/>
  <c r="U124" i="145"/>
  <c r="V124" i="145"/>
  <c r="W124" i="145"/>
  <c r="X124" i="145"/>
  <c r="L125" i="145"/>
  <c r="M125" i="145"/>
  <c r="N125" i="145"/>
  <c r="R125" i="145"/>
  <c r="S125" i="145"/>
  <c r="T125" i="145"/>
  <c r="U125" i="145"/>
  <c r="V125" i="145"/>
  <c r="W125" i="145"/>
  <c r="X125" i="145"/>
  <c r="L126" i="145"/>
  <c r="M126" i="145"/>
  <c r="N126" i="145"/>
  <c r="R126" i="145"/>
  <c r="S126" i="145"/>
  <c r="T126" i="145"/>
  <c r="U126" i="145"/>
  <c r="V126" i="145"/>
  <c r="W126" i="145"/>
  <c r="X126" i="145"/>
  <c r="L127" i="145"/>
  <c r="M127" i="145"/>
  <c r="N127" i="145"/>
  <c r="R127" i="145"/>
  <c r="S127" i="145"/>
  <c r="T127" i="145"/>
  <c r="U127" i="145"/>
  <c r="V127" i="145"/>
  <c r="W127" i="145"/>
  <c r="X127" i="145"/>
  <c r="L128" i="145"/>
  <c r="M128" i="145"/>
  <c r="N128" i="145"/>
  <c r="R128" i="145"/>
  <c r="S128" i="145"/>
  <c r="T128" i="145"/>
  <c r="U128" i="145"/>
  <c r="V128" i="145"/>
  <c r="W128" i="145"/>
  <c r="X128" i="145"/>
  <c r="L129" i="145"/>
  <c r="M129" i="145"/>
  <c r="N129" i="145"/>
  <c r="R129" i="145"/>
  <c r="S129" i="145"/>
  <c r="T129" i="145"/>
  <c r="U129" i="145"/>
  <c r="V129" i="145"/>
  <c r="W129" i="145"/>
  <c r="X129" i="145"/>
  <c r="L130" i="145"/>
  <c r="M130" i="145"/>
  <c r="N130" i="145"/>
  <c r="R130" i="145"/>
  <c r="S130" i="145"/>
  <c r="T130" i="145"/>
  <c r="U130" i="145"/>
  <c r="V130" i="145"/>
  <c r="W130" i="145"/>
  <c r="X130" i="145"/>
  <c r="L131" i="145"/>
  <c r="M131" i="145"/>
  <c r="N131" i="145"/>
  <c r="R131" i="145"/>
  <c r="S131" i="145"/>
  <c r="T131" i="145"/>
  <c r="U131" i="145"/>
  <c r="V131" i="145"/>
  <c r="W131" i="145"/>
  <c r="X131" i="145"/>
  <c r="L132" i="145"/>
  <c r="M132" i="145"/>
  <c r="N132" i="145"/>
  <c r="R132" i="145"/>
  <c r="S132" i="145"/>
  <c r="T132" i="145"/>
  <c r="U132" i="145"/>
  <c r="V132" i="145"/>
  <c r="W132" i="145"/>
  <c r="X132" i="145"/>
  <c r="L133" i="145"/>
  <c r="M133" i="145"/>
  <c r="N133" i="145"/>
  <c r="R133" i="145"/>
  <c r="S133" i="145"/>
  <c r="T133" i="145"/>
  <c r="U133" i="145"/>
  <c r="V133" i="145"/>
  <c r="W133" i="145"/>
  <c r="X133" i="145"/>
  <c r="L134" i="145"/>
  <c r="M134" i="145"/>
  <c r="N134" i="145"/>
  <c r="R134" i="145"/>
  <c r="S134" i="145"/>
  <c r="T134" i="145"/>
  <c r="U134" i="145"/>
  <c r="V134" i="145"/>
  <c r="W134" i="145"/>
  <c r="X134" i="145"/>
  <c r="L135" i="145"/>
  <c r="M135" i="145"/>
  <c r="N135" i="145"/>
  <c r="R135" i="145"/>
  <c r="S135" i="145"/>
  <c r="T135" i="145"/>
  <c r="U135" i="145"/>
  <c r="V135" i="145"/>
  <c r="W135" i="145"/>
  <c r="X135" i="145"/>
  <c r="L136" i="145"/>
  <c r="M136" i="145"/>
  <c r="N136" i="145"/>
  <c r="R136" i="145"/>
  <c r="S136" i="145"/>
  <c r="T136" i="145"/>
  <c r="U136" i="145"/>
  <c r="V136" i="145"/>
  <c r="W136" i="145"/>
  <c r="X136" i="145"/>
  <c r="L137" i="145"/>
  <c r="M137" i="145"/>
  <c r="N137" i="145"/>
  <c r="R137" i="145"/>
  <c r="S137" i="145"/>
  <c r="T137" i="145"/>
  <c r="U137" i="145"/>
  <c r="V137" i="145"/>
  <c r="W137" i="145"/>
  <c r="X137" i="145"/>
  <c r="L138" i="145"/>
  <c r="M138" i="145"/>
  <c r="N138" i="145"/>
  <c r="R138" i="145"/>
  <c r="S138" i="145"/>
  <c r="T138" i="145"/>
  <c r="U138" i="145"/>
  <c r="V138" i="145"/>
  <c r="W138" i="145"/>
  <c r="X138" i="145"/>
  <c r="L139" i="145"/>
  <c r="M139" i="145"/>
  <c r="N139" i="145"/>
  <c r="R139" i="145"/>
  <c r="S139" i="145"/>
  <c r="T139" i="145"/>
  <c r="U139" i="145"/>
  <c r="V139" i="145"/>
  <c r="W139" i="145"/>
  <c r="X139" i="145"/>
  <c r="L140" i="145"/>
  <c r="M140" i="145"/>
  <c r="N140" i="145"/>
  <c r="R140" i="145"/>
  <c r="S140" i="145"/>
  <c r="T140" i="145"/>
  <c r="U140" i="145"/>
  <c r="V140" i="145"/>
  <c r="W140" i="145"/>
  <c r="X140" i="145"/>
  <c r="L141" i="145"/>
  <c r="M141" i="145"/>
  <c r="N141" i="145"/>
  <c r="R141" i="145"/>
  <c r="S141" i="145"/>
  <c r="T141" i="145"/>
  <c r="U141" i="145"/>
  <c r="V141" i="145"/>
  <c r="W141" i="145"/>
  <c r="X141" i="145"/>
  <c r="L142" i="145"/>
  <c r="M142" i="145"/>
  <c r="N142" i="145"/>
  <c r="R142" i="145"/>
  <c r="S142" i="145"/>
  <c r="T142" i="145"/>
  <c r="U142" i="145"/>
  <c r="V142" i="145"/>
  <c r="W142" i="145"/>
  <c r="X142" i="145"/>
  <c r="L143" i="145"/>
  <c r="M143" i="145"/>
  <c r="N143" i="145"/>
  <c r="R143" i="145"/>
  <c r="S143" i="145"/>
  <c r="T143" i="145"/>
  <c r="U143" i="145"/>
  <c r="V143" i="145"/>
  <c r="W143" i="145"/>
  <c r="X143" i="145"/>
  <c r="L144" i="145"/>
  <c r="M144" i="145"/>
  <c r="N144" i="145"/>
  <c r="R144" i="145"/>
  <c r="S144" i="145"/>
  <c r="T144" i="145"/>
  <c r="U144" i="145"/>
  <c r="V144" i="145"/>
  <c r="W144" i="145"/>
  <c r="X144" i="145"/>
  <c r="L145" i="145"/>
  <c r="M145" i="145"/>
  <c r="N145" i="145"/>
  <c r="R145" i="145"/>
  <c r="S145" i="145"/>
  <c r="T145" i="145"/>
  <c r="U145" i="145"/>
  <c r="V145" i="145"/>
  <c r="W145" i="145"/>
  <c r="X145" i="145"/>
  <c r="L146" i="145"/>
  <c r="M146" i="145"/>
  <c r="N146" i="145"/>
  <c r="R146" i="145"/>
  <c r="S146" i="145"/>
  <c r="T146" i="145"/>
  <c r="U146" i="145"/>
  <c r="V146" i="145"/>
  <c r="W146" i="145"/>
  <c r="X146" i="145"/>
  <c r="L147" i="145"/>
  <c r="M147" i="145"/>
  <c r="N147" i="145"/>
  <c r="R147" i="145"/>
  <c r="S147" i="145"/>
  <c r="T147" i="145"/>
  <c r="U147" i="145"/>
  <c r="V147" i="145"/>
  <c r="W147" i="145"/>
  <c r="X147" i="145"/>
  <c r="L148" i="145"/>
  <c r="M148" i="145"/>
  <c r="N148" i="145"/>
  <c r="R148" i="145"/>
  <c r="S148" i="145"/>
  <c r="T148" i="145"/>
  <c r="U148" i="145"/>
  <c r="V148" i="145"/>
  <c r="W148" i="145"/>
  <c r="X148" i="145"/>
  <c r="L149" i="145"/>
  <c r="M149" i="145"/>
  <c r="N149" i="145"/>
  <c r="R149" i="145"/>
  <c r="S149" i="145"/>
  <c r="T149" i="145"/>
  <c r="U149" i="145"/>
  <c r="V149" i="145"/>
  <c r="W149" i="145"/>
  <c r="X149" i="145"/>
  <c r="L150" i="145"/>
  <c r="M150" i="145"/>
  <c r="N150" i="145"/>
  <c r="R150" i="145"/>
  <c r="S150" i="145"/>
  <c r="T150" i="145"/>
  <c r="U150" i="145"/>
  <c r="V150" i="145"/>
  <c r="W150" i="145"/>
  <c r="X150" i="145"/>
  <c r="L151" i="145"/>
  <c r="M151" i="145"/>
  <c r="N151" i="145"/>
  <c r="R151" i="145"/>
  <c r="S151" i="145"/>
  <c r="T151" i="145"/>
  <c r="U151" i="145"/>
  <c r="V151" i="145"/>
  <c r="W151" i="145"/>
  <c r="X151" i="145"/>
  <c r="L152" i="145"/>
  <c r="M152" i="145"/>
  <c r="N152" i="145"/>
  <c r="R152" i="145"/>
  <c r="S152" i="145"/>
  <c r="T152" i="145"/>
  <c r="U152" i="145"/>
  <c r="V152" i="145"/>
  <c r="W152" i="145"/>
  <c r="X152" i="145"/>
  <c r="L153" i="145"/>
  <c r="M153" i="145"/>
  <c r="N153" i="145"/>
  <c r="R153" i="145"/>
  <c r="S153" i="145"/>
  <c r="T153" i="145"/>
  <c r="U153" i="145"/>
  <c r="V153" i="145"/>
  <c r="W153" i="145"/>
  <c r="X153" i="145"/>
  <c r="P31" i="145" l="1"/>
  <c r="P34" i="145"/>
  <c r="P38" i="145"/>
  <c r="P42" i="145"/>
  <c r="P33" i="145"/>
  <c r="P37" i="145"/>
  <c r="P41" i="145"/>
  <c r="P32" i="145"/>
  <c r="P36" i="145"/>
  <c r="P40" i="145"/>
  <c r="P35" i="145"/>
  <c r="P39" i="145"/>
  <c r="P43" i="145"/>
  <c r="Q35" i="145"/>
  <c r="Q39" i="145"/>
  <c r="Q43" i="145"/>
  <c r="Q34" i="145"/>
  <c r="Q38" i="145"/>
  <c r="Q42" i="145"/>
  <c r="Q33" i="145"/>
  <c r="Q37" i="145"/>
  <c r="Q41" i="145"/>
  <c r="Q32" i="145"/>
  <c r="Q36" i="145"/>
  <c r="Q40" i="145"/>
  <c r="O33" i="145"/>
  <c r="O37" i="145"/>
  <c r="O41" i="145"/>
  <c r="O32" i="145"/>
  <c r="O36" i="145"/>
  <c r="O40" i="145"/>
  <c r="O35" i="145"/>
  <c r="O39" i="145"/>
  <c r="O43" i="145"/>
  <c r="O34" i="145"/>
  <c r="O38" i="145"/>
  <c r="O42" i="145"/>
  <c r="K40" i="123"/>
  <c r="K47" i="120"/>
  <c r="K45" i="118"/>
  <c r="K44" i="41" l="1"/>
  <c r="K37" i="39"/>
  <c r="K42" i="37"/>
  <c r="K39" i="35"/>
  <c r="K42" i="33"/>
  <c r="K40" i="31"/>
  <c r="K37" i="28"/>
  <c r="K55" i="24"/>
  <c r="K59" i="22" l="1"/>
  <c r="K68" i="20"/>
  <c r="K51" i="18"/>
  <c r="K60" i="16"/>
  <c r="K51" i="14"/>
  <c r="K61" i="11"/>
  <c r="K69" i="9"/>
  <c r="K49" i="7"/>
  <c r="K39" i="123"/>
  <c r="K46" i="120"/>
  <c r="K44" i="118"/>
  <c r="K38" i="123" l="1"/>
  <c r="K37" i="123" l="1"/>
  <c r="K45" i="120"/>
  <c r="K43" i="118"/>
  <c r="P35" i="123" l="1"/>
  <c r="Q35" i="123"/>
  <c r="P36" i="123"/>
  <c r="Q36" i="123"/>
  <c r="P37" i="123"/>
  <c r="Q37" i="123"/>
  <c r="P38" i="123"/>
  <c r="Q38" i="123"/>
  <c r="P39" i="123"/>
  <c r="Q39" i="123"/>
  <c r="P40" i="123"/>
  <c r="Q40" i="123"/>
  <c r="O41" i="123"/>
  <c r="P41" i="123"/>
  <c r="Q41" i="123"/>
  <c r="O42" i="123"/>
  <c r="P42" i="123"/>
  <c r="Q42" i="123"/>
  <c r="O43" i="123"/>
  <c r="P43" i="123"/>
  <c r="Q43" i="123"/>
  <c r="O44" i="123"/>
  <c r="P44" i="123"/>
  <c r="Q44" i="123"/>
  <c r="O45" i="123"/>
  <c r="P45" i="123"/>
  <c r="Q45" i="123"/>
  <c r="O46" i="123"/>
  <c r="P46" i="123"/>
  <c r="Q46" i="123"/>
  <c r="O47" i="123"/>
  <c r="P47" i="123"/>
  <c r="Q47" i="123"/>
  <c r="O48" i="123"/>
  <c r="P48" i="123"/>
  <c r="Q48" i="123"/>
  <c r="O49" i="123"/>
  <c r="P49" i="123"/>
  <c r="Q49" i="123"/>
  <c r="O50" i="123"/>
  <c r="P50" i="123"/>
  <c r="Q50" i="123"/>
  <c r="O51" i="123"/>
  <c r="P51" i="123"/>
  <c r="Q51" i="123"/>
  <c r="O52" i="123"/>
  <c r="P52" i="123"/>
  <c r="Q52" i="123"/>
  <c r="O53" i="123"/>
  <c r="P53" i="123"/>
  <c r="Q53" i="123"/>
  <c r="O54" i="123"/>
  <c r="P54" i="123"/>
  <c r="Q54" i="123"/>
  <c r="O55" i="123"/>
  <c r="P55" i="123"/>
  <c r="Q55" i="123"/>
  <c r="O56" i="123"/>
  <c r="P56" i="123"/>
  <c r="Q56" i="123"/>
  <c r="O57" i="123"/>
  <c r="P57" i="123"/>
  <c r="Q57" i="123"/>
  <c r="O58" i="123"/>
  <c r="P58" i="123"/>
  <c r="Q58" i="123"/>
  <c r="O59" i="123"/>
  <c r="P59" i="123"/>
  <c r="Q59" i="123"/>
  <c r="O60" i="123"/>
  <c r="P60" i="123"/>
  <c r="Q60" i="123"/>
  <c r="O61" i="123"/>
  <c r="P61" i="123"/>
  <c r="Q61" i="123"/>
  <c r="O62" i="123"/>
  <c r="P62" i="123"/>
  <c r="Q62" i="123"/>
  <c r="O63" i="123"/>
  <c r="P63" i="123"/>
  <c r="Q63" i="123"/>
  <c r="O64" i="123"/>
  <c r="P64" i="123"/>
  <c r="Q64" i="123"/>
  <c r="O65" i="123"/>
  <c r="P65" i="123"/>
  <c r="Q65" i="123"/>
  <c r="O66" i="123"/>
  <c r="P66" i="123"/>
  <c r="Q66" i="123"/>
  <c r="O67" i="123"/>
  <c r="P67" i="123"/>
  <c r="Q67" i="123"/>
  <c r="O68" i="123"/>
  <c r="P68" i="123"/>
  <c r="Q68" i="123"/>
  <c r="O69" i="123"/>
  <c r="P69" i="123"/>
  <c r="Q69" i="123"/>
  <c r="O70" i="123"/>
  <c r="P70" i="123"/>
  <c r="Q70" i="123"/>
  <c r="O71" i="123"/>
  <c r="P71" i="123"/>
  <c r="Q71" i="123"/>
  <c r="O72" i="123"/>
  <c r="P72" i="123"/>
  <c r="Q72" i="123"/>
  <c r="O73" i="123"/>
  <c r="P73" i="123"/>
  <c r="Q73" i="123"/>
  <c r="O74" i="123"/>
  <c r="P74" i="123"/>
  <c r="Q74" i="123"/>
  <c r="O75" i="123"/>
  <c r="P75" i="123"/>
  <c r="Q75" i="123"/>
  <c r="O76" i="123"/>
  <c r="P76" i="123"/>
  <c r="Q76" i="123"/>
  <c r="O77" i="123"/>
  <c r="P77" i="123"/>
  <c r="Q77" i="123"/>
  <c r="O78" i="123"/>
  <c r="P78" i="123"/>
  <c r="Q78" i="123"/>
  <c r="O79" i="123"/>
  <c r="P79" i="123"/>
  <c r="Q79" i="123"/>
  <c r="O80" i="123"/>
  <c r="P80" i="123"/>
  <c r="Q80" i="123"/>
  <c r="O81" i="123"/>
  <c r="P81" i="123"/>
  <c r="Q81" i="123"/>
  <c r="O82" i="123"/>
  <c r="P82" i="123"/>
  <c r="Q82" i="123"/>
  <c r="O83" i="123"/>
  <c r="P83" i="123"/>
  <c r="Q83" i="123"/>
  <c r="O84" i="123"/>
  <c r="P84" i="123"/>
  <c r="Q84" i="123"/>
  <c r="O85" i="123"/>
  <c r="P85" i="123"/>
  <c r="Q85" i="123"/>
  <c r="O86" i="123"/>
  <c r="P86" i="123"/>
  <c r="Q86" i="123"/>
  <c r="O87" i="123"/>
  <c r="P87" i="123"/>
  <c r="Q87" i="123"/>
  <c r="O88" i="123"/>
  <c r="P88" i="123"/>
  <c r="Q88" i="123"/>
  <c r="O89" i="123"/>
  <c r="P89" i="123"/>
  <c r="Q89" i="123"/>
  <c r="O90" i="123"/>
  <c r="P90" i="123"/>
  <c r="Q90" i="123"/>
  <c r="O91" i="123"/>
  <c r="P91" i="123"/>
  <c r="Q91" i="123"/>
  <c r="O92" i="123"/>
  <c r="P92" i="123"/>
  <c r="Q92" i="123"/>
  <c r="O93" i="123"/>
  <c r="P93" i="123"/>
  <c r="Q93" i="123"/>
  <c r="O94" i="123"/>
  <c r="P94" i="123"/>
  <c r="Q94" i="123"/>
  <c r="O95" i="123"/>
  <c r="P95" i="123"/>
  <c r="Q95" i="123"/>
  <c r="O96" i="123"/>
  <c r="P96" i="123"/>
  <c r="Q96" i="123"/>
  <c r="O97" i="123"/>
  <c r="P97" i="123"/>
  <c r="Q97" i="123"/>
  <c r="O98" i="123"/>
  <c r="P98" i="123"/>
  <c r="Q98" i="123"/>
  <c r="O99" i="123"/>
  <c r="P99" i="123"/>
  <c r="Q99" i="123"/>
  <c r="O100" i="123"/>
  <c r="P100" i="123"/>
  <c r="Q100" i="123"/>
  <c r="O101" i="123"/>
  <c r="P101" i="123"/>
  <c r="Q101" i="123"/>
  <c r="O102" i="123"/>
  <c r="P102" i="123"/>
  <c r="Q102" i="123"/>
  <c r="O103" i="123"/>
  <c r="P103" i="123"/>
  <c r="Q103" i="123"/>
  <c r="O104" i="123"/>
  <c r="P104" i="123"/>
  <c r="Q104" i="123"/>
  <c r="O105" i="123"/>
  <c r="P105" i="123"/>
  <c r="Q105" i="123"/>
  <c r="O106" i="123"/>
  <c r="P106" i="123"/>
  <c r="Q106" i="123"/>
  <c r="O107" i="123"/>
  <c r="P107" i="123"/>
  <c r="Q107" i="123"/>
  <c r="O108" i="123"/>
  <c r="P108" i="123"/>
  <c r="Q108" i="123"/>
  <c r="O109" i="123"/>
  <c r="P109" i="123"/>
  <c r="Q109" i="123"/>
  <c r="O110" i="123"/>
  <c r="P110" i="123"/>
  <c r="Q110" i="123"/>
  <c r="O111" i="123"/>
  <c r="P111" i="123"/>
  <c r="Q111" i="123"/>
  <c r="O112" i="123"/>
  <c r="P112" i="123"/>
  <c r="Q112" i="123"/>
  <c r="O113" i="123"/>
  <c r="P113" i="123"/>
  <c r="Q113" i="123"/>
  <c r="O114" i="123"/>
  <c r="P114" i="123"/>
  <c r="Q114" i="123"/>
  <c r="O115" i="123"/>
  <c r="P115" i="123"/>
  <c r="Q115" i="123"/>
  <c r="O116" i="123"/>
  <c r="P116" i="123"/>
  <c r="Q116" i="123"/>
  <c r="O117" i="123"/>
  <c r="P117" i="123"/>
  <c r="Q117" i="123"/>
  <c r="O118" i="123"/>
  <c r="P118" i="123"/>
  <c r="Q118" i="123"/>
  <c r="O119" i="123"/>
  <c r="P119" i="123"/>
  <c r="Q119" i="123"/>
  <c r="O120" i="123"/>
  <c r="P120" i="123"/>
  <c r="Q120" i="123"/>
  <c r="O121" i="123"/>
  <c r="P121" i="123"/>
  <c r="Q121" i="123"/>
  <c r="O122" i="123"/>
  <c r="P122" i="123"/>
  <c r="Q122" i="123"/>
  <c r="O123" i="123"/>
  <c r="P123" i="123"/>
  <c r="Q123" i="123"/>
  <c r="O124" i="123"/>
  <c r="P124" i="123"/>
  <c r="Q124" i="123"/>
  <c r="O125" i="123"/>
  <c r="P125" i="123"/>
  <c r="Q125" i="123"/>
  <c r="O126" i="123"/>
  <c r="P126" i="123"/>
  <c r="Q126" i="123"/>
  <c r="O127" i="123"/>
  <c r="P127" i="123"/>
  <c r="Q127" i="123"/>
  <c r="O128" i="123"/>
  <c r="P128" i="123"/>
  <c r="Q128" i="123"/>
  <c r="O129" i="123"/>
  <c r="P129" i="123"/>
  <c r="Q129" i="123"/>
  <c r="O130" i="123"/>
  <c r="P130" i="123"/>
  <c r="Q130" i="123"/>
  <c r="O131" i="123"/>
  <c r="P131" i="123"/>
  <c r="Q131" i="123"/>
  <c r="O132" i="123"/>
  <c r="P132" i="123"/>
  <c r="Q132" i="123"/>
  <c r="O133" i="123"/>
  <c r="P133" i="123"/>
  <c r="Q133" i="123"/>
  <c r="O134" i="123"/>
  <c r="P134" i="123"/>
  <c r="Q134" i="123"/>
  <c r="O135" i="123"/>
  <c r="P135" i="123"/>
  <c r="Q135" i="123"/>
  <c r="O136" i="123"/>
  <c r="P136" i="123"/>
  <c r="Q136" i="123"/>
  <c r="O137" i="123"/>
  <c r="P137" i="123"/>
  <c r="Q137" i="123"/>
  <c r="O138" i="123"/>
  <c r="P138" i="123"/>
  <c r="Q138" i="123"/>
  <c r="O139" i="123"/>
  <c r="P139" i="123"/>
  <c r="Q139" i="123"/>
  <c r="O140" i="123"/>
  <c r="P140" i="123"/>
  <c r="Q140" i="123"/>
  <c r="O141" i="123"/>
  <c r="P141" i="123"/>
  <c r="Q141" i="123"/>
  <c r="O142" i="123"/>
  <c r="P142" i="123"/>
  <c r="Q142" i="123"/>
  <c r="O143" i="123"/>
  <c r="P143" i="123"/>
  <c r="Q143" i="123"/>
  <c r="O144" i="123"/>
  <c r="P144" i="123"/>
  <c r="Q144" i="123"/>
  <c r="O145" i="123"/>
  <c r="P145" i="123"/>
  <c r="Q145" i="123"/>
  <c r="O146" i="123"/>
  <c r="P146" i="123"/>
  <c r="Q146" i="123"/>
  <c r="O147" i="123"/>
  <c r="P147" i="123"/>
  <c r="Q147" i="123"/>
  <c r="O148" i="123"/>
  <c r="P148" i="123"/>
  <c r="Q148" i="123"/>
  <c r="O149" i="123"/>
  <c r="P149" i="123"/>
  <c r="Q149" i="123"/>
  <c r="O150" i="123"/>
  <c r="P150" i="123"/>
  <c r="Q150" i="123"/>
  <c r="O151" i="123"/>
  <c r="P151" i="123"/>
  <c r="Q151" i="123"/>
  <c r="O152" i="123"/>
  <c r="P152" i="123"/>
  <c r="Q152" i="123"/>
  <c r="O153" i="123"/>
  <c r="P153" i="123"/>
  <c r="Q153" i="123"/>
  <c r="Q34" i="123"/>
  <c r="P34" i="123"/>
  <c r="K36" i="123" l="1"/>
  <c r="K35" i="123"/>
  <c r="K34" i="123"/>
  <c r="K44" i="120"/>
  <c r="K43" i="120"/>
  <c r="K42" i="120"/>
  <c r="K42" i="118"/>
  <c r="K41" i="118"/>
  <c r="K40" i="118"/>
  <c r="K32" i="123" l="1"/>
  <c r="K33" i="123"/>
  <c r="K35" i="122"/>
  <c r="K34" i="122"/>
  <c r="K33" i="122"/>
  <c r="K40" i="120"/>
  <c r="K41" i="120"/>
  <c r="K38" i="118"/>
  <c r="K39" i="118"/>
  <c r="L40" i="120"/>
  <c r="L41" i="120"/>
  <c r="L42" i="120"/>
  <c r="L43" i="120"/>
  <c r="L44" i="120"/>
  <c r="L45" i="120"/>
  <c r="L46" i="120"/>
  <c r="L47" i="120"/>
  <c r="L48" i="120"/>
  <c r="L49" i="120"/>
  <c r="L50" i="120"/>
  <c r="L51" i="120"/>
  <c r="L52" i="120"/>
  <c r="L53" i="120"/>
  <c r="L54" i="120"/>
  <c r="L55" i="120"/>
  <c r="L56" i="120"/>
  <c r="L57" i="120"/>
  <c r="L58" i="120"/>
  <c r="L59" i="120"/>
  <c r="L60" i="120"/>
  <c r="L61" i="120"/>
  <c r="L62" i="120"/>
  <c r="L63" i="120"/>
  <c r="L64" i="120"/>
  <c r="L65" i="120"/>
  <c r="L66" i="120"/>
  <c r="L67" i="120"/>
  <c r="L68" i="120"/>
  <c r="L69" i="120"/>
  <c r="L70" i="120"/>
  <c r="L71" i="120"/>
  <c r="L72" i="120"/>
  <c r="L73" i="120"/>
  <c r="L74" i="120"/>
  <c r="L75" i="120"/>
  <c r="L76" i="120"/>
  <c r="L77" i="120"/>
  <c r="L78" i="120"/>
  <c r="L79" i="120"/>
  <c r="L80" i="120"/>
  <c r="L81" i="120"/>
  <c r="L82" i="120"/>
  <c r="L83" i="120"/>
  <c r="L84" i="120"/>
  <c r="L85" i="120"/>
  <c r="L86" i="120"/>
  <c r="L87" i="120"/>
  <c r="L88" i="120"/>
  <c r="L89" i="120"/>
  <c r="L90" i="120"/>
  <c r="L91" i="120"/>
  <c r="L92" i="120"/>
  <c r="L93" i="120"/>
  <c r="L94" i="120"/>
  <c r="L95" i="120"/>
  <c r="L96" i="120"/>
  <c r="L97" i="120"/>
  <c r="L98" i="120"/>
  <c r="L99" i="120"/>
  <c r="L100" i="120"/>
  <c r="L101" i="120"/>
  <c r="L102" i="120"/>
  <c r="L103" i="120"/>
  <c r="L104" i="120"/>
  <c r="L105" i="120"/>
  <c r="L106" i="120"/>
  <c r="L107" i="120"/>
  <c r="L108" i="120"/>
  <c r="L109" i="120"/>
  <c r="L110" i="120"/>
  <c r="L111" i="120"/>
  <c r="L112" i="120"/>
  <c r="L113" i="120"/>
  <c r="L114" i="120"/>
  <c r="L115" i="120"/>
  <c r="L116" i="120"/>
  <c r="L117" i="120"/>
  <c r="L118" i="120"/>
  <c r="L119" i="120"/>
  <c r="L120" i="120"/>
  <c r="L121" i="120"/>
  <c r="L122" i="120"/>
  <c r="L123" i="120"/>
  <c r="L124" i="120"/>
  <c r="L125" i="120"/>
  <c r="L126" i="120"/>
  <c r="L127" i="120"/>
  <c r="L128" i="120"/>
  <c r="L129" i="120"/>
  <c r="L130" i="120"/>
  <c r="L131" i="120"/>
  <c r="L132" i="120"/>
  <c r="L133" i="120"/>
  <c r="L134" i="120"/>
  <c r="L135" i="120"/>
  <c r="L136" i="120"/>
  <c r="L137" i="120"/>
  <c r="L138" i="120"/>
  <c r="L139" i="120"/>
  <c r="L140" i="120"/>
  <c r="L141" i="120"/>
  <c r="L142" i="120"/>
  <c r="L143" i="120"/>
  <c r="L144" i="120"/>
  <c r="L145" i="120"/>
  <c r="L146" i="120"/>
  <c r="L147" i="120"/>
  <c r="L148" i="120"/>
  <c r="L149" i="120"/>
  <c r="L150" i="120"/>
  <c r="L151" i="120"/>
  <c r="L152" i="120"/>
  <c r="L153" i="120"/>
  <c r="L39" i="120"/>
  <c r="K31" i="123" l="1"/>
  <c r="K39" i="120"/>
  <c r="K37" i="118"/>
  <c r="O39" i="120"/>
  <c r="P39" i="120"/>
  <c r="Q39" i="120"/>
  <c r="O40" i="120"/>
  <c r="P40" i="120"/>
  <c r="Q40" i="120"/>
  <c r="O41" i="120"/>
  <c r="P41" i="120"/>
  <c r="Q41" i="120"/>
  <c r="O42" i="120"/>
  <c r="P42" i="120"/>
  <c r="Q42" i="120"/>
  <c r="O43" i="120"/>
  <c r="P43" i="120"/>
  <c r="Q43" i="120"/>
  <c r="O44" i="120"/>
  <c r="P44" i="120"/>
  <c r="Q44" i="120"/>
  <c r="O45" i="120"/>
  <c r="P45" i="120"/>
  <c r="Q45" i="120"/>
  <c r="O46" i="120"/>
  <c r="P46" i="120"/>
  <c r="Q46" i="120"/>
  <c r="O47" i="120"/>
  <c r="P47" i="120"/>
  <c r="Q47" i="120"/>
  <c r="O48" i="120"/>
  <c r="P48" i="120"/>
  <c r="Q48" i="120"/>
  <c r="O49" i="120"/>
  <c r="P49" i="120"/>
  <c r="Q49" i="120"/>
  <c r="O50" i="120"/>
  <c r="P50" i="120"/>
  <c r="Q50" i="120"/>
  <c r="O51" i="120"/>
  <c r="P51" i="120"/>
  <c r="Q51" i="120"/>
  <c r="O52" i="120"/>
  <c r="P52" i="120"/>
  <c r="Q52" i="120"/>
  <c r="O53" i="120"/>
  <c r="P53" i="120"/>
  <c r="Q53" i="120"/>
  <c r="O54" i="120"/>
  <c r="P54" i="120"/>
  <c r="Q54" i="120"/>
  <c r="O55" i="120"/>
  <c r="P55" i="120"/>
  <c r="Q55" i="120"/>
  <c r="O56" i="120"/>
  <c r="P56" i="120"/>
  <c r="Q56" i="120"/>
  <c r="O57" i="120"/>
  <c r="P57" i="120"/>
  <c r="Q57" i="120"/>
  <c r="O58" i="120"/>
  <c r="P58" i="120"/>
  <c r="Q58" i="120"/>
  <c r="O59" i="120"/>
  <c r="P59" i="120"/>
  <c r="Q59" i="120"/>
  <c r="O60" i="120"/>
  <c r="P60" i="120"/>
  <c r="Q60" i="120"/>
  <c r="O61" i="120"/>
  <c r="P61" i="120"/>
  <c r="Q61" i="120"/>
  <c r="O62" i="120"/>
  <c r="P62" i="120"/>
  <c r="Q62" i="120"/>
  <c r="O63" i="120"/>
  <c r="P63" i="120"/>
  <c r="Q63" i="120"/>
  <c r="O64" i="120"/>
  <c r="P64" i="120"/>
  <c r="Q64" i="120"/>
  <c r="O65" i="120"/>
  <c r="P65" i="120"/>
  <c r="Q65" i="120"/>
  <c r="O66" i="120"/>
  <c r="P66" i="120"/>
  <c r="Q66" i="120"/>
  <c r="O67" i="120"/>
  <c r="P67" i="120"/>
  <c r="Q67" i="120"/>
  <c r="O68" i="120"/>
  <c r="P68" i="120"/>
  <c r="Q68" i="120"/>
  <c r="O69" i="120"/>
  <c r="P69" i="120"/>
  <c r="Q69" i="120"/>
  <c r="O70" i="120"/>
  <c r="P70" i="120"/>
  <c r="Q70" i="120"/>
  <c r="O71" i="120"/>
  <c r="P71" i="120"/>
  <c r="Q71" i="120"/>
  <c r="O72" i="120"/>
  <c r="P72" i="120"/>
  <c r="Q72" i="120"/>
  <c r="O73" i="120"/>
  <c r="P73" i="120"/>
  <c r="Q73" i="120"/>
  <c r="O74" i="120"/>
  <c r="P74" i="120"/>
  <c r="Q74" i="120"/>
  <c r="O75" i="120"/>
  <c r="P75" i="120"/>
  <c r="Q75" i="120"/>
  <c r="O76" i="120"/>
  <c r="P76" i="120"/>
  <c r="Q76" i="120"/>
  <c r="O77" i="120"/>
  <c r="P77" i="120"/>
  <c r="Q77" i="120"/>
  <c r="O78" i="120"/>
  <c r="P78" i="120"/>
  <c r="Q78" i="120"/>
  <c r="O79" i="120"/>
  <c r="P79" i="120"/>
  <c r="Q79" i="120"/>
  <c r="O80" i="120"/>
  <c r="P80" i="120"/>
  <c r="Q80" i="120"/>
  <c r="O81" i="120"/>
  <c r="P81" i="120"/>
  <c r="Q81" i="120"/>
  <c r="O82" i="120"/>
  <c r="P82" i="120"/>
  <c r="Q82" i="120"/>
  <c r="O83" i="120"/>
  <c r="P83" i="120"/>
  <c r="Q83" i="120"/>
  <c r="O84" i="120"/>
  <c r="P84" i="120"/>
  <c r="Q84" i="120"/>
  <c r="O85" i="120"/>
  <c r="P85" i="120"/>
  <c r="Q85" i="120"/>
  <c r="O86" i="120"/>
  <c r="P86" i="120"/>
  <c r="Q86" i="120"/>
  <c r="O87" i="120"/>
  <c r="P87" i="120"/>
  <c r="Q87" i="120"/>
  <c r="O88" i="120"/>
  <c r="P88" i="120"/>
  <c r="Q88" i="120"/>
  <c r="O89" i="120"/>
  <c r="P89" i="120"/>
  <c r="Q89" i="120"/>
  <c r="O90" i="120"/>
  <c r="P90" i="120"/>
  <c r="Q90" i="120"/>
  <c r="O91" i="120"/>
  <c r="P91" i="120"/>
  <c r="Q91" i="120"/>
  <c r="O92" i="120"/>
  <c r="P92" i="120"/>
  <c r="Q92" i="120"/>
  <c r="O93" i="120"/>
  <c r="P93" i="120"/>
  <c r="Q93" i="120"/>
  <c r="O94" i="120"/>
  <c r="P94" i="120"/>
  <c r="Q94" i="120"/>
  <c r="O95" i="120"/>
  <c r="P95" i="120"/>
  <c r="Q95" i="120"/>
  <c r="O96" i="120"/>
  <c r="P96" i="120"/>
  <c r="Q96" i="120"/>
  <c r="O97" i="120"/>
  <c r="P97" i="120"/>
  <c r="Q97" i="120"/>
  <c r="O98" i="120"/>
  <c r="P98" i="120"/>
  <c r="Q98" i="120"/>
  <c r="O99" i="120"/>
  <c r="P99" i="120"/>
  <c r="Q99" i="120"/>
  <c r="O100" i="120"/>
  <c r="P100" i="120"/>
  <c r="Q100" i="120"/>
  <c r="O101" i="120"/>
  <c r="P101" i="120"/>
  <c r="Q101" i="120"/>
  <c r="O102" i="120"/>
  <c r="P102" i="120"/>
  <c r="Q102" i="120"/>
  <c r="O103" i="120"/>
  <c r="P103" i="120"/>
  <c r="Q103" i="120"/>
  <c r="O104" i="120"/>
  <c r="P104" i="120"/>
  <c r="Q104" i="120"/>
  <c r="O105" i="120"/>
  <c r="P105" i="120"/>
  <c r="Q105" i="120"/>
  <c r="O106" i="120"/>
  <c r="P106" i="120"/>
  <c r="Q106" i="120"/>
  <c r="O107" i="120"/>
  <c r="P107" i="120"/>
  <c r="Q107" i="120"/>
  <c r="O108" i="120"/>
  <c r="P108" i="120"/>
  <c r="Q108" i="120"/>
  <c r="O109" i="120"/>
  <c r="P109" i="120"/>
  <c r="Q109" i="120"/>
  <c r="O110" i="120"/>
  <c r="P110" i="120"/>
  <c r="Q110" i="120"/>
  <c r="O111" i="120"/>
  <c r="P111" i="120"/>
  <c r="Q111" i="120"/>
  <c r="O112" i="120"/>
  <c r="P112" i="120"/>
  <c r="Q112" i="120"/>
  <c r="O113" i="120"/>
  <c r="P113" i="120"/>
  <c r="Q113" i="120"/>
  <c r="O114" i="120"/>
  <c r="P114" i="120"/>
  <c r="Q114" i="120"/>
  <c r="O115" i="120"/>
  <c r="P115" i="120"/>
  <c r="Q115" i="120"/>
  <c r="O116" i="120"/>
  <c r="P116" i="120"/>
  <c r="Q116" i="120"/>
  <c r="O117" i="120"/>
  <c r="P117" i="120"/>
  <c r="Q117" i="120"/>
  <c r="O118" i="120"/>
  <c r="P118" i="120"/>
  <c r="Q118" i="120"/>
  <c r="O119" i="120"/>
  <c r="P119" i="120"/>
  <c r="Q119" i="120"/>
  <c r="O120" i="120"/>
  <c r="P120" i="120"/>
  <c r="Q120" i="120"/>
  <c r="O121" i="120"/>
  <c r="P121" i="120"/>
  <c r="Q121" i="120"/>
  <c r="O122" i="120"/>
  <c r="P122" i="120"/>
  <c r="Q122" i="120"/>
  <c r="O123" i="120"/>
  <c r="P123" i="120"/>
  <c r="Q123" i="120"/>
  <c r="O124" i="120"/>
  <c r="P124" i="120"/>
  <c r="Q124" i="120"/>
  <c r="O125" i="120"/>
  <c r="P125" i="120"/>
  <c r="Q125" i="120"/>
  <c r="O126" i="120"/>
  <c r="P126" i="120"/>
  <c r="Q126" i="120"/>
  <c r="O127" i="120"/>
  <c r="P127" i="120"/>
  <c r="Q127" i="120"/>
  <c r="O128" i="120"/>
  <c r="P128" i="120"/>
  <c r="Q128" i="120"/>
  <c r="O129" i="120"/>
  <c r="P129" i="120"/>
  <c r="Q129" i="120"/>
  <c r="O130" i="120"/>
  <c r="P130" i="120"/>
  <c r="Q130" i="120"/>
  <c r="O131" i="120"/>
  <c r="P131" i="120"/>
  <c r="Q131" i="120"/>
  <c r="O132" i="120"/>
  <c r="P132" i="120"/>
  <c r="Q132" i="120"/>
  <c r="O133" i="120"/>
  <c r="P133" i="120"/>
  <c r="Q133" i="120"/>
  <c r="O134" i="120"/>
  <c r="P134" i="120"/>
  <c r="Q134" i="120"/>
  <c r="O135" i="120"/>
  <c r="P135" i="120"/>
  <c r="Q135" i="120"/>
  <c r="O136" i="120"/>
  <c r="P136" i="120"/>
  <c r="Q136" i="120"/>
  <c r="O137" i="120"/>
  <c r="P137" i="120"/>
  <c r="Q137" i="120"/>
  <c r="O138" i="120"/>
  <c r="P138" i="120"/>
  <c r="Q138" i="120"/>
  <c r="O139" i="120"/>
  <c r="P139" i="120"/>
  <c r="Q139" i="120"/>
  <c r="O140" i="120"/>
  <c r="P140" i="120"/>
  <c r="Q140" i="120"/>
  <c r="O141" i="120"/>
  <c r="P141" i="120"/>
  <c r="Q141" i="120"/>
  <c r="O142" i="120"/>
  <c r="P142" i="120"/>
  <c r="Q142" i="120"/>
  <c r="O143" i="120"/>
  <c r="P143" i="120"/>
  <c r="Q143" i="120"/>
  <c r="O144" i="120"/>
  <c r="P144" i="120"/>
  <c r="Q144" i="120"/>
  <c r="O145" i="120"/>
  <c r="P145" i="120"/>
  <c r="Q145" i="120"/>
  <c r="O146" i="120"/>
  <c r="P146" i="120"/>
  <c r="Q146" i="120"/>
  <c r="O147" i="120"/>
  <c r="P147" i="120"/>
  <c r="Q147" i="120"/>
  <c r="O148" i="120"/>
  <c r="P148" i="120"/>
  <c r="Q148" i="120"/>
  <c r="O149" i="120"/>
  <c r="P149" i="120"/>
  <c r="Q149" i="120"/>
  <c r="O150" i="120"/>
  <c r="P150" i="120"/>
  <c r="Q150" i="120"/>
  <c r="O151" i="120"/>
  <c r="P151" i="120"/>
  <c r="Q151" i="120"/>
  <c r="O152" i="120"/>
  <c r="P152" i="120"/>
  <c r="Q152" i="120"/>
  <c r="O153" i="120"/>
  <c r="P153" i="120"/>
  <c r="Q153" i="120"/>
  <c r="Q38" i="120"/>
  <c r="P38" i="120"/>
  <c r="O38" i="120"/>
  <c r="O46" i="118" l="1"/>
  <c r="P46" i="118"/>
  <c r="Q46" i="118"/>
  <c r="O47" i="118"/>
  <c r="P47" i="118"/>
  <c r="Q47" i="118"/>
  <c r="O48" i="118"/>
  <c r="P48" i="118"/>
  <c r="Q48" i="118"/>
  <c r="O49" i="118"/>
  <c r="P49" i="118"/>
  <c r="Q49" i="118"/>
  <c r="O50" i="118"/>
  <c r="P50" i="118"/>
  <c r="Q50" i="118"/>
  <c r="O51" i="118"/>
  <c r="P51" i="118"/>
  <c r="Q51" i="118"/>
  <c r="O52" i="118"/>
  <c r="P52" i="118"/>
  <c r="Q52" i="118"/>
  <c r="O53" i="118"/>
  <c r="P53" i="118"/>
  <c r="Q53" i="118"/>
  <c r="O54" i="118"/>
  <c r="P54" i="118"/>
  <c r="Q54" i="118"/>
  <c r="O55" i="118"/>
  <c r="P55" i="118"/>
  <c r="Q55" i="118"/>
  <c r="O56" i="118"/>
  <c r="P56" i="118"/>
  <c r="Q56" i="118"/>
  <c r="O57" i="118"/>
  <c r="P57" i="118"/>
  <c r="Q57" i="118"/>
  <c r="O58" i="118"/>
  <c r="P58" i="118"/>
  <c r="Q58" i="118"/>
  <c r="O59" i="118"/>
  <c r="P59" i="118"/>
  <c r="Q59" i="118"/>
  <c r="O60" i="118"/>
  <c r="P60" i="118"/>
  <c r="Q60" i="118"/>
  <c r="O61" i="118"/>
  <c r="P61" i="118"/>
  <c r="Q61" i="118"/>
  <c r="O62" i="118"/>
  <c r="P62" i="118"/>
  <c r="Q62" i="118"/>
  <c r="O63" i="118"/>
  <c r="P63" i="118"/>
  <c r="Q63" i="118"/>
  <c r="O64" i="118"/>
  <c r="P64" i="118"/>
  <c r="Q64" i="118"/>
  <c r="O65" i="118"/>
  <c r="P65" i="118"/>
  <c r="Q65" i="118"/>
  <c r="O66" i="118"/>
  <c r="P66" i="118"/>
  <c r="Q66" i="118"/>
  <c r="O67" i="118"/>
  <c r="P67" i="118"/>
  <c r="Q67" i="118"/>
  <c r="O68" i="118"/>
  <c r="P68" i="118"/>
  <c r="Q68" i="118"/>
  <c r="O69" i="118"/>
  <c r="P69" i="118"/>
  <c r="Q69" i="118"/>
  <c r="O70" i="118"/>
  <c r="P70" i="118"/>
  <c r="Q70" i="118"/>
  <c r="O71" i="118"/>
  <c r="P71" i="118"/>
  <c r="Q71" i="118"/>
  <c r="O72" i="118"/>
  <c r="P72" i="118"/>
  <c r="Q72" i="118"/>
  <c r="O73" i="118"/>
  <c r="P73" i="118"/>
  <c r="Q73" i="118"/>
  <c r="O74" i="118"/>
  <c r="P74" i="118"/>
  <c r="Q74" i="118"/>
  <c r="O75" i="118"/>
  <c r="P75" i="118"/>
  <c r="Q75" i="118"/>
  <c r="O76" i="118"/>
  <c r="P76" i="118"/>
  <c r="Q76" i="118"/>
  <c r="O77" i="118"/>
  <c r="P77" i="118"/>
  <c r="Q77" i="118"/>
  <c r="O78" i="118"/>
  <c r="P78" i="118"/>
  <c r="Q78" i="118"/>
  <c r="O79" i="118"/>
  <c r="P79" i="118"/>
  <c r="Q79" i="118"/>
  <c r="O80" i="118"/>
  <c r="P80" i="118"/>
  <c r="Q80" i="118"/>
  <c r="O81" i="118"/>
  <c r="P81" i="118"/>
  <c r="Q81" i="118"/>
  <c r="O82" i="118"/>
  <c r="P82" i="118"/>
  <c r="Q82" i="118"/>
  <c r="O83" i="118"/>
  <c r="P83" i="118"/>
  <c r="Q83" i="118"/>
  <c r="O84" i="118"/>
  <c r="P84" i="118"/>
  <c r="Q84" i="118"/>
  <c r="O85" i="118"/>
  <c r="P85" i="118"/>
  <c r="Q85" i="118"/>
  <c r="O86" i="118"/>
  <c r="P86" i="118"/>
  <c r="Q86" i="118"/>
  <c r="O87" i="118"/>
  <c r="P87" i="118"/>
  <c r="Q87" i="118"/>
  <c r="O88" i="118"/>
  <c r="P88" i="118"/>
  <c r="Q88" i="118"/>
  <c r="O89" i="118"/>
  <c r="P89" i="118"/>
  <c r="Q89" i="118"/>
  <c r="O90" i="118"/>
  <c r="P90" i="118"/>
  <c r="Q90" i="118"/>
  <c r="O91" i="118"/>
  <c r="P91" i="118"/>
  <c r="Q91" i="118"/>
  <c r="O92" i="118"/>
  <c r="P92" i="118"/>
  <c r="Q92" i="118"/>
  <c r="O93" i="118"/>
  <c r="P93" i="118"/>
  <c r="Q93" i="118"/>
  <c r="O94" i="118"/>
  <c r="P94" i="118"/>
  <c r="Q94" i="118"/>
  <c r="O95" i="118"/>
  <c r="P95" i="118"/>
  <c r="Q95" i="118"/>
  <c r="O96" i="118"/>
  <c r="P96" i="118"/>
  <c r="Q96" i="118"/>
  <c r="O97" i="118"/>
  <c r="P97" i="118"/>
  <c r="Q97" i="118"/>
  <c r="O98" i="118"/>
  <c r="P98" i="118"/>
  <c r="Q98" i="118"/>
  <c r="O99" i="118"/>
  <c r="P99" i="118"/>
  <c r="Q99" i="118"/>
  <c r="O100" i="118"/>
  <c r="P100" i="118"/>
  <c r="Q100" i="118"/>
  <c r="O101" i="118"/>
  <c r="P101" i="118"/>
  <c r="Q101" i="118"/>
  <c r="O102" i="118"/>
  <c r="P102" i="118"/>
  <c r="Q102" i="118"/>
  <c r="O103" i="118"/>
  <c r="P103" i="118"/>
  <c r="Q103" i="118"/>
  <c r="O104" i="118"/>
  <c r="P104" i="118"/>
  <c r="Q104" i="118"/>
  <c r="O105" i="118"/>
  <c r="P105" i="118"/>
  <c r="Q105" i="118"/>
  <c r="O106" i="118"/>
  <c r="P106" i="118"/>
  <c r="Q106" i="118"/>
  <c r="O107" i="118"/>
  <c r="P107" i="118"/>
  <c r="Q107" i="118"/>
  <c r="O108" i="118"/>
  <c r="P108" i="118"/>
  <c r="Q108" i="118"/>
  <c r="O109" i="118"/>
  <c r="P109" i="118"/>
  <c r="Q109" i="118"/>
  <c r="O110" i="118"/>
  <c r="P110" i="118"/>
  <c r="Q110" i="118"/>
  <c r="O111" i="118"/>
  <c r="P111" i="118"/>
  <c r="Q111" i="118"/>
  <c r="O112" i="118"/>
  <c r="P112" i="118"/>
  <c r="Q112" i="118"/>
  <c r="O113" i="118"/>
  <c r="P113" i="118"/>
  <c r="Q113" i="118"/>
  <c r="O114" i="118"/>
  <c r="P114" i="118"/>
  <c r="Q114" i="118"/>
  <c r="O115" i="118"/>
  <c r="P115" i="118"/>
  <c r="Q115" i="118"/>
  <c r="O116" i="118"/>
  <c r="P116" i="118"/>
  <c r="Q116" i="118"/>
  <c r="O117" i="118"/>
  <c r="P117" i="118"/>
  <c r="Q117" i="118"/>
  <c r="O118" i="118"/>
  <c r="P118" i="118"/>
  <c r="Q118" i="118"/>
  <c r="O119" i="118"/>
  <c r="P119" i="118"/>
  <c r="Q119" i="118"/>
  <c r="O120" i="118"/>
  <c r="P120" i="118"/>
  <c r="Q120" i="118"/>
  <c r="O121" i="118"/>
  <c r="P121" i="118"/>
  <c r="Q121" i="118"/>
  <c r="O122" i="118"/>
  <c r="P122" i="118"/>
  <c r="Q122" i="118"/>
  <c r="O123" i="118"/>
  <c r="P123" i="118"/>
  <c r="Q123" i="118"/>
  <c r="O124" i="118"/>
  <c r="P124" i="118"/>
  <c r="Q124" i="118"/>
  <c r="O125" i="118"/>
  <c r="P125" i="118"/>
  <c r="Q125" i="118"/>
  <c r="O126" i="118"/>
  <c r="P126" i="118"/>
  <c r="Q126" i="118"/>
  <c r="O127" i="118"/>
  <c r="P127" i="118"/>
  <c r="Q127" i="118"/>
  <c r="O128" i="118"/>
  <c r="P128" i="118"/>
  <c r="Q128" i="118"/>
  <c r="O129" i="118"/>
  <c r="P129" i="118"/>
  <c r="Q129" i="118"/>
  <c r="O130" i="118"/>
  <c r="P130" i="118"/>
  <c r="Q130" i="118"/>
  <c r="O131" i="118"/>
  <c r="P131" i="118"/>
  <c r="Q131" i="118"/>
  <c r="O132" i="118"/>
  <c r="P132" i="118"/>
  <c r="Q132" i="118"/>
  <c r="O133" i="118"/>
  <c r="P133" i="118"/>
  <c r="Q133" i="118"/>
  <c r="O134" i="118"/>
  <c r="P134" i="118"/>
  <c r="Q134" i="118"/>
  <c r="O135" i="118"/>
  <c r="P135" i="118"/>
  <c r="Q135" i="118"/>
  <c r="O136" i="118"/>
  <c r="P136" i="118"/>
  <c r="Q136" i="118"/>
  <c r="O137" i="118"/>
  <c r="P137" i="118"/>
  <c r="Q137" i="118"/>
  <c r="O138" i="118"/>
  <c r="P138" i="118"/>
  <c r="Q138" i="118"/>
  <c r="O139" i="118"/>
  <c r="P139" i="118"/>
  <c r="Q139" i="118"/>
  <c r="O140" i="118"/>
  <c r="P140" i="118"/>
  <c r="Q140" i="118"/>
  <c r="O141" i="118"/>
  <c r="P141" i="118"/>
  <c r="Q141" i="118"/>
  <c r="O142" i="118"/>
  <c r="P142" i="118"/>
  <c r="Q142" i="118"/>
  <c r="O143" i="118"/>
  <c r="P143" i="118"/>
  <c r="Q143" i="118"/>
  <c r="O144" i="118"/>
  <c r="P144" i="118"/>
  <c r="Q144" i="118"/>
  <c r="O145" i="118"/>
  <c r="P145" i="118"/>
  <c r="Q145" i="118"/>
  <c r="O146" i="118"/>
  <c r="P146" i="118"/>
  <c r="Q146" i="118"/>
  <c r="O147" i="118"/>
  <c r="P147" i="118"/>
  <c r="Q147" i="118"/>
  <c r="O148" i="118"/>
  <c r="P148" i="118"/>
  <c r="Q148" i="118"/>
  <c r="O149" i="118"/>
  <c r="P149" i="118"/>
  <c r="Q149" i="118"/>
  <c r="O150" i="118"/>
  <c r="P150" i="118"/>
  <c r="Q150" i="118"/>
  <c r="O151" i="118"/>
  <c r="P151" i="118"/>
  <c r="Q151" i="118"/>
  <c r="O152" i="118"/>
  <c r="P152" i="118"/>
  <c r="Q152" i="118"/>
  <c r="O153" i="118"/>
  <c r="P153" i="118"/>
  <c r="Q153" i="118"/>
  <c r="M39" i="120"/>
  <c r="M40" i="120"/>
  <c r="M41" i="120"/>
  <c r="M42" i="120"/>
  <c r="M43" i="120"/>
  <c r="M44" i="120"/>
  <c r="M45" i="120"/>
  <c r="M46" i="120"/>
  <c r="M47" i="120"/>
  <c r="M48" i="120"/>
  <c r="M49" i="120"/>
  <c r="M50" i="120"/>
  <c r="M51" i="120"/>
  <c r="M52" i="120"/>
  <c r="M53" i="120"/>
  <c r="M54" i="120"/>
  <c r="M55" i="120"/>
  <c r="M56" i="120"/>
  <c r="M57" i="120"/>
  <c r="M58" i="120"/>
  <c r="M59" i="120"/>
  <c r="M60" i="120"/>
  <c r="M61" i="120"/>
  <c r="M62" i="120"/>
  <c r="M63" i="120"/>
  <c r="M64" i="120"/>
  <c r="M65" i="120"/>
  <c r="M66" i="120"/>
  <c r="M67" i="120"/>
  <c r="M68" i="120"/>
  <c r="M69" i="120"/>
  <c r="M70" i="120"/>
  <c r="M71" i="120"/>
  <c r="M72" i="120"/>
  <c r="M73" i="120"/>
  <c r="M74" i="120"/>
  <c r="M75" i="120"/>
  <c r="M76" i="120"/>
  <c r="M77" i="120"/>
  <c r="M78" i="120"/>
  <c r="M79" i="120"/>
  <c r="M80" i="120"/>
  <c r="M81" i="120"/>
  <c r="M82" i="120"/>
  <c r="M83" i="120"/>
  <c r="M84" i="120"/>
  <c r="M85" i="120"/>
  <c r="M86" i="120"/>
  <c r="M87" i="120"/>
  <c r="M88" i="120"/>
  <c r="M89" i="120"/>
  <c r="M90" i="120"/>
  <c r="M91" i="120"/>
  <c r="M92" i="120"/>
  <c r="M93" i="120"/>
  <c r="M94" i="120"/>
  <c r="M95" i="120"/>
  <c r="M96" i="120"/>
  <c r="M97" i="120"/>
  <c r="M98" i="120"/>
  <c r="M99" i="120"/>
  <c r="M100" i="120"/>
  <c r="M101" i="120"/>
  <c r="M102" i="120"/>
  <c r="M103" i="120"/>
  <c r="M104" i="120"/>
  <c r="M105" i="120"/>
  <c r="M106" i="120"/>
  <c r="M107" i="120"/>
  <c r="M108" i="120"/>
  <c r="M109" i="120"/>
  <c r="M110" i="120"/>
  <c r="M111" i="120"/>
  <c r="M112" i="120"/>
  <c r="M113" i="120"/>
  <c r="M114" i="120"/>
  <c r="M115" i="120"/>
  <c r="M116" i="120"/>
  <c r="M117" i="120"/>
  <c r="M118" i="120"/>
  <c r="M119" i="120"/>
  <c r="M120" i="120"/>
  <c r="M121" i="120"/>
  <c r="M122" i="120"/>
  <c r="M123" i="120"/>
  <c r="M124" i="120"/>
  <c r="M125" i="120"/>
  <c r="M126" i="120"/>
  <c r="M127" i="120"/>
  <c r="M128" i="120"/>
  <c r="M129" i="120"/>
  <c r="M130" i="120"/>
  <c r="M131" i="120"/>
  <c r="M132" i="120"/>
  <c r="M133" i="120"/>
  <c r="M134" i="120"/>
  <c r="M135" i="120"/>
  <c r="M136" i="120"/>
  <c r="M137" i="120"/>
  <c r="M138" i="120"/>
  <c r="M139" i="120"/>
  <c r="M140" i="120"/>
  <c r="M141" i="120"/>
  <c r="M142" i="120"/>
  <c r="M143" i="120"/>
  <c r="M144" i="120"/>
  <c r="M145" i="120"/>
  <c r="M146" i="120"/>
  <c r="M147" i="120"/>
  <c r="M148" i="120"/>
  <c r="M149" i="120"/>
  <c r="M150" i="120"/>
  <c r="M151" i="120"/>
  <c r="M152" i="120"/>
  <c r="M153" i="120"/>
  <c r="M38" i="120"/>
  <c r="K30" i="123"/>
  <c r="K32" i="122"/>
  <c r="K38" i="120"/>
  <c r="K36" i="118"/>
  <c r="K29" i="123"/>
  <c r="K31" i="122"/>
  <c r="K37" i="120"/>
  <c r="K35" i="118"/>
  <c r="K36" i="120"/>
  <c r="K34" i="118"/>
  <c r="K35" i="120"/>
  <c r="K33" i="118" l="1"/>
  <c r="K28" i="123" l="1"/>
  <c r="K30" i="122"/>
  <c r="K34" i="120"/>
  <c r="K27" i="123" l="1"/>
  <c r="K29" i="122"/>
  <c r="K33" i="120"/>
  <c r="K32" i="118"/>
  <c r="K26" i="123" l="1"/>
  <c r="K28" i="122"/>
  <c r="K32" i="120"/>
  <c r="K41" i="37" l="1"/>
  <c r="K38" i="35"/>
  <c r="K25" i="123" l="1"/>
  <c r="K27" i="122"/>
  <c r="K31" i="120"/>
  <c r="K41" i="33" l="1"/>
  <c r="K39" i="31"/>
  <c r="K36" i="28"/>
  <c r="K54" i="24"/>
  <c r="K58" i="22"/>
  <c r="K57" i="22"/>
  <c r="K67" i="20"/>
  <c r="K31" i="118"/>
  <c r="K24" i="123" l="1"/>
  <c r="K26" i="122"/>
  <c r="K30" i="120"/>
  <c r="K23" i="123"/>
  <c r="K25" i="122"/>
  <c r="K29" i="120"/>
  <c r="K30" i="118"/>
  <c r="K22" i="123"/>
  <c r="K24" i="122"/>
  <c r="K28" i="120"/>
  <c r="K21" i="123"/>
  <c r="K23" i="122"/>
  <c r="K27" i="120"/>
  <c r="K20" i="123"/>
  <c r="K22" i="122"/>
  <c r="K26" i="120"/>
  <c r="K43" i="41"/>
  <c r="K36" i="39"/>
  <c r="K50" i="18"/>
  <c r="K59" i="16"/>
  <c r="K50" i="14"/>
  <c r="K60" i="11"/>
  <c r="K68" i="9"/>
  <c r="K48" i="7"/>
  <c r="K19" i="123"/>
  <c r="K21" i="122"/>
  <c r="K25" i="120"/>
  <c r="M19" i="123"/>
  <c r="N19" i="123"/>
  <c r="O19" i="123"/>
  <c r="P19" i="123"/>
  <c r="Q19" i="123"/>
  <c r="R19" i="123"/>
  <c r="M20" i="123"/>
  <c r="N20" i="123"/>
  <c r="O20" i="123"/>
  <c r="P20" i="123"/>
  <c r="Q20" i="123"/>
  <c r="R20" i="123"/>
  <c r="M21" i="123"/>
  <c r="N21" i="123"/>
  <c r="O21" i="123"/>
  <c r="P21" i="123"/>
  <c r="Q21" i="123"/>
  <c r="R21" i="123"/>
  <c r="M22" i="123"/>
  <c r="N22" i="123"/>
  <c r="O22" i="123"/>
  <c r="P22" i="123"/>
  <c r="Q22" i="123"/>
  <c r="R22" i="123"/>
  <c r="M23" i="123"/>
  <c r="N23" i="123"/>
  <c r="O23" i="123"/>
  <c r="P23" i="123"/>
  <c r="Q23" i="123"/>
  <c r="R23" i="123"/>
  <c r="M24" i="123"/>
  <c r="N24" i="123"/>
  <c r="O24" i="123"/>
  <c r="P24" i="123"/>
  <c r="Q24" i="123"/>
  <c r="R24" i="123"/>
  <c r="M25" i="123"/>
  <c r="N25" i="123"/>
  <c r="O25" i="123"/>
  <c r="P25" i="123"/>
  <c r="Q25" i="123"/>
  <c r="R25" i="123"/>
  <c r="M26" i="123"/>
  <c r="N26" i="123"/>
  <c r="O26" i="123"/>
  <c r="P26" i="123"/>
  <c r="Q26" i="123"/>
  <c r="R26" i="123"/>
  <c r="M27" i="123"/>
  <c r="N27" i="123"/>
  <c r="O27" i="123"/>
  <c r="P27" i="123"/>
  <c r="Q27" i="123"/>
  <c r="R27" i="123"/>
  <c r="M28" i="123"/>
  <c r="N28" i="123"/>
  <c r="O28" i="123"/>
  <c r="P28" i="123"/>
  <c r="Q28" i="123"/>
  <c r="R28" i="123"/>
  <c r="M29" i="123"/>
  <c r="N29" i="123"/>
  <c r="O29" i="123"/>
  <c r="P29" i="123"/>
  <c r="Q29" i="123"/>
  <c r="R29" i="123"/>
  <c r="M30" i="123"/>
  <c r="N30" i="123"/>
  <c r="O30" i="123"/>
  <c r="P30" i="123"/>
  <c r="Q30" i="123"/>
  <c r="R30" i="123"/>
  <c r="M31" i="123"/>
  <c r="N31" i="123"/>
  <c r="O31" i="123"/>
  <c r="P31" i="123"/>
  <c r="Q31" i="123"/>
  <c r="R31" i="123"/>
  <c r="M32" i="123"/>
  <c r="N32" i="123"/>
  <c r="O32" i="123"/>
  <c r="P32" i="123"/>
  <c r="Q32" i="123"/>
  <c r="R32" i="123"/>
  <c r="M33" i="123"/>
  <c r="N33" i="123"/>
  <c r="O33" i="123"/>
  <c r="P33" i="123"/>
  <c r="Q33" i="123"/>
  <c r="R33" i="123"/>
  <c r="M34" i="123"/>
  <c r="N34" i="123"/>
  <c r="R34" i="123"/>
  <c r="M35" i="123"/>
  <c r="N35" i="123"/>
  <c r="R35" i="123"/>
  <c r="M36" i="123"/>
  <c r="N36" i="123"/>
  <c r="R36" i="123"/>
  <c r="M37" i="123"/>
  <c r="N37" i="123"/>
  <c r="R37" i="123"/>
  <c r="M38" i="123"/>
  <c r="N38" i="123"/>
  <c r="R38" i="123"/>
  <c r="M39" i="123"/>
  <c r="N39" i="123"/>
  <c r="R39" i="123"/>
  <c r="M40" i="123"/>
  <c r="N40" i="123"/>
  <c r="R40" i="123"/>
  <c r="M41" i="123"/>
  <c r="N41" i="123"/>
  <c r="R41" i="123"/>
  <c r="M42" i="123"/>
  <c r="N42" i="123"/>
  <c r="R42" i="123"/>
  <c r="M43" i="123"/>
  <c r="N43" i="123"/>
  <c r="R43" i="123"/>
  <c r="M44" i="123"/>
  <c r="N44" i="123"/>
  <c r="R44" i="123"/>
  <c r="M45" i="123"/>
  <c r="N45" i="123"/>
  <c r="R45" i="123"/>
  <c r="M46" i="123"/>
  <c r="N46" i="123"/>
  <c r="R46" i="123"/>
  <c r="M47" i="123"/>
  <c r="N47" i="123"/>
  <c r="R47" i="123"/>
  <c r="M48" i="123"/>
  <c r="N48" i="123"/>
  <c r="R48" i="123"/>
  <c r="M49" i="123"/>
  <c r="N49" i="123"/>
  <c r="R49" i="123"/>
  <c r="M50" i="123"/>
  <c r="N50" i="123"/>
  <c r="R50" i="123"/>
  <c r="M51" i="123"/>
  <c r="N51" i="123"/>
  <c r="R51" i="123"/>
  <c r="M52" i="123"/>
  <c r="N52" i="123"/>
  <c r="R52" i="123"/>
  <c r="M53" i="123"/>
  <c r="N53" i="123"/>
  <c r="R53" i="123"/>
  <c r="M54" i="123"/>
  <c r="N54" i="123"/>
  <c r="R54" i="123"/>
  <c r="M55" i="123"/>
  <c r="N55" i="123"/>
  <c r="R55" i="123"/>
  <c r="M56" i="123"/>
  <c r="N56" i="123"/>
  <c r="R56" i="123"/>
  <c r="M57" i="123"/>
  <c r="N57" i="123"/>
  <c r="R57" i="123"/>
  <c r="M58" i="123"/>
  <c r="N58" i="123"/>
  <c r="R58" i="123"/>
  <c r="M59" i="123"/>
  <c r="N59" i="123"/>
  <c r="R59" i="123"/>
  <c r="M60" i="123"/>
  <c r="N60" i="123"/>
  <c r="R60" i="123"/>
  <c r="M61" i="123"/>
  <c r="N61" i="123"/>
  <c r="R61" i="123"/>
  <c r="M62" i="123"/>
  <c r="N62" i="123"/>
  <c r="R62" i="123"/>
  <c r="M63" i="123"/>
  <c r="N63" i="123"/>
  <c r="R63" i="123"/>
  <c r="M64" i="123"/>
  <c r="N64" i="123"/>
  <c r="R64" i="123"/>
  <c r="M65" i="123"/>
  <c r="N65" i="123"/>
  <c r="R65" i="123"/>
  <c r="M66" i="123"/>
  <c r="N66" i="123"/>
  <c r="R66" i="123"/>
  <c r="M67" i="123"/>
  <c r="N67" i="123"/>
  <c r="R67" i="123"/>
  <c r="M68" i="123"/>
  <c r="N68" i="123"/>
  <c r="R68" i="123"/>
  <c r="M69" i="123"/>
  <c r="N69" i="123"/>
  <c r="R69" i="123"/>
  <c r="M70" i="123"/>
  <c r="N70" i="123"/>
  <c r="R70" i="123"/>
  <c r="M71" i="123"/>
  <c r="N71" i="123"/>
  <c r="R71" i="123"/>
  <c r="M72" i="123"/>
  <c r="N72" i="123"/>
  <c r="R72" i="123"/>
  <c r="M73" i="123"/>
  <c r="N73" i="123"/>
  <c r="R73" i="123"/>
  <c r="M74" i="123"/>
  <c r="N74" i="123"/>
  <c r="R74" i="123"/>
  <c r="M75" i="123"/>
  <c r="N75" i="123"/>
  <c r="R75" i="123"/>
  <c r="M76" i="123"/>
  <c r="N76" i="123"/>
  <c r="R76" i="123"/>
  <c r="M77" i="123"/>
  <c r="N77" i="123"/>
  <c r="R77" i="123"/>
  <c r="M78" i="123"/>
  <c r="N78" i="123"/>
  <c r="R78" i="123"/>
  <c r="M79" i="123"/>
  <c r="N79" i="123"/>
  <c r="R79" i="123"/>
  <c r="M80" i="123"/>
  <c r="N80" i="123"/>
  <c r="R80" i="123"/>
  <c r="M81" i="123"/>
  <c r="N81" i="123"/>
  <c r="R81" i="123"/>
  <c r="M82" i="123"/>
  <c r="N82" i="123"/>
  <c r="R82" i="123"/>
  <c r="M83" i="123"/>
  <c r="N83" i="123"/>
  <c r="R83" i="123"/>
  <c r="M84" i="123"/>
  <c r="N84" i="123"/>
  <c r="R84" i="123"/>
  <c r="M85" i="123"/>
  <c r="N85" i="123"/>
  <c r="R85" i="123"/>
  <c r="M86" i="123"/>
  <c r="N86" i="123"/>
  <c r="R86" i="123"/>
  <c r="M87" i="123"/>
  <c r="N87" i="123"/>
  <c r="R87" i="123"/>
  <c r="M88" i="123"/>
  <c r="N88" i="123"/>
  <c r="R88" i="123"/>
  <c r="M89" i="123"/>
  <c r="N89" i="123"/>
  <c r="R89" i="123"/>
  <c r="M90" i="123"/>
  <c r="N90" i="123"/>
  <c r="R90" i="123"/>
  <c r="M91" i="123"/>
  <c r="N91" i="123"/>
  <c r="R91" i="123"/>
  <c r="M92" i="123"/>
  <c r="N92" i="123"/>
  <c r="R92" i="123"/>
  <c r="M93" i="123"/>
  <c r="N93" i="123"/>
  <c r="R93" i="123"/>
  <c r="M94" i="123"/>
  <c r="N94" i="123"/>
  <c r="R94" i="123"/>
  <c r="M95" i="123"/>
  <c r="N95" i="123"/>
  <c r="R95" i="123"/>
  <c r="M96" i="123"/>
  <c r="N96" i="123"/>
  <c r="R96" i="123"/>
  <c r="M97" i="123"/>
  <c r="N97" i="123"/>
  <c r="R97" i="123"/>
  <c r="M98" i="123"/>
  <c r="N98" i="123"/>
  <c r="R98" i="123"/>
  <c r="M99" i="123"/>
  <c r="N99" i="123"/>
  <c r="R99" i="123"/>
  <c r="M100" i="123"/>
  <c r="N100" i="123"/>
  <c r="R100" i="123"/>
  <c r="M101" i="123"/>
  <c r="N101" i="123"/>
  <c r="R101" i="123"/>
  <c r="M102" i="123"/>
  <c r="N102" i="123"/>
  <c r="R102" i="123"/>
  <c r="M103" i="123"/>
  <c r="N103" i="123"/>
  <c r="R103" i="123"/>
  <c r="M104" i="123"/>
  <c r="N104" i="123"/>
  <c r="R104" i="123"/>
  <c r="M105" i="123"/>
  <c r="N105" i="123"/>
  <c r="R105" i="123"/>
  <c r="M106" i="123"/>
  <c r="N106" i="123"/>
  <c r="R106" i="123"/>
  <c r="M107" i="123"/>
  <c r="N107" i="123"/>
  <c r="R107" i="123"/>
  <c r="M108" i="123"/>
  <c r="N108" i="123"/>
  <c r="R108" i="123"/>
  <c r="M109" i="123"/>
  <c r="N109" i="123"/>
  <c r="R109" i="123"/>
  <c r="M110" i="123"/>
  <c r="N110" i="123"/>
  <c r="R110" i="123"/>
  <c r="M111" i="123"/>
  <c r="N111" i="123"/>
  <c r="R111" i="123"/>
  <c r="M112" i="123"/>
  <c r="N112" i="123"/>
  <c r="R112" i="123"/>
  <c r="M113" i="123"/>
  <c r="N113" i="123"/>
  <c r="R113" i="123"/>
  <c r="M114" i="123"/>
  <c r="N114" i="123"/>
  <c r="R114" i="123"/>
  <c r="M115" i="123"/>
  <c r="N115" i="123"/>
  <c r="R115" i="123"/>
  <c r="M116" i="123"/>
  <c r="N116" i="123"/>
  <c r="R116" i="123"/>
  <c r="M117" i="123"/>
  <c r="N117" i="123"/>
  <c r="R117" i="123"/>
  <c r="M118" i="123"/>
  <c r="N118" i="123"/>
  <c r="R118" i="123"/>
  <c r="M119" i="123"/>
  <c r="N119" i="123"/>
  <c r="R119" i="123"/>
  <c r="M120" i="123"/>
  <c r="N120" i="123"/>
  <c r="R120" i="123"/>
  <c r="M121" i="123"/>
  <c r="N121" i="123"/>
  <c r="R121" i="123"/>
  <c r="M122" i="123"/>
  <c r="N122" i="123"/>
  <c r="R122" i="123"/>
  <c r="M123" i="123"/>
  <c r="N123" i="123"/>
  <c r="R123" i="123"/>
  <c r="M124" i="123"/>
  <c r="N124" i="123"/>
  <c r="R124" i="123"/>
  <c r="M125" i="123"/>
  <c r="N125" i="123"/>
  <c r="R125" i="123"/>
  <c r="M126" i="123"/>
  <c r="N126" i="123"/>
  <c r="R126" i="123"/>
  <c r="M127" i="123"/>
  <c r="N127" i="123"/>
  <c r="R127" i="123"/>
  <c r="M128" i="123"/>
  <c r="N128" i="123"/>
  <c r="R128" i="123"/>
  <c r="M129" i="123"/>
  <c r="N129" i="123"/>
  <c r="R129" i="123"/>
  <c r="M130" i="123"/>
  <c r="N130" i="123"/>
  <c r="R130" i="123"/>
  <c r="M131" i="123"/>
  <c r="N131" i="123"/>
  <c r="R131" i="123"/>
  <c r="M132" i="123"/>
  <c r="N132" i="123"/>
  <c r="R132" i="123"/>
  <c r="M133" i="123"/>
  <c r="N133" i="123"/>
  <c r="R133" i="123"/>
  <c r="M134" i="123"/>
  <c r="N134" i="123"/>
  <c r="R134" i="123"/>
  <c r="M135" i="123"/>
  <c r="N135" i="123"/>
  <c r="R135" i="123"/>
  <c r="M136" i="123"/>
  <c r="N136" i="123"/>
  <c r="R136" i="123"/>
  <c r="M137" i="123"/>
  <c r="N137" i="123"/>
  <c r="R137" i="123"/>
  <c r="M138" i="123"/>
  <c r="N138" i="123"/>
  <c r="R138" i="123"/>
  <c r="M139" i="123"/>
  <c r="N139" i="123"/>
  <c r="R139" i="123"/>
  <c r="M140" i="123"/>
  <c r="N140" i="123"/>
  <c r="R140" i="123"/>
  <c r="M141" i="123"/>
  <c r="N141" i="123"/>
  <c r="R141" i="123"/>
  <c r="M142" i="123"/>
  <c r="N142" i="123"/>
  <c r="R142" i="123"/>
  <c r="M143" i="123"/>
  <c r="N143" i="123"/>
  <c r="R143" i="123"/>
  <c r="M144" i="123"/>
  <c r="N144" i="123"/>
  <c r="R144" i="123"/>
  <c r="M145" i="123"/>
  <c r="N145" i="123"/>
  <c r="R145" i="123"/>
  <c r="M146" i="123"/>
  <c r="N146" i="123"/>
  <c r="R146" i="123"/>
  <c r="M147" i="123"/>
  <c r="N147" i="123"/>
  <c r="R147" i="123"/>
  <c r="M148" i="123"/>
  <c r="N148" i="123"/>
  <c r="R148" i="123"/>
  <c r="M149" i="123"/>
  <c r="N149" i="123"/>
  <c r="R149" i="123"/>
  <c r="M150" i="123"/>
  <c r="N150" i="123"/>
  <c r="R150" i="123"/>
  <c r="M151" i="123"/>
  <c r="N151" i="123"/>
  <c r="R151" i="123"/>
  <c r="M152" i="123"/>
  <c r="N152" i="123"/>
  <c r="R152" i="123"/>
  <c r="M153" i="123"/>
  <c r="N153" i="123"/>
  <c r="R153" i="123"/>
  <c r="R18" i="123"/>
  <c r="N18" i="123"/>
  <c r="M18" i="123"/>
  <c r="K18" i="123"/>
  <c r="K17" i="123"/>
  <c r="K16" i="123"/>
  <c r="X153" i="123"/>
  <c r="W153" i="123"/>
  <c r="V153" i="123"/>
  <c r="U153" i="123"/>
  <c r="T153" i="123"/>
  <c r="S153" i="123"/>
  <c r="L153" i="123"/>
  <c r="X152" i="123"/>
  <c r="W152" i="123"/>
  <c r="V152" i="123"/>
  <c r="U152" i="123"/>
  <c r="T152" i="123"/>
  <c r="S152" i="123"/>
  <c r="L152" i="123"/>
  <c r="X151" i="123"/>
  <c r="W151" i="123"/>
  <c r="V151" i="123"/>
  <c r="U151" i="123"/>
  <c r="T151" i="123"/>
  <c r="S151" i="123"/>
  <c r="L151" i="123"/>
  <c r="X150" i="123"/>
  <c r="W150" i="123"/>
  <c r="V150" i="123"/>
  <c r="U150" i="123"/>
  <c r="T150" i="123"/>
  <c r="S150" i="123"/>
  <c r="L150" i="123"/>
  <c r="X149" i="123"/>
  <c r="W149" i="123"/>
  <c r="V149" i="123"/>
  <c r="U149" i="123"/>
  <c r="T149" i="123"/>
  <c r="S149" i="123"/>
  <c r="L149" i="123"/>
  <c r="X148" i="123"/>
  <c r="W148" i="123"/>
  <c r="V148" i="123"/>
  <c r="U148" i="123"/>
  <c r="T148" i="123"/>
  <c r="S148" i="123"/>
  <c r="L148" i="123"/>
  <c r="X147" i="123"/>
  <c r="W147" i="123"/>
  <c r="V147" i="123"/>
  <c r="U147" i="123"/>
  <c r="T147" i="123"/>
  <c r="S147" i="123"/>
  <c r="L147" i="123"/>
  <c r="X146" i="123"/>
  <c r="W146" i="123"/>
  <c r="V146" i="123"/>
  <c r="U146" i="123"/>
  <c r="T146" i="123"/>
  <c r="S146" i="123"/>
  <c r="L146" i="123"/>
  <c r="X145" i="123"/>
  <c r="W145" i="123"/>
  <c r="V145" i="123"/>
  <c r="U145" i="123"/>
  <c r="T145" i="123"/>
  <c r="S145" i="123"/>
  <c r="L145" i="123"/>
  <c r="X144" i="123"/>
  <c r="W144" i="123"/>
  <c r="V144" i="123"/>
  <c r="U144" i="123"/>
  <c r="T144" i="123"/>
  <c r="S144" i="123"/>
  <c r="L144" i="123"/>
  <c r="X143" i="123"/>
  <c r="W143" i="123"/>
  <c r="V143" i="123"/>
  <c r="U143" i="123"/>
  <c r="T143" i="123"/>
  <c r="S143" i="123"/>
  <c r="L143" i="123"/>
  <c r="X142" i="123"/>
  <c r="W142" i="123"/>
  <c r="V142" i="123"/>
  <c r="U142" i="123"/>
  <c r="T142" i="123"/>
  <c r="S142" i="123"/>
  <c r="L142" i="123"/>
  <c r="X141" i="123"/>
  <c r="W141" i="123"/>
  <c r="V141" i="123"/>
  <c r="U141" i="123"/>
  <c r="T141" i="123"/>
  <c r="S141" i="123"/>
  <c r="L141" i="123"/>
  <c r="X140" i="123"/>
  <c r="W140" i="123"/>
  <c r="V140" i="123"/>
  <c r="U140" i="123"/>
  <c r="T140" i="123"/>
  <c r="S140" i="123"/>
  <c r="L140" i="123"/>
  <c r="X139" i="123"/>
  <c r="W139" i="123"/>
  <c r="V139" i="123"/>
  <c r="U139" i="123"/>
  <c r="T139" i="123"/>
  <c r="S139" i="123"/>
  <c r="L139" i="123"/>
  <c r="X138" i="123"/>
  <c r="W138" i="123"/>
  <c r="V138" i="123"/>
  <c r="U138" i="123"/>
  <c r="T138" i="123"/>
  <c r="S138" i="123"/>
  <c r="L138" i="123"/>
  <c r="X137" i="123"/>
  <c r="W137" i="123"/>
  <c r="V137" i="123"/>
  <c r="U137" i="123"/>
  <c r="T137" i="123"/>
  <c r="S137" i="123"/>
  <c r="L137" i="123"/>
  <c r="X136" i="123"/>
  <c r="W136" i="123"/>
  <c r="V136" i="123"/>
  <c r="U136" i="123"/>
  <c r="T136" i="123"/>
  <c r="S136" i="123"/>
  <c r="L136" i="123"/>
  <c r="X135" i="123"/>
  <c r="W135" i="123"/>
  <c r="V135" i="123"/>
  <c r="U135" i="123"/>
  <c r="T135" i="123"/>
  <c r="S135" i="123"/>
  <c r="L135" i="123"/>
  <c r="X134" i="123"/>
  <c r="W134" i="123"/>
  <c r="V134" i="123"/>
  <c r="U134" i="123"/>
  <c r="T134" i="123"/>
  <c r="S134" i="123"/>
  <c r="L134" i="123"/>
  <c r="X133" i="123"/>
  <c r="W133" i="123"/>
  <c r="V133" i="123"/>
  <c r="U133" i="123"/>
  <c r="T133" i="123"/>
  <c r="S133" i="123"/>
  <c r="L133" i="123"/>
  <c r="X132" i="123"/>
  <c r="W132" i="123"/>
  <c r="V132" i="123"/>
  <c r="U132" i="123"/>
  <c r="T132" i="123"/>
  <c r="S132" i="123"/>
  <c r="L132" i="123"/>
  <c r="X131" i="123"/>
  <c r="W131" i="123"/>
  <c r="V131" i="123"/>
  <c r="U131" i="123"/>
  <c r="T131" i="123"/>
  <c r="S131" i="123"/>
  <c r="L131" i="123"/>
  <c r="X130" i="123"/>
  <c r="W130" i="123"/>
  <c r="V130" i="123"/>
  <c r="U130" i="123"/>
  <c r="T130" i="123"/>
  <c r="S130" i="123"/>
  <c r="L130" i="123"/>
  <c r="X129" i="123"/>
  <c r="W129" i="123"/>
  <c r="V129" i="123"/>
  <c r="U129" i="123"/>
  <c r="T129" i="123"/>
  <c r="S129" i="123"/>
  <c r="L129" i="123"/>
  <c r="X128" i="123"/>
  <c r="W128" i="123"/>
  <c r="V128" i="123"/>
  <c r="U128" i="123"/>
  <c r="T128" i="123"/>
  <c r="S128" i="123"/>
  <c r="L128" i="123"/>
  <c r="X127" i="123"/>
  <c r="W127" i="123"/>
  <c r="V127" i="123"/>
  <c r="U127" i="123"/>
  <c r="T127" i="123"/>
  <c r="S127" i="123"/>
  <c r="L127" i="123"/>
  <c r="X126" i="123"/>
  <c r="W126" i="123"/>
  <c r="V126" i="123"/>
  <c r="U126" i="123"/>
  <c r="T126" i="123"/>
  <c r="S126" i="123"/>
  <c r="L126" i="123"/>
  <c r="X125" i="123"/>
  <c r="W125" i="123"/>
  <c r="V125" i="123"/>
  <c r="U125" i="123"/>
  <c r="T125" i="123"/>
  <c r="S125" i="123"/>
  <c r="L125" i="123"/>
  <c r="X124" i="123"/>
  <c r="W124" i="123"/>
  <c r="V124" i="123"/>
  <c r="U124" i="123"/>
  <c r="T124" i="123"/>
  <c r="S124" i="123"/>
  <c r="L124" i="123"/>
  <c r="X123" i="123"/>
  <c r="W123" i="123"/>
  <c r="V123" i="123"/>
  <c r="U123" i="123"/>
  <c r="T123" i="123"/>
  <c r="S123" i="123"/>
  <c r="L123" i="123"/>
  <c r="X122" i="123"/>
  <c r="W122" i="123"/>
  <c r="V122" i="123"/>
  <c r="U122" i="123"/>
  <c r="T122" i="123"/>
  <c r="S122" i="123"/>
  <c r="L122" i="123"/>
  <c r="X121" i="123"/>
  <c r="W121" i="123"/>
  <c r="V121" i="123"/>
  <c r="U121" i="123"/>
  <c r="T121" i="123"/>
  <c r="S121" i="123"/>
  <c r="L121" i="123"/>
  <c r="X120" i="123"/>
  <c r="W120" i="123"/>
  <c r="V120" i="123"/>
  <c r="U120" i="123"/>
  <c r="T120" i="123"/>
  <c r="S120" i="123"/>
  <c r="L120" i="123"/>
  <c r="X119" i="123"/>
  <c r="W119" i="123"/>
  <c r="V119" i="123"/>
  <c r="U119" i="123"/>
  <c r="T119" i="123"/>
  <c r="S119" i="123"/>
  <c r="L119" i="123"/>
  <c r="X118" i="123"/>
  <c r="W118" i="123"/>
  <c r="V118" i="123"/>
  <c r="U118" i="123"/>
  <c r="T118" i="123"/>
  <c r="S118" i="123"/>
  <c r="L118" i="123"/>
  <c r="X117" i="123"/>
  <c r="W117" i="123"/>
  <c r="V117" i="123"/>
  <c r="U117" i="123"/>
  <c r="T117" i="123"/>
  <c r="S117" i="123"/>
  <c r="L117" i="123"/>
  <c r="X116" i="123"/>
  <c r="W116" i="123"/>
  <c r="V116" i="123"/>
  <c r="U116" i="123"/>
  <c r="T116" i="123"/>
  <c r="S116" i="123"/>
  <c r="L116" i="123"/>
  <c r="X115" i="123"/>
  <c r="W115" i="123"/>
  <c r="V115" i="123"/>
  <c r="U115" i="123"/>
  <c r="T115" i="123"/>
  <c r="S115" i="123"/>
  <c r="L115" i="123"/>
  <c r="X114" i="123"/>
  <c r="W114" i="123"/>
  <c r="V114" i="123"/>
  <c r="U114" i="123"/>
  <c r="T114" i="123"/>
  <c r="S114" i="123"/>
  <c r="L114" i="123"/>
  <c r="X113" i="123"/>
  <c r="W113" i="123"/>
  <c r="V113" i="123"/>
  <c r="U113" i="123"/>
  <c r="T113" i="123"/>
  <c r="S113" i="123"/>
  <c r="L113" i="123"/>
  <c r="X112" i="123"/>
  <c r="W112" i="123"/>
  <c r="V112" i="123"/>
  <c r="U112" i="123"/>
  <c r="T112" i="123"/>
  <c r="S112" i="123"/>
  <c r="L112" i="123"/>
  <c r="X111" i="123"/>
  <c r="W111" i="123"/>
  <c r="V111" i="123"/>
  <c r="U111" i="123"/>
  <c r="T111" i="123"/>
  <c r="S111" i="123"/>
  <c r="L111" i="123"/>
  <c r="X110" i="123"/>
  <c r="W110" i="123"/>
  <c r="V110" i="123"/>
  <c r="U110" i="123"/>
  <c r="T110" i="123"/>
  <c r="S110" i="123"/>
  <c r="L110" i="123"/>
  <c r="X109" i="123"/>
  <c r="W109" i="123"/>
  <c r="V109" i="123"/>
  <c r="U109" i="123"/>
  <c r="T109" i="123"/>
  <c r="S109" i="123"/>
  <c r="L109" i="123"/>
  <c r="X108" i="123"/>
  <c r="W108" i="123"/>
  <c r="V108" i="123"/>
  <c r="U108" i="123"/>
  <c r="T108" i="123"/>
  <c r="S108" i="123"/>
  <c r="L108" i="123"/>
  <c r="X107" i="123"/>
  <c r="W107" i="123"/>
  <c r="V107" i="123"/>
  <c r="U107" i="123"/>
  <c r="T107" i="123"/>
  <c r="S107" i="123"/>
  <c r="L107" i="123"/>
  <c r="X106" i="123"/>
  <c r="W106" i="123"/>
  <c r="V106" i="123"/>
  <c r="U106" i="123"/>
  <c r="T106" i="123"/>
  <c r="S106" i="123"/>
  <c r="L106" i="123"/>
  <c r="X105" i="123"/>
  <c r="W105" i="123"/>
  <c r="V105" i="123"/>
  <c r="U105" i="123"/>
  <c r="T105" i="123"/>
  <c r="S105" i="123"/>
  <c r="L105" i="123"/>
  <c r="X104" i="123"/>
  <c r="W104" i="123"/>
  <c r="V104" i="123"/>
  <c r="U104" i="123"/>
  <c r="T104" i="123"/>
  <c r="S104" i="123"/>
  <c r="L104" i="123"/>
  <c r="X103" i="123"/>
  <c r="W103" i="123"/>
  <c r="V103" i="123"/>
  <c r="U103" i="123"/>
  <c r="T103" i="123"/>
  <c r="S103" i="123"/>
  <c r="L103" i="123"/>
  <c r="X102" i="123"/>
  <c r="W102" i="123"/>
  <c r="V102" i="123"/>
  <c r="U102" i="123"/>
  <c r="T102" i="123"/>
  <c r="S102" i="123"/>
  <c r="L102" i="123"/>
  <c r="X101" i="123"/>
  <c r="W101" i="123"/>
  <c r="V101" i="123"/>
  <c r="U101" i="123"/>
  <c r="T101" i="123"/>
  <c r="S101" i="123"/>
  <c r="L101" i="123"/>
  <c r="X100" i="123"/>
  <c r="W100" i="123"/>
  <c r="V100" i="123"/>
  <c r="U100" i="123"/>
  <c r="T100" i="123"/>
  <c r="S100" i="123"/>
  <c r="L100" i="123"/>
  <c r="X99" i="123"/>
  <c r="W99" i="123"/>
  <c r="V99" i="123"/>
  <c r="U99" i="123"/>
  <c r="T99" i="123"/>
  <c r="S99" i="123"/>
  <c r="L99" i="123"/>
  <c r="X98" i="123"/>
  <c r="W98" i="123"/>
  <c r="V98" i="123"/>
  <c r="U98" i="123"/>
  <c r="T98" i="123"/>
  <c r="S98" i="123"/>
  <c r="L98" i="123"/>
  <c r="X97" i="123"/>
  <c r="W97" i="123"/>
  <c r="V97" i="123"/>
  <c r="U97" i="123"/>
  <c r="T97" i="123"/>
  <c r="S97" i="123"/>
  <c r="L97" i="123"/>
  <c r="X96" i="123"/>
  <c r="W96" i="123"/>
  <c r="V96" i="123"/>
  <c r="U96" i="123"/>
  <c r="T96" i="123"/>
  <c r="S96" i="123"/>
  <c r="L96" i="123"/>
  <c r="X95" i="123"/>
  <c r="W95" i="123"/>
  <c r="V95" i="123"/>
  <c r="U95" i="123"/>
  <c r="T95" i="123"/>
  <c r="S95" i="123"/>
  <c r="L95" i="123"/>
  <c r="X94" i="123"/>
  <c r="W94" i="123"/>
  <c r="V94" i="123"/>
  <c r="U94" i="123"/>
  <c r="T94" i="123"/>
  <c r="S94" i="123"/>
  <c r="L94" i="123"/>
  <c r="X93" i="123"/>
  <c r="W93" i="123"/>
  <c r="V93" i="123"/>
  <c r="U93" i="123"/>
  <c r="T93" i="123"/>
  <c r="S93" i="123"/>
  <c r="L93" i="123"/>
  <c r="X92" i="123"/>
  <c r="W92" i="123"/>
  <c r="V92" i="123"/>
  <c r="U92" i="123"/>
  <c r="T92" i="123"/>
  <c r="S92" i="123"/>
  <c r="L92" i="123"/>
  <c r="X91" i="123"/>
  <c r="W91" i="123"/>
  <c r="V91" i="123"/>
  <c r="U91" i="123"/>
  <c r="T91" i="123"/>
  <c r="S91" i="123"/>
  <c r="L91" i="123"/>
  <c r="X90" i="123"/>
  <c r="W90" i="123"/>
  <c r="V90" i="123"/>
  <c r="U90" i="123"/>
  <c r="T90" i="123"/>
  <c r="S90" i="123"/>
  <c r="L90" i="123"/>
  <c r="X89" i="123"/>
  <c r="W89" i="123"/>
  <c r="V89" i="123"/>
  <c r="U89" i="123"/>
  <c r="T89" i="123"/>
  <c r="S89" i="123"/>
  <c r="L89" i="123"/>
  <c r="X88" i="123"/>
  <c r="W88" i="123"/>
  <c r="V88" i="123"/>
  <c r="U88" i="123"/>
  <c r="T88" i="123"/>
  <c r="S88" i="123"/>
  <c r="L88" i="123"/>
  <c r="X87" i="123"/>
  <c r="W87" i="123"/>
  <c r="V87" i="123"/>
  <c r="U87" i="123"/>
  <c r="T87" i="123"/>
  <c r="S87" i="123"/>
  <c r="L87" i="123"/>
  <c r="X86" i="123"/>
  <c r="W86" i="123"/>
  <c r="V86" i="123"/>
  <c r="U86" i="123"/>
  <c r="T86" i="123"/>
  <c r="S86" i="123"/>
  <c r="L86" i="123"/>
  <c r="X85" i="123"/>
  <c r="W85" i="123"/>
  <c r="V85" i="123"/>
  <c r="U85" i="123"/>
  <c r="T85" i="123"/>
  <c r="S85" i="123"/>
  <c r="L85" i="123"/>
  <c r="X84" i="123"/>
  <c r="W84" i="123"/>
  <c r="V84" i="123"/>
  <c r="U84" i="123"/>
  <c r="T84" i="123"/>
  <c r="S84" i="123"/>
  <c r="L84" i="123"/>
  <c r="X83" i="123"/>
  <c r="W83" i="123"/>
  <c r="V83" i="123"/>
  <c r="U83" i="123"/>
  <c r="T83" i="123"/>
  <c r="S83" i="123"/>
  <c r="L83" i="123"/>
  <c r="X82" i="123"/>
  <c r="W82" i="123"/>
  <c r="V82" i="123"/>
  <c r="U82" i="123"/>
  <c r="T82" i="123"/>
  <c r="S82" i="123"/>
  <c r="L82" i="123"/>
  <c r="X81" i="123"/>
  <c r="W81" i="123"/>
  <c r="V81" i="123"/>
  <c r="U81" i="123"/>
  <c r="T81" i="123"/>
  <c r="S81" i="123"/>
  <c r="L81" i="123"/>
  <c r="X80" i="123"/>
  <c r="W80" i="123"/>
  <c r="V80" i="123"/>
  <c r="U80" i="123"/>
  <c r="T80" i="123"/>
  <c r="S80" i="123"/>
  <c r="L80" i="123"/>
  <c r="X79" i="123"/>
  <c r="W79" i="123"/>
  <c r="V79" i="123"/>
  <c r="U79" i="123"/>
  <c r="T79" i="123"/>
  <c r="S79" i="123"/>
  <c r="L79" i="123"/>
  <c r="X78" i="123"/>
  <c r="W78" i="123"/>
  <c r="V78" i="123"/>
  <c r="U78" i="123"/>
  <c r="T78" i="123"/>
  <c r="S78" i="123"/>
  <c r="L78" i="123"/>
  <c r="X77" i="123"/>
  <c r="W77" i="123"/>
  <c r="V77" i="123"/>
  <c r="U77" i="123"/>
  <c r="T77" i="123"/>
  <c r="S77" i="123"/>
  <c r="L77" i="123"/>
  <c r="X76" i="123"/>
  <c r="W76" i="123"/>
  <c r="V76" i="123"/>
  <c r="U76" i="123"/>
  <c r="T76" i="123"/>
  <c r="S76" i="123"/>
  <c r="L76" i="123"/>
  <c r="X75" i="123"/>
  <c r="W75" i="123"/>
  <c r="V75" i="123"/>
  <c r="U75" i="123"/>
  <c r="T75" i="123"/>
  <c r="S75" i="123"/>
  <c r="L75" i="123"/>
  <c r="X74" i="123"/>
  <c r="W74" i="123"/>
  <c r="V74" i="123"/>
  <c r="U74" i="123"/>
  <c r="T74" i="123"/>
  <c r="S74" i="123"/>
  <c r="L74" i="123"/>
  <c r="X73" i="123"/>
  <c r="W73" i="123"/>
  <c r="V73" i="123"/>
  <c r="U73" i="123"/>
  <c r="T73" i="123"/>
  <c r="S73" i="123"/>
  <c r="L73" i="123"/>
  <c r="X72" i="123"/>
  <c r="W72" i="123"/>
  <c r="V72" i="123"/>
  <c r="U72" i="123"/>
  <c r="T72" i="123"/>
  <c r="S72" i="123"/>
  <c r="L72" i="123"/>
  <c r="X71" i="123"/>
  <c r="W71" i="123"/>
  <c r="V71" i="123"/>
  <c r="U71" i="123"/>
  <c r="T71" i="123"/>
  <c r="S71" i="123"/>
  <c r="L71" i="123"/>
  <c r="X70" i="123"/>
  <c r="W70" i="123"/>
  <c r="V70" i="123"/>
  <c r="U70" i="123"/>
  <c r="T70" i="123"/>
  <c r="S70" i="123"/>
  <c r="L70" i="123"/>
  <c r="X69" i="123"/>
  <c r="W69" i="123"/>
  <c r="V69" i="123"/>
  <c r="U69" i="123"/>
  <c r="T69" i="123"/>
  <c r="S69" i="123"/>
  <c r="L69" i="123"/>
  <c r="X68" i="123"/>
  <c r="W68" i="123"/>
  <c r="V68" i="123"/>
  <c r="U68" i="123"/>
  <c r="T68" i="123"/>
  <c r="S68" i="123"/>
  <c r="L68" i="123"/>
  <c r="X67" i="123"/>
  <c r="W67" i="123"/>
  <c r="V67" i="123"/>
  <c r="U67" i="123"/>
  <c r="T67" i="123"/>
  <c r="S67" i="123"/>
  <c r="L67" i="123"/>
  <c r="X66" i="123"/>
  <c r="W66" i="123"/>
  <c r="V66" i="123"/>
  <c r="U66" i="123"/>
  <c r="T66" i="123"/>
  <c r="S66" i="123"/>
  <c r="L66" i="123"/>
  <c r="X65" i="123"/>
  <c r="W65" i="123"/>
  <c r="V65" i="123"/>
  <c r="U65" i="123"/>
  <c r="T65" i="123"/>
  <c r="S65" i="123"/>
  <c r="L65" i="123"/>
  <c r="X64" i="123"/>
  <c r="W64" i="123"/>
  <c r="V64" i="123"/>
  <c r="U64" i="123"/>
  <c r="T64" i="123"/>
  <c r="S64" i="123"/>
  <c r="L64" i="123"/>
  <c r="X63" i="123"/>
  <c r="W63" i="123"/>
  <c r="V63" i="123"/>
  <c r="U63" i="123"/>
  <c r="T63" i="123"/>
  <c r="S63" i="123"/>
  <c r="L63" i="123"/>
  <c r="X62" i="123"/>
  <c r="W62" i="123"/>
  <c r="V62" i="123"/>
  <c r="U62" i="123"/>
  <c r="T62" i="123"/>
  <c r="S62" i="123"/>
  <c r="L62" i="123"/>
  <c r="X61" i="123"/>
  <c r="W61" i="123"/>
  <c r="V61" i="123"/>
  <c r="U61" i="123"/>
  <c r="T61" i="123"/>
  <c r="S61" i="123"/>
  <c r="L61" i="123"/>
  <c r="X60" i="123"/>
  <c r="W60" i="123"/>
  <c r="V60" i="123"/>
  <c r="U60" i="123"/>
  <c r="T60" i="123"/>
  <c r="S60" i="123"/>
  <c r="L60" i="123"/>
  <c r="X59" i="123"/>
  <c r="W59" i="123"/>
  <c r="V59" i="123"/>
  <c r="U59" i="123"/>
  <c r="T59" i="123"/>
  <c r="S59" i="123"/>
  <c r="L59" i="123"/>
  <c r="X58" i="123"/>
  <c r="W58" i="123"/>
  <c r="V58" i="123"/>
  <c r="U58" i="123"/>
  <c r="T58" i="123"/>
  <c r="S58" i="123"/>
  <c r="L58" i="123"/>
  <c r="X57" i="123"/>
  <c r="W57" i="123"/>
  <c r="V57" i="123"/>
  <c r="U57" i="123"/>
  <c r="T57" i="123"/>
  <c r="S57" i="123"/>
  <c r="L57" i="123"/>
  <c r="X56" i="123"/>
  <c r="W56" i="123"/>
  <c r="V56" i="123"/>
  <c r="U56" i="123"/>
  <c r="T56" i="123"/>
  <c r="S56" i="123"/>
  <c r="L56" i="123"/>
  <c r="X55" i="123"/>
  <c r="W55" i="123"/>
  <c r="V55" i="123"/>
  <c r="U55" i="123"/>
  <c r="T55" i="123"/>
  <c r="S55" i="123"/>
  <c r="L55" i="123"/>
  <c r="X54" i="123"/>
  <c r="W54" i="123"/>
  <c r="V54" i="123"/>
  <c r="U54" i="123"/>
  <c r="T54" i="123"/>
  <c r="S54" i="123"/>
  <c r="L54" i="123"/>
  <c r="X53" i="123"/>
  <c r="W53" i="123"/>
  <c r="V53" i="123"/>
  <c r="U53" i="123"/>
  <c r="T53" i="123"/>
  <c r="S53" i="123"/>
  <c r="L53" i="123"/>
  <c r="X52" i="123"/>
  <c r="W52" i="123"/>
  <c r="V52" i="123"/>
  <c r="U52" i="123"/>
  <c r="T52" i="123"/>
  <c r="S52" i="123"/>
  <c r="L52" i="123"/>
  <c r="X51" i="123"/>
  <c r="W51" i="123"/>
  <c r="V51" i="123"/>
  <c r="U51" i="123"/>
  <c r="T51" i="123"/>
  <c r="S51" i="123"/>
  <c r="L51" i="123"/>
  <c r="X50" i="123"/>
  <c r="W50" i="123"/>
  <c r="V50" i="123"/>
  <c r="U50" i="123"/>
  <c r="T50" i="123"/>
  <c r="S50" i="123"/>
  <c r="L50" i="123"/>
  <c r="X49" i="123"/>
  <c r="W49" i="123"/>
  <c r="V49" i="123"/>
  <c r="U49" i="123"/>
  <c r="T49" i="123"/>
  <c r="S49" i="123"/>
  <c r="L49" i="123"/>
  <c r="X48" i="123"/>
  <c r="W48" i="123"/>
  <c r="V48" i="123"/>
  <c r="U48" i="123"/>
  <c r="T48" i="123"/>
  <c r="S48" i="123"/>
  <c r="L48" i="123"/>
  <c r="X47" i="123"/>
  <c r="W47" i="123"/>
  <c r="V47" i="123"/>
  <c r="U47" i="123"/>
  <c r="T47" i="123"/>
  <c r="S47" i="123"/>
  <c r="L47" i="123"/>
  <c r="X46" i="123"/>
  <c r="W46" i="123"/>
  <c r="V46" i="123"/>
  <c r="U46" i="123"/>
  <c r="T46" i="123"/>
  <c r="S46" i="123"/>
  <c r="L46" i="123"/>
  <c r="X45" i="123"/>
  <c r="W45" i="123"/>
  <c r="V45" i="123"/>
  <c r="U45" i="123"/>
  <c r="T45" i="123"/>
  <c r="S45" i="123"/>
  <c r="L45" i="123"/>
  <c r="X44" i="123"/>
  <c r="W44" i="123"/>
  <c r="V44" i="123"/>
  <c r="U44" i="123"/>
  <c r="T44" i="123"/>
  <c r="S44" i="123"/>
  <c r="L44" i="123"/>
  <c r="X43" i="123"/>
  <c r="W43" i="123"/>
  <c r="V43" i="123"/>
  <c r="U43" i="123"/>
  <c r="T43" i="123"/>
  <c r="S43" i="123"/>
  <c r="L43" i="123"/>
  <c r="X42" i="123"/>
  <c r="W42" i="123"/>
  <c r="V42" i="123"/>
  <c r="U42" i="123"/>
  <c r="T42" i="123"/>
  <c r="S42" i="123"/>
  <c r="L42" i="123"/>
  <c r="X41" i="123"/>
  <c r="W41" i="123"/>
  <c r="V41" i="123"/>
  <c r="U41" i="123"/>
  <c r="T41" i="123"/>
  <c r="S41" i="123"/>
  <c r="L41" i="123"/>
  <c r="X40" i="123"/>
  <c r="W40" i="123"/>
  <c r="V40" i="123"/>
  <c r="U40" i="123"/>
  <c r="T40" i="123"/>
  <c r="S40" i="123"/>
  <c r="L40" i="123"/>
  <c r="X39" i="123"/>
  <c r="W39" i="123"/>
  <c r="V39" i="123"/>
  <c r="U39" i="123"/>
  <c r="T39" i="123"/>
  <c r="S39" i="123"/>
  <c r="L39" i="123"/>
  <c r="X38" i="123"/>
  <c r="W38" i="123"/>
  <c r="V38" i="123"/>
  <c r="U38" i="123"/>
  <c r="T38" i="123"/>
  <c r="S38" i="123"/>
  <c r="L38" i="123"/>
  <c r="X37" i="123"/>
  <c r="W37" i="123"/>
  <c r="V37" i="123"/>
  <c r="U37" i="123"/>
  <c r="T37" i="123"/>
  <c r="S37" i="123"/>
  <c r="L37" i="123"/>
  <c r="X36" i="123"/>
  <c r="W36" i="123"/>
  <c r="V36" i="123"/>
  <c r="U36" i="123"/>
  <c r="T36" i="123"/>
  <c r="S36" i="123"/>
  <c r="L36" i="123"/>
  <c r="X35" i="123"/>
  <c r="W35" i="123"/>
  <c r="V35" i="123"/>
  <c r="U35" i="123"/>
  <c r="T35" i="123"/>
  <c r="S35" i="123"/>
  <c r="L35" i="123"/>
  <c r="U34" i="123"/>
  <c r="T34" i="123"/>
  <c r="S34" i="123"/>
  <c r="L34" i="123"/>
  <c r="X33" i="123"/>
  <c r="W33" i="123"/>
  <c r="V33" i="123"/>
  <c r="U33" i="123"/>
  <c r="T33" i="123"/>
  <c r="S33" i="123"/>
  <c r="L33" i="123"/>
  <c r="X32" i="123"/>
  <c r="W32" i="123"/>
  <c r="V32" i="123"/>
  <c r="U32" i="123"/>
  <c r="T32" i="123"/>
  <c r="S32" i="123"/>
  <c r="L32" i="123"/>
  <c r="X31" i="123"/>
  <c r="W31" i="123"/>
  <c r="V31" i="123"/>
  <c r="U31" i="123"/>
  <c r="T31" i="123"/>
  <c r="S31" i="123"/>
  <c r="L31" i="123"/>
  <c r="X30" i="123"/>
  <c r="W30" i="123"/>
  <c r="V30" i="123"/>
  <c r="U30" i="123"/>
  <c r="T30" i="123"/>
  <c r="S30" i="123"/>
  <c r="L30" i="123"/>
  <c r="X29" i="123"/>
  <c r="W29" i="123"/>
  <c r="V29" i="123"/>
  <c r="U29" i="123"/>
  <c r="T29" i="123"/>
  <c r="S29" i="123"/>
  <c r="L29" i="123"/>
  <c r="X28" i="123"/>
  <c r="W28" i="123"/>
  <c r="V28" i="123"/>
  <c r="U28" i="123"/>
  <c r="T28" i="123"/>
  <c r="S28" i="123"/>
  <c r="L28" i="123"/>
  <c r="X27" i="123"/>
  <c r="W27" i="123"/>
  <c r="V27" i="123"/>
  <c r="U27" i="123"/>
  <c r="T27" i="123"/>
  <c r="S27" i="123"/>
  <c r="L27" i="123"/>
  <c r="X26" i="123"/>
  <c r="W26" i="123"/>
  <c r="V26" i="123"/>
  <c r="U26" i="123"/>
  <c r="T26" i="123"/>
  <c r="S26" i="123"/>
  <c r="L26" i="123"/>
  <c r="X25" i="123"/>
  <c r="W25" i="123"/>
  <c r="V25" i="123"/>
  <c r="U25" i="123"/>
  <c r="T25" i="123"/>
  <c r="S25" i="123"/>
  <c r="L25" i="123"/>
  <c r="X24" i="123"/>
  <c r="W24" i="123"/>
  <c r="V24" i="123"/>
  <c r="U24" i="123"/>
  <c r="T24" i="123"/>
  <c r="S24" i="123"/>
  <c r="L24" i="123"/>
  <c r="X23" i="123"/>
  <c r="W23" i="123"/>
  <c r="V23" i="123"/>
  <c r="U23" i="123"/>
  <c r="T23" i="123"/>
  <c r="S23" i="123"/>
  <c r="L23" i="123"/>
  <c r="X22" i="123"/>
  <c r="W22" i="123"/>
  <c r="V22" i="123"/>
  <c r="U22" i="123"/>
  <c r="T22" i="123"/>
  <c r="S22" i="123"/>
  <c r="L22" i="123"/>
  <c r="X21" i="123"/>
  <c r="W21" i="123"/>
  <c r="V21" i="123"/>
  <c r="U21" i="123"/>
  <c r="T21" i="123"/>
  <c r="S21" i="123"/>
  <c r="L21" i="123"/>
  <c r="X20" i="123"/>
  <c r="W20" i="123"/>
  <c r="V20" i="123"/>
  <c r="U20" i="123"/>
  <c r="T20" i="123"/>
  <c r="S20" i="123"/>
  <c r="L20" i="123"/>
  <c r="X19" i="123"/>
  <c r="W19" i="123"/>
  <c r="V19" i="123"/>
  <c r="U19" i="123"/>
  <c r="T19" i="123"/>
  <c r="S19" i="123"/>
  <c r="L19" i="123"/>
  <c r="X18" i="123"/>
  <c r="W18" i="123"/>
  <c r="V18" i="123"/>
  <c r="S18" i="123"/>
  <c r="Q18" i="123"/>
  <c r="P18" i="123"/>
  <c r="O18" i="123"/>
  <c r="L18" i="123"/>
  <c r="X17" i="123"/>
  <c r="W17" i="123"/>
  <c r="V17" i="123"/>
  <c r="S17" i="123"/>
  <c r="R17" i="123"/>
  <c r="Q17" i="123"/>
  <c r="P17" i="123"/>
  <c r="O17" i="123"/>
  <c r="N17" i="123"/>
  <c r="M17" i="123"/>
  <c r="L17" i="123"/>
  <c r="R16" i="123"/>
  <c r="N16" i="123"/>
  <c r="M16" i="123"/>
  <c r="L16" i="123"/>
  <c r="W7" i="123"/>
  <c r="Y2" i="123"/>
  <c r="O35" i="123" l="1"/>
  <c r="O39" i="123"/>
  <c r="O38" i="123"/>
  <c r="O40" i="123"/>
  <c r="O34" i="123"/>
  <c r="O37" i="123"/>
  <c r="O36" i="123"/>
  <c r="K20" i="122"/>
  <c r="K24" i="120"/>
  <c r="W7" i="122"/>
  <c r="X153" i="122"/>
  <c r="W153" i="122"/>
  <c r="V153" i="122"/>
  <c r="U153" i="122"/>
  <c r="T153" i="122"/>
  <c r="S153" i="122"/>
  <c r="R153" i="122"/>
  <c r="Q153" i="122"/>
  <c r="P153" i="122"/>
  <c r="O153" i="122"/>
  <c r="N153" i="122"/>
  <c r="M153" i="122"/>
  <c r="L153" i="122"/>
  <c r="X152" i="122"/>
  <c r="W152" i="122"/>
  <c r="V152" i="122"/>
  <c r="U152" i="122"/>
  <c r="T152" i="122"/>
  <c r="S152" i="122"/>
  <c r="R152" i="122"/>
  <c r="Q152" i="122"/>
  <c r="P152" i="122"/>
  <c r="O152" i="122"/>
  <c r="N152" i="122"/>
  <c r="M152" i="122"/>
  <c r="L152" i="122"/>
  <c r="X151" i="122"/>
  <c r="W151" i="122"/>
  <c r="V151" i="122"/>
  <c r="U151" i="122"/>
  <c r="T151" i="122"/>
  <c r="S151" i="122"/>
  <c r="R151" i="122"/>
  <c r="Q151" i="122"/>
  <c r="P151" i="122"/>
  <c r="O151" i="122"/>
  <c r="N151" i="122"/>
  <c r="M151" i="122"/>
  <c r="L151" i="122"/>
  <c r="X150" i="122"/>
  <c r="W150" i="122"/>
  <c r="V150" i="122"/>
  <c r="U150" i="122"/>
  <c r="T150" i="122"/>
  <c r="S150" i="122"/>
  <c r="R150" i="122"/>
  <c r="Q150" i="122"/>
  <c r="P150" i="122"/>
  <c r="O150" i="122"/>
  <c r="N150" i="122"/>
  <c r="M150" i="122"/>
  <c r="L150" i="122"/>
  <c r="X149" i="122"/>
  <c r="W149" i="122"/>
  <c r="V149" i="122"/>
  <c r="U149" i="122"/>
  <c r="T149" i="122"/>
  <c r="S149" i="122"/>
  <c r="R149" i="122"/>
  <c r="Q149" i="122"/>
  <c r="P149" i="122"/>
  <c r="O149" i="122"/>
  <c r="N149" i="122"/>
  <c r="M149" i="122"/>
  <c r="L149" i="122"/>
  <c r="X148" i="122"/>
  <c r="W148" i="122"/>
  <c r="V148" i="122"/>
  <c r="U148" i="122"/>
  <c r="T148" i="122"/>
  <c r="S148" i="122"/>
  <c r="R148" i="122"/>
  <c r="Q148" i="122"/>
  <c r="P148" i="122"/>
  <c r="O148" i="122"/>
  <c r="N148" i="122"/>
  <c r="M148" i="122"/>
  <c r="L148" i="122"/>
  <c r="X147" i="122"/>
  <c r="W147" i="122"/>
  <c r="V147" i="122"/>
  <c r="U147" i="122"/>
  <c r="T147" i="122"/>
  <c r="S147" i="122"/>
  <c r="R147" i="122"/>
  <c r="Q147" i="122"/>
  <c r="P147" i="122"/>
  <c r="O147" i="122"/>
  <c r="N147" i="122"/>
  <c r="M147" i="122"/>
  <c r="L147" i="122"/>
  <c r="X146" i="122"/>
  <c r="W146" i="122"/>
  <c r="V146" i="122"/>
  <c r="U146" i="122"/>
  <c r="T146" i="122"/>
  <c r="S146" i="122"/>
  <c r="R146" i="122"/>
  <c r="Q146" i="122"/>
  <c r="P146" i="122"/>
  <c r="O146" i="122"/>
  <c r="N146" i="122"/>
  <c r="M146" i="122"/>
  <c r="L146" i="122"/>
  <c r="X145" i="122"/>
  <c r="W145" i="122"/>
  <c r="V145" i="122"/>
  <c r="U145" i="122"/>
  <c r="T145" i="122"/>
  <c r="S145" i="122"/>
  <c r="R145" i="122"/>
  <c r="Q145" i="122"/>
  <c r="P145" i="122"/>
  <c r="O145" i="122"/>
  <c r="N145" i="122"/>
  <c r="M145" i="122"/>
  <c r="L145" i="122"/>
  <c r="X144" i="122"/>
  <c r="W144" i="122"/>
  <c r="V144" i="122"/>
  <c r="U144" i="122"/>
  <c r="T144" i="122"/>
  <c r="S144" i="122"/>
  <c r="R144" i="122"/>
  <c r="Q144" i="122"/>
  <c r="P144" i="122"/>
  <c r="O144" i="122"/>
  <c r="N144" i="122"/>
  <c r="M144" i="122"/>
  <c r="L144" i="122"/>
  <c r="X143" i="122"/>
  <c r="W143" i="122"/>
  <c r="V143" i="122"/>
  <c r="U143" i="122"/>
  <c r="T143" i="122"/>
  <c r="S143" i="122"/>
  <c r="R143" i="122"/>
  <c r="Q143" i="122"/>
  <c r="P143" i="122"/>
  <c r="O143" i="122"/>
  <c r="N143" i="122"/>
  <c r="M143" i="122"/>
  <c r="L143" i="122"/>
  <c r="X142" i="122"/>
  <c r="W142" i="122"/>
  <c r="V142" i="122"/>
  <c r="U142" i="122"/>
  <c r="T142" i="122"/>
  <c r="S142" i="122"/>
  <c r="R142" i="122"/>
  <c r="Q142" i="122"/>
  <c r="P142" i="122"/>
  <c r="O142" i="122"/>
  <c r="N142" i="122"/>
  <c r="M142" i="122"/>
  <c r="L142" i="122"/>
  <c r="X141" i="122"/>
  <c r="W141" i="122"/>
  <c r="V141" i="122"/>
  <c r="U141" i="122"/>
  <c r="T141" i="122"/>
  <c r="S141" i="122"/>
  <c r="R141" i="122"/>
  <c r="Q141" i="122"/>
  <c r="P141" i="122"/>
  <c r="O141" i="122"/>
  <c r="N141" i="122"/>
  <c r="M141" i="122"/>
  <c r="L141" i="122"/>
  <c r="X140" i="122"/>
  <c r="W140" i="122"/>
  <c r="V140" i="122"/>
  <c r="U140" i="122"/>
  <c r="T140" i="122"/>
  <c r="S140" i="122"/>
  <c r="R140" i="122"/>
  <c r="Q140" i="122"/>
  <c r="P140" i="122"/>
  <c r="O140" i="122"/>
  <c r="N140" i="122"/>
  <c r="M140" i="122"/>
  <c r="L140" i="122"/>
  <c r="X139" i="122"/>
  <c r="W139" i="122"/>
  <c r="V139" i="122"/>
  <c r="U139" i="122"/>
  <c r="T139" i="122"/>
  <c r="S139" i="122"/>
  <c r="R139" i="122"/>
  <c r="Q139" i="122"/>
  <c r="P139" i="122"/>
  <c r="O139" i="122"/>
  <c r="N139" i="122"/>
  <c r="M139" i="122"/>
  <c r="L139" i="122"/>
  <c r="X138" i="122"/>
  <c r="W138" i="122"/>
  <c r="V138" i="122"/>
  <c r="U138" i="122"/>
  <c r="T138" i="122"/>
  <c r="S138" i="122"/>
  <c r="R138" i="122"/>
  <c r="Q138" i="122"/>
  <c r="P138" i="122"/>
  <c r="O138" i="122"/>
  <c r="N138" i="122"/>
  <c r="M138" i="122"/>
  <c r="L138" i="122"/>
  <c r="X137" i="122"/>
  <c r="W137" i="122"/>
  <c r="V137" i="122"/>
  <c r="U137" i="122"/>
  <c r="T137" i="122"/>
  <c r="S137" i="122"/>
  <c r="R137" i="122"/>
  <c r="Q137" i="122"/>
  <c r="P137" i="122"/>
  <c r="O137" i="122"/>
  <c r="N137" i="122"/>
  <c r="M137" i="122"/>
  <c r="L137" i="122"/>
  <c r="X136" i="122"/>
  <c r="W136" i="122"/>
  <c r="V136" i="122"/>
  <c r="U136" i="122"/>
  <c r="T136" i="122"/>
  <c r="S136" i="122"/>
  <c r="R136" i="122"/>
  <c r="Q136" i="122"/>
  <c r="P136" i="122"/>
  <c r="O136" i="122"/>
  <c r="N136" i="122"/>
  <c r="M136" i="122"/>
  <c r="L136" i="122"/>
  <c r="X135" i="122"/>
  <c r="W135" i="122"/>
  <c r="V135" i="122"/>
  <c r="U135" i="122"/>
  <c r="T135" i="122"/>
  <c r="S135" i="122"/>
  <c r="R135" i="122"/>
  <c r="Q135" i="122"/>
  <c r="P135" i="122"/>
  <c r="O135" i="122"/>
  <c r="N135" i="122"/>
  <c r="M135" i="122"/>
  <c r="L135" i="122"/>
  <c r="X134" i="122"/>
  <c r="W134" i="122"/>
  <c r="V134" i="122"/>
  <c r="U134" i="122"/>
  <c r="T134" i="122"/>
  <c r="S134" i="122"/>
  <c r="R134" i="122"/>
  <c r="Q134" i="122"/>
  <c r="P134" i="122"/>
  <c r="O134" i="122"/>
  <c r="N134" i="122"/>
  <c r="M134" i="122"/>
  <c r="L134" i="122"/>
  <c r="X133" i="122"/>
  <c r="W133" i="122"/>
  <c r="V133" i="122"/>
  <c r="U133" i="122"/>
  <c r="T133" i="122"/>
  <c r="S133" i="122"/>
  <c r="R133" i="122"/>
  <c r="Q133" i="122"/>
  <c r="P133" i="122"/>
  <c r="O133" i="122"/>
  <c r="N133" i="122"/>
  <c r="M133" i="122"/>
  <c r="L133" i="122"/>
  <c r="X132" i="122"/>
  <c r="W132" i="122"/>
  <c r="V132" i="122"/>
  <c r="U132" i="122"/>
  <c r="T132" i="122"/>
  <c r="S132" i="122"/>
  <c r="R132" i="122"/>
  <c r="Q132" i="122"/>
  <c r="P132" i="122"/>
  <c r="O132" i="122"/>
  <c r="N132" i="122"/>
  <c r="M132" i="122"/>
  <c r="L132" i="122"/>
  <c r="X131" i="122"/>
  <c r="W131" i="122"/>
  <c r="V131" i="122"/>
  <c r="U131" i="122"/>
  <c r="T131" i="122"/>
  <c r="S131" i="122"/>
  <c r="R131" i="122"/>
  <c r="Q131" i="122"/>
  <c r="P131" i="122"/>
  <c r="O131" i="122"/>
  <c r="N131" i="122"/>
  <c r="M131" i="122"/>
  <c r="L131" i="122"/>
  <c r="X130" i="122"/>
  <c r="W130" i="122"/>
  <c r="V130" i="122"/>
  <c r="U130" i="122"/>
  <c r="T130" i="122"/>
  <c r="S130" i="122"/>
  <c r="R130" i="122"/>
  <c r="Q130" i="122"/>
  <c r="P130" i="122"/>
  <c r="O130" i="122"/>
  <c r="N130" i="122"/>
  <c r="M130" i="122"/>
  <c r="L130" i="122"/>
  <c r="X129" i="122"/>
  <c r="W129" i="122"/>
  <c r="V129" i="122"/>
  <c r="U129" i="122"/>
  <c r="T129" i="122"/>
  <c r="S129" i="122"/>
  <c r="R129" i="122"/>
  <c r="Q129" i="122"/>
  <c r="P129" i="122"/>
  <c r="O129" i="122"/>
  <c r="N129" i="122"/>
  <c r="M129" i="122"/>
  <c r="L129" i="122"/>
  <c r="X128" i="122"/>
  <c r="W128" i="122"/>
  <c r="V128" i="122"/>
  <c r="U128" i="122"/>
  <c r="T128" i="122"/>
  <c r="S128" i="122"/>
  <c r="R128" i="122"/>
  <c r="Q128" i="122"/>
  <c r="P128" i="122"/>
  <c r="O128" i="122"/>
  <c r="N128" i="122"/>
  <c r="M128" i="122"/>
  <c r="L128" i="122"/>
  <c r="X127" i="122"/>
  <c r="W127" i="122"/>
  <c r="V127" i="122"/>
  <c r="U127" i="122"/>
  <c r="T127" i="122"/>
  <c r="S127" i="122"/>
  <c r="R127" i="122"/>
  <c r="Q127" i="122"/>
  <c r="P127" i="122"/>
  <c r="O127" i="122"/>
  <c r="N127" i="122"/>
  <c r="M127" i="122"/>
  <c r="L127" i="122"/>
  <c r="X126" i="122"/>
  <c r="W126" i="122"/>
  <c r="V126" i="122"/>
  <c r="U126" i="122"/>
  <c r="T126" i="122"/>
  <c r="S126" i="122"/>
  <c r="R126" i="122"/>
  <c r="Q126" i="122"/>
  <c r="P126" i="122"/>
  <c r="O126" i="122"/>
  <c r="N126" i="122"/>
  <c r="M126" i="122"/>
  <c r="L126" i="122"/>
  <c r="X125" i="122"/>
  <c r="W125" i="122"/>
  <c r="V125" i="122"/>
  <c r="U125" i="122"/>
  <c r="T125" i="122"/>
  <c r="S125" i="122"/>
  <c r="R125" i="122"/>
  <c r="Q125" i="122"/>
  <c r="P125" i="122"/>
  <c r="O125" i="122"/>
  <c r="N125" i="122"/>
  <c r="M125" i="122"/>
  <c r="L125" i="122"/>
  <c r="X124" i="122"/>
  <c r="W124" i="122"/>
  <c r="V124" i="122"/>
  <c r="U124" i="122"/>
  <c r="T124" i="122"/>
  <c r="S124" i="122"/>
  <c r="R124" i="122"/>
  <c r="Q124" i="122"/>
  <c r="P124" i="122"/>
  <c r="O124" i="122"/>
  <c r="N124" i="122"/>
  <c r="M124" i="122"/>
  <c r="L124" i="122"/>
  <c r="X123" i="122"/>
  <c r="W123" i="122"/>
  <c r="V123" i="122"/>
  <c r="U123" i="122"/>
  <c r="T123" i="122"/>
  <c r="S123" i="122"/>
  <c r="R123" i="122"/>
  <c r="Q123" i="122"/>
  <c r="P123" i="122"/>
  <c r="O123" i="122"/>
  <c r="N123" i="122"/>
  <c r="M123" i="122"/>
  <c r="L123" i="122"/>
  <c r="X122" i="122"/>
  <c r="W122" i="122"/>
  <c r="V122" i="122"/>
  <c r="U122" i="122"/>
  <c r="T122" i="122"/>
  <c r="S122" i="122"/>
  <c r="R122" i="122"/>
  <c r="Q122" i="122"/>
  <c r="P122" i="122"/>
  <c r="O122" i="122"/>
  <c r="N122" i="122"/>
  <c r="M122" i="122"/>
  <c r="L122" i="122"/>
  <c r="X121" i="122"/>
  <c r="W121" i="122"/>
  <c r="V121" i="122"/>
  <c r="U121" i="122"/>
  <c r="T121" i="122"/>
  <c r="S121" i="122"/>
  <c r="R121" i="122"/>
  <c r="Q121" i="122"/>
  <c r="P121" i="122"/>
  <c r="O121" i="122"/>
  <c r="N121" i="122"/>
  <c r="M121" i="122"/>
  <c r="L121" i="122"/>
  <c r="X120" i="122"/>
  <c r="W120" i="122"/>
  <c r="V120" i="122"/>
  <c r="U120" i="122"/>
  <c r="T120" i="122"/>
  <c r="S120" i="122"/>
  <c r="R120" i="122"/>
  <c r="Q120" i="122"/>
  <c r="P120" i="122"/>
  <c r="O120" i="122"/>
  <c r="N120" i="122"/>
  <c r="M120" i="122"/>
  <c r="L120" i="122"/>
  <c r="X119" i="122"/>
  <c r="W119" i="122"/>
  <c r="V119" i="122"/>
  <c r="U119" i="122"/>
  <c r="T119" i="122"/>
  <c r="S119" i="122"/>
  <c r="R119" i="122"/>
  <c r="Q119" i="122"/>
  <c r="P119" i="122"/>
  <c r="O119" i="122"/>
  <c r="N119" i="122"/>
  <c r="M119" i="122"/>
  <c r="L119" i="122"/>
  <c r="X118" i="122"/>
  <c r="W118" i="122"/>
  <c r="V118" i="122"/>
  <c r="U118" i="122"/>
  <c r="T118" i="122"/>
  <c r="S118" i="122"/>
  <c r="R118" i="122"/>
  <c r="Q118" i="122"/>
  <c r="P118" i="122"/>
  <c r="O118" i="122"/>
  <c r="N118" i="122"/>
  <c r="M118" i="122"/>
  <c r="L118" i="122"/>
  <c r="X117" i="122"/>
  <c r="W117" i="122"/>
  <c r="V117" i="122"/>
  <c r="U117" i="122"/>
  <c r="T117" i="122"/>
  <c r="S117" i="122"/>
  <c r="R117" i="122"/>
  <c r="Q117" i="122"/>
  <c r="P117" i="122"/>
  <c r="O117" i="122"/>
  <c r="N117" i="122"/>
  <c r="M117" i="122"/>
  <c r="L117" i="122"/>
  <c r="X116" i="122"/>
  <c r="W116" i="122"/>
  <c r="V116" i="122"/>
  <c r="U116" i="122"/>
  <c r="T116" i="122"/>
  <c r="S116" i="122"/>
  <c r="R116" i="122"/>
  <c r="Q116" i="122"/>
  <c r="P116" i="122"/>
  <c r="O116" i="122"/>
  <c r="N116" i="122"/>
  <c r="M116" i="122"/>
  <c r="L116" i="122"/>
  <c r="X115" i="122"/>
  <c r="W115" i="122"/>
  <c r="V115" i="122"/>
  <c r="U115" i="122"/>
  <c r="T115" i="122"/>
  <c r="S115" i="122"/>
  <c r="R115" i="122"/>
  <c r="Q115" i="122"/>
  <c r="P115" i="122"/>
  <c r="O115" i="122"/>
  <c r="N115" i="122"/>
  <c r="M115" i="122"/>
  <c r="L115" i="122"/>
  <c r="X114" i="122"/>
  <c r="W114" i="122"/>
  <c r="V114" i="122"/>
  <c r="U114" i="122"/>
  <c r="T114" i="122"/>
  <c r="S114" i="122"/>
  <c r="R114" i="122"/>
  <c r="Q114" i="122"/>
  <c r="P114" i="122"/>
  <c r="O114" i="122"/>
  <c r="N114" i="122"/>
  <c r="M114" i="122"/>
  <c r="L114" i="122"/>
  <c r="X113" i="122"/>
  <c r="W113" i="122"/>
  <c r="V113" i="122"/>
  <c r="U113" i="122"/>
  <c r="T113" i="122"/>
  <c r="S113" i="122"/>
  <c r="R113" i="122"/>
  <c r="Q113" i="122"/>
  <c r="P113" i="122"/>
  <c r="O113" i="122"/>
  <c r="N113" i="122"/>
  <c r="M113" i="122"/>
  <c r="L113" i="122"/>
  <c r="X112" i="122"/>
  <c r="W112" i="122"/>
  <c r="V112" i="122"/>
  <c r="U112" i="122"/>
  <c r="T112" i="122"/>
  <c r="S112" i="122"/>
  <c r="R112" i="122"/>
  <c r="Q112" i="122"/>
  <c r="P112" i="122"/>
  <c r="O112" i="122"/>
  <c r="N112" i="122"/>
  <c r="M112" i="122"/>
  <c r="L112" i="122"/>
  <c r="X111" i="122"/>
  <c r="W111" i="122"/>
  <c r="V111" i="122"/>
  <c r="U111" i="122"/>
  <c r="T111" i="122"/>
  <c r="S111" i="122"/>
  <c r="R111" i="122"/>
  <c r="Q111" i="122"/>
  <c r="P111" i="122"/>
  <c r="O111" i="122"/>
  <c r="N111" i="122"/>
  <c r="M111" i="122"/>
  <c r="L111" i="122"/>
  <c r="X110" i="122"/>
  <c r="W110" i="122"/>
  <c r="V110" i="122"/>
  <c r="U110" i="122"/>
  <c r="T110" i="122"/>
  <c r="S110" i="122"/>
  <c r="R110" i="122"/>
  <c r="Q110" i="122"/>
  <c r="P110" i="122"/>
  <c r="O110" i="122"/>
  <c r="N110" i="122"/>
  <c r="M110" i="122"/>
  <c r="L110" i="122"/>
  <c r="X109" i="122"/>
  <c r="W109" i="122"/>
  <c r="V109" i="122"/>
  <c r="U109" i="122"/>
  <c r="T109" i="122"/>
  <c r="S109" i="122"/>
  <c r="R109" i="122"/>
  <c r="Q109" i="122"/>
  <c r="P109" i="122"/>
  <c r="O109" i="122"/>
  <c r="N109" i="122"/>
  <c r="M109" i="122"/>
  <c r="L109" i="122"/>
  <c r="X108" i="122"/>
  <c r="W108" i="122"/>
  <c r="V108" i="122"/>
  <c r="U108" i="122"/>
  <c r="T108" i="122"/>
  <c r="S108" i="122"/>
  <c r="R108" i="122"/>
  <c r="Q108" i="122"/>
  <c r="P108" i="122"/>
  <c r="O108" i="122"/>
  <c r="N108" i="122"/>
  <c r="M108" i="122"/>
  <c r="L108" i="122"/>
  <c r="X107" i="122"/>
  <c r="W107" i="122"/>
  <c r="V107" i="122"/>
  <c r="U107" i="122"/>
  <c r="T107" i="122"/>
  <c r="S107" i="122"/>
  <c r="R107" i="122"/>
  <c r="Q107" i="122"/>
  <c r="P107" i="122"/>
  <c r="O107" i="122"/>
  <c r="N107" i="122"/>
  <c r="M107" i="122"/>
  <c r="L107" i="122"/>
  <c r="X106" i="122"/>
  <c r="W106" i="122"/>
  <c r="V106" i="122"/>
  <c r="U106" i="122"/>
  <c r="T106" i="122"/>
  <c r="S106" i="122"/>
  <c r="R106" i="122"/>
  <c r="Q106" i="122"/>
  <c r="P106" i="122"/>
  <c r="O106" i="122"/>
  <c r="N106" i="122"/>
  <c r="M106" i="122"/>
  <c r="L106" i="122"/>
  <c r="X105" i="122"/>
  <c r="W105" i="122"/>
  <c r="V105" i="122"/>
  <c r="U105" i="122"/>
  <c r="T105" i="122"/>
  <c r="S105" i="122"/>
  <c r="R105" i="122"/>
  <c r="Q105" i="122"/>
  <c r="P105" i="122"/>
  <c r="O105" i="122"/>
  <c r="N105" i="122"/>
  <c r="M105" i="122"/>
  <c r="L105" i="122"/>
  <c r="X104" i="122"/>
  <c r="W104" i="122"/>
  <c r="V104" i="122"/>
  <c r="U104" i="122"/>
  <c r="T104" i="122"/>
  <c r="S104" i="122"/>
  <c r="R104" i="122"/>
  <c r="Q104" i="122"/>
  <c r="P104" i="122"/>
  <c r="O104" i="122"/>
  <c r="N104" i="122"/>
  <c r="M104" i="122"/>
  <c r="L104" i="122"/>
  <c r="X103" i="122"/>
  <c r="W103" i="122"/>
  <c r="V103" i="122"/>
  <c r="U103" i="122"/>
  <c r="T103" i="122"/>
  <c r="S103" i="122"/>
  <c r="R103" i="122"/>
  <c r="Q103" i="122"/>
  <c r="P103" i="122"/>
  <c r="O103" i="122"/>
  <c r="N103" i="122"/>
  <c r="M103" i="122"/>
  <c r="L103" i="122"/>
  <c r="X102" i="122"/>
  <c r="W102" i="122"/>
  <c r="V102" i="122"/>
  <c r="U102" i="122"/>
  <c r="T102" i="122"/>
  <c r="S102" i="122"/>
  <c r="R102" i="122"/>
  <c r="Q102" i="122"/>
  <c r="P102" i="122"/>
  <c r="O102" i="122"/>
  <c r="N102" i="122"/>
  <c r="M102" i="122"/>
  <c r="L102" i="122"/>
  <c r="X101" i="122"/>
  <c r="W101" i="122"/>
  <c r="V101" i="122"/>
  <c r="U101" i="122"/>
  <c r="T101" i="122"/>
  <c r="S101" i="122"/>
  <c r="R101" i="122"/>
  <c r="Q101" i="122"/>
  <c r="P101" i="122"/>
  <c r="O101" i="122"/>
  <c r="N101" i="122"/>
  <c r="M101" i="122"/>
  <c r="L101" i="122"/>
  <c r="X100" i="122"/>
  <c r="W100" i="122"/>
  <c r="V100" i="122"/>
  <c r="U100" i="122"/>
  <c r="T100" i="122"/>
  <c r="S100" i="122"/>
  <c r="R100" i="122"/>
  <c r="Q100" i="122"/>
  <c r="P100" i="122"/>
  <c r="O100" i="122"/>
  <c r="N100" i="122"/>
  <c r="M100" i="122"/>
  <c r="L100" i="122"/>
  <c r="X99" i="122"/>
  <c r="W99" i="122"/>
  <c r="V99" i="122"/>
  <c r="U99" i="122"/>
  <c r="T99" i="122"/>
  <c r="S99" i="122"/>
  <c r="R99" i="122"/>
  <c r="Q99" i="122"/>
  <c r="P99" i="122"/>
  <c r="O99" i="122"/>
  <c r="N99" i="122"/>
  <c r="M99" i="122"/>
  <c r="L99" i="122"/>
  <c r="X98" i="122"/>
  <c r="W98" i="122"/>
  <c r="V98" i="122"/>
  <c r="U98" i="122"/>
  <c r="T98" i="122"/>
  <c r="S98" i="122"/>
  <c r="R98" i="122"/>
  <c r="Q98" i="122"/>
  <c r="P98" i="122"/>
  <c r="O98" i="122"/>
  <c r="N98" i="122"/>
  <c r="M98" i="122"/>
  <c r="L98" i="122"/>
  <c r="X97" i="122"/>
  <c r="W97" i="122"/>
  <c r="V97" i="122"/>
  <c r="U97" i="122"/>
  <c r="T97" i="122"/>
  <c r="S97" i="122"/>
  <c r="R97" i="122"/>
  <c r="Q97" i="122"/>
  <c r="P97" i="122"/>
  <c r="O97" i="122"/>
  <c r="N97" i="122"/>
  <c r="M97" i="122"/>
  <c r="L97" i="122"/>
  <c r="X96" i="122"/>
  <c r="W96" i="122"/>
  <c r="V96" i="122"/>
  <c r="U96" i="122"/>
  <c r="T96" i="122"/>
  <c r="S96" i="122"/>
  <c r="R96" i="122"/>
  <c r="Q96" i="122"/>
  <c r="P96" i="122"/>
  <c r="O96" i="122"/>
  <c r="N96" i="122"/>
  <c r="M96" i="122"/>
  <c r="L96" i="122"/>
  <c r="X95" i="122"/>
  <c r="W95" i="122"/>
  <c r="V95" i="122"/>
  <c r="U95" i="122"/>
  <c r="T95" i="122"/>
  <c r="S95" i="122"/>
  <c r="R95" i="122"/>
  <c r="Q95" i="122"/>
  <c r="P95" i="122"/>
  <c r="O95" i="122"/>
  <c r="N95" i="122"/>
  <c r="M95" i="122"/>
  <c r="L95" i="122"/>
  <c r="X94" i="122"/>
  <c r="W94" i="122"/>
  <c r="V94" i="122"/>
  <c r="U94" i="122"/>
  <c r="T94" i="122"/>
  <c r="S94" i="122"/>
  <c r="R94" i="122"/>
  <c r="Q94" i="122"/>
  <c r="P94" i="122"/>
  <c r="O94" i="122"/>
  <c r="N94" i="122"/>
  <c r="M94" i="122"/>
  <c r="L94" i="122"/>
  <c r="X93" i="122"/>
  <c r="W93" i="122"/>
  <c r="V93" i="122"/>
  <c r="U93" i="122"/>
  <c r="T93" i="122"/>
  <c r="S93" i="122"/>
  <c r="R93" i="122"/>
  <c r="Q93" i="122"/>
  <c r="P93" i="122"/>
  <c r="O93" i="122"/>
  <c r="N93" i="122"/>
  <c r="M93" i="122"/>
  <c r="L93" i="122"/>
  <c r="X92" i="122"/>
  <c r="W92" i="122"/>
  <c r="V92" i="122"/>
  <c r="U92" i="122"/>
  <c r="T92" i="122"/>
  <c r="S92" i="122"/>
  <c r="R92" i="122"/>
  <c r="Q92" i="122"/>
  <c r="P92" i="122"/>
  <c r="O92" i="122"/>
  <c r="N92" i="122"/>
  <c r="M92" i="122"/>
  <c r="L92" i="122"/>
  <c r="X91" i="122"/>
  <c r="W91" i="122"/>
  <c r="V91" i="122"/>
  <c r="U91" i="122"/>
  <c r="T91" i="122"/>
  <c r="S91" i="122"/>
  <c r="R91" i="122"/>
  <c r="Q91" i="122"/>
  <c r="P91" i="122"/>
  <c r="O91" i="122"/>
  <c r="N91" i="122"/>
  <c r="M91" i="122"/>
  <c r="L91" i="122"/>
  <c r="X90" i="122"/>
  <c r="W90" i="122"/>
  <c r="V90" i="122"/>
  <c r="U90" i="122"/>
  <c r="T90" i="122"/>
  <c r="S90" i="122"/>
  <c r="R90" i="122"/>
  <c r="Q90" i="122"/>
  <c r="P90" i="122"/>
  <c r="O90" i="122"/>
  <c r="N90" i="122"/>
  <c r="M90" i="122"/>
  <c r="L90" i="122"/>
  <c r="X89" i="122"/>
  <c r="W89" i="122"/>
  <c r="V89" i="122"/>
  <c r="U89" i="122"/>
  <c r="T89" i="122"/>
  <c r="S89" i="122"/>
  <c r="R89" i="122"/>
  <c r="Q89" i="122"/>
  <c r="P89" i="122"/>
  <c r="O89" i="122"/>
  <c r="N89" i="122"/>
  <c r="M89" i="122"/>
  <c r="L89" i="122"/>
  <c r="X88" i="122"/>
  <c r="W88" i="122"/>
  <c r="V88" i="122"/>
  <c r="U88" i="122"/>
  <c r="T88" i="122"/>
  <c r="S88" i="122"/>
  <c r="R88" i="122"/>
  <c r="Q88" i="122"/>
  <c r="P88" i="122"/>
  <c r="O88" i="122"/>
  <c r="N88" i="122"/>
  <c r="M88" i="122"/>
  <c r="L88" i="122"/>
  <c r="X87" i="122"/>
  <c r="W87" i="122"/>
  <c r="V87" i="122"/>
  <c r="U87" i="122"/>
  <c r="T87" i="122"/>
  <c r="S87" i="122"/>
  <c r="R87" i="122"/>
  <c r="Q87" i="122"/>
  <c r="P87" i="122"/>
  <c r="O87" i="122"/>
  <c r="N87" i="122"/>
  <c r="M87" i="122"/>
  <c r="L87" i="122"/>
  <c r="X86" i="122"/>
  <c r="W86" i="122"/>
  <c r="V86" i="122"/>
  <c r="U86" i="122"/>
  <c r="T86" i="122"/>
  <c r="S86" i="122"/>
  <c r="R86" i="122"/>
  <c r="Q86" i="122"/>
  <c r="P86" i="122"/>
  <c r="O86" i="122"/>
  <c r="N86" i="122"/>
  <c r="M86" i="122"/>
  <c r="L86" i="122"/>
  <c r="X85" i="122"/>
  <c r="W85" i="122"/>
  <c r="V85" i="122"/>
  <c r="U85" i="122"/>
  <c r="T85" i="122"/>
  <c r="S85" i="122"/>
  <c r="R85" i="122"/>
  <c r="Q85" i="122"/>
  <c r="P85" i="122"/>
  <c r="O85" i="122"/>
  <c r="N85" i="122"/>
  <c r="M85" i="122"/>
  <c r="L85" i="122"/>
  <c r="X84" i="122"/>
  <c r="W84" i="122"/>
  <c r="V84" i="122"/>
  <c r="U84" i="122"/>
  <c r="T84" i="122"/>
  <c r="S84" i="122"/>
  <c r="R84" i="122"/>
  <c r="Q84" i="122"/>
  <c r="P84" i="122"/>
  <c r="O84" i="122"/>
  <c r="N84" i="122"/>
  <c r="M84" i="122"/>
  <c r="L84" i="122"/>
  <c r="X83" i="122"/>
  <c r="W83" i="122"/>
  <c r="V83" i="122"/>
  <c r="U83" i="122"/>
  <c r="T83" i="122"/>
  <c r="S83" i="122"/>
  <c r="R83" i="122"/>
  <c r="Q83" i="122"/>
  <c r="P83" i="122"/>
  <c r="O83" i="122"/>
  <c r="N83" i="122"/>
  <c r="M83" i="122"/>
  <c r="L83" i="122"/>
  <c r="X82" i="122"/>
  <c r="W82" i="122"/>
  <c r="V82" i="122"/>
  <c r="U82" i="122"/>
  <c r="T82" i="122"/>
  <c r="S82" i="122"/>
  <c r="R82" i="122"/>
  <c r="Q82" i="122"/>
  <c r="P82" i="122"/>
  <c r="O82" i="122"/>
  <c r="N82" i="122"/>
  <c r="M82" i="122"/>
  <c r="L82" i="122"/>
  <c r="X81" i="122"/>
  <c r="W81" i="122"/>
  <c r="V81" i="122"/>
  <c r="U81" i="122"/>
  <c r="T81" i="122"/>
  <c r="S81" i="122"/>
  <c r="R81" i="122"/>
  <c r="Q81" i="122"/>
  <c r="P81" i="122"/>
  <c r="O81" i="122"/>
  <c r="N81" i="122"/>
  <c r="M81" i="122"/>
  <c r="L81" i="122"/>
  <c r="X80" i="122"/>
  <c r="W80" i="122"/>
  <c r="V80" i="122"/>
  <c r="U80" i="122"/>
  <c r="T80" i="122"/>
  <c r="S80" i="122"/>
  <c r="R80" i="122"/>
  <c r="Q80" i="122"/>
  <c r="P80" i="122"/>
  <c r="O80" i="122"/>
  <c r="N80" i="122"/>
  <c r="M80" i="122"/>
  <c r="L80" i="122"/>
  <c r="X79" i="122"/>
  <c r="W79" i="122"/>
  <c r="V79" i="122"/>
  <c r="U79" i="122"/>
  <c r="T79" i="122"/>
  <c r="S79" i="122"/>
  <c r="R79" i="122"/>
  <c r="Q79" i="122"/>
  <c r="P79" i="122"/>
  <c r="O79" i="122"/>
  <c r="N79" i="122"/>
  <c r="M79" i="122"/>
  <c r="L79" i="122"/>
  <c r="X78" i="122"/>
  <c r="W78" i="122"/>
  <c r="V78" i="122"/>
  <c r="U78" i="122"/>
  <c r="T78" i="122"/>
  <c r="S78" i="122"/>
  <c r="R78" i="122"/>
  <c r="Q78" i="122"/>
  <c r="P78" i="122"/>
  <c r="O78" i="122"/>
  <c r="N78" i="122"/>
  <c r="M78" i="122"/>
  <c r="L78" i="122"/>
  <c r="X77" i="122"/>
  <c r="W77" i="122"/>
  <c r="V77" i="122"/>
  <c r="U77" i="122"/>
  <c r="T77" i="122"/>
  <c r="S77" i="122"/>
  <c r="R77" i="122"/>
  <c r="Q77" i="122"/>
  <c r="P77" i="122"/>
  <c r="O77" i="122"/>
  <c r="N77" i="122"/>
  <c r="M77" i="122"/>
  <c r="L77" i="122"/>
  <c r="X76" i="122"/>
  <c r="W76" i="122"/>
  <c r="V76" i="122"/>
  <c r="U76" i="122"/>
  <c r="T76" i="122"/>
  <c r="S76" i="122"/>
  <c r="R76" i="122"/>
  <c r="Q76" i="122"/>
  <c r="P76" i="122"/>
  <c r="O76" i="122"/>
  <c r="N76" i="122"/>
  <c r="M76" i="122"/>
  <c r="L76" i="122"/>
  <c r="X75" i="122"/>
  <c r="W75" i="122"/>
  <c r="V75" i="122"/>
  <c r="U75" i="122"/>
  <c r="T75" i="122"/>
  <c r="S75" i="122"/>
  <c r="R75" i="122"/>
  <c r="Q75" i="122"/>
  <c r="P75" i="122"/>
  <c r="O75" i="122"/>
  <c r="N75" i="122"/>
  <c r="M75" i="122"/>
  <c r="L75" i="122"/>
  <c r="X74" i="122"/>
  <c r="W74" i="122"/>
  <c r="V74" i="122"/>
  <c r="U74" i="122"/>
  <c r="T74" i="122"/>
  <c r="S74" i="122"/>
  <c r="R74" i="122"/>
  <c r="Q74" i="122"/>
  <c r="P74" i="122"/>
  <c r="O74" i="122"/>
  <c r="N74" i="122"/>
  <c r="M74" i="122"/>
  <c r="L74" i="122"/>
  <c r="X73" i="122"/>
  <c r="W73" i="122"/>
  <c r="V73" i="122"/>
  <c r="U73" i="122"/>
  <c r="T73" i="122"/>
  <c r="S73" i="122"/>
  <c r="R73" i="122"/>
  <c r="Q73" i="122"/>
  <c r="P73" i="122"/>
  <c r="O73" i="122"/>
  <c r="N73" i="122"/>
  <c r="M73" i="122"/>
  <c r="L73" i="122"/>
  <c r="X72" i="122"/>
  <c r="W72" i="122"/>
  <c r="V72" i="122"/>
  <c r="U72" i="122"/>
  <c r="T72" i="122"/>
  <c r="S72" i="122"/>
  <c r="R72" i="122"/>
  <c r="Q72" i="122"/>
  <c r="P72" i="122"/>
  <c r="O72" i="122"/>
  <c r="N72" i="122"/>
  <c r="M72" i="122"/>
  <c r="L72" i="122"/>
  <c r="X71" i="122"/>
  <c r="W71" i="122"/>
  <c r="V71" i="122"/>
  <c r="U71" i="122"/>
  <c r="T71" i="122"/>
  <c r="S71" i="122"/>
  <c r="R71" i="122"/>
  <c r="Q71" i="122"/>
  <c r="P71" i="122"/>
  <c r="O71" i="122"/>
  <c r="N71" i="122"/>
  <c r="M71" i="122"/>
  <c r="L71" i="122"/>
  <c r="X70" i="122"/>
  <c r="W70" i="122"/>
  <c r="V70" i="122"/>
  <c r="U70" i="122"/>
  <c r="T70" i="122"/>
  <c r="S70" i="122"/>
  <c r="R70" i="122"/>
  <c r="Q70" i="122"/>
  <c r="P70" i="122"/>
  <c r="O70" i="122"/>
  <c r="N70" i="122"/>
  <c r="M70" i="122"/>
  <c r="L70" i="122"/>
  <c r="X69" i="122"/>
  <c r="W69" i="122"/>
  <c r="V69" i="122"/>
  <c r="U69" i="122"/>
  <c r="T69" i="122"/>
  <c r="S69" i="122"/>
  <c r="R69" i="122"/>
  <c r="Q69" i="122"/>
  <c r="P69" i="122"/>
  <c r="O69" i="122"/>
  <c r="N69" i="122"/>
  <c r="M69" i="122"/>
  <c r="L69" i="122"/>
  <c r="X68" i="122"/>
  <c r="W68" i="122"/>
  <c r="V68" i="122"/>
  <c r="U68" i="122"/>
  <c r="T68" i="122"/>
  <c r="S68" i="122"/>
  <c r="R68" i="122"/>
  <c r="Q68" i="122"/>
  <c r="P68" i="122"/>
  <c r="O68" i="122"/>
  <c r="N68" i="122"/>
  <c r="M68" i="122"/>
  <c r="L68" i="122"/>
  <c r="X67" i="122"/>
  <c r="W67" i="122"/>
  <c r="V67" i="122"/>
  <c r="U67" i="122"/>
  <c r="T67" i="122"/>
  <c r="S67" i="122"/>
  <c r="R67" i="122"/>
  <c r="Q67" i="122"/>
  <c r="P67" i="122"/>
  <c r="O67" i="122"/>
  <c r="N67" i="122"/>
  <c r="M67" i="122"/>
  <c r="L67" i="122"/>
  <c r="X66" i="122"/>
  <c r="W66" i="122"/>
  <c r="V66" i="122"/>
  <c r="U66" i="122"/>
  <c r="T66" i="122"/>
  <c r="S66" i="122"/>
  <c r="R66" i="122"/>
  <c r="Q66" i="122"/>
  <c r="P66" i="122"/>
  <c r="O66" i="122"/>
  <c r="N66" i="122"/>
  <c r="M66" i="122"/>
  <c r="L66" i="122"/>
  <c r="X65" i="122"/>
  <c r="W65" i="122"/>
  <c r="V65" i="122"/>
  <c r="U65" i="122"/>
  <c r="T65" i="122"/>
  <c r="S65" i="122"/>
  <c r="R65" i="122"/>
  <c r="Q65" i="122"/>
  <c r="P65" i="122"/>
  <c r="O65" i="122"/>
  <c r="N65" i="122"/>
  <c r="M65" i="122"/>
  <c r="L65" i="122"/>
  <c r="X64" i="122"/>
  <c r="W64" i="122"/>
  <c r="V64" i="122"/>
  <c r="U64" i="122"/>
  <c r="T64" i="122"/>
  <c r="S64" i="122"/>
  <c r="R64" i="122"/>
  <c r="Q64" i="122"/>
  <c r="P64" i="122"/>
  <c r="O64" i="122"/>
  <c r="N64" i="122"/>
  <c r="M64" i="122"/>
  <c r="L64" i="122"/>
  <c r="X63" i="122"/>
  <c r="W63" i="122"/>
  <c r="V63" i="122"/>
  <c r="U63" i="122"/>
  <c r="T63" i="122"/>
  <c r="S63" i="122"/>
  <c r="R63" i="122"/>
  <c r="Q63" i="122"/>
  <c r="P63" i="122"/>
  <c r="O63" i="122"/>
  <c r="N63" i="122"/>
  <c r="M63" i="122"/>
  <c r="L63" i="122"/>
  <c r="X62" i="122"/>
  <c r="W62" i="122"/>
  <c r="V62" i="122"/>
  <c r="U62" i="122"/>
  <c r="T62" i="122"/>
  <c r="S62" i="122"/>
  <c r="R62" i="122"/>
  <c r="Q62" i="122"/>
  <c r="P62" i="122"/>
  <c r="O62" i="122"/>
  <c r="N62" i="122"/>
  <c r="M62" i="122"/>
  <c r="L62" i="122"/>
  <c r="X61" i="122"/>
  <c r="W61" i="122"/>
  <c r="V61" i="122"/>
  <c r="U61" i="122"/>
  <c r="T61" i="122"/>
  <c r="S61" i="122"/>
  <c r="R61" i="122"/>
  <c r="Q61" i="122"/>
  <c r="P61" i="122"/>
  <c r="O61" i="122"/>
  <c r="N61" i="122"/>
  <c r="M61" i="122"/>
  <c r="L61" i="122"/>
  <c r="X60" i="122"/>
  <c r="W60" i="122"/>
  <c r="V60" i="122"/>
  <c r="U60" i="122"/>
  <c r="T60" i="122"/>
  <c r="S60" i="122"/>
  <c r="R60" i="122"/>
  <c r="Q60" i="122"/>
  <c r="P60" i="122"/>
  <c r="O60" i="122"/>
  <c r="N60" i="122"/>
  <c r="M60" i="122"/>
  <c r="L60" i="122"/>
  <c r="X59" i="122"/>
  <c r="W59" i="122"/>
  <c r="V59" i="122"/>
  <c r="U59" i="122"/>
  <c r="T59" i="122"/>
  <c r="S59" i="122"/>
  <c r="R59" i="122"/>
  <c r="Q59" i="122"/>
  <c r="P59" i="122"/>
  <c r="O59" i="122"/>
  <c r="N59" i="122"/>
  <c r="M59" i="122"/>
  <c r="L59" i="122"/>
  <c r="X58" i="122"/>
  <c r="W58" i="122"/>
  <c r="V58" i="122"/>
  <c r="U58" i="122"/>
  <c r="T58" i="122"/>
  <c r="S58" i="122"/>
  <c r="R58" i="122"/>
  <c r="Q58" i="122"/>
  <c r="P58" i="122"/>
  <c r="O58" i="122"/>
  <c r="N58" i="122"/>
  <c r="M58" i="122"/>
  <c r="L58" i="122"/>
  <c r="X57" i="122"/>
  <c r="W57" i="122"/>
  <c r="V57" i="122"/>
  <c r="U57" i="122"/>
  <c r="T57" i="122"/>
  <c r="S57" i="122"/>
  <c r="R57" i="122"/>
  <c r="Q57" i="122"/>
  <c r="P57" i="122"/>
  <c r="O57" i="122"/>
  <c r="N57" i="122"/>
  <c r="M57" i="122"/>
  <c r="L57" i="122"/>
  <c r="X56" i="122"/>
  <c r="W56" i="122"/>
  <c r="V56" i="122"/>
  <c r="U56" i="122"/>
  <c r="T56" i="122"/>
  <c r="S56" i="122"/>
  <c r="R56" i="122"/>
  <c r="Q56" i="122"/>
  <c r="P56" i="122"/>
  <c r="O56" i="122"/>
  <c r="N56" i="122"/>
  <c r="M56" i="122"/>
  <c r="L56" i="122"/>
  <c r="X55" i="122"/>
  <c r="W55" i="122"/>
  <c r="V55" i="122"/>
  <c r="U55" i="122"/>
  <c r="T55" i="122"/>
  <c r="S55" i="122"/>
  <c r="R55" i="122"/>
  <c r="Q55" i="122"/>
  <c r="P55" i="122"/>
  <c r="O55" i="122"/>
  <c r="N55" i="122"/>
  <c r="M55" i="122"/>
  <c r="L55" i="122"/>
  <c r="X54" i="122"/>
  <c r="W54" i="122"/>
  <c r="V54" i="122"/>
  <c r="U54" i="122"/>
  <c r="T54" i="122"/>
  <c r="S54" i="122"/>
  <c r="R54" i="122"/>
  <c r="Q54" i="122"/>
  <c r="P54" i="122"/>
  <c r="O54" i="122"/>
  <c r="N54" i="122"/>
  <c r="M54" i="122"/>
  <c r="L54" i="122"/>
  <c r="X53" i="122"/>
  <c r="W53" i="122"/>
  <c r="V53" i="122"/>
  <c r="U53" i="122"/>
  <c r="T53" i="122"/>
  <c r="S53" i="122"/>
  <c r="R53" i="122"/>
  <c r="Q53" i="122"/>
  <c r="P53" i="122"/>
  <c r="O53" i="122"/>
  <c r="N53" i="122"/>
  <c r="M53" i="122"/>
  <c r="L53" i="122"/>
  <c r="X52" i="122"/>
  <c r="W52" i="122"/>
  <c r="V52" i="122"/>
  <c r="U52" i="122"/>
  <c r="T52" i="122"/>
  <c r="S52" i="122"/>
  <c r="R52" i="122"/>
  <c r="Q52" i="122"/>
  <c r="P52" i="122"/>
  <c r="O52" i="122"/>
  <c r="N52" i="122"/>
  <c r="M52" i="122"/>
  <c r="L52" i="122"/>
  <c r="X51" i="122"/>
  <c r="W51" i="122"/>
  <c r="V51" i="122"/>
  <c r="U51" i="122"/>
  <c r="T51" i="122"/>
  <c r="S51" i="122"/>
  <c r="R51" i="122"/>
  <c r="Q51" i="122"/>
  <c r="P51" i="122"/>
  <c r="O51" i="122"/>
  <c r="N51" i="122"/>
  <c r="M51" i="122"/>
  <c r="L51" i="122"/>
  <c r="X50" i="122"/>
  <c r="W50" i="122"/>
  <c r="V50" i="122"/>
  <c r="U50" i="122"/>
  <c r="T50" i="122"/>
  <c r="S50" i="122"/>
  <c r="R50" i="122"/>
  <c r="Q50" i="122"/>
  <c r="P50" i="122"/>
  <c r="O50" i="122"/>
  <c r="N50" i="122"/>
  <c r="M50" i="122"/>
  <c r="L50" i="122"/>
  <c r="X49" i="122"/>
  <c r="W49" i="122"/>
  <c r="V49" i="122"/>
  <c r="U49" i="122"/>
  <c r="T49" i="122"/>
  <c r="S49" i="122"/>
  <c r="R49" i="122"/>
  <c r="Q49" i="122"/>
  <c r="P49" i="122"/>
  <c r="O49" i="122"/>
  <c r="N49" i="122"/>
  <c r="M49" i="122"/>
  <c r="L49" i="122"/>
  <c r="X48" i="122"/>
  <c r="W48" i="122"/>
  <c r="V48" i="122"/>
  <c r="U48" i="122"/>
  <c r="T48" i="122"/>
  <c r="S48" i="122"/>
  <c r="R48" i="122"/>
  <c r="Q48" i="122"/>
  <c r="P48" i="122"/>
  <c r="O48" i="122"/>
  <c r="N48" i="122"/>
  <c r="M48" i="122"/>
  <c r="L48" i="122"/>
  <c r="X47" i="122"/>
  <c r="W47" i="122"/>
  <c r="V47" i="122"/>
  <c r="U47" i="122"/>
  <c r="T47" i="122"/>
  <c r="S47" i="122"/>
  <c r="R47" i="122"/>
  <c r="Q47" i="122"/>
  <c r="P47" i="122"/>
  <c r="O47" i="122"/>
  <c r="N47" i="122"/>
  <c r="M47" i="122"/>
  <c r="L47" i="122"/>
  <c r="X46" i="122"/>
  <c r="W46" i="122"/>
  <c r="V46" i="122"/>
  <c r="U46" i="122"/>
  <c r="T46" i="122"/>
  <c r="S46" i="122"/>
  <c r="R46" i="122"/>
  <c r="Q46" i="122"/>
  <c r="P46" i="122"/>
  <c r="O46" i="122"/>
  <c r="N46" i="122"/>
  <c r="M46" i="122"/>
  <c r="L46" i="122"/>
  <c r="X45" i="122"/>
  <c r="W45" i="122"/>
  <c r="V45" i="122"/>
  <c r="U45" i="122"/>
  <c r="T45" i="122"/>
  <c r="S45" i="122"/>
  <c r="R45" i="122"/>
  <c r="Q45" i="122"/>
  <c r="P45" i="122"/>
  <c r="O45" i="122"/>
  <c r="N45" i="122"/>
  <c r="M45" i="122"/>
  <c r="L45" i="122"/>
  <c r="X44" i="122"/>
  <c r="W44" i="122"/>
  <c r="V44" i="122"/>
  <c r="U44" i="122"/>
  <c r="T44" i="122"/>
  <c r="S44" i="122"/>
  <c r="R44" i="122"/>
  <c r="Q44" i="122"/>
  <c r="P44" i="122"/>
  <c r="O44" i="122"/>
  <c r="N44" i="122"/>
  <c r="M44" i="122"/>
  <c r="L44" i="122"/>
  <c r="X43" i="122"/>
  <c r="W43" i="122"/>
  <c r="V43" i="122"/>
  <c r="U43" i="122"/>
  <c r="T43" i="122"/>
  <c r="S43" i="122"/>
  <c r="R43" i="122"/>
  <c r="Q43" i="122"/>
  <c r="P43" i="122"/>
  <c r="O43" i="122"/>
  <c r="N43" i="122"/>
  <c r="M43" i="122"/>
  <c r="L43" i="122"/>
  <c r="X42" i="122"/>
  <c r="W42" i="122"/>
  <c r="V42" i="122"/>
  <c r="U42" i="122"/>
  <c r="T42" i="122"/>
  <c r="S42" i="122"/>
  <c r="R42" i="122"/>
  <c r="Q42" i="122"/>
  <c r="P42" i="122"/>
  <c r="O42" i="122"/>
  <c r="N42" i="122"/>
  <c r="M42" i="122"/>
  <c r="L42" i="122"/>
  <c r="X41" i="122"/>
  <c r="W41" i="122"/>
  <c r="V41" i="122"/>
  <c r="U41" i="122"/>
  <c r="T41" i="122"/>
  <c r="S41" i="122"/>
  <c r="R41" i="122"/>
  <c r="Q41" i="122"/>
  <c r="P41" i="122"/>
  <c r="O41" i="122"/>
  <c r="N41" i="122"/>
  <c r="M41" i="122"/>
  <c r="L41" i="122"/>
  <c r="X40" i="122"/>
  <c r="W40" i="122"/>
  <c r="V40" i="122"/>
  <c r="U40" i="122"/>
  <c r="T40" i="122"/>
  <c r="S40" i="122"/>
  <c r="R40" i="122"/>
  <c r="Q40" i="122"/>
  <c r="P40" i="122"/>
  <c r="O40" i="122"/>
  <c r="N40" i="122"/>
  <c r="M40" i="122"/>
  <c r="L40" i="122"/>
  <c r="X39" i="122"/>
  <c r="W39" i="122"/>
  <c r="V39" i="122"/>
  <c r="U39" i="122"/>
  <c r="T39" i="122"/>
  <c r="S39" i="122"/>
  <c r="R39" i="122"/>
  <c r="Q39" i="122"/>
  <c r="P39" i="122"/>
  <c r="O39" i="122"/>
  <c r="N39" i="122"/>
  <c r="M39" i="122"/>
  <c r="L39" i="122"/>
  <c r="X38" i="122"/>
  <c r="W38" i="122"/>
  <c r="V38" i="122"/>
  <c r="U38" i="122"/>
  <c r="T38" i="122"/>
  <c r="S38" i="122"/>
  <c r="R38" i="122"/>
  <c r="Q38" i="122"/>
  <c r="P38" i="122"/>
  <c r="O38" i="122"/>
  <c r="N38" i="122"/>
  <c r="M38" i="122"/>
  <c r="L38" i="122"/>
  <c r="X37" i="122"/>
  <c r="W37" i="122"/>
  <c r="V37" i="122"/>
  <c r="U37" i="122"/>
  <c r="T37" i="122"/>
  <c r="S37" i="122"/>
  <c r="R37" i="122"/>
  <c r="Q37" i="122"/>
  <c r="P37" i="122"/>
  <c r="O37" i="122"/>
  <c r="N37" i="122"/>
  <c r="M37" i="122"/>
  <c r="L37" i="122"/>
  <c r="X36" i="122"/>
  <c r="W36" i="122"/>
  <c r="V36" i="122"/>
  <c r="U36" i="122"/>
  <c r="T36" i="122"/>
  <c r="S36" i="122"/>
  <c r="R36" i="122"/>
  <c r="Q36" i="122"/>
  <c r="P36" i="122"/>
  <c r="O36" i="122"/>
  <c r="N36" i="122"/>
  <c r="M36" i="122"/>
  <c r="L36" i="122"/>
  <c r="X35" i="122"/>
  <c r="W35" i="122"/>
  <c r="V35" i="122"/>
  <c r="U35" i="122"/>
  <c r="T35" i="122"/>
  <c r="S35" i="122"/>
  <c r="R35" i="122"/>
  <c r="Q35" i="122"/>
  <c r="P35" i="122"/>
  <c r="O35" i="122"/>
  <c r="N35" i="122"/>
  <c r="M35" i="122"/>
  <c r="L35" i="122"/>
  <c r="X34" i="122"/>
  <c r="W34" i="122"/>
  <c r="V34" i="122"/>
  <c r="U34" i="122"/>
  <c r="T34" i="122"/>
  <c r="S34" i="122"/>
  <c r="R34" i="122"/>
  <c r="Q34" i="122"/>
  <c r="P34" i="122"/>
  <c r="O34" i="122"/>
  <c r="N34" i="122"/>
  <c r="M34" i="122"/>
  <c r="L34" i="122"/>
  <c r="X33" i="122"/>
  <c r="W33" i="122"/>
  <c r="V33" i="122"/>
  <c r="U33" i="122"/>
  <c r="T33" i="122"/>
  <c r="S33" i="122"/>
  <c r="R33" i="122"/>
  <c r="Q33" i="122"/>
  <c r="P33" i="122"/>
  <c r="O33" i="122"/>
  <c r="N33" i="122"/>
  <c r="M33" i="122"/>
  <c r="L33" i="122"/>
  <c r="X32" i="122"/>
  <c r="W32" i="122"/>
  <c r="V32" i="122"/>
  <c r="U32" i="122"/>
  <c r="T32" i="122"/>
  <c r="S32" i="122"/>
  <c r="R32" i="122"/>
  <c r="Q32" i="122"/>
  <c r="P32" i="122"/>
  <c r="O32" i="122"/>
  <c r="N32" i="122"/>
  <c r="M32" i="122"/>
  <c r="L32" i="122"/>
  <c r="X31" i="122"/>
  <c r="W31" i="122"/>
  <c r="V31" i="122"/>
  <c r="U31" i="122"/>
  <c r="T31" i="122"/>
  <c r="S31" i="122"/>
  <c r="R31" i="122"/>
  <c r="Q31" i="122"/>
  <c r="P31" i="122"/>
  <c r="O31" i="122"/>
  <c r="N31" i="122"/>
  <c r="M31" i="122"/>
  <c r="L31" i="122"/>
  <c r="X30" i="122"/>
  <c r="W30" i="122"/>
  <c r="V30" i="122"/>
  <c r="U30" i="122"/>
  <c r="T30" i="122"/>
  <c r="S30" i="122"/>
  <c r="R30" i="122"/>
  <c r="Q30" i="122"/>
  <c r="P30" i="122"/>
  <c r="O30" i="122"/>
  <c r="N30" i="122"/>
  <c r="M30" i="122"/>
  <c r="L30" i="122"/>
  <c r="X29" i="122"/>
  <c r="W29" i="122"/>
  <c r="V29" i="122"/>
  <c r="U29" i="122"/>
  <c r="T29" i="122"/>
  <c r="S29" i="122"/>
  <c r="R29" i="122"/>
  <c r="Q29" i="122"/>
  <c r="P29" i="122"/>
  <c r="O29" i="122"/>
  <c r="N29" i="122"/>
  <c r="M29" i="122"/>
  <c r="L29" i="122"/>
  <c r="X28" i="122"/>
  <c r="W28" i="122"/>
  <c r="V28" i="122"/>
  <c r="U28" i="122"/>
  <c r="T28" i="122"/>
  <c r="S28" i="122"/>
  <c r="R28" i="122"/>
  <c r="Q28" i="122"/>
  <c r="P28" i="122"/>
  <c r="O28" i="122"/>
  <c r="N28" i="122"/>
  <c r="M28" i="122"/>
  <c r="L28" i="122"/>
  <c r="X27" i="122"/>
  <c r="W27" i="122"/>
  <c r="V27" i="122"/>
  <c r="U27" i="122"/>
  <c r="T27" i="122"/>
  <c r="S27" i="122"/>
  <c r="R27" i="122"/>
  <c r="Q27" i="122"/>
  <c r="P27" i="122"/>
  <c r="O27" i="122"/>
  <c r="N27" i="122"/>
  <c r="M27" i="122"/>
  <c r="L27" i="122"/>
  <c r="X26" i="122"/>
  <c r="W26" i="122"/>
  <c r="V26" i="122"/>
  <c r="U26" i="122"/>
  <c r="T26" i="122"/>
  <c r="S26" i="122"/>
  <c r="R26" i="122"/>
  <c r="Q26" i="122"/>
  <c r="P26" i="122"/>
  <c r="O26" i="122"/>
  <c r="N26" i="122"/>
  <c r="M26" i="122"/>
  <c r="L26" i="122"/>
  <c r="X25" i="122"/>
  <c r="W25" i="122"/>
  <c r="V25" i="122"/>
  <c r="U25" i="122"/>
  <c r="T25" i="122"/>
  <c r="S25" i="122"/>
  <c r="R25" i="122"/>
  <c r="Q25" i="122"/>
  <c r="P25" i="122"/>
  <c r="O25" i="122"/>
  <c r="N25" i="122"/>
  <c r="M25" i="122"/>
  <c r="L25" i="122"/>
  <c r="X24" i="122"/>
  <c r="W24" i="122"/>
  <c r="V24" i="122"/>
  <c r="U24" i="122"/>
  <c r="T24" i="122"/>
  <c r="S24" i="122"/>
  <c r="R24" i="122"/>
  <c r="Q24" i="122"/>
  <c r="P24" i="122"/>
  <c r="O24" i="122"/>
  <c r="N24" i="122"/>
  <c r="M24" i="122"/>
  <c r="L24" i="122"/>
  <c r="X23" i="122"/>
  <c r="W23" i="122"/>
  <c r="V23" i="122"/>
  <c r="U23" i="122"/>
  <c r="T23" i="122"/>
  <c r="S23" i="122"/>
  <c r="R23" i="122"/>
  <c r="Q23" i="122"/>
  <c r="P23" i="122"/>
  <c r="O23" i="122"/>
  <c r="N23" i="122"/>
  <c r="M23" i="122"/>
  <c r="L23" i="122"/>
  <c r="X22" i="122"/>
  <c r="W22" i="122"/>
  <c r="V22" i="122"/>
  <c r="U22" i="122"/>
  <c r="T22" i="122"/>
  <c r="S22" i="122"/>
  <c r="R22" i="122"/>
  <c r="Q22" i="122"/>
  <c r="P22" i="122"/>
  <c r="O22" i="122"/>
  <c r="N22" i="122"/>
  <c r="M22" i="122"/>
  <c r="L22" i="122"/>
  <c r="X21" i="122"/>
  <c r="W21" i="122"/>
  <c r="V21" i="122"/>
  <c r="U21" i="122"/>
  <c r="T21" i="122"/>
  <c r="S21" i="122"/>
  <c r="R21" i="122"/>
  <c r="Q21" i="122"/>
  <c r="P21" i="122"/>
  <c r="O21" i="122"/>
  <c r="N21" i="122"/>
  <c r="M21" i="122"/>
  <c r="L21" i="122"/>
  <c r="X20" i="122"/>
  <c r="W20" i="122"/>
  <c r="V20" i="122"/>
  <c r="U20" i="122"/>
  <c r="T20" i="122"/>
  <c r="S20" i="122"/>
  <c r="R20" i="122"/>
  <c r="Q20" i="122"/>
  <c r="P20" i="122"/>
  <c r="O20" i="122"/>
  <c r="N20" i="122"/>
  <c r="M20" i="122"/>
  <c r="L20" i="122"/>
  <c r="X19" i="122"/>
  <c r="W19" i="122"/>
  <c r="V19" i="122"/>
  <c r="U19" i="122"/>
  <c r="T19" i="122"/>
  <c r="S19" i="122"/>
  <c r="R19" i="122"/>
  <c r="Q19" i="122"/>
  <c r="P19" i="122"/>
  <c r="O19" i="122"/>
  <c r="N19" i="122"/>
  <c r="M19" i="122"/>
  <c r="L19" i="122"/>
  <c r="K19" i="122"/>
  <c r="X18" i="122"/>
  <c r="W18" i="122"/>
  <c r="V18" i="122"/>
  <c r="U18" i="122"/>
  <c r="T18" i="122"/>
  <c r="S18" i="122"/>
  <c r="R18" i="122"/>
  <c r="Q18" i="122"/>
  <c r="P18" i="122"/>
  <c r="O18" i="122"/>
  <c r="N18" i="122"/>
  <c r="M18" i="122"/>
  <c r="L18" i="122"/>
  <c r="K18" i="122"/>
  <c r="X17" i="122"/>
  <c r="W17" i="122"/>
  <c r="V17" i="122"/>
  <c r="S17" i="122"/>
  <c r="R17" i="122"/>
  <c r="Q17" i="122"/>
  <c r="P17" i="122"/>
  <c r="O17" i="122"/>
  <c r="N17" i="122"/>
  <c r="M17" i="122"/>
  <c r="L17" i="122"/>
  <c r="K17" i="122"/>
  <c r="R16" i="122"/>
  <c r="N16" i="122"/>
  <c r="M16" i="122"/>
  <c r="L16" i="122"/>
  <c r="K16" i="122"/>
  <c r="Y2" i="122"/>
  <c r="M18" i="120"/>
  <c r="N18" i="120"/>
  <c r="O18" i="120"/>
  <c r="P18" i="120"/>
  <c r="Q18" i="120"/>
  <c r="R18" i="120"/>
  <c r="M19" i="120"/>
  <c r="N19" i="120"/>
  <c r="O19" i="120"/>
  <c r="P19" i="120"/>
  <c r="Q19" i="120"/>
  <c r="R19" i="120"/>
  <c r="M20" i="120"/>
  <c r="N20" i="120"/>
  <c r="O20" i="120"/>
  <c r="P20" i="120"/>
  <c r="Q20" i="120"/>
  <c r="R20" i="120"/>
  <c r="M21" i="120"/>
  <c r="N21" i="120"/>
  <c r="O21" i="120"/>
  <c r="P21" i="120"/>
  <c r="Q21" i="120"/>
  <c r="R21" i="120"/>
  <c r="M22" i="120"/>
  <c r="N22" i="120"/>
  <c r="O22" i="120"/>
  <c r="P22" i="120"/>
  <c r="Q22" i="120"/>
  <c r="R22" i="120"/>
  <c r="M23" i="120"/>
  <c r="N23" i="120"/>
  <c r="O23" i="120"/>
  <c r="P23" i="120"/>
  <c r="Q23" i="120"/>
  <c r="R23" i="120"/>
  <c r="M24" i="120"/>
  <c r="N24" i="120"/>
  <c r="O24" i="120"/>
  <c r="P24" i="120"/>
  <c r="Q24" i="120"/>
  <c r="R24" i="120"/>
  <c r="M25" i="120"/>
  <c r="N25" i="120"/>
  <c r="O25" i="120"/>
  <c r="P25" i="120"/>
  <c r="Q25" i="120"/>
  <c r="R25" i="120"/>
  <c r="M26" i="120"/>
  <c r="N26" i="120"/>
  <c r="O26" i="120"/>
  <c r="P26" i="120"/>
  <c r="Q26" i="120"/>
  <c r="R26" i="120"/>
  <c r="M27" i="120"/>
  <c r="N27" i="120"/>
  <c r="O27" i="120"/>
  <c r="P27" i="120"/>
  <c r="Q27" i="120"/>
  <c r="R27" i="120"/>
  <c r="M28" i="120"/>
  <c r="N28" i="120"/>
  <c r="O28" i="120"/>
  <c r="P28" i="120"/>
  <c r="Q28" i="120"/>
  <c r="R28" i="120"/>
  <c r="M29" i="120"/>
  <c r="N29" i="120"/>
  <c r="O29" i="120"/>
  <c r="P29" i="120"/>
  <c r="Q29" i="120"/>
  <c r="R29" i="120"/>
  <c r="M30" i="120"/>
  <c r="N30" i="120"/>
  <c r="O30" i="120"/>
  <c r="P30" i="120"/>
  <c r="Q30" i="120"/>
  <c r="R30" i="120"/>
  <c r="M31" i="120"/>
  <c r="N31" i="120"/>
  <c r="O31" i="120"/>
  <c r="P31" i="120"/>
  <c r="Q31" i="120"/>
  <c r="R31" i="120"/>
  <c r="M32" i="120"/>
  <c r="N32" i="120"/>
  <c r="O32" i="120"/>
  <c r="P32" i="120"/>
  <c r="Q32" i="120"/>
  <c r="R32" i="120"/>
  <c r="M33" i="120"/>
  <c r="N33" i="120"/>
  <c r="O33" i="120"/>
  <c r="P33" i="120"/>
  <c r="Q33" i="120"/>
  <c r="R33" i="120"/>
  <c r="M34" i="120"/>
  <c r="N34" i="120"/>
  <c r="O34" i="120"/>
  <c r="P34" i="120"/>
  <c r="Q34" i="120"/>
  <c r="R34" i="120"/>
  <c r="M35" i="120"/>
  <c r="N35" i="120"/>
  <c r="O35" i="120"/>
  <c r="P35" i="120"/>
  <c r="Q35" i="120"/>
  <c r="R35" i="120"/>
  <c r="M36" i="120"/>
  <c r="N36" i="120"/>
  <c r="O36" i="120"/>
  <c r="P36" i="120"/>
  <c r="Q36" i="120"/>
  <c r="R36" i="120"/>
  <c r="M37" i="120"/>
  <c r="N37" i="120"/>
  <c r="O37" i="120"/>
  <c r="P37" i="120"/>
  <c r="Q37" i="120"/>
  <c r="R37" i="120"/>
  <c r="N38" i="120"/>
  <c r="R38" i="120"/>
  <c r="N39" i="120"/>
  <c r="R39" i="120"/>
  <c r="N40" i="120"/>
  <c r="R40" i="120"/>
  <c r="N41" i="120"/>
  <c r="R41" i="120"/>
  <c r="N42" i="120"/>
  <c r="R42" i="120"/>
  <c r="N43" i="120"/>
  <c r="R43" i="120"/>
  <c r="N44" i="120"/>
  <c r="R44" i="120"/>
  <c r="N45" i="120"/>
  <c r="R45" i="120"/>
  <c r="N46" i="120"/>
  <c r="R46" i="120"/>
  <c r="N47" i="120"/>
  <c r="R47" i="120"/>
  <c r="N48" i="120"/>
  <c r="R48" i="120"/>
  <c r="N49" i="120"/>
  <c r="R49" i="120"/>
  <c r="N50" i="120"/>
  <c r="R50" i="120"/>
  <c r="N51" i="120"/>
  <c r="R51" i="120"/>
  <c r="N52" i="120"/>
  <c r="R52" i="120"/>
  <c r="N53" i="120"/>
  <c r="R53" i="120"/>
  <c r="N54" i="120"/>
  <c r="R54" i="120"/>
  <c r="N55" i="120"/>
  <c r="R55" i="120"/>
  <c r="N56" i="120"/>
  <c r="R56" i="120"/>
  <c r="N57" i="120"/>
  <c r="R57" i="120"/>
  <c r="N58" i="120"/>
  <c r="R58" i="120"/>
  <c r="N59" i="120"/>
  <c r="R59" i="120"/>
  <c r="N60" i="120"/>
  <c r="R60" i="120"/>
  <c r="N61" i="120"/>
  <c r="R61" i="120"/>
  <c r="N62" i="120"/>
  <c r="R62" i="120"/>
  <c r="N63" i="120"/>
  <c r="R63" i="120"/>
  <c r="N64" i="120"/>
  <c r="R64" i="120"/>
  <c r="N65" i="120"/>
  <c r="R65" i="120"/>
  <c r="N66" i="120"/>
  <c r="R66" i="120"/>
  <c r="N67" i="120"/>
  <c r="R67" i="120"/>
  <c r="N68" i="120"/>
  <c r="R68" i="120"/>
  <c r="N69" i="120"/>
  <c r="R69" i="120"/>
  <c r="N70" i="120"/>
  <c r="R70" i="120"/>
  <c r="N71" i="120"/>
  <c r="R71" i="120"/>
  <c r="N72" i="120"/>
  <c r="R72" i="120"/>
  <c r="N73" i="120"/>
  <c r="R73" i="120"/>
  <c r="N74" i="120"/>
  <c r="R74" i="120"/>
  <c r="N75" i="120"/>
  <c r="R75" i="120"/>
  <c r="N76" i="120"/>
  <c r="R76" i="120"/>
  <c r="N77" i="120"/>
  <c r="R77" i="120"/>
  <c r="N78" i="120"/>
  <c r="R78" i="120"/>
  <c r="N79" i="120"/>
  <c r="R79" i="120"/>
  <c r="N80" i="120"/>
  <c r="R80" i="120"/>
  <c r="N81" i="120"/>
  <c r="R81" i="120"/>
  <c r="N82" i="120"/>
  <c r="R82" i="120"/>
  <c r="N83" i="120"/>
  <c r="R83" i="120"/>
  <c r="N84" i="120"/>
  <c r="R84" i="120"/>
  <c r="N85" i="120"/>
  <c r="R85" i="120"/>
  <c r="N86" i="120"/>
  <c r="R86" i="120"/>
  <c r="N87" i="120"/>
  <c r="R87" i="120"/>
  <c r="N88" i="120"/>
  <c r="R88" i="120"/>
  <c r="N89" i="120"/>
  <c r="R89" i="120"/>
  <c r="N90" i="120"/>
  <c r="R90" i="120"/>
  <c r="N91" i="120"/>
  <c r="R91" i="120"/>
  <c r="N92" i="120"/>
  <c r="R92" i="120"/>
  <c r="N93" i="120"/>
  <c r="R93" i="120"/>
  <c r="N94" i="120"/>
  <c r="R94" i="120"/>
  <c r="N95" i="120"/>
  <c r="R95" i="120"/>
  <c r="N96" i="120"/>
  <c r="R96" i="120"/>
  <c r="N97" i="120"/>
  <c r="R97" i="120"/>
  <c r="N98" i="120"/>
  <c r="R98" i="120"/>
  <c r="N99" i="120"/>
  <c r="R99" i="120"/>
  <c r="N100" i="120"/>
  <c r="R100" i="120"/>
  <c r="N101" i="120"/>
  <c r="R101" i="120"/>
  <c r="N102" i="120"/>
  <c r="R102" i="120"/>
  <c r="N103" i="120"/>
  <c r="R103" i="120"/>
  <c r="N104" i="120"/>
  <c r="R104" i="120"/>
  <c r="N105" i="120"/>
  <c r="R105" i="120"/>
  <c r="N106" i="120"/>
  <c r="R106" i="120"/>
  <c r="N107" i="120"/>
  <c r="R107" i="120"/>
  <c r="N108" i="120"/>
  <c r="R108" i="120"/>
  <c r="N109" i="120"/>
  <c r="R109" i="120"/>
  <c r="N110" i="120"/>
  <c r="R110" i="120"/>
  <c r="N111" i="120"/>
  <c r="R111" i="120"/>
  <c r="N112" i="120"/>
  <c r="R112" i="120"/>
  <c r="N113" i="120"/>
  <c r="R113" i="120"/>
  <c r="N114" i="120"/>
  <c r="R114" i="120"/>
  <c r="N115" i="120"/>
  <c r="R115" i="120"/>
  <c r="N116" i="120"/>
  <c r="R116" i="120"/>
  <c r="N117" i="120"/>
  <c r="R117" i="120"/>
  <c r="N118" i="120"/>
  <c r="R118" i="120"/>
  <c r="N119" i="120"/>
  <c r="R119" i="120"/>
  <c r="N120" i="120"/>
  <c r="R120" i="120"/>
  <c r="N121" i="120"/>
  <c r="R121" i="120"/>
  <c r="N122" i="120"/>
  <c r="R122" i="120"/>
  <c r="N123" i="120"/>
  <c r="R123" i="120"/>
  <c r="N124" i="120"/>
  <c r="R124" i="120"/>
  <c r="N125" i="120"/>
  <c r="R125" i="120"/>
  <c r="N126" i="120"/>
  <c r="R126" i="120"/>
  <c r="N127" i="120"/>
  <c r="R127" i="120"/>
  <c r="N128" i="120"/>
  <c r="R128" i="120"/>
  <c r="N129" i="120"/>
  <c r="R129" i="120"/>
  <c r="N130" i="120"/>
  <c r="R130" i="120"/>
  <c r="N131" i="120"/>
  <c r="R131" i="120"/>
  <c r="N132" i="120"/>
  <c r="R132" i="120"/>
  <c r="N133" i="120"/>
  <c r="R133" i="120"/>
  <c r="N134" i="120"/>
  <c r="R134" i="120"/>
  <c r="N135" i="120"/>
  <c r="R135" i="120"/>
  <c r="N136" i="120"/>
  <c r="R136" i="120"/>
  <c r="N137" i="120"/>
  <c r="R137" i="120"/>
  <c r="N138" i="120"/>
  <c r="R138" i="120"/>
  <c r="N139" i="120"/>
  <c r="R139" i="120"/>
  <c r="N140" i="120"/>
  <c r="R140" i="120"/>
  <c r="N141" i="120"/>
  <c r="R141" i="120"/>
  <c r="N142" i="120"/>
  <c r="R142" i="120"/>
  <c r="N143" i="120"/>
  <c r="R143" i="120"/>
  <c r="N144" i="120"/>
  <c r="R144" i="120"/>
  <c r="N145" i="120"/>
  <c r="R145" i="120"/>
  <c r="N146" i="120"/>
  <c r="R146" i="120"/>
  <c r="N147" i="120"/>
  <c r="R147" i="120"/>
  <c r="N148" i="120"/>
  <c r="R148" i="120"/>
  <c r="N149" i="120"/>
  <c r="R149" i="120"/>
  <c r="N150" i="120"/>
  <c r="R150" i="120"/>
  <c r="N151" i="120"/>
  <c r="R151" i="120"/>
  <c r="N152" i="120"/>
  <c r="R152" i="120"/>
  <c r="N153" i="120"/>
  <c r="R153" i="120"/>
  <c r="K23" i="120"/>
  <c r="K29" i="118"/>
  <c r="K22" i="120" l="1"/>
  <c r="K28" i="118"/>
  <c r="R26" i="118"/>
  <c r="R27" i="118"/>
  <c r="N26" i="118"/>
  <c r="N27" i="118"/>
  <c r="M26" i="118"/>
  <c r="M27" i="118"/>
  <c r="K21" i="120"/>
  <c r="K27" i="118"/>
  <c r="K20" i="120"/>
  <c r="K26" i="118"/>
  <c r="L19" i="120"/>
  <c r="K19" i="120"/>
  <c r="K25" i="118"/>
  <c r="R17" i="120"/>
  <c r="K18" i="120"/>
  <c r="K24" i="118"/>
  <c r="N17" i="120"/>
  <c r="M17" i="120"/>
  <c r="Q17" i="120"/>
  <c r="P17" i="120"/>
  <c r="O17" i="120"/>
  <c r="L17" i="120"/>
  <c r="R16" i="120"/>
  <c r="N16" i="120"/>
  <c r="M16" i="120"/>
  <c r="L16" i="120"/>
  <c r="K17" i="120"/>
  <c r="K23" i="118" l="1"/>
  <c r="K16" i="120"/>
  <c r="W7" i="120"/>
  <c r="X153" i="120"/>
  <c r="W153" i="120"/>
  <c r="V153" i="120"/>
  <c r="U153" i="120"/>
  <c r="T153" i="120"/>
  <c r="S153" i="120"/>
  <c r="X152" i="120"/>
  <c r="W152" i="120"/>
  <c r="V152" i="120"/>
  <c r="U152" i="120"/>
  <c r="T152" i="120"/>
  <c r="S152" i="120"/>
  <c r="X151" i="120"/>
  <c r="W151" i="120"/>
  <c r="V151" i="120"/>
  <c r="U151" i="120"/>
  <c r="T151" i="120"/>
  <c r="S151" i="120"/>
  <c r="X150" i="120"/>
  <c r="W150" i="120"/>
  <c r="V150" i="120"/>
  <c r="U150" i="120"/>
  <c r="T150" i="120"/>
  <c r="S150" i="120"/>
  <c r="X149" i="120"/>
  <c r="W149" i="120"/>
  <c r="V149" i="120"/>
  <c r="U149" i="120"/>
  <c r="T149" i="120"/>
  <c r="S149" i="120"/>
  <c r="X148" i="120"/>
  <c r="W148" i="120"/>
  <c r="V148" i="120"/>
  <c r="U148" i="120"/>
  <c r="T148" i="120"/>
  <c r="S148" i="120"/>
  <c r="X147" i="120"/>
  <c r="W147" i="120"/>
  <c r="V147" i="120"/>
  <c r="U147" i="120"/>
  <c r="T147" i="120"/>
  <c r="S147" i="120"/>
  <c r="X146" i="120"/>
  <c r="W146" i="120"/>
  <c r="V146" i="120"/>
  <c r="U146" i="120"/>
  <c r="T146" i="120"/>
  <c r="S146" i="120"/>
  <c r="X145" i="120"/>
  <c r="W145" i="120"/>
  <c r="V145" i="120"/>
  <c r="U145" i="120"/>
  <c r="T145" i="120"/>
  <c r="S145" i="120"/>
  <c r="X144" i="120"/>
  <c r="W144" i="120"/>
  <c r="V144" i="120"/>
  <c r="U144" i="120"/>
  <c r="T144" i="120"/>
  <c r="S144" i="120"/>
  <c r="X143" i="120"/>
  <c r="W143" i="120"/>
  <c r="V143" i="120"/>
  <c r="U143" i="120"/>
  <c r="T143" i="120"/>
  <c r="S143" i="120"/>
  <c r="X142" i="120"/>
  <c r="W142" i="120"/>
  <c r="V142" i="120"/>
  <c r="U142" i="120"/>
  <c r="T142" i="120"/>
  <c r="S142" i="120"/>
  <c r="X141" i="120"/>
  <c r="W141" i="120"/>
  <c r="V141" i="120"/>
  <c r="U141" i="120"/>
  <c r="T141" i="120"/>
  <c r="S141" i="120"/>
  <c r="X140" i="120"/>
  <c r="W140" i="120"/>
  <c r="V140" i="120"/>
  <c r="U140" i="120"/>
  <c r="T140" i="120"/>
  <c r="S140" i="120"/>
  <c r="X139" i="120"/>
  <c r="W139" i="120"/>
  <c r="V139" i="120"/>
  <c r="U139" i="120"/>
  <c r="T139" i="120"/>
  <c r="S139" i="120"/>
  <c r="X138" i="120"/>
  <c r="W138" i="120"/>
  <c r="V138" i="120"/>
  <c r="U138" i="120"/>
  <c r="T138" i="120"/>
  <c r="S138" i="120"/>
  <c r="X137" i="120"/>
  <c r="W137" i="120"/>
  <c r="V137" i="120"/>
  <c r="U137" i="120"/>
  <c r="T137" i="120"/>
  <c r="S137" i="120"/>
  <c r="X136" i="120"/>
  <c r="W136" i="120"/>
  <c r="V136" i="120"/>
  <c r="U136" i="120"/>
  <c r="T136" i="120"/>
  <c r="S136" i="120"/>
  <c r="X135" i="120"/>
  <c r="W135" i="120"/>
  <c r="V135" i="120"/>
  <c r="U135" i="120"/>
  <c r="T135" i="120"/>
  <c r="S135" i="120"/>
  <c r="X134" i="120"/>
  <c r="W134" i="120"/>
  <c r="V134" i="120"/>
  <c r="U134" i="120"/>
  <c r="T134" i="120"/>
  <c r="S134" i="120"/>
  <c r="X133" i="120"/>
  <c r="W133" i="120"/>
  <c r="V133" i="120"/>
  <c r="U133" i="120"/>
  <c r="T133" i="120"/>
  <c r="S133" i="120"/>
  <c r="X132" i="120"/>
  <c r="W132" i="120"/>
  <c r="V132" i="120"/>
  <c r="U132" i="120"/>
  <c r="T132" i="120"/>
  <c r="S132" i="120"/>
  <c r="X131" i="120"/>
  <c r="W131" i="120"/>
  <c r="V131" i="120"/>
  <c r="U131" i="120"/>
  <c r="T131" i="120"/>
  <c r="S131" i="120"/>
  <c r="X130" i="120"/>
  <c r="W130" i="120"/>
  <c r="V130" i="120"/>
  <c r="U130" i="120"/>
  <c r="T130" i="120"/>
  <c r="S130" i="120"/>
  <c r="X129" i="120"/>
  <c r="W129" i="120"/>
  <c r="V129" i="120"/>
  <c r="U129" i="120"/>
  <c r="T129" i="120"/>
  <c r="S129" i="120"/>
  <c r="X128" i="120"/>
  <c r="W128" i="120"/>
  <c r="V128" i="120"/>
  <c r="U128" i="120"/>
  <c r="T128" i="120"/>
  <c r="S128" i="120"/>
  <c r="X127" i="120"/>
  <c r="W127" i="120"/>
  <c r="V127" i="120"/>
  <c r="U127" i="120"/>
  <c r="T127" i="120"/>
  <c r="S127" i="120"/>
  <c r="X126" i="120"/>
  <c r="W126" i="120"/>
  <c r="V126" i="120"/>
  <c r="U126" i="120"/>
  <c r="T126" i="120"/>
  <c r="S126" i="120"/>
  <c r="X125" i="120"/>
  <c r="W125" i="120"/>
  <c r="V125" i="120"/>
  <c r="U125" i="120"/>
  <c r="T125" i="120"/>
  <c r="S125" i="120"/>
  <c r="X124" i="120"/>
  <c r="W124" i="120"/>
  <c r="V124" i="120"/>
  <c r="U124" i="120"/>
  <c r="T124" i="120"/>
  <c r="S124" i="120"/>
  <c r="X123" i="120"/>
  <c r="W123" i="120"/>
  <c r="V123" i="120"/>
  <c r="U123" i="120"/>
  <c r="T123" i="120"/>
  <c r="S123" i="120"/>
  <c r="X122" i="120"/>
  <c r="W122" i="120"/>
  <c r="V122" i="120"/>
  <c r="U122" i="120"/>
  <c r="T122" i="120"/>
  <c r="S122" i="120"/>
  <c r="X121" i="120"/>
  <c r="W121" i="120"/>
  <c r="V121" i="120"/>
  <c r="U121" i="120"/>
  <c r="T121" i="120"/>
  <c r="S121" i="120"/>
  <c r="X120" i="120"/>
  <c r="W120" i="120"/>
  <c r="V120" i="120"/>
  <c r="U120" i="120"/>
  <c r="T120" i="120"/>
  <c r="S120" i="120"/>
  <c r="X119" i="120"/>
  <c r="W119" i="120"/>
  <c r="V119" i="120"/>
  <c r="U119" i="120"/>
  <c r="T119" i="120"/>
  <c r="S119" i="120"/>
  <c r="X118" i="120"/>
  <c r="W118" i="120"/>
  <c r="V118" i="120"/>
  <c r="U118" i="120"/>
  <c r="T118" i="120"/>
  <c r="S118" i="120"/>
  <c r="X117" i="120"/>
  <c r="W117" i="120"/>
  <c r="V117" i="120"/>
  <c r="U117" i="120"/>
  <c r="T117" i="120"/>
  <c r="S117" i="120"/>
  <c r="X116" i="120"/>
  <c r="W116" i="120"/>
  <c r="V116" i="120"/>
  <c r="U116" i="120"/>
  <c r="T116" i="120"/>
  <c r="S116" i="120"/>
  <c r="X115" i="120"/>
  <c r="W115" i="120"/>
  <c r="V115" i="120"/>
  <c r="U115" i="120"/>
  <c r="T115" i="120"/>
  <c r="S115" i="120"/>
  <c r="X114" i="120"/>
  <c r="W114" i="120"/>
  <c r="V114" i="120"/>
  <c r="U114" i="120"/>
  <c r="T114" i="120"/>
  <c r="S114" i="120"/>
  <c r="X113" i="120"/>
  <c r="W113" i="120"/>
  <c r="V113" i="120"/>
  <c r="U113" i="120"/>
  <c r="T113" i="120"/>
  <c r="S113" i="120"/>
  <c r="X112" i="120"/>
  <c r="W112" i="120"/>
  <c r="V112" i="120"/>
  <c r="U112" i="120"/>
  <c r="T112" i="120"/>
  <c r="S112" i="120"/>
  <c r="X111" i="120"/>
  <c r="W111" i="120"/>
  <c r="V111" i="120"/>
  <c r="U111" i="120"/>
  <c r="T111" i="120"/>
  <c r="S111" i="120"/>
  <c r="X110" i="120"/>
  <c r="W110" i="120"/>
  <c r="V110" i="120"/>
  <c r="U110" i="120"/>
  <c r="T110" i="120"/>
  <c r="S110" i="120"/>
  <c r="X109" i="120"/>
  <c r="W109" i="120"/>
  <c r="V109" i="120"/>
  <c r="U109" i="120"/>
  <c r="T109" i="120"/>
  <c r="S109" i="120"/>
  <c r="X108" i="120"/>
  <c r="W108" i="120"/>
  <c r="V108" i="120"/>
  <c r="U108" i="120"/>
  <c r="T108" i="120"/>
  <c r="S108" i="120"/>
  <c r="X107" i="120"/>
  <c r="W107" i="120"/>
  <c r="V107" i="120"/>
  <c r="U107" i="120"/>
  <c r="T107" i="120"/>
  <c r="S107" i="120"/>
  <c r="X106" i="120"/>
  <c r="W106" i="120"/>
  <c r="V106" i="120"/>
  <c r="U106" i="120"/>
  <c r="T106" i="120"/>
  <c r="S106" i="120"/>
  <c r="X105" i="120"/>
  <c r="W105" i="120"/>
  <c r="V105" i="120"/>
  <c r="U105" i="120"/>
  <c r="T105" i="120"/>
  <c r="S105" i="120"/>
  <c r="X104" i="120"/>
  <c r="W104" i="120"/>
  <c r="V104" i="120"/>
  <c r="U104" i="120"/>
  <c r="T104" i="120"/>
  <c r="S104" i="120"/>
  <c r="X103" i="120"/>
  <c r="W103" i="120"/>
  <c r="V103" i="120"/>
  <c r="U103" i="120"/>
  <c r="T103" i="120"/>
  <c r="S103" i="120"/>
  <c r="X102" i="120"/>
  <c r="W102" i="120"/>
  <c r="V102" i="120"/>
  <c r="U102" i="120"/>
  <c r="T102" i="120"/>
  <c r="S102" i="120"/>
  <c r="X101" i="120"/>
  <c r="W101" i="120"/>
  <c r="V101" i="120"/>
  <c r="U101" i="120"/>
  <c r="T101" i="120"/>
  <c r="S101" i="120"/>
  <c r="X100" i="120"/>
  <c r="W100" i="120"/>
  <c r="V100" i="120"/>
  <c r="U100" i="120"/>
  <c r="T100" i="120"/>
  <c r="S100" i="120"/>
  <c r="X99" i="120"/>
  <c r="W99" i="120"/>
  <c r="V99" i="120"/>
  <c r="U99" i="120"/>
  <c r="T99" i="120"/>
  <c r="S99" i="120"/>
  <c r="X98" i="120"/>
  <c r="W98" i="120"/>
  <c r="V98" i="120"/>
  <c r="U98" i="120"/>
  <c r="T98" i="120"/>
  <c r="S98" i="120"/>
  <c r="X97" i="120"/>
  <c r="W97" i="120"/>
  <c r="V97" i="120"/>
  <c r="U97" i="120"/>
  <c r="T97" i="120"/>
  <c r="S97" i="120"/>
  <c r="X96" i="120"/>
  <c r="W96" i="120"/>
  <c r="V96" i="120"/>
  <c r="U96" i="120"/>
  <c r="T96" i="120"/>
  <c r="S96" i="120"/>
  <c r="X95" i="120"/>
  <c r="W95" i="120"/>
  <c r="V95" i="120"/>
  <c r="U95" i="120"/>
  <c r="T95" i="120"/>
  <c r="S95" i="120"/>
  <c r="X94" i="120"/>
  <c r="W94" i="120"/>
  <c r="V94" i="120"/>
  <c r="U94" i="120"/>
  <c r="T94" i="120"/>
  <c r="S94" i="120"/>
  <c r="X93" i="120"/>
  <c r="W93" i="120"/>
  <c r="V93" i="120"/>
  <c r="U93" i="120"/>
  <c r="T93" i="120"/>
  <c r="S93" i="120"/>
  <c r="X92" i="120"/>
  <c r="W92" i="120"/>
  <c r="V92" i="120"/>
  <c r="U92" i="120"/>
  <c r="T92" i="120"/>
  <c r="S92" i="120"/>
  <c r="X91" i="120"/>
  <c r="W91" i="120"/>
  <c r="V91" i="120"/>
  <c r="U91" i="120"/>
  <c r="T91" i="120"/>
  <c r="S91" i="120"/>
  <c r="X90" i="120"/>
  <c r="W90" i="120"/>
  <c r="V90" i="120"/>
  <c r="U90" i="120"/>
  <c r="T90" i="120"/>
  <c r="S90" i="120"/>
  <c r="X89" i="120"/>
  <c r="W89" i="120"/>
  <c r="V89" i="120"/>
  <c r="U89" i="120"/>
  <c r="T89" i="120"/>
  <c r="S89" i="120"/>
  <c r="X88" i="120"/>
  <c r="W88" i="120"/>
  <c r="V88" i="120"/>
  <c r="U88" i="120"/>
  <c r="T88" i="120"/>
  <c r="S88" i="120"/>
  <c r="X87" i="120"/>
  <c r="W87" i="120"/>
  <c r="V87" i="120"/>
  <c r="U87" i="120"/>
  <c r="T87" i="120"/>
  <c r="S87" i="120"/>
  <c r="X86" i="120"/>
  <c r="W86" i="120"/>
  <c r="V86" i="120"/>
  <c r="U86" i="120"/>
  <c r="T86" i="120"/>
  <c r="S86" i="120"/>
  <c r="X85" i="120"/>
  <c r="W85" i="120"/>
  <c r="V85" i="120"/>
  <c r="U85" i="120"/>
  <c r="T85" i="120"/>
  <c r="S85" i="120"/>
  <c r="X84" i="120"/>
  <c r="W84" i="120"/>
  <c r="V84" i="120"/>
  <c r="U84" i="120"/>
  <c r="T84" i="120"/>
  <c r="S84" i="120"/>
  <c r="X83" i="120"/>
  <c r="W83" i="120"/>
  <c r="V83" i="120"/>
  <c r="U83" i="120"/>
  <c r="T83" i="120"/>
  <c r="S83" i="120"/>
  <c r="X82" i="120"/>
  <c r="W82" i="120"/>
  <c r="V82" i="120"/>
  <c r="U82" i="120"/>
  <c r="T82" i="120"/>
  <c r="S82" i="120"/>
  <c r="X81" i="120"/>
  <c r="W81" i="120"/>
  <c r="V81" i="120"/>
  <c r="U81" i="120"/>
  <c r="T81" i="120"/>
  <c r="S81" i="120"/>
  <c r="X80" i="120"/>
  <c r="W80" i="120"/>
  <c r="V80" i="120"/>
  <c r="U80" i="120"/>
  <c r="T80" i="120"/>
  <c r="S80" i="120"/>
  <c r="X79" i="120"/>
  <c r="W79" i="120"/>
  <c r="V79" i="120"/>
  <c r="U79" i="120"/>
  <c r="T79" i="120"/>
  <c r="S79" i="120"/>
  <c r="X78" i="120"/>
  <c r="W78" i="120"/>
  <c r="V78" i="120"/>
  <c r="U78" i="120"/>
  <c r="T78" i="120"/>
  <c r="S78" i="120"/>
  <c r="X77" i="120"/>
  <c r="W77" i="120"/>
  <c r="V77" i="120"/>
  <c r="U77" i="120"/>
  <c r="T77" i="120"/>
  <c r="S77" i="120"/>
  <c r="X76" i="120"/>
  <c r="W76" i="120"/>
  <c r="V76" i="120"/>
  <c r="U76" i="120"/>
  <c r="T76" i="120"/>
  <c r="S76" i="120"/>
  <c r="X75" i="120"/>
  <c r="W75" i="120"/>
  <c r="V75" i="120"/>
  <c r="U75" i="120"/>
  <c r="T75" i="120"/>
  <c r="S75" i="120"/>
  <c r="X74" i="120"/>
  <c r="W74" i="120"/>
  <c r="V74" i="120"/>
  <c r="U74" i="120"/>
  <c r="T74" i="120"/>
  <c r="S74" i="120"/>
  <c r="X73" i="120"/>
  <c r="W73" i="120"/>
  <c r="V73" i="120"/>
  <c r="U73" i="120"/>
  <c r="T73" i="120"/>
  <c r="S73" i="120"/>
  <c r="X72" i="120"/>
  <c r="W72" i="120"/>
  <c r="V72" i="120"/>
  <c r="U72" i="120"/>
  <c r="T72" i="120"/>
  <c r="S72" i="120"/>
  <c r="X71" i="120"/>
  <c r="W71" i="120"/>
  <c r="V71" i="120"/>
  <c r="U71" i="120"/>
  <c r="T71" i="120"/>
  <c r="S71" i="120"/>
  <c r="X70" i="120"/>
  <c r="W70" i="120"/>
  <c r="V70" i="120"/>
  <c r="U70" i="120"/>
  <c r="T70" i="120"/>
  <c r="S70" i="120"/>
  <c r="X69" i="120"/>
  <c r="W69" i="120"/>
  <c r="V69" i="120"/>
  <c r="U69" i="120"/>
  <c r="T69" i="120"/>
  <c r="S69" i="120"/>
  <c r="X68" i="120"/>
  <c r="W68" i="120"/>
  <c r="V68" i="120"/>
  <c r="U68" i="120"/>
  <c r="T68" i="120"/>
  <c r="S68" i="120"/>
  <c r="X67" i="120"/>
  <c r="W67" i="120"/>
  <c r="V67" i="120"/>
  <c r="U67" i="120"/>
  <c r="T67" i="120"/>
  <c r="S67" i="120"/>
  <c r="X66" i="120"/>
  <c r="W66" i="120"/>
  <c r="V66" i="120"/>
  <c r="U66" i="120"/>
  <c r="T66" i="120"/>
  <c r="S66" i="120"/>
  <c r="X65" i="120"/>
  <c r="W65" i="120"/>
  <c r="V65" i="120"/>
  <c r="U65" i="120"/>
  <c r="T65" i="120"/>
  <c r="S65" i="120"/>
  <c r="X64" i="120"/>
  <c r="W64" i="120"/>
  <c r="V64" i="120"/>
  <c r="U64" i="120"/>
  <c r="T64" i="120"/>
  <c r="S64" i="120"/>
  <c r="X63" i="120"/>
  <c r="W63" i="120"/>
  <c r="V63" i="120"/>
  <c r="U63" i="120"/>
  <c r="T63" i="120"/>
  <c r="S63" i="120"/>
  <c r="X62" i="120"/>
  <c r="W62" i="120"/>
  <c r="V62" i="120"/>
  <c r="U62" i="120"/>
  <c r="T62" i="120"/>
  <c r="S62" i="120"/>
  <c r="X61" i="120"/>
  <c r="W61" i="120"/>
  <c r="V61" i="120"/>
  <c r="U61" i="120"/>
  <c r="T61" i="120"/>
  <c r="S61" i="120"/>
  <c r="X60" i="120"/>
  <c r="W60" i="120"/>
  <c r="V60" i="120"/>
  <c r="U60" i="120"/>
  <c r="T60" i="120"/>
  <c r="S60" i="120"/>
  <c r="X59" i="120"/>
  <c r="W59" i="120"/>
  <c r="V59" i="120"/>
  <c r="U59" i="120"/>
  <c r="T59" i="120"/>
  <c r="S59" i="120"/>
  <c r="X58" i="120"/>
  <c r="W58" i="120"/>
  <c r="V58" i="120"/>
  <c r="U58" i="120"/>
  <c r="T58" i="120"/>
  <c r="S58" i="120"/>
  <c r="X57" i="120"/>
  <c r="W57" i="120"/>
  <c r="V57" i="120"/>
  <c r="U57" i="120"/>
  <c r="T57" i="120"/>
  <c r="S57" i="120"/>
  <c r="X56" i="120"/>
  <c r="W56" i="120"/>
  <c r="V56" i="120"/>
  <c r="U56" i="120"/>
  <c r="T56" i="120"/>
  <c r="S56" i="120"/>
  <c r="X55" i="120"/>
  <c r="W55" i="120"/>
  <c r="V55" i="120"/>
  <c r="U55" i="120"/>
  <c r="T55" i="120"/>
  <c r="S55" i="120"/>
  <c r="X54" i="120"/>
  <c r="W54" i="120"/>
  <c r="V54" i="120"/>
  <c r="U54" i="120"/>
  <c r="T54" i="120"/>
  <c r="S54" i="120"/>
  <c r="X53" i="120"/>
  <c r="W53" i="120"/>
  <c r="V53" i="120"/>
  <c r="U53" i="120"/>
  <c r="T53" i="120"/>
  <c r="S53" i="120"/>
  <c r="X52" i="120"/>
  <c r="W52" i="120"/>
  <c r="V52" i="120"/>
  <c r="U52" i="120"/>
  <c r="T52" i="120"/>
  <c r="S52" i="120"/>
  <c r="X51" i="120"/>
  <c r="W51" i="120"/>
  <c r="V51" i="120"/>
  <c r="U51" i="120"/>
  <c r="T51" i="120"/>
  <c r="S51" i="120"/>
  <c r="X50" i="120"/>
  <c r="W50" i="120"/>
  <c r="V50" i="120"/>
  <c r="U50" i="120"/>
  <c r="T50" i="120"/>
  <c r="S50" i="120"/>
  <c r="X49" i="120"/>
  <c r="W49" i="120"/>
  <c r="V49" i="120"/>
  <c r="U49" i="120"/>
  <c r="T49" i="120"/>
  <c r="S49" i="120"/>
  <c r="X48" i="120"/>
  <c r="W48" i="120"/>
  <c r="V48" i="120"/>
  <c r="U48" i="120"/>
  <c r="T48" i="120"/>
  <c r="S48" i="120"/>
  <c r="X47" i="120"/>
  <c r="W47" i="120"/>
  <c r="V47" i="120"/>
  <c r="U47" i="120"/>
  <c r="T47" i="120"/>
  <c r="S47" i="120"/>
  <c r="X46" i="120"/>
  <c r="W46" i="120"/>
  <c r="V46" i="120"/>
  <c r="U46" i="120"/>
  <c r="T46" i="120"/>
  <c r="S46" i="120"/>
  <c r="X45" i="120"/>
  <c r="W45" i="120"/>
  <c r="V45" i="120"/>
  <c r="U45" i="120"/>
  <c r="T45" i="120"/>
  <c r="S45" i="120"/>
  <c r="X44" i="120"/>
  <c r="W44" i="120"/>
  <c r="V44" i="120"/>
  <c r="U44" i="120"/>
  <c r="T44" i="120"/>
  <c r="S44" i="120"/>
  <c r="X43" i="120"/>
  <c r="W43" i="120"/>
  <c r="V43" i="120"/>
  <c r="U43" i="120"/>
  <c r="T43" i="120"/>
  <c r="S43" i="120"/>
  <c r="X42" i="120"/>
  <c r="W42" i="120"/>
  <c r="V42" i="120"/>
  <c r="U42" i="120"/>
  <c r="T42" i="120"/>
  <c r="S42" i="120"/>
  <c r="X41" i="120"/>
  <c r="W41" i="120"/>
  <c r="V41" i="120"/>
  <c r="U41" i="120"/>
  <c r="T41" i="120"/>
  <c r="S41" i="120"/>
  <c r="X40" i="120"/>
  <c r="W40" i="120"/>
  <c r="V40" i="120"/>
  <c r="U40" i="120"/>
  <c r="T40" i="120"/>
  <c r="S40" i="120"/>
  <c r="X39" i="120"/>
  <c r="W39" i="120"/>
  <c r="V39" i="120"/>
  <c r="U39" i="120"/>
  <c r="T39" i="120"/>
  <c r="U38" i="120"/>
  <c r="S38" i="120"/>
  <c r="L38" i="120"/>
  <c r="X37" i="120"/>
  <c r="W37" i="120"/>
  <c r="V37" i="120"/>
  <c r="U37" i="120"/>
  <c r="T37" i="120"/>
  <c r="S37" i="120"/>
  <c r="L37" i="120"/>
  <c r="X36" i="120"/>
  <c r="W36" i="120"/>
  <c r="V36" i="120"/>
  <c r="U36" i="120"/>
  <c r="T36" i="120"/>
  <c r="S36" i="120"/>
  <c r="L36" i="120"/>
  <c r="X35" i="120"/>
  <c r="W35" i="120"/>
  <c r="V35" i="120"/>
  <c r="U35" i="120"/>
  <c r="T35" i="120"/>
  <c r="S35" i="120"/>
  <c r="L35" i="120"/>
  <c r="X34" i="120"/>
  <c r="W34" i="120"/>
  <c r="V34" i="120"/>
  <c r="U34" i="120"/>
  <c r="T34" i="120"/>
  <c r="S34" i="120"/>
  <c r="L34" i="120"/>
  <c r="X33" i="120"/>
  <c r="W33" i="120"/>
  <c r="V33" i="120"/>
  <c r="U33" i="120"/>
  <c r="T33" i="120"/>
  <c r="S33" i="120"/>
  <c r="L33" i="120"/>
  <c r="X32" i="120"/>
  <c r="W32" i="120"/>
  <c r="V32" i="120"/>
  <c r="U32" i="120"/>
  <c r="T32" i="120"/>
  <c r="S32" i="120"/>
  <c r="L32" i="120"/>
  <c r="X31" i="120"/>
  <c r="W31" i="120"/>
  <c r="V31" i="120"/>
  <c r="U31" i="120"/>
  <c r="T31" i="120"/>
  <c r="S31" i="120"/>
  <c r="L31" i="120"/>
  <c r="X30" i="120"/>
  <c r="W30" i="120"/>
  <c r="V30" i="120"/>
  <c r="U30" i="120"/>
  <c r="T30" i="120"/>
  <c r="S30" i="120"/>
  <c r="L30" i="120"/>
  <c r="X29" i="120"/>
  <c r="W29" i="120"/>
  <c r="V29" i="120"/>
  <c r="U29" i="120"/>
  <c r="T29" i="120"/>
  <c r="S29" i="120"/>
  <c r="L29" i="120"/>
  <c r="X28" i="120"/>
  <c r="W28" i="120"/>
  <c r="V28" i="120"/>
  <c r="U28" i="120"/>
  <c r="T28" i="120"/>
  <c r="S28" i="120"/>
  <c r="L28" i="120"/>
  <c r="X27" i="120"/>
  <c r="W27" i="120"/>
  <c r="V27" i="120"/>
  <c r="U27" i="120"/>
  <c r="T27" i="120"/>
  <c r="S27" i="120"/>
  <c r="L27" i="120"/>
  <c r="X26" i="120"/>
  <c r="W26" i="120"/>
  <c r="V26" i="120"/>
  <c r="U26" i="120"/>
  <c r="T26" i="120"/>
  <c r="S26" i="120"/>
  <c r="L26" i="120"/>
  <c r="X25" i="120"/>
  <c r="W25" i="120"/>
  <c r="V25" i="120"/>
  <c r="U25" i="120"/>
  <c r="T25" i="120"/>
  <c r="S25" i="120"/>
  <c r="L25" i="120"/>
  <c r="X24" i="120"/>
  <c r="W24" i="120"/>
  <c r="V24" i="120"/>
  <c r="U24" i="120"/>
  <c r="T24" i="120"/>
  <c r="S24" i="120"/>
  <c r="L24" i="120"/>
  <c r="X23" i="120"/>
  <c r="W23" i="120"/>
  <c r="V23" i="120"/>
  <c r="U23" i="120"/>
  <c r="T23" i="120"/>
  <c r="S23" i="120"/>
  <c r="L23" i="120"/>
  <c r="X22" i="120"/>
  <c r="W22" i="120"/>
  <c r="V22" i="120"/>
  <c r="U22" i="120"/>
  <c r="T22" i="120"/>
  <c r="S22" i="120"/>
  <c r="L22" i="120"/>
  <c r="X21" i="120"/>
  <c r="W21" i="120"/>
  <c r="V21" i="120"/>
  <c r="U21" i="120"/>
  <c r="T21" i="120"/>
  <c r="S21" i="120"/>
  <c r="L21" i="120"/>
  <c r="X20" i="120"/>
  <c r="W20" i="120"/>
  <c r="V20" i="120"/>
  <c r="U20" i="120"/>
  <c r="T20" i="120"/>
  <c r="S20" i="120"/>
  <c r="L20" i="120"/>
  <c r="X19" i="120"/>
  <c r="W19" i="120"/>
  <c r="V19" i="120"/>
  <c r="U19" i="120"/>
  <c r="T19" i="120"/>
  <c r="S19" i="120"/>
  <c r="X18" i="120"/>
  <c r="W18" i="120"/>
  <c r="V18" i="120"/>
  <c r="U18" i="120"/>
  <c r="T18" i="120"/>
  <c r="S18" i="120"/>
  <c r="L18" i="120"/>
  <c r="X17" i="120"/>
  <c r="W17" i="120"/>
  <c r="V17" i="120"/>
  <c r="S17" i="120"/>
  <c r="Y2" i="120"/>
  <c r="K22" i="118" l="1"/>
  <c r="K21" i="118"/>
  <c r="K20" i="118" l="1"/>
  <c r="K19" i="118"/>
  <c r="K18" i="118"/>
  <c r="L18" i="118" l="1"/>
  <c r="M18" i="118"/>
  <c r="N18" i="118"/>
  <c r="L19" i="118"/>
  <c r="M19" i="118"/>
  <c r="N19" i="118"/>
  <c r="L20" i="118"/>
  <c r="M20" i="118"/>
  <c r="N20" i="118"/>
  <c r="L21" i="118"/>
  <c r="M21" i="118"/>
  <c r="N21" i="118"/>
  <c r="L22" i="118"/>
  <c r="M22" i="118"/>
  <c r="N22" i="118"/>
  <c r="L23" i="118"/>
  <c r="M23" i="118"/>
  <c r="N23" i="118"/>
  <c r="L24" i="118"/>
  <c r="M24" i="118"/>
  <c r="N24" i="118"/>
  <c r="L25" i="118"/>
  <c r="M25" i="118"/>
  <c r="N25" i="118"/>
  <c r="L26" i="118"/>
  <c r="L27" i="118"/>
  <c r="L28" i="118"/>
  <c r="M28" i="118"/>
  <c r="N28" i="118"/>
  <c r="L29" i="118"/>
  <c r="M29" i="118"/>
  <c r="N29" i="118"/>
  <c r="L30" i="118"/>
  <c r="M30" i="118"/>
  <c r="N30" i="118"/>
  <c r="L31" i="118"/>
  <c r="M31" i="118"/>
  <c r="N31" i="118"/>
  <c r="L32" i="118"/>
  <c r="M32" i="118"/>
  <c r="N32" i="118"/>
  <c r="L33" i="118"/>
  <c r="M33" i="118"/>
  <c r="N33" i="118"/>
  <c r="L34" i="118"/>
  <c r="M34" i="118"/>
  <c r="N34" i="118"/>
  <c r="L35" i="118"/>
  <c r="M35" i="118"/>
  <c r="N35" i="118"/>
  <c r="L36" i="118"/>
  <c r="M36" i="118"/>
  <c r="N36" i="118"/>
  <c r="L37" i="118"/>
  <c r="M37" i="118"/>
  <c r="N37" i="118"/>
  <c r="L38" i="118"/>
  <c r="M38" i="118"/>
  <c r="N38" i="118"/>
  <c r="L39" i="118"/>
  <c r="M39" i="118"/>
  <c r="N39" i="118"/>
  <c r="L40" i="118"/>
  <c r="M40" i="118"/>
  <c r="N40" i="118"/>
  <c r="L41" i="118"/>
  <c r="M41" i="118"/>
  <c r="N41" i="118"/>
  <c r="L42" i="118"/>
  <c r="M42" i="118"/>
  <c r="N42" i="118"/>
  <c r="L43" i="118"/>
  <c r="M43" i="118"/>
  <c r="N43" i="118"/>
  <c r="L44" i="118"/>
  <c r="M44" i="118"/>
  <c r="N44" i="118"/>
  <c r="L45" i="118"/>
  <c r="M45" i="118"/>
  <c r="N45" i="118"/>
  <c r="L46" i="118"/>
  <c r="M46" i="118"/>
  <c r="N46" i="118"/>
  <c r="L47" i="118"/>
  <c r="M47" i="118"/>
  <c r="N47" i="118"/>
  <c r="L48" i="118"/>
  <c r="M48" i="118"/>
  <c r="N48" i="118"/>
  <c r="L49" i="118"/>
  <c r="M49" i="118"/>
  <c r="N49" i="118"/>
  <c r="L50" i="118"/>
  <c r="M50" i="118"/>
  <c r="N50" i="118"/>
  <c r="L51" i="118"/>
  <c r="M51" i="118"/>
  <c r="N51" i="118"/>
  <c r="L52" i="118"/>
  <c r="M52" i="118"/>
  <c r="N52" i="118"/>
  <c r="L53" i="118"/>
  <c r="M53" i="118"/>
  <c r="N53" i="118"/>
  <c r="L54" i="118"/>
  <c r="M54" i="118"/>
  <c r="N54" i="118"/>
  <c r="L55" i="118"/>
  <c r="M55" i="118"/>
  <c r="N55" i="118"/>
  <c r="L56" i="118"/>
  <c r="M56" i="118"/>
  <c r="N56" i="118"/>
  <c r="L57" i="118"/>
  <c r="M57" i="118"/>
  <c r="N57" i="118"/>
  <c r="L58" i="118"/>
  <c r="M58" i="118"/>
  <c r="N58" i="118"/>
  <c r="L59" i="118"/>
  <c r="M59" i="118"/>
  <c r="N59" i="118"/>
  <c r="L60" i="118"/>
  <c r="M60" i="118"/>
  <c r="N60" i="118"/>
  <c r="L61" i="118"/>
  <c r="M61" i="118"/>
  <c r="N61" i="118"/>
  <c r="L62" i="118"/>
  <c r="M62" i="118"/>
  <c r="N62" i="118"/>
  <c r="L63" i="118"/>
  <c r="M63" i="118"/>
  <c r="N63" i="118"/>
  <c r="L64" i="118"/>
  <c r="M64" i="118"/>
  <c r="N64" i="118"/>
  <c r="L65" i="118"/>
  <c r="M65" i="118"/>
  <c r="N65" i="118"/>
  <c r="L66" i="118"/>
  <c r="M66" i="118"/>
  <c r="N66" i="118"/>
  <c r="L67" i="118"/>
  <c r="M67" i="118"/>
  <c r="N67" i="118"/>
  <c r="L68" i="118"/>
  <c r="M68" i="118"/>
  <c r="N68" i="118"/>
  <c r="L69" i="118"/>
  <c r="M69" i="118"/>
  <c r="N69" i="118"/>
  <c r="L70" i="118"/>
  <c r="M70" i="118"/>
  <c r="N70" i="118"/>
  <c r="L71" i="118"/>
  <c r="M71" i="118"/>
  <c r="N71" i="118"/>
  <c r="L72" i="118"/>
  <c r="M72" i="118"/>
  <c r="N72" i="118"/>
  <c r="L73" i="118"/>
  <c r="M73" i="118"/>
  <c r="N73" i="118"/>
  <c r="L74" i="118"/>
  <c r="M74" i="118"/>
  <c r="N74" i="118"/>
  <c r="L75" i="118"/>
  <c r="M75" i="118"/>
  <c r="N75" i="118"/>
  <c r="L76" i="118"/>
  <c r="M76" i="118"/>
  <c r="N76" i="118"/>
  <c r="L77" i="118"/>
  <c r="M77" i="118"/>
  <c r="N77" i="118"/>
  <c r="L78" i="118"/>
  <c r="M78" i="118"/>
  <c r="N78" i="118"/>
  <c r="L79" i="118"/>
  <c r="M79" i="118"/>
  <c r="N79" i="118"/>
  <c r="L80" i="118"/>
  <c r="M80" i="118"/>
  <c r="N80" i="118"/>
  <c r="L81" i="118"/>
  <c r="M81" i="118"/>
  <c r="N81" i="118"/>
  <c r="L82" i="118"/>
  <c r="M82" i="118"/>
  <c r="N82" i="118"/>
  <c r="L83" i="118"/>
  <c r="M83" i="118"/>
  <c r="N83" i="118"/>
  <c r="L84" i="118"/>
  <c r="M84" i="118"/>
  <c r="N84" i="118"/>
  <c r="L85" i="118"/>
  <c r="M85" i="118"/>
  <c r="N85" i="118"/>
  <c r="L86" i="118"/>
  <c r="M86" i="118"/>
  <c r="N86" i="118"/>
  <c r="L87" i="118"/>
  <c r="M87" i="118"/>
  <c r="N87" i="118"/>
  <c r="L88" i="118"/>
  <c r="M88" i="118"/>
  <c r="N88" i="118"/>
  <c r="L89" i="118"/>
  <c r="M89" i="118"/>
  <c r="N89" i="118"/>
  <c r="L90" i="118"/>
  <c r="M90" i="118"/>
  <c r="N90" i="118"/>
  <c r="L91" i="118"/>
  <c r="M91" i="118"/>
  <c r="N91" i="118"/>
  <c r="L92" i="118"/>
  <c r="M92" i="118"/>
  <c r="N92" i="118"/>
  <c r="L93" i="118"/>
  <c r="M93" i="118"/>
  <c r="N93" i="118"/>
  <c r="L94" i="118"/>
  <c r="M94" i="118"/>
  <c r="N94" i="118"/>
  <c r="L95" i="118"/>
  <c r="M95" i="118"/>
  <c r="N95" i="118"/>
  <c r="L96" i="118"/>
  <c r="M96" i="118"/>
  <c r="N96" i="118"/>
  <c r="L97" i="118"/>
  <c r="M97" i="118"/>
  <c r="N97" i="118"/>
  <c r="L98" i="118"/>
  <c r="M98" i="118"/>
  <c r="N98" i="118"/>
  <c r="L99" i="118"/>
  <c r="M99" i="118"/>
  <c r="N99" i="118"/>
  <c r="L100" i="118"/>
  <c r="M100" i="118"/>
  <c r="N100" i="118"/>
  <c r="L101" i="118"/>
  <c r="M101" i="118"/>
  <c r="N101" i="118"/>
  <c r="L102" i="118"/>
  <c r="M102" i="118"/>
  <c r="N102" i="118"/>
  <c r="L103" i="118"/>
  <c r="M103" i="118"/>
  <c r="N103" i="118"/>
  <c r="L104" i="118"/>
  <c r="M104" i="118"/>
  <c r="N104" i="118"/>
  <c r="L105" i="118"/>
  <c r="M105" i="118"/>
  <c r="N105" i="118"/>
  <c r="L106" i="118"/>
  <c r="M106" i="118"/>
  <c r="N106" i="118"/>
  <c r="L107" i="118"/>
  <c r="M107" i="118"/>
  <c r="N107" i="118"/>
  <c r="L108" i="118"/>
  <c r="M108" i="118"/>
  <c r="N108" i="118"/>
  <c r="L109" i="118"/>
  <c r="M109" i="118"/>
  <c r="N109" i="118"/>
  <c r="L110" i="118"/>
  <c r="M110" i="118"/>
  <c r="N110" i="118"/>
  <c r="L111" i="118"/>
  <c r="M111" i="118"/>
  <c r="N111" i="118"/>
  <c r="L112" i="118"/>
  <c r="M112" i="118"/>
  <c r="N112" i="118"/>
  <c r="L113" i="118"/>
  <c r="M113" i="118"/>
  <c r="N113" i="118"/>
  <c r="L114" i="118"/>
  <c r="M114" i="118"/>
  <c r="N114" i="118"/>
  <c r="L115" i="118"/>
  <c r="M115" i="118"/>
  <c r="N115" i="118"/>
  <c r="L116" i="118"/>
  <c r="M116" i="118"/>
  <c r="N116" i="118"/>
  <c r="L117" i="118"/>
  <c r="M117" i="118"/>
  <c r="N117" i="118"/>
  <c r="L118" i="118"/>
  <c r="M118" i="118"/>
  <c r="N118" i="118"/>
  <c r="L119" i="118"/>
  <c r="M119" i="118"/>
  <c r="N119" i="118"/>
  <c r="L120" i="118"/>
  <c r="M120" i="118"/>
  <c r="N120" i="118"/>
  <c r="L121" i="118"/>
  <c r="M121" i="118"/>
  <c r="N121" i="118"/>
  <c r="L122" i="118"/>
  <c r="M122" i="118"/>
  <c r="N122" i="118"/>
  <c r="L123" i="118"/>
  <c r="M123" i="118"/>
  <c r="N123" i="118"/>
  <c r="L124" i="118"/>
  <c r="M124" i="118"/>
  <c r="N124" i="118"/>
  <c r="L125" i="118"/>
  <c r="M125" i="118"/>
  <c r="N125" i="118"/>
  <c r="L126" i="118"/>
  <c r="M126" i="118"/>
  <c r="N126" i="118"/>
  <c r="L127" i="118"/>
  <c r="M127" i="118"/>
  <c r="N127" i="118"/>
  <c r="L128" i="118"/>
  <c r="M128" i="118"/>
  <c r="N128" i="118"/>
  <c r="L129" i="118"/>
  <c r="M129" i="118"/>
  <c r="N129" i="118"/>
  <c r="L130" i="118"/>
  <c r="M130" i="118"/>
  <c r="N130" i="118"/>
  <c r="L131" i="118"/>
  <c r="M131" i="118"/>
  <c r="N131" i="118"/>
  <c r="L132" i="118"/>
  <c r="M132" i="118"/>
  <c r="N132" i="118"/>
  <c r="L133" i="118"/>
  <c r="M133" i="118"/>
  <c r="N133" i="118"/>
  <c r="L134" i="118"/>
  <c r="M134" i="118"/>
  <c r="N134" i="118"/>
  <c r="L135" i="118"/>
  <c r="M135" i="118"/>
  <c r="N135" i="118"/>
  <c r="L136" i="118"/>
  <c r="M136" i="118"/>
  <c r="N136" i="118"/>
  <c r="L137" i="118"/>
  <c r="M137" i="118"/>
  <c r="N137" i="118"/>
  <c r="L138" i="118"/>
  <c r="M138" i="118"/>
  <c r="N138" i="118"/>
  <c r="L139" i="118"/>
  <c r="M139" i="118"/>
  <c r="N139" i="118"/>
  <c r="L140" i="118"/>
  <c r="M140" i="118"/>
  <c r="N140" i="118"/>
  <c r="L141" i="118"/>
  <c r="M141" i="118"/>
  <c r="N141" i="118"/>
  <c r="L142" i="118"/>
  <c r="M142" i="118"/>
  <c r="N142" i="118"/>
  <c r="L143" i="118"/>
  <c r="M143" i="118"/>
  <c r="N143" i="118"/>
  <c r="L144" i="118"/>
  <c r="M144" i="118"/>
  <c r="N144" i="118"/>
  <c r="L145" i="118"/>
  <c r="M145" i="118"/>
  <c r="N145" i="118"/>
  <c r="L146" i="118"/>
  <c r="M146" i="118"/>
  <c r="N146" i="118"/>
  <c r="L147" i="118"/>
  <c r="M147" i="118"/>
  <c r="N147" i="118"/>
  <c r="L148" i="118"/>
  <c r="M148" i="118"/>
  <c r="N148" i="118"/>
  <c r="L149" i="118"/>
  <c r="M149" i="118"/>
  <c r="N149" i="118"/>
  <c r="L150" i="118"/>
  <c r="M150" i="118"/>
  <c r="N150" i="118"/>
  <c r="L151" i="118"/>
  <c r="M151" i="118"/>
  <c r="N151" i="118"/>
  <c r="L152" i="118"/>
  <c r="M152" i="118"/>
  <c r="N152" i="118"/>
  <c r="L153" i="118"/>
  <c r="M153" i="118"/>
  <c r="N153" i="118"/>
  <c r="N17" i="118"/>
  <c r="M17" i="118"/>
  <c r="L17" i="118"/>
  <c r="K17" i="118"/>
  <c r="Q37" i="118" l="1"/>
  <c r="Q41" i="118"/>
  <c r="Q45" i="118"/>
  <c r="Q36" i="118"/>
  <c r="Q40" i="118"/>
  <c r="Q44" i="118"/>
  <c r="Q34" i="118"/>
  <c r="Q35" i="118"/>
  <c r="Q39" i="118"/>
  <c r="Q43" i="118"/>
  <c r="Q38" i="118"/>
  <c r="Q42" i="118"/>
  <c r="P36" i="118"/>
  <c r="P40" i="118"/>
  <c r="P44" i="118"/>
  <c r="P35" i="118"/>
  <c r="P39" i="118"/>
  <c r="P43" i="118"/>
  <c r="P38" i="118"/>
  <c r="P42" i="118"/>
  <c r="P34" i="118"/>
  <c r="P37" i="118"/>
  <c r="P41" i="118"/>
  <c r="P45" i="118"/>
  <c r="O35" i="118"/>
  <c r="O39" i="118"/>
  <c r="O43" i="118"/>
  <c r="O38" i="118"/>
  <c r="O42" i="118"/>
  <c r="O37" i="118"/>
  <c r="O41" i="118"/>
  <c r="O45" i="118"/>
  <c r="O36" i="118"/>
  <c r="O40" i="118"/>
  <c r="O44" i="118"/>
  <c r="O34" i="118"/>
  <c r="K16" i="118"/>
  <c r="X153" i="118"/>
  <c r="W153" i="118"/>
  <c r="V153" i="118"/>
  <c r="U153" i="118"/>
  <c r="T153" i="118"/>
  <c r="S153" i="118"/>
  <c r="R153" i="118"/>
  <c r="X152" i="118"/>
  <c r="W152" i="118"/>
  <c r="V152" i="118"/>
  <c r="U152" i="118"/>
  <c r="T152" i="118"/>
  <c r="S152" i="118"/>
  <c r="R152" i="118"/>
  <c r="X151" i="118"/>
  <c r="W151" i="118"/>
  <c r="V151" i="118"/>
  <c r="U151" i="118"/>
  <c r="T151" i="118"/>
  <c r="S151" i="118"/>
  <c r="R151" i="118"/>
  <c r="X150" i="118"/>
  <c r="W150" i="118"/>
  <c r="V150" i="118"/>
  <c r="U150" i="118"/>
  <c r="T150" i="118"/>
  <c r="S150" i="118"/>
  <c r="R150" i="118"/>
  <c r="X149" i="118"/>
  <c r="W149" i="118"/>
  <c r="V149" i="118"/>
  <c r="U149" i="118"/>
  <c r="T149" i="118"/>
  <c r="S149" i="118"/>
  <c r="R149" i="118"/>
  <c r="X148" i="118"/>
  <c r="W148" i="118"/>
  <c r="V148" i="118"/>
  <c r="U148" i="118"/>
  <c r="T148" i="118"/>
  <c r="S148" i="118"/>
  <c r="R148" i="118"/>
  <c r="X147" i="118"/>
  <c r="W147" i="118"/>
  <c r="V147" i="118"/>
  <c r="U147" i="118"/>
  <c r="T147" i="118"/>
  <c r="S147" i="118"/>
  <c r="R147" i="118"/>
  <c r="X146" i="118"/>
  <c r="W146" i="118"/>
  <c r="V146" i="118"/>
  <c r="U146" i="118"/>
  <c r="T146" i="118"/>
  <c r="S146" i="118"/>
  <c r="R146" i="118"/>
  <c r="X145" i="118"/>
  <c r="W145" i="118"/>
  <c r="V145" i="118"/>
  <c r="U145" i="118"/>
  <c r="T145" i="118"/>
  <c r="S145" i="118"/>
  <c r="R145" i="118"/>
  <c r="X144" i="118"/>
  <c r="W144" i="118"/>
  <c r="V144" i="118"/>
  <c r="U144" i="118"/>
  <c r="T144" i="118"/>
  <c r="S144" i="118"/>
  <c r="R144" i="118"/>
  <c r="X143" i="118"/>
  <c r="W143" i="118"/>
  <c r="V143" i="118"/>
  <c r="U143" i="118"/>
  <c r="T143" i="118"/>
  <c r="S143" i="118"/>
  <c r="R143" i="118"/>
  <c r="X142" i="118"/>
  <c r="W142" i="118"/>
  <c r="V142" i="118"/>
  <c r="U142" i="118"/>
  <c r="T142" i="118"/>
  <c r="S142" i="118"/>
  <c r="R142" i="118"/>
  <c r="X141" i="118"/>
  <c r="W141" i="118"/>
  <c r="V141" i="118"/>
  <c r="U141" i="118"/>
  <c r="T141" i="118"/>
  <c r="S141" i="118"/>
  <c r="R141" i="118"/>
  <c r="X140" i="118"/>
  <c r="W140" i="118"/>
  <c r="V140" i="118"/>
  <c r="U140" i="118"/>
  <c r="T140" i="118"/>
  <c r="S140" i="118"/>
  <c r="R140" i="118"/>
  <c r="X139" i="118"/>
  <c r="W139" i="118"/>
  <c r="V139" i="118"/>
  <c r="U139" i="118"/>
  <c r="T139" i="118"/>
  <c r="S139" i="118"/>
  <c r="R139" i="118"/>
  <c r="X138" i="118"/>
  <c r="W138" i="118"/>
  <c r="V138" i="118"/>
  <c r="U138" i="118"/>
  <c r="T138" i="118"/>
  <c r="S138" i="118"/>
  <c r="R138" i="118"/>
  <c r="X137" i="118"/>
  <c r="W137" i="118"/>
  <c r="V137" i="118"/>
  <c r="U137" i="118"/>
  <c r="T137" i="118"/>
  <c r="S137" i="118"/>
  <c r="R137" i="118"/>
  <c r="X136" i="118"/>
  <c r="W136" i="118"/>
  <c r="V136" i="118"/>
  <c r="U136" i="118"/>
  <c r="T136" i="118"/>
  <c r="S136" i="118"/>
  <c r="R136" i="118"/>
  <c r="X135" i="118"/>
  <c r="W135" i="118"/>
  <c r="V135" i="118"/>
  <c r="U135" i="118"/>
  <c r="T135" i="118"/>
  <c r="S135" i="118"/>
  <c r="R135" i="118"/>
  <c r="X134" i="118"/>
  <c r="W134" i="118"/>
  <c r="V134" i="118"/>
  <c r="U134" i="118"/>
  <c r="T134" i="118"/>
  <c r="S134" i="118"/>
  <c r="R134" i="118"/>
  <c r="X133" i="118"/>
  <c r="W133" i="118"/>
  <c r="V133" i="118"/>
  <c r="U133" i="118"/>
  <c r="T133" i="118"/>
  <c r="S133" i="118"/>
  <c r="R133" i="118"/>
  <c r="X132" i="118"/>
  <c r="W132" i="118"/>
  <c r="V132" i="118"/>
  <c r="U132" i="118"/>
  <c r="T132" i="118"/>
  <c r="S132" i="118"/>
  <c r="R132" i="118"/>
  <c r="X131" i="118"/>
  <c r="W131" i="118"/>
  <c r="V131" i="118"/>
  <c r="U131" i="118"/>
  <c r="T131" i="118"/>
  <c r="S131" i="118"/>
  <c r="R131" i="118"/>
  <c r="X130" i="118"/>
  <c r="W130" i="118"/>
  <c r="V130" i="118"/>
  <c r="U130" i="118"/>
  <c r="T130" i="118"/>
  <c r="S130" i="118"/>
  <c r="R130" i="118"/>
  <c r="X129" i="118"/>
  <c r="W129" i="118"/>
  <c r="V129" i="118"/>
  <c r="U129" i="118"/>
  <c r="T129" i="118"/>
  <c r="S129" i="118"/>
  <c r="R129" i="118"/>
  <c r="X128" i="118"/>
  <c r="W128" i="118"/>
  <c r="V128" i="118"/>
  <c r="U128" i="118"/>
  <c r="T128" i="118"/>
  <c r="S128" i="118"/>
  <c r="R128" i="118"/>
  <c r="X127" i="118"/>
  <c r="W127" i="118"/>
  <c r="V127" i="118"/>
  <c r="U127" i="118"/>
  <c r="T127" i="118"/>
  <c r="S127" i="118"/>
  <c r="R127" i="118"/>
  <c r="X126" i="118"/>
  <c r="W126" i="118"/>
  <c r="V126" i="118"/>
  <c r="U126" i="118"/>
  <c r="T126" i="118"/>
  <c r="S126" i="118"/>
  <c r="R126" i="118"/>
  <c r="X125" i="118"/>
  <c r="W125" i="118"/>
  <c r="V125" i="118"/>
  <c r="U125" i="118"/>
  <c r="T125" i="118"/>
  <c r="S125" i="118"/>
  <c r="R125" i="118"/>
  <c r="X124" i="118"/>
  <c r="W124" i="118"/>
  <c r="V124" i="118"/>
  <c r="U124" i="118"/>
  <c r="T124" i="118"/>
  <c r="S124" i="118"/>
  <c r="R124" i="118"/>
  <c r="X123" i="118"/>
  <c r="W123" i="118"/>
  <c r="V123" i="118"/>
  <c r="U123" i="118"/>
  <c r="T123" i="118"/>
  <c r="S123" i="118"/>
  <c r="R123" i="118"/>
  <c r="X122" i="118"/>
  <c r="W122" i="118"/>
  <c r="V122" i="118"/>
  <c r="U122" i="118"/>
  <c r="T122" i="118"/>
  <c r="S122" i="118"/>
  <c r="R122" i="118"/>
  <c r="X121" i="118"/>
  <c r="W121" i="118"/>
  <c r="V121" i="118"/>
  <c r="U121" i="118"/>
  <c r="T121" i="118"/>
  <c r="S121" i="118"/>
  <c r="R121" i="118"/>
  <c r="X120" i="118"/>
  <c r="W120" i="118"/>
  <c r="V120" i="118"/>
  <c r="U120" i="118"/>
  <c r="T120" i="118"/>
  <c r="S120" i="118"/>
  <c r="R120" i="118"/>
  <c r="X119" i="118"/>
  <c r="W119" i="118"/>
  <c r="V119" i="118"/>
  <c r="U119" i="118"/>
  <c r="T119" i="118"/>
  <c r="S119" i="118"/>
  <c r="R119" i="118"/>
  <c r="X118" i="118"/>
  <c r="W118" i="118"/>
  <c r="V118" i="118"/>
  <c r="U118" i="118"/>
  <c r="T118" i="118"/>
  <c r="S118" i="118"/>
  <c r="R118" i="118"/>
  <c r="X117" i="118"/>
  <c r="W117" i="118"/>
  <c r="V117" i="118"/>
  <c r="U117" i="118"/>
  <c r="T117" i="118"/>
  <c r="S117" i="118"/>
  <c r="R117" i="118"/>
  <c r="X116" i="118"/>
  <c r="W116" i="118"/>
  <c r="V116" i="118"/>
  <c r="U116" i="118"/>
  <c r="T116" i="118"/>
  <c r="S116" i="118"/>
  <c r="R116" i="118"/>
  <c r="X115" i="118"/>
  <c r="W115" i="118"/>
  <c r="V115" i="118"/>
  <c r="U115" i="118"/>
  <c r="T115" i="118"/>
  <c r="S115" i="118"/>
  <c r="R115" i="118"/>
  <c r="X114" i="118"/>
  <c r="W114" i="118"/>
  <c r="V114" i="118"/>
  <c r="U114" i="118"/>
  <c r="T114" i="118"/>
  <c r="S114" i="118"/>
  <c r="R114" i="118"/>
  <c r="X113" i="118"/>
  <c r="W113" i="118"/>
  <c r="V113" i="118"/>
  <c r="U113" i="118"/>
  <c r="T113" i="118"/>
  <c r="S113" i="118"/>
  <c r="R113" i="118"/>
  <c r="X112" i="118"/>
  <c r="W112" i="118"/>
  <c r="V112" i="118"/>
  <c r="U112" i="118"/>
  <c r="T112" i="118"/>
  <c r="S112" i="118"/>
  <c r="R112" i="118"/>
  <c r="X111" i="118"/>
  <c r="W111" i="118"/>
  <c r="V111" i="118"/>
  <c r="U111" i="118"/>
  <c r="T111" i="118"/>
  <c r="S111" i="118"/>
  <c r="R111" i="118"/>
  <c r="X110" i="118"/>
  <c r="W110" i="118"/>
  <c r="V110" i="118"/>
  <c r="U110" i="118"/>
  <c r="T110" i="118"/>
  <c r="S110" i="118"/>
  <c r="R110" i="118"/>
  <c r="X109" i="118"/>
  <c r="W109" i="118"/>
  <c r="V109" i="118"/>
  <c r="U109" i="118"/>
  <c r="T109" i="118"/>
  <c r="S109" i="118"/>
  <c r="R109" i="118"/>
  <c r="X108" i="118"/>
  <c r="W108" i="118"/>
  <c r="V108" i="118"/>
  <c r="U108" i="118"/>
  <c r="T108" i="118"/>
  <c r="S108" i="118"/>
  <c r="R108" i="118"/>
  <c r="X107" i="118"/>
  <c r="W107" i="118"/>
  <c r="V107" i="118"/>
  <c r="U107" i="118"/>
  <c r="T107" i="118"/>
  <c r="S107" i="118"/>
  <c r="R107" i="118"/>
  <c r="X106" i="118"/>
  <c r="W106" i="118"/>
  <c r="V106" i="118"/>
  <c r="U106" i="118"/>
  <c r="T106" i="118"/>
  <c r="S106" i="118"/>
  <c r="R106" i="118"/>
  <c r="X105" i="118"/>
  <c r="W105" i="118"/>
  <c r="V105" i="118"/>
  <c r="U105" i="118"/>
  <c r="T105" i="118"/>
  <c r="S105" i="118"/>
  <c r="R105" i="118"/>
  <c r="X104" i="118"/>
  <c r="W104" i="118"/>
  <c r="V104" i="118"/>
  <c r="U104" i="118"/>
  <c r="T104" i="118"/>
  <c r="S104" i="118"/>
  <c r="R104" i="118"/>
  <c r="X103" i="118"/>
  <c r="W103" i="118"/>
  <c r="V103" i="118"/>
  <c r="U103" i="118"/>
  <c r="T103" i="118"/>
  <c r="S103" i="118"/>
  <c r="R103" i="118"/>
  <c r="X102" i="118"/>
  <c r="W102" i="118"/>
  <c r="V102" i="118"/>
  <c r="U102" i="118"/>
  <c r="T102" i="118"/>
  <c r="S102" i="118"/>
  <c r="R102" i="118"/>
  <c r="X101" i="118"/>
  <c r="W101" i="118"/>
  <c r="V101" i="118"/>
  <c r="U101" i="118"/>
  <c r="T101" i="118"/>
  <c r="S101" i="118"/>
  <c r="R101" i="118"/>
  <c r="X100" i="118"/>
  <c r="W100" i="118"/>
  <c r="V100" i="118"/>
  <c r="U100" i="118"/>
  <c r="T100" i="118"/>
  <c r="S100" i="118"/>
  <c r="R100" i="118"/>
  <c r="X99" i="118"/>
  <c r="W99" i="118"/>
  <c r="V99" i="118"/>
  <c r="U99" i="118"/>
  <c r="T99" i="118"/>
  <c r="S99" i="118"/>
  <c r="R99" i="118"/>
  <c r="X98" i="118"/>
  <c r="W98" i="118"/>
  <c r="V98" i="118"/>
  <c r="U98" i="118"/>
  <c r="T98" i="118"/>
  <c r="S98" i="118"/>
  <c r="R98" i="118"/>
  <c r="X97" i="118"/>
  <c r="W97" i="118"/>
  <c r="V97" i="118"/>
  <c r="U97" i="118"/>
  <c r="T97" i="118"/>
  <c r="S97" i="118"/>
  <c r="R97" i="118"/>
  <c r="X96" i="118"/>
  <c r="W96" i="118"/>
  <c r="V96" i="118"/>
  <c r="U96" i="118"/>
  <c r="T96" i="118"/>
  <c r="S96" i="118"/>
  <c r="R96" i="118"/>
  <c r="X95" i="118"/>
  <c r="W95" i="118"/>
  <c r="V95" i="118"/>
  <c r="U95" i="118"/>
  <c r="T95" i="118"/>
  <c r="S95" i="118"/>
  <c r="R95" i="118"/>
  <c r="X94" i="118"/>
  <c r="W94" i="118"/>
  <c r="V94" i="118"/>
  <c r="U94" i="118"/>
  <c r="T94" i="118"/>
  <c r="S94" i="118"/>
  <c r="R94" i="118"/>
  <c r="X93" i="118"/>
  <c r="W93" i="118"/>
  <c r="V93" i="118"/>
  <c r="U93" i="118"/>
  <c r="T93" i="118"/>
  <c r="S93" i="118"/>
  <c r="R93" i="118"/>
  <c r="X92" i="118"/>
  <c r="W92" i="118"/>
  <c r="V92" i="118"/>
  <c r="U92" i="118"/>
  <c r="T92" i="118"/>
  <c r="S92" i="118"/>
  <c r="R92" i="118"/>
  <c r="X91" i="118"/>
  <c r="W91" i="118"/>
  <c r="V91" i="118"/>
  <c r="U91" i="118"/>
  <c r="T91" i="118"/>
  <c r="S91" i="118"/>
  <c r="R91" i="118"/>
  <c r="X90" i="118"/>
  <c r="W90" i="118"/>
  <c r="V90" i="118"/>
  <c r="U90" i="118"/>
  <c r="T90" i="118"/>
  <c r="S90" i="118"/>
  <c r="R90" i="118"/>
  <c r="X89" i="118"/>
  <c r="W89" i="118"/>
  <c r="V89" i="118"/>
  <c r="U89" i="118"/>
  <c r="T89" i="118"/>
  <c r="S89" i="118"/>
  <c r="R89" i="118"/>
  <c r="X88" i="118"/>
  <c r="W88" i="118"/>
  <c r="V88" i="118"/>
  <c r="U88" i="118"/>
  <c r="T88" i="118"/>
  <c r="S88" i="118"/>
  <c r="R88" i="118"/>
  <c r="X87" i="118"/>
  <c r="W87" i="118"/>
  <c r="V87" i="118"/>
  <c r="U87" i="118"/>
  <c r="T87" i="118"/>
  <c r="S87" i="118"/>
  <c r="R87" i="118"/>
  <c r="X86" i="118"/>
  <c r="W86" i="118"/>
  <c r="V86" i="118"/>
  <c r="U86" i="118"/>
  <c r="T86" i="118"/>
  <c r="S86" i="118"/>
  <c r="R86" i="118"/>
  <c r="X85" i="118"/>
  <c r="W85" i="118"/>
  <c r="V85" i="118"/>
  <c r="U85" i="118"/>
  <c r="T85" i="118"/>
  <c r="S85" i="118"/>
  <c r="R85" i="118"/>
  <c r="X84" i="118"/>
  <c r="W84" i="118"/>
  <c r="V84" i="118"/>
  <c r="U84" i="118"/>
  <c r="T84" i="118"/>
  <c r="S84" i="118"/>
  <c r="R84" i="118"/>
  <c r="X83" i="118"/>
  <c r="W83" i="118"/>
  <c r="V83" i="118"/>
  <c r="U83" i="118"/>
  <c r="T83" i="118"/>
  <c r="S83" i="118"/>
  <c r="R83" i="118"/>
  <c r="X82" i="118"/>
  <c r="W82" i="118"/>
  <c r="V82" i="118"/>
  <c r="U82" i="118"/>
  <c r="T82" i="118"/>
  <c r="S82" i="118"/>
  <c r="R82" i="118"/>
  <c r="X81" i="118"/>
  <c r="W81" i="118"/>
  <c r="V81" i="118"/>
  <c r="U81" i="118"/>
  <c r="T81" i="118"/>
  <c r="S81" i="118"/>
  <c r="R81" i="118"/>
  <c r="X80" i="118"/>
  <c r="W80" i="118"/>
  <c r="V80" i="118"/>
  <c r="U80" i="118"/>
  <c r="T80" i="118"/>
  <c r="S80" i="118"/>
  <c r="R80" i="118"/>
  <c r="X79" i="118"/>
  <c r="W79" i="118"/>
  <c r="V79" i="118"/>
  <c r="U79" i="118"/>
  <c r="T79" i="118"/>
  <c r="S79" i="118"/>
  <c r="R79" i="118"/>
  <c r="X78" i="118"/>
  <c r="W78" i="118"/>
  <c r="V78" i="118"/>
  <c r="U78" i="118"/>
  <c r="T78" i="118"/>
  <c r="S78" i="118"/>
  <c r="R78" i="118"/>
  <c r="X77" i="118"/>
  <c r="W77" i="118"/>
  <c r="V77" i="118"/>
  <c r="U77" i="118"/>
  <c r="T77" i="118"/>
  <c r="S77" i="118"/>
  <c r="R77" i="118"/>
  <c r="X76" i="118"/>
  <c r="W76" i="118"/>
  <c r="V76" i="118"/>
  <c r="U76" i="118"/>
  <c r="T76" i="118"/>
  <c r="S76" i="118"/>
  <c r="R76" i="118"/>
  <c r="X75" i="118"/>
  <c r="W75" i="118"/>
  <c r="V75" i="118"/>
  <c r="U75" i="118"/>
  <c r="T75" i="118"/>
  <c r="S75" i="118"/>
  <c r="R75" i="118"/>
  <c r="X74" i="118"/>
  <c r="W74" i="118"/>
  <c r="V74" i="118"/>
  <c r="U74" i="118"/>
  <c r="T74" i="118"/>
  <c r="S74" i="118"/>
  <c r="R74" i="118"/>
  <c r="X73" i="118"/>
  <c r="W73" i="118"/>
  <c r="V73" i="118"/>
  <c r="U73" i="118"/>
  <c r="T73" i="118"/>
  <c r="S73" i="118"/>
  <c r="R73" i="118"/>
  <c r="X72" i="118"/>
  <c r="W72" i="118"/>
  <c r="V72" i="118"/>
  <c r="U72" i="118"/>
  <c r="T72" i="118"/>
  <c r="S72" i="118"/>
  <c r="R72" i="118"/>
  <c r="X71" i="118"/>
  <c r="W71" i="118"/>
  <c r="V71" i="118"/>
  <c r="U71" i="118"/>
  <c r="T71" i="118"/>
  <c r="S71" i="118"/>
  <c r="R71" i="118"/>
  <c r="X70" i="118"/>
  <c r="W70" i="118"/>
  <c r="V70" i="118"/>
  <c r="U70" i="118"/>
  <c r="T70" i="118"/>
  <c r="S70" i="118"/>
  <c r="R70" i="118"/>
  <c r="X69" i="118"/>
  <c r="W69" i="118"/>
  <c r="V69" i="118"/>
  <c r="U69" i="118"/>
  <c r="T69" i="118"/>
  <c r="S69" i="118"/>
  <c r="R69" i="118"/>
  <c r="X68" i="118"/>
  <c r="W68" i="118"/>
  <c r="V68" i="118"/>
  <c r="U68" i="118"/>
  <c r="T68" i="118"/>
  <c r="S68" i="118"/>
  <c r="R68" i="118"/>
  <c r="X67" i="118"/>
  <c r="W67" i="118"/>
  <c r="V67" i="118"/>
  <c r="U67" i="118"/>
  <c r="T67" i="118"/>
  <c r="S67" i="118"/>
  <c r="R67" i="118"/>
  <c r="X66" i="118"/>
  <c r="W66" i="118"/>
  <c r="V66" i="118"/>
  <c r="U66" i="118"/>
  <c r="T66" i="118"/>
  <c r="S66" i="118"/>
  <c r="R66" i="118"/>
  <c r="X65" i="118"/>
  <c r="W65" i="118"/>
  <c r="V65" i="118"/>
  <c r="U65" i="118"/>
  <c r="T65" i="118"/>
  <c r="S65" i="118"/>
  <c r="R65" i="118"/>
  <c r="X64" i="118"/>
  <c r="W64" i="118"/>
  <c r="V64" i="118"/>
  <c r="U64" i="118"/>
  <c r="T64" i="118"/>
  <c r="S64" i="118"/>
  <c r="R64" i="118"/>
  <c r="X63" i="118"/>
  <c r="W63" i="118"/>
  <c r="V63" i="118"/>
  <c r="U63" i="118"/>
  <c r="T63" i="118"/>
  <c r="S63" i="118"/>
  <c r="R63" i="118"/>
  <c r="X62" i="118"/>
  <c r="W62" i="118"/>
  <c r="V62" i="118"/>
  <c r="U62" i="118"/>
  <c r="T62" i="118"/>
  <c r="S62" i="118"/>
  <c r="R62" i="118"/>
  <c r="X61" i="118"/>
  <c r="W61" i="118"/>
  <c r="V61" i="118"/>
  <c r="U61" i="118"/>
  <c r="T61" i="118"/>
  <c r="S61" i="118"/>
  <c r="R61" i="118"/>
  <c r="X60" i="118"/>
  <c r="W60" i="118"/>
  <c r="V60" i="118"/>
  <c r="U60" i="118"/>
  <c r="T60" i="118"/>
  <c r="S60" i="118"/>
  <c r="R60" i="118"/>
  <c r="X59" i="118"/>
  <c r="W59" i="118"/>
  <c r="V59" i="118"/>
  <c r="U59" i="118"/>
  <c r="T59" i="118"/>
  <c r="S59" i="118"/>
  <c r="R59" i="118"/>
  <c r="X58" i="118"/>
  <c r="W58" i="118"/>
  <c r="V58" i="118"/>
  <c r="U58" i="118"/>
  <c r="T58" i="118"/>
  <c r="S58" i="118"/>
  <c r="R58" i="118"/>
  <c r="X57" i="118"/>
  <c r="W57" i="118"/>
  <c r="V57" i="118"/>
  <c r="U57" i="118"/>
  <c r="T57" i="118"/>
  <c r="S57" i="118"/>
  <c r="R57" i="118"/>
  <c r="X56" i="118"/>
  <c r="W56" i="118"/>
  <c r="V56" i="118"/>
  <c r="U56" i="118"/>
  <c r="T56" i="118"/>
  <c r="S56" i="118"/>
  <c r="R56" i="118"/>
  <c r="X55" i="118"/>
  <c r="W55" i="118"/>
  <c r="V55" i="118"/>
  <c r="U55" i="118"/>
  <c r="T55" i="118"/>
  <c r="S55" i="118"/>
  <c r="R55" i="118"/>
  <c r="X54" i="118"/>
  <c r="W54" i="118"/>
  <c r="V54" i="118"/>
  <c r="U54" i="118"/>
  <c r="T54" i="118"/>
  <c r="S54" i="118"/>
  <c r="R54" i="118"/>
  <c r="X53" i="118"/>
  <c r="W53" i="118"/>
  <c r="V53" i="118"/>
  <c r="U53" i="118"/>
  <c r="T53" i="118"/>
  <c r="S53" i="118"/>
  <c r="R53" i="118"/>
  <c r="X52" i="118"/>
  <c r="W52" i="118"/>
  <c r="V52" i="118"/>
  <c r="U52" i="118"/>
  <c r="T52" i="118"/>
  <c r="S52" i="118"/>
  <c r="R52" i="118"/>
  <c r="X51" i="118"/>
  <c r="W51" i="118"/>
  <c r="V51" i="118"/>
  <c r="U51" i="118"/>
  <c r="T51" i="118"/>
  <c r="S51" i="118"/>
  <c r="R51" i="118"/>
  <c r="X50" i="118"/>
  <c r="W50" i="118"/>
  <c r="V50" i="118"/>
  <c r="U50" i="118"/>
  <c r="T50" i="118"/>
  <c r="S50" i="118"/>
  <c r="R50" i="118"/>
  <c r="X49" i="118"/>
  <c r="W49" i="118"/>
  <c r="V49" i="118"/>
  <c r="U49" i="118"/>
  <c r="T49" i="118"/>
  <c r="S49" i="118"/>
  <c r="R49" i="118"/>
  <c r="X48" i="118"/>
  <c r="W48" i="118"/>
  <c r="V48" i="118"/>
  <c r="U48" i="118"/>
  <c r="T48" i="118"/>
  <c r="S48" i="118"/>
  <c r="R48" i="118"/>
  <c r="X47" i="118"/>
  <c r="W47" i="118"/>
  <c r="V47" i="118"/>
  <c r="U47" i="118"/>
  <c r="T47" i="118"/>
  <c r="S47" i="118"/>
  <c r="R47" i="118"/>
  <c r="X46" i="118"/>
  <c r="W46" i="118"/>
  <c r="V46" i="118"/>
  <c r="U46" i="118"/>
  <c r="T46" i="118"/>
  <c r="S46" i="118"/>
  <c r="R46" i="118"/>
  <c r="X45" i="118"/>
  <c r="W45" i="118"/>
  <c r="V45" i="118"/>
  <c r="U45" i="118"/>
  <c r="T45" i="118"/>
  <c r="S45" i="118"/>
  <c r="R45" i="118"/>
  <c r="X44" i="118"/>
  <c r="W44" i="118"/>
  <c r="V44" i="118"/>
  <c r="U44" i="118"/>
  <c r="T44" i="118"/>
  <c r="S44" i="118"/>
  <c r="R44" i="118"/>
  <c r="X43" i="118"/>
  <c r="W43" i="118"/>
  <c r="V43" i="118"/>
  <c r="U43" i="118"/>
  <c r="T43" i="118"/>
  <c r="S43" i="118"/>
  <c r="R43" i="118"/>
  <c r="X42" i="118"/>
  <c r="W42" i="118"/>
  <c r="V42" i="118"/>
  <c r="U42" i="118"/>
  <c r="T42" i="118"/>
  <c r="S42" i="118"/>
  <c r="R42" i="118"/>
  <c r="X41" i="118"/>
  <c r="W41" i="118"/>
  <c r="V41" i="118"/>
  <c r="U41" i="118"/>
  <c r="T41" i="118"/>
  <c r="S41" i="118"/>
  <c r="R41" i="118"/>
  <c r="X40" i="118"/>
  <c r="W40" i="118"/>
  <c r="V40" i="118"/>
  <c r="U40" i="118"/>
  <c r="T40" i="118"/>
  <c r="S40" i="118"/>
  <c r="R40" i="118"/>
  <c r="X39" i="118"/>
  <c r="W39" i="118"/>
  <c r="V39" i="118"/>
  <c r="U39" i="118"/>
  <c r="T39" i="118"/>
  <c r="S39" i="118"/>
  <c r="R39" i="118"/>
  <c r="X38" i="118"/>
  <c r="W38" i="118"/>
  <c r="V38" i="118"/>
  <c r="U38" i="118"/>
  <c r="T38" i="118"/>
  <c r="S38" i="118"/>
  <c r="R38" i="118"/>
  <c r="X37" i="118"/>
  <c r="W37" i="118"/>
  <c r="V37" i="118"/>
  <c r="U37" i="118"/>
  <c r="T37" i="118"/>
  <c r="S37" i="118"/>
  <c r="R37" i="118"/>
  <c r="X36" i="118"/>
  <c r="W36" i="118"/>
  <c r="V36" i="118"/>
  <c r="U36" i="118"/>
  <c r="T36" i="118"/>
  <c r="S36" i="118"/>
  <c r="R36" i="118"/>
  <c r="X35" i="118"/>
  <c r="W35" i="118"/>
  <c r="V35" i="118"/>
  <c r="U35" i="118"/>
  <c r="T35" i="118"/>
  <c r="S35" i="118"/>
  <c r="R35" i="118"/>
  <c r="U34" i="118"/>
  <c r="T34" i="118"/>
  <c r="S34" i="118"/>
  <c r="R34" i="118"/>
  <c r="X33" i="118"/>
  <c r="W33" i="118"/>
  <c r="V33" i="118"/>
  <c r="U33" i="118"/>
  <c r="T33" i="118"/>
  <c r="S33" i="118"/>
  <c r="R33" i="118"/>
  <c r="Q33" i="118"/>
  <c r="P33" i="118"/>
  <c r="O33" i="118"/>
  <c r="X32" i="118"/>
  <c r="W32" i="118"/>
  <c r="V32" i="118"/>
  <c r="U32" i="118"/>
  <c r="T32" i="118"/>
  <c r="S32" i="118"/>
  <c r="R32" i="118"/>
  <c r="Q32" i="118"/>
  <c r="P32" i="118"/>
  <c r="O32" i="118"/>
  <c r="X31" i="118"/>
  <c r="W31" i="118"/>
  <c r="V31" i="118"/>
  <c r="U31" i="118"/>
  <c r="T31" i="118"/>
  <c r="S31" i="118"/>
  <c r="R31" i="118"/>
  <c r="Q31" i="118"/>
  <c r="P31" i="118"/>
  <c r="O31" i="118"/>
  <c r="X30" i="118"/>
  <c r="W30" i="118"/>
  <c r="V30" i="118"/>
  <c r="U30" i="118"/>
  <c r="T30" i="118"/>
  <c r="S30" i="118"/>
  <c r="R30" i="118"/>
  <c r="Q30" i="118"/>
  <c r="P30" i="118"/>
  <c r="O30" i="118"/>
  <c r="X29" i="118"/>
  <c r="W29" i="118"/>
  <c r="V29" i="118"/>
  <c r="U29" i="118"/>
  <c r="T29" i="118"/>
  <c r="S29" i="118"/>
  <c r="R29" i="118"/>
  <c r="Q29" i="118"/>
  <c r="P29" i="118"/>
  <c r="O29" i="118"/>
  <c r="X28" i="118"/>
  <c r="W28" i="118"/>
  <c r="V28" i="118"/>
  <c r="U28" i="118"/>
  <c r="T28" i="118"/>
  <c r="S28" i="118"/>
  <c r="R28" i="118"/>
  <c r="Q28" i="118"/>
  <c r="P28" i="118"/>
  <c r="O28" i="118"/>
  <c r="X27" i="118"/>
  <c r="W27" i="118"/>
  <c r="V27" i="118"/>
  <c r="U27" i="118"/>
  <c r="T27" i="118"/>
  <c r="S27" i="118"/>
  <c r="Q27" i="118"/>
  <c r="P27" i="118"/>
  <c r="O27" i="118"/>
  <c r="X26" i="118"/>
  <c r="W26" i="118"/>
  <c r="V26" i="118"/>
  <c r="U26" i="118"/>
  <c r="T26" i="118"/>
  <c r="S26" i="118"/>
  <c r="Q26" i="118"/>
  <c r="P26" i="118"/>
  <c r="O26" i="118"/>
  <c r="X25" i="118"/>
  <c r="W25" i="118"/>
  <c r="V25" i="118"/>
  <c r="U25" i="118"/>
  <c r="T25" i="118"/>
  <c r="S25" i="118"/>
  <c r="R25" i="118"/>
  <c r="Q25" i="118"/>
  <c r="P25" i="118"/>
  <c r="O25" i="118"/>
  <c r="X24" i="118"/>
  <c r="W24" i="118"/>
  <c r="V24" i="118"/>
  <c r="U24" i="118"/>
  <c r="T24" i="118"/>
  <c r="S24" i="118"/>
  <c r="R24" i="118"/>
  <c r="Q24" i="118"/>
  <c r="P24" i="118"/>
  <c r="O24" i="118"/>
  <c r="X23" i="118"/>
  <c r="W23" i="118"/>
  <c r="V23" i="118"/>
  <c r="U23" i="118"/>
  <c r="T23" i="118"/>
  <c r="S23" i="118"/>
  <c r="R23" i="118"/>
  <c r="Q23" i="118"/>
  <c r="P23" i="118"/>
  <c r="O23" i="118"/>
  <c r="X22" i="118"/>
  <c r="W22" i="118"/>
  <c r="V22" i="118"/>
  <c r="U22" i="118"/>
  <c r="T22" i="118"/>
  <c r="S22" i="118"/>
  <c r="R22" i="118"/>
  <c r="Q22" i="118"/>
  <c r="P22" i="118"/>
  <c r="O22" i="118"/>
  <c r="X21" i="118"/>
  <c r="W21" i="118"/>
  <c r="V21" i="118"/>
  <c r="U21" i="118"/>
  <c r="T21" i="118"/>
  <c r="S21" i="118"/>
  <c r="R21" i="118"/>
  <c r="Q21" i="118"/>
  <c r="P21" i="118"/>
  <c r="O21" i="118"/>
  <c r="X20" i="118"/>
  <c r="W20" i="118"/>
  <c r="V20" i="118"/>
  <c r="U20" i="118"/>
  <c r="T20" i="118"/>
  <c r="S20" i="118"/>
  <c r="R20" i="118"/>
  <c r="Q20" i="118"/>
  <c r="P20" i="118"/>
  <c r="O20" i="118"/>
  <c r="X19" i="118"/>
  <c r="W19" i="118"/>
  <c r="V19" i="118"/>
  <c r="U19" i="118"/>
  <c r="T19" i="118"/>
  <c r="S19" i="118"/>
  <c r="R19" i="118"/>
  <c r="Q19" i="118"/>
  <c r="P19" i="118"/>
  <c r="O19" i="118"/>
  <c r="X18" i="118"/>
  <c r="W18" i="118"/>
  <c r="V18" i="118"/>
  <c r="U18" i="118"/>
  <c r="T18" i="118"/>
  <c r="S18" i="118"/>
  <c r="R18" i="118"/>
  <c r="Q18" i="118"/>
  <c r="P18" i="118"/>
  <c r="O18" i="118"/>
  <c r="X17" i="118"/>
  <c r="W17" i="118"/>
  <c r="V17" i="118"/>
  <c r="R17" i="118"/>
  <c r="Q17" i="118"/>
  <c r="P17" i="118"/>
  <c r="O17" i="118"/>
  <c r="R16" i="118"/>
  <c r="N16" i="118"/>
  <c r="M16" i="118"/>
  <c r="L16" i="118"/>
  <c r="W7" i="118"/>
  <c r="Y2" i="118"/>
  <c r="K40" i="37" l="1"/>
  <c r="K37" i="35"/>
  <c r="K40" i="33"/>
  <c r="K38" i="31"/>
  <c r="K35" i="28"/>
  <c r="K53" i="24"/>
  <c r="K66" i="20"/>
  <c r="K49" i="18" l="1"/>
  <c r="K58" i="16"/>
  <c r="K49" i="14"/>
  <c r="K59" i="11"/>
  <c r="K67" i="9"/>
  <c r="K47" i="7"/>
  <c r="K42" i="41" l="1"/>
  <c r="K35" i="39"/>
  <c r="K39" i="37" l="1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36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39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37" i="31"/>
  <c r="K34" i="28"/>
  <c r="K65" i="20"/>
  <c r="K48" i="18" l="1"/>
  <c r="K57" i="16"/>
  <c r="K48" i="14"/>
  <c r="K58" i="11"/>
  <c r="K66" i="9"/>
  <c r="K46" i="7"/>
  <c r="K34" i="39" l="1"/>
  <c r="K41" i="41" l="1"/>
  <c r="K40" i="41" l="1"/>
  <c r="K33" i="39"/>
  <c r="Q35" i="41" l="1"/>
  <c r="Q36" i="41"/>
  <c r="Q37" i="41"/>
  <c r="Q38" i="41"/>
  <c r="Q39" i="41"/>
  <c r="Q40" i="41"/>
  <c r="Q41" i="41"/>
  <c r="Q42" i="41"/>
  <c r="Q43" i="41"/>
  <c r="Q44" i="41"/>
  <c r="O45" i="41"/>
  <c r="P45" i="41"/>
  <c r="Q45" i="41"/>
  <c r="O46" i="41"/>
  <c r="P46" i="41"/>
  <c r="Q46" i="41"/>
  <c r="O47" i="41"/>
  <c r="P47" i="41"/>
  <c r="Q47" i="41"/>
  <c r="O48" i="41"/>
  <c r="P48" i="41"/>
  <c r="Q48" i="41"/>
  <c r="O49" i="41"/>
  <c r="P49" i="41"/>
  <c r="Q49" i="41"/>
  <c r="O50" i="41"/>
  <c r="P50" i="41"/>
  <c r="Q50" i="41"/>
  <c r="O51" i="41"/>
  <c r="P51" i="41"/>
  <c r="Q51" i="41"/>
  <c r="O52" i="41"/>
  <c r="P52" i="41"/>
  <c r="Q52" i="41"/>
  <c r="O53" i="41"/>
  <c r="P53" i="41"/>
  <c r="Q53" i="41"/>
  <c r="O54" i="41"/>
  <c r="P54" i="41"/>
  <c r="Q54" i="41"/>
  <c r="O55" i="41"/>
  <c r="P55" i="41"/>
  <c r="Q55" i="41"/>
  <c r="O56" i="41"/>
  <c r="P56" i="41"/>
  <c r="Q56" i="41"/>
  <c r="O57" i="41"/>
  <c r="P57" i="41"/>
  <c r="Q57" i="41"/>
  <c r="O58" i="41"/>
  <c r="P58" i="41"/>
  <c r="Q58" i="41"/>
  <c r="O59" i="41"/>
  <c r="P59" i="41"/>
  <c r="Q59" i="41"/>
  <c r="O60" i="41"/>
  <c r="P60" i="41"/>
  <c r="Q60" i="41"/>
  <c r="O61" i="41"/>
  <c r="P61" i="41"/>
  <c r="Q61" i="41"/>
  <c r="O62" i="41"/>
  <c r="P62" i="41"/>
  <c r="Q62" i="41"/>
  <c r="O63" i="41"/>
  <c r="P63" i="41"/>
  <c r="Q63" i="41"/>
  <c r="O64" i="41"/>
  <c r="P64" i="41"/>
  <c r="Q64" i="41"/>
  <c r="O65" i="41"/>
  <c r="P65" i="41"/>
  <c r="Q65" i="41"/>
  <c r="O66" i="41"/>
  <c r="P66" i="41"/>
  <c r="Q66" i="41"/>
  <c r="O67" i="41"/>
  <c r="P67" i="41"/>
  <c r="Q67" i="41"/>
  <c r="O68" i="41"/>
  <c r="P68" i="41"/>
  <c r="Q68" i="41"/>
  <c r="O69" i="41"/>
  <c r="P69" i="41"/>
  <c r="Q69" i="41"/>
  <c r="O70" i="41"/>
  <c r="P70" i="41"/>
  <c r="Q70" i="41"/>
  <c r="O71" i="41"/>
  <c r="P71" i="41"/>
  <c r="Q71" i="41"/>
  <c r="O72" i="41"/>
  <c r="P72" i="41"/>
  <c r="Q72" i="41"/>
  <c r="O73" i="41"/>
  <c r="P73" i="41"/>
  <c r="Q73" i="41"/>
  <c r="O74" i="41"/>
  <c r="P74" i="41"/>
  <c r="Q74" i="41"/>
  <c r="O75" i="41"/>
  <c r="P75" i="41"/>
  <c r="Q75" i="41"/>
  <c r="O76" i="41"/>
  <c r="P76" i="41"/>
  <c r="Q76" i="41"/>
  <c r="O77" i="41"/>
  <c r="P77" i="41"/>
  <c r="Q77" i="41"/>
  <c r="O78" i="41"/>
  <c r="P78" i="41"/>
  <c r="Q78" i="41"/>
  <c r="O79" i="41"/>
  <c r="P79" i="41"/>
  <c r="Q79" i="41"/>
  <c r="O80" i="41"/>
  <c r="P80" i="41"/>
  <c r="Q80" i="41"/>
  <c r="O81" i="41"/>
  <c r="P81" i="41"/>
  <c r="Q81" i="41"/>
  <c r="O82" i="41"/>
  <c r="P82" i="41"/>
  <c r="Q82" i="41"/>
  <c r="O83" i="41"/>
  <c r="P83" i="41"/>
  <c r="Q83" i="41"/>
  <c r="O84" i="41"/>
  <c r="P84" i="41"/>
  <c r="Q84" i="41"/>
  <c r="O85" i="41"/>
  <c r="P85" i="41"/>
  <c r="Q85" i="41"/>
  <c r="O86" i="41"/>
  <c r="P86" i="41"/>
  <c r="Q86" i="41"/>
  <c r="O87" i="41"/>
  <c r="P87" i="41"/>
  <c r="Q87" i="41"/>
  <c r="O88" i="41"/>
  <c r="P88" i="41"/>
  <c r="Q88" i="41"/>
  <c r="O89" i="41"/>
  <c r="P89" i="41"/>
  <c r="Q89" i="41"/>
  <c r="O90" i="41"/>
  <c r="P90" i="41"/>
  <c r="Q90" i="41"/>
  <c r="O91" i="41"/>
  <c r="P91" i="41"/>
  <c r="Q91" i="41"/>
  <c r="O92" i="41"/>
  <c r="P92" i="41"/>
  <c r="Q92" i="41"/>
  <c r="O93" i="41"/>
  <c r="P93" i="41"/>
  <c r="Q93" i="41"/>
  <c r="O94" i="41"/>
  <c r="P94" i="41"/>
  <c r="Q94" i="41"/>
  <c r="O95" i="41"/>
  <c r="P95" i="41"/>
  <c r="Q95" i="41"/>
  <c r="O96" i="41"/>
  <c r="P96" i="41"/>
  <c r="Q96" i="41"/>
  <c r="O97" i="41"/>
  <c r="P97" i="41"/>
  <c r="Q97" i="41"/>
  <c r="O98" i="41"/>
  <c r="P98" i="41"/>
  <c r="Q98" i="41"/>
  <c r="O99" i="41"/>
  <c r="P99" i="41"/>
  <c r="Q99" i="41"/>
  <c r="O100" i="41"/>
  <c r="P100" i="41"/>
  <c r="Q100" i="41"/>
  <c r="O101" i="41"/>
  <c r="P101" i="41"/>
  <c r="Q101" i="41"/>
  <c r="O102" i="41"/>
  <c r="P102" i="41"/>
  <c r="Q102" i="41"/>
  <c r="O103" i="41"/>
  <c r="P103" i="41"/>
  <c r="Q103" i="41"/>
  <c r="O104" i="41"/>
  <c r="P104" i="41"/>
  <c r="Q104" i="41"/>
  <c r="O105" i="41"/>
  <c r="P105" i="41"/>
  <c r="Q105" i="41"/>
  <c r="O106" i="41"/>
  <c r="P106" i="41"/>
  <c r="Q106" i="41"/>
  <c r="O107" i="41"/>
  <c r="P107" i="41"/>
  <c r="Q107" i="41"/>
  <c r="O108" i="41"/>
  <c r="P108" i="41"/>
  <c r="Q108" i="41"/>
  <c r="O109" i="41"/>
  <c r="P109" i="41"/>
  <c r="Q109" i="41"/>
  <c r="O110" i="41"/>
  <c r="P110" i="41"/>
  <c r="Q110" i="41"/>
  <c r="O111" i="41"/>
  <c r="P111" i="41"/>
  <c r="Q111" i="41"/>
  <c r="O112" i="41"/>
  <c r="P112" i="41"/>
  <c r="Q112" i="41"/>
  <c r="O113" i="41"/>
  <c r="P113" i="41"/>
  <c r="Q113" i="41"/>
  <c r="O114" i="41"/>
  <c r="P114" i="41"/>
  <c r="Q114" i="41"/>
  <c r="O115" i="41"/>
  <c r="P115" i="41"/>
  <c r="Q115" i="41"/>
  <c r="O116" i="41"/>
  <c r="P116" i="41"/>
  <c r="Q116" i="41"/>
  <c r="O117" i="41"/>
  <c r="P117" i="41"/>
  <c r="Q117" i="41"/>
  <c r="O118" i="41"/>
  <c r="P118" i="41"/>
  <c r="Q118" i="41"/>
  <c r="O119" i="41"/>
  <c r="P119" i="41"/>
  <c r="Q119" i="41"/>
  <c r="O120" i="41"/>
  <c r="P120" i="41"/>
  <c r="Q120" i="41"/>
  <c r="O121" i="41"/>
  <c r="P121" i="41"/>
  <c r="Q121" i="41"/>
  <c r="O122" i="41"/>
  <c r="P122" i="41"/>
  <c r="Q122" i="41"/>
  <c r="O123" i="41"/>
  <c r="P123" i="41"/>
  <c r="Q123" i="41"/>
  <c r="O124" i="41"/>
  <c r="P124" i="41"/>
  <c r="Q124" i="41"/>
  <c r="O125" i="41"/>
  <c r="P125" i="41"/>
  <c r="Q125" i="41"/>
  <c r="O126" i="41"/>
  <c r="P126" i="41"/>
  <c r="Q126" i="41"/>
  <c r="O127" i="41"/>
  <c r="P127" i="41"/>
  <c r="Q127" i="41"/>
  <c r="O128" i="41"/>
  <c r="P128" i="41"/>
  <c r="Q128" i="41"/>
  <c r="O129" i="41"/>
  <c r="P129" i="41"/>
  <c r="Q129" i="41"/>
  <c r="O130" i="41"/>
  <c r="P130" i="41"/>
  <c r="Q130" i="41"/>
  <c r="O131" i="41"/>
  <c r="P131" i="41"/>
  <c r="Q131" i="41"/>
  <c r="O132" i="41"/>
  <c r="P132" i="41"/>
  <c r="Q132" i="41"/>
  <c r="O133" i="41"/>
  <c r="P133" i="41"/>
  <c r="Q133" i="41"/>
  <c r="O134" i="41"/>
  <c r="P134" i="41"/>
  <c r="Q134" i="41"/>
  <c r="O135" i="41"/>
  <c r="P135" i="41"/>
  <c r="Q135" i="41"/>
  <c r="O136" i="41"/>
  <c r="P136" i="41"/>
  <c r="Q136" i="41"/>
  <c r="O137" i="41"/>
  <c r="P137" i="41"/>
  <c r="Q137" i="41"/>
  <c r="O138" i="41"/>
  <c r="P138" i="41"/>
  <c r="Q138" i="41"/>
  <c r="O139" i="41"/>
  <c r="P139" i="41"/>
  <c r="Q139" i="41"/>
  <c r="O140" i="41"/>
  <c r="P140" i="41"/>
  <c r="Q140" i="41"/>
  <c r="O141" i="41"/>
  <c r="P141" i="41"/>
  <c r="Q141" i="41"/>
  <c r="O142" i="41"/>
  <c r="P142" i="41"/>
  <c r="Q142" i="41"/>
  <c r="O143" i="41"/>
  <c r="P143" i="41"/>
  <c r="Q143" i="41"/>
  <c r="O144" i="41"/>
  <c r="P144" i="41"/>
  <c r="Q144" i="41"/>
  <c r="O145" i="41"/>
  <c r="P145" i="41"/>
  <c r="Q145" i="41"/>
  <c r="O146" i="41"/>
  <c r="P146" i="41"/>
  <c r="Q146" i="41"/>
  <c r="O147" i="41"/>
  <c r="P147" i="41"/>
  <c r="Q147" i="41"/>
  <c r="O148" i="41"/>
  <c r="P148" i="41"/>
  <c r="Q148" i="41"/>
  <c r="O149" i="41"/>
  <c r="P149" i="41"/>
  <c r="Q149" i="41"/>
  <c r="O150" i="41"/>
  <c r="P150" i="41"/>
  <c r="Q150" i="41"/>
  <c r="O151" i="41"/>
  <c r="P151" i="41"/>
  <c r="Q151" i="41"/>
  <c r="O152" i="41"/>
  <c r="P152" i="41"/>
  <c r="Q152" i="41"/>
  <c r="O153" i="41"/>
  <c r="P153" i="41"/>
  <c r="Q153" i="41"/>
  <c r="Q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L43" i="41"/>
  <c r="M43" i="41"/>
  <c r="N43" i="41"/>
  <c r="L44" i="41"/>
  <c r="M44" i="41"/>
  <c r="N44" i="41"/>
  <c r="L45" i="41"/>
  <c r="M45" i="41"/>
  <c r="N45" i="41"/>
  <c r="L46" i="41"/>
  <c r="M46" i="41"/>
  <c r="N46" i="41"/>
  <c r="L47" i="41"/>
  <c r="M47" i="41"/>
  <c r="N47" i="41"/>
  <c r="L48" i="41"/>
  <c r="M48" i="41"/>
  <c r="N48" i="41"/>
  <c r="L49" i="41"/>
  <c r="M49" i="41"/>
  <c r="N49" i="41"/>
  <c r="L50" i="41"/>
  <c r="M50" i="41"/>
  <c r="N50" i="41"/>
  <c r="L51" i="41"/>
  <c r="M51" i="41"/>
  <c r="N51" i="41"/>
  <c r="L52" i="41"/>
  <c r="M52" i="41"/>
  <c r="N52" i="41"/>
  <c r="L53" i="41"/>
  <c r="M53" i="41"/>
  <c r="N53" i="41"/>
  <c r="L54" i="41"/>
  <c r="M54" i="41"/>
  <c r="N54" i="41"/>
  <c r="L55" i="41"/>
  <c r="M55" i="41"/>
  <c r="N55" i="41"/>
  <c r="L56" i="41"/>
  <c r="M56" i="41"/>
  <c r="N56" i="41"/>
  <c r="L57" i="41"/>
  <c r="M57" i="41"/>
  <c r="N57" i="41"/>
  <c r="L58" i="41"/>
  <c r="M58" i="41"/>
  <c r="N58" i="41"/>
  <c r="L59" i="41"/>
  <c r="M59" i="41"/>
  <c r="N59" i="41"/>
  <c r="L60" i="41"/>
  <c r="M60" i="41"/>
  <c r="N60" i="41"/>
  <c r="L61" i="41"/>
  <c r="M61" i="41"/>
  <c r="N61" i="41"/>
  <c r="L62" i="41"/>
  <c r="M62" i="41"/>
  <c r="N62" i="41"/>
  <c r="L63" i="41"/>
  <c r="M63" i="41"/>
  <c r="N63" i="41"/>
  <c r="L64" i="41"/>
  <c r="M64" i="41"/>
  <c r="N64" i="41"/>
  <c r="L65" i="41"/>
  <c r="M65" i="41"/>
  <c r="N65" i="41"/>
  <c r="L66" i="41"/>
  <c r="M66" i="41"/>
  <c r="N66" i="41"/>
  <c r="L67" i="41"/>
  <c r="M67" i="41"/>
  <c r="N67" i="41"/>
  <c r="L68" i="41"/>
  <c r="M68" i="41"/>
  <c r="N68" i="41"/>
  <c r="L69" i="41"/>
  <c r="M69" i="41"/>
  <c r="N69" i="41"/>
  <c r="L70" i="41"/>
  <c r="M70" i="41"/>
  <c r="N70" i="41"/>
  <c r="L71" i="41"/>
  <c r="M71" i="41"/>
  <c r="N71" i="41"/>
  <c r="L72" i="41"/>
  <c r="M72" i="41"/>
  <c r="N72" i="41"/>
  <c r="L73" i="41"/>
  <c r="M73" i="41"/>
  <c r="N73" i="41"/>
  <c r="L74" i="41"/>
  <c r="M74" i="41"/>
  <c r="N74" i="41"/>
  <c r="L75" i="41"/>
  <c r="M75" i="41"/>
  <c r="N75" i="41"/>
  <c r="L76" i="41"/>
  <c r="M76" i="41"/>
  <c r="N76" i="41"/>
  <c r="L77" i="41"/>
  <c r="M77" i="41"/>
  <c r="N77" i="41"/>
  <c r="L78" i="41"/>
  <c r="M78" i="41"/>
  <c r="N78" i="41"/>
  <c r="L79" i="41"/>
  <c r="M79" i="41"/>
  <c r="N79" i="41"/>
  <c r="L80" i="41"/>
  <c r="M80" i="41"/>
  <c r="N80" i="41"/>
  <c r="L81" i="41"/>
  <c r="M81" i="41"/>
  <c r="N81" i="41"/>
  <c r="L82" i="41"/>
  <c r="M82" i="41"/>
  <c r="N82" i="41"/>
  <c r="L83" i="41"/>
  <c r="M83" i="41"/>
  <c r="N83" i="41"/>
  <c r="L84" i="41"/>
  <c r="M84" i="41"/>
  <c r="N84" i="41"/>
  <c r="L85" i="41"/>
  <c r="M85" i="41"/>
  <c r="N85" i="41"/>
  <c r="L86" i="41"/>
  <c r="M86" i="41"/>
  <c r="N86" i="41"/>
  <c r="L87" i="41"/>
  <c r="M87" i="41"/>
  <c r="N87" i="41"/>
  <c r="L88" i="41"/>
  <c r="M88" i="41"/>
  <c r="N88" i="41"/>
  <c r="L89" i="41"/>
  <c r="M89" i="41"/>
  <c r="N89" i="41"/>
  <c r="L90" i="41"/>
  <c r="M90" i="41"/>
  <c r="N90" i="41"/>
  <c r="L91" i="41"/>
  <c r="M91" i="41"/>
  <c r="N91" i="41"/>
  <c r="L92" i="41"/>
  <c r="M92" i="41"/>
  <c r="N92" i="41"/>
  <c r="L93" i="41"/>
  <c r="M93" i="41"/>
  <c r="N93" i="41"/>
  <c r="L94" i="41"/>
  <c r="M94" i="41"/>
  <c r="N94" i="41"/>
  <c r="L95" i="41"/>
  <c r="M95" i="41"/>
  <c r="N95" i="41"/>
  <c r="L96" i="41"/>
  <c r="M96" i="41"/>
  <c r="N96" i="41"/>
  <c r="L97" i="41"/>
  <c r="M97" i="41"/>
  <c r="N97" i="41"/>
  <c r="L98" i="41"/>
  <c r="M98" i="41"/>
  <c r="N98" i="41"/>
  <c r="L99" i="41"/>
  <c r="M99" i="41"/>
  <c r="N99" i="41"/>
  <c r="L100" i="41"/>
  <c r="M100" i="41"/>
  <c r="N100" i="41"/>
  <c r="L101" i="41"/>
  <c r="M101" i="41"/>
  <c r="N101" i="41"/>
  <c r="L102" i="41"/>
  <c r="M102" i="41"/>
  <c r="N102" i="41"/>
  <c r="L103" i="41"/>
  <c r="M103" i="41"/>
  <c r="N103" i="41"/>
  <c r="L104" i="41"/>
  <c r="M104" i="41"/>
  <c r="N104" i="41"/>
  <c r="L105" i="41"/>
  <c r="M105" i="41"/>
  <c r="N105" i="41"/>
  <c r="L106" i="41"/>
  <c r="M106" i="41"/>
  <c r="N106" i="41"/>
  <c r="L107" i="41"/>
  <c r="M107" i="41"/>
  <c r="N107" i="41"/>
  <c r="L108" i="41"/>
  <c r="M108" i="41"/>
  <c r="N108" i="41"/>
  <c r="L109" i="41"/>
  <c r="M109" i="41"/>
  <c r="N109" i="41"/>
  <c r="L110" i="41"/>
  <c r="M110" i="41"/>
  <c r="N110" i="41"/>
  <c r="L111" i="41"/>
  <c r="M111" i="41"/>
  <c r="N111" i="41"/>
  <c r="L112" i="41"/>
  <c r="M112" i="41"/>
  <c r="N112" i="41"/>
  <c r="L113" i="41"/>
  <c r="M113" i="41"/>
  <c r="N113" i="41"/>
  <c r="L114" i="41"/>
  <c r="M114" i="41"/>
  <c r="N114" i="41"/>
  <c r="L115" i="41"/>
  <c r="M115" i="41"/>
  <c r="N115" i="41"/>
  <c r="L116" i="41"/>
  <c r="M116" i="41"/>
  <c r="N116" i="41"/>
  <c r="L117" i="41"/>
  <c r="M117" i="41"/>
  <c r="N117" i="41"/>
  <c r="L118" i="41"/>
  <c r="M118" i="41"/>
  <c r="N118" i="41"/>
  <c r="L119" i="41"/>
  <c r="M119" i="41"/>
  <c r="N119" i="41"/>
  <c r="L120" i="41"/>
  <c r="M120" i="41"/>
  <c r="N120" i="41"/>
  <c r="L121" i="41"/>
  <c r="M121" i="41"/>
  <c r="N121" i="41"/>
  <c r="L122" i="41"/>
  <c r="M122" i="41"/>
  <c r="N122" i="41"/>
  <c r="L123" i="41"/>
  <c r="M123" i="41"/>
  <c r="N123" i="41"/>
  <c r="L124" i="41"/>
  <c r="M124" i="41"/>
  <c r="N124" i="41"/>
  <c r="L125" i="41"/>
  <c r="M125" i="41"/>
  <c r="N125" i="41"/>
  <c r="L126" i="41"/>
  <c r="M126" i="41"/>
  <c r="N126" i="41"/>
  <c r="L127" i="41"/>
  <c r="M127" i="41"/>
  <c r="N127" i="41"/>
  <c r="L128" i="41"/>
  <c r="M128" i="41"/>
  <c r="N128" i="41"/>
  <c r="L129" i="41"/>
  <c r="M129" i="41"/>
  <c r="N129" i="41"/>
  <c r="L130" i="41"/>
  <c r="M130" i="41"/>
  <c r="N130" i="41"/>
  <c r="L131" i="41"/>
  <c r="M131" i="41"/>
  <c r="N131" i="41"/>
  <c r="L132" i="41"/>
  <c r="M132" i="41"/>
  <c r="N132" i="41"/>
  <c r="L133" i="41"/>
  <c r="M133" i="41"/>
  <c r="N133" i="41"/>
  <c r="L134" i="41"/>
  <c r="M134" i="41"/>
  <c r="N134" i="41"/>
  <c r="L135" i="41"/>
  <c r="M135" i="41"/>
  <c r="N135" i="41"/>
  <c r="L136" i="41"/>
  <c r="M136" i="41"/>
  <c r="N136" i="41"/>
  <c r="L137" i="41"/>
  <c r="M137" i="41"/>
  <c r="N137" i="41"/>
  <c r="L138" i="41"/>
  <c r="M138" i="41"/>
  <c r="N138" i="41"/>
  <c r="L139" i="41"/>
  <c r="M139" i="41"/>
  <c r="N139" i="41"/>
  <c r="L140" i="41"/>
  <c r="M140" i="41"/>
  <c r="N140" i="41"/>
  <c r="L141" i="41"/>
  <c r="M141" i="41"/>
  <c r="N141" i="41"/>
  <c r="L142" i="41"/>
  <c r="M142" i="41"/>
  <c r="N142" i="41"/>
  <c r="L143" i="41"/>
  <c r="M143" i="41"/>
  <c r="N143" i="41"/>
  <c r="L144" i="41"/>
  <c r="M144" i="41"/>
  <c r="N144" i="41"/>
  <c r="L145" i="41"/>
  <c r="M145" i="41"/>
  <c r="N145" i="41"/>
  <c r="L146" i="41"/>
  <c r="M146" i="41"/>
  <c r="N146" i="41"/>
  <c r="L147" i="41"/>
  <c r="M147" i="41"/>
  <c r="N147" i="41"/>
  <c r="L148" i="41"/>
  <c r="M148" i="41"/>
  <c r="N148" i="41"/>
  <c r="L149" i="41"/>
  <c r="M149" i="41"/>
  <c r="N149" i="41"/>
  <c r="L150" i="41"/>
  <c r="M150" i="41"/>
  <c r="N150" i="41"/>
  <c r="L151" i="41"/>
  <c r="M151" i="41"/>
  <c r="N151" i="41"/>
  <c r="L152" i="41"/>
  <c r="M152" i="41"/>
  <c r="N152" i="41"/>
  <c r="L153" i="41"/>
  <c r="M153" i="41"/>
  <c r="N153" i="41"/>
  <c r="N34" i="41"/>
  <c r="K37" i="41"/>
  <c r="K38" i="41"/>
  <c r="K39" i="41"/>
  <c r="K36" i="41"/>
  <c r="K35" i="41"/>
  <c r="K34" i="41"/>
  <c r="L33" i="39" l="1"/>
  <c r="M33" i="39"/>
  <c r="N33" i="39"/>
  <c r="O33" i="39"/>
  <c r="P33" i="39"/>
  <c r="Q33" i="39"/>
  <c r="L34" i="39"/>
  <c r="M34" i="39"/>
  <c r="N34" i="39"/>
  <c r="O34" i="39"/>
  <c r="P34" i="39"/>
  <c r="Q34" i="39"/>
  <c r="L35" i="39"/>
  <c r="M35" i="39"/>
  <c r="N35" i="39"/>
  <c r="O35" i="39"/>
  <c r="P35" i="39"/>
  <c r="Q35" i="39"/>
  <c r="L36" i="39"/>
  <c r="M36" i="39"/>
  <c r="N36" i="39"/>
  <c r="O36" i="39"/>
  <c r="P36" i="39"/>
  <c r="Q36" i="39"/>
  <c r="L37" i="39"/>
  <c r="M37" i="39"/>
  <c r="N37" i="39"/>
  <c r="O37" i="39"/>
  <c r="P37" i="39"/>
  <c r="Q37" i="39"/>
  <c r="L38" i="39"/>
  <c r="M38" i="39"/>
  <c r="N38" i="39"/>
  <c r="O38" i="39"/>
  <c r="P38" i="39"/>
  <c r="Q38" i="39"/>
  <c r="L39" i="39"/>
  <c r="M39" i="39"/>
  <c r="N39" i="39"/>
  <c r="O39" i="39"/>
  <c r="P39" i="39"/>
  <c r="Q39" i="39"/>
  <c r="L40" i="39"/>
  <c r="M40" i="39"/>
  <c r="N40" i="39"/>
  <c r="O40" i="39"/>
  <c r="P40" i="39"/>
  <c r="Q40" i="39"/>
  <c r="L41" i="39"/>
  <c r="M41" i="39"/>
  <c r="N41" i="39"/>
  <c r="O41" i="39"/>
  <c r="P41" i="39"/>
  <c r="Q41" i="39"/>
  <c r="L42" i="39"/>
  <c r="M42" i="39"/>
  <c r="N42" i="39"/>
  <c r="O42" i="39"/>
  <c r="P42" i="39"/>
  <c r="Q42" i="39"/>
  <c r="L43" i="39"/>
  <c r="M43" i="39"/>
  <c r="N43" i="39"/>
  <c r="O43" i="39"/>
  <c r="P43" i="39"/>
  <c r="Q43" i="39"/>
  <c r="L44" i="39"/>
  <c r="M44" i="39"/>
  <c r="N44" i="39"/>
  <c r="O44" i="39"/>
  <c r="P44" i="39"/>
  <c r="Q44" i="39"/>
  <c r="L45" i="39"/>
  <c r="M45" i="39"/>
  <c r="N45" i="39"/>
  <c r="O45" i="39"/>
  <c r="P45" i="39"/>
  <c r="Q45" i="39"/>
  <c r="L46" i="39"/>
  <c r="M46" i="39"/>
  <c r="N46" i="39"/>
  <c r="O46" i="39"/>
  <c r="P46" i="39"/>
  <c r="Q46" i="39"/>
  <c r="L47" i="39"/>
  <c r="M47" i="39"/>
  <c r="N47" i="39"/>
  <c r="O47" i="39"/>
  <c r="P47" i="39"/>
  <c r="Q47" i="39"/>
  <c r="L48" i="39"/>
  <c r="M48" i="39"/>
  <c r="N48" i="39"/>
  <c r="O48" i="39"/>
  <c r="P48" i="39"/>
  <c r="Q48" i="39"/>
  <c r="L49" i="39"/>
  <c r="M49" i="39"/>
  <c r="N49" i="39"/>
  <c r="O49" i="39"/>
  <c r="P49" i="39"/>
  <c r="Q49" i="39"/>
  <c r="L50" i="39"/>
  <c r="M50" i="39"/>
  <c r="N50" i="39"/>
  <c r="O50" i="39"/>
  <c r="P50" i="39"/>
  <c r="Q50" i="39"/>
  <c r="L51" i="39"/>
  <c r="M51" i="39"/>
  <c r="N51" i="39"/>
  <c r="O51" i="39"/>
  <c r="P51" i="39"/>
  <c r="Q51" i="39"/>
  <c r="L52" i="39"/>
  <c r="M52" i="39"/>
  <c r="N52" i="39"/>
  <c r="O52" i="39"/>
  <c r="P52" i="39"/>
  <c r="Q52" i="39"/>
  <c r="L53" i="39"/>
  <c r="M53" i="39"/>
  <c r="N53" i="39"/>
  <c r="O53" i="39"/>
  <c r="P53" i="39"/>
  <c r="Q53" i="39"/>
  <c r="L54" i="39"/>
  <c r="M54" i="39"/>
  <c r="N54" i="39"/>
  <c r="O54" i="39"/>
  <c r="P54" i="39"/>
  <c r="Q54" i="39"/>
  <c r="L55" i="39"/>
  <c r="M55" i="39"/>
  <c r="N55" i="39"/>
  <c r="O55" i="39"/>
  <c r="P55" i="39"/>
  <c r="Q55" i="39"/>
  <c r="L56" i="39"/>
  <c r="M56" i="39"/>
  <c r="N56" i="39"/>
  <c r="O56" i="39"/>
  <c r="P56" i="39"/>
  <c r="Q56" i="39"/>
  <c r="L57" i="39"/>
  <c r="M57" i="39"/>
  <c r="N57" i="39"/>
  <c r="O57" i="39"/>
  <c r="P57" i="39"/>
  <c r="Q57" i="39"/>
  <c r="L58" i="39"/>
  <c r="M58" i="39"/>
  <c r="N58" i="39"/>
  <c r="O58" i="39"/>
  <c r="P58" i="39"/>
  <c r="Q58" i="39"/>
  <c r="L59" i="39"/>
  <c r="M59" i="39"/>
  <c r="N59" i="39"/>
  <c r="O59" i="39"/>
  <c r="P59" i="39"/>
  <c r="Q59" i="39"/>
  <c r="L60" i="39"/>
  <c r="M60" i="39"/>
  <c r="N60" i="39"/>
  <c r="O60" i="39"/>
  <c r="P60" i="39"/>
  <c r="Q60" i="39"/>
  <c r="L61" i="39"/>
  <c r="M61" i="39"/>
  <c r="N61" i="39"/>
  <c r="O61" i="39"/>
  <c r="P61" i="39"/>
  <c r="Q61" i="39"/>
  <c r="L62" i="39"/>
  <c r="M62" i="39"/>
  <c r="N62" i="39"/>
  <c r="O62" i="39"/>
  <c r="P62" i="39"/>
  <c r="Q62" i="39"/>
  <c r="L63" i="39"/>
  <c r="M63" i="39"/>
  <c r="N63" i="39"/>
  <c r="O63" i="39"/>
  <c r="P63" i="39"/>
  <c r="Q63" i="39"/>
  <c r="L64" i="39"/>
  <c r="M64" i="39"/>
  <c r="N64" i="39"/>
  <c r="O64" i="39"/>
  <c r="P64" i="39"/>
  <c r="Q64" i="39"/>
  <c r="L65" i="39"/>
  <c r="M65" i="39"/>
  <c r="N65" i="39"/>
  <c r="O65" i="39"/>
  <c r="P65" i="39"/>
  <c r="Q65" i="39"/>
  <c r="L66" i="39"/>
  <c r="M66" i="39"/>
  <c r="N66" i="39"/>
  <c r="O66" i="39"/>
  <c r="P66" i="39"/>
  <c r="Q66" i="39"/>
  <c r="L67" i="39"/>
  <c r="M67" i="39"/>
  <c r="N67" i="39"/>
  <c r="O67" i="39"/>
  <c r="P67" i="39"/>
  <c r="Q67" i="39"/>
  <c r="L68" i="39"/>
  <c r="M68" i="39"/>
  <c r="N68" i="39"/>
  <c r="O68" i="39"/>
  <c r="P68" i="39"/>
  <c r="Q68" i="39"/>
  <c r="L69" i="39"/>
  <c r="M69" i="39"/>
  <c r="N69" i="39"/>
  <c r="O69" i="39"/>
  <c r="P69" i="39"/>
  <c r="Q69" i="39"/>
  <c r="L70" i="39"/>
  <c r="M70" i="39"/>
  <c r="N70" i="39"/>
  <c r="O70" i="39"/>
  <c r="P70" i="39"/>
  <c r="Q70" i="39"/>
  <c r="L71" i="39"/>
  <c r="M71" i="39"/>
  <c r="N71" i="39"/>
  <c r="O71" i="39"/>
  <c r="P71" i="39"/>
  <c r="Q71" i="39"/>
  <c r="L72" i="39"/>
  <c r="M72" i="39"/>
  <c r="N72" i="39"/>
  <c r="O72" i="39"/>
  <c r="P72" i="39"/>
  <c r="Q72" i="39"/>
  <c r="L73" i="39"/>
  <c r="M73" i="39"/>
  <c r="N73" i="39"/>
  <c r="O73" i="39"/>
  <c r="P73" i="39"/>
  <c r="Q73" i="39"/>
  <c r="L74" i="39"/>
  <c r="M74" i="39"/>
  <c r="N74" i="39"/>
  <c r="O74" i="39"/>
  <c r="P74" i="39"/>
  <c r="Q74" i="39"/>
  <c r="L75" i="39"/>
  <c r="M75" i="39"/>
  <c r="N75" i="39"/>
  <c r="O75" i="39"/>
  <c r="P75" i="39"/>
  <c r="Q75" i="39"/>
  <c r="L76" i="39"/>
  <c r="M76" i="39"/>
  <c r="N76" i="39"/>
  <c r="O76" i="39"/>
  <c r="P76" i="39"/>
  <c r="Q76" i="39"/>
  <c r="L77" i="39"/>
  <c r="M77" i="39"/>
  <c r="N77" i="39"/>
  <c r="O77" i="39"/>
  <c r="P77" i="39"/>
  <c r="Q77" i="39"/>
  <c r="L78" i="39"/>
  <c r="M78" i="39"/>
  <c r="N78" i="39"/>
  <c r="O78" i="39"/>
  <c r="P78" i="39"/>
  <c r="Q78" i="39"/>
  <c r="L79" i="39"/>
  <c r="M79" i="39"/>
  <c r="N79" i="39"/>
  <c r="O79" i="39"/>
  <c r="P79" i="39"/>
  <c r="Q79" i="39"/>
  <c r="L80" i="39"/>
  <c r="M80" i="39"/>
  <c r="N80" i="39"/>
  <c r="O80" i="39"/>
  <c r="P80" i="39"/>
  <c r="Q80" i="39"/>
  <c r="L81" i="39"/>
  <c r="M81" i="39"/>
  <c r="N81" i="39"/>
  <c r="O81" i="39"/>
  <c r="P81" i="39"/>
  <c r="Q81" i="39"/>
  <c r="L82" i="39"/>
  <c r="M82" i="39"/>
  <c r="N82" i="39"/>
  <c r="O82" i="39"/>
  <c r="P82" i="39"/>
  <c r="Q82" i="39"/>
  <c r="L83" i="39"/>
  <c r="M83" i="39"/>
  <c r="N83" i="39"/>
  <c r="O83" i="39"/>
  <c r="P83" i="39"/>
  <c r="Q83" i="39"/>
  <c r="L84" i="39"/>
  <c r="M84" i="39"/>
  <c r="N84" i="39"/>
  <c r="O84" i="39"/>
  <c r="P84" i="39"/>
  <c r="Q84" i="39"/>
  <c r="L85" i="39"/>
  <c r="M85" i="39"/>
  <c r="N85" i="39"/>
  <c r="O85" i="39"/>
  <c r="P85" i="39"/>
  <c r="Q85" i="39"/>
  <c r="L86" i="39"/>
  <c r="M86" i="39"/>
  <c r="N86" i="39"/>
  <c r="O86" i="39"/>
  <c r="P86" i="39"/>
  <c r="Q86" i="39"/>
  <c r="L87" i="39"/>
  <c r="M87" i="39"/>
  <c r="N87" i="39"/>
  <c r="O87" i="39"/>
  <c r="P87" i="39"/>
  <c r="Q87" i="39"/>
  <c r="L88" i="39"/>
  <c r="M88" i="39"/>
  <c r="N88" i="39"/>
  <c r="O88" i="39"/>
  <c r="P88" i="39"/>
  <c r="Q88" i="39"/>
  <c r="L89" i="39"/>
  <c r="M89" i="39"/>
  <c r="N89" i="39"/>
  <c r="O89" i="39"/>
  <c r="P89" i="39"/>
  <c r="Q89" i="39"/>
  <c r="L90" i="39"/>
  <c r="M90" i="39"/>
  <c r="N90" i="39"/>
  <c r="O90" i="39"/>
  <c r="P90" i="39"/>
  <c r="Q90" i="39"/>
  <c r="L91" i="39"/>
  <c r="M91" i="39"/>
  <c r="N91" i="39"/>
  <c r="O91" i="39"/>
  <c r="P91" i="39"/>
  <c r="Q91" i="39"/>
  <c r="L92" i="39"/>
  <c r="M92" i="39"/>
  <c r="N92" i="39"/>
  <c r="O92" i="39"/>
  <c r="P92" i="39"/>
  <c r="Q92" i="39"/>
  <c r="L93" i="39"/>
  <c r="M93" i="39"/>
  <c r="N93" i="39"/>
  <c r="O93" i="39"/>
  <c r="P93" i="39"/>
  <c r="Q93" i="39"/>
  <c r="L94" i="39"/>
  <c r="M94" i="39"/>
  <c r="N94" i="39"/>
  <c r="O94" i="39"/>
  <c r="P94" i="39"/>
  <c r="Q94" i="39"/>
  <c r="L95" i="39"/>
  <c r="M95" i="39"/>
  <c r="N95" i="39"/>
  <c r="O95" i="39"/>
  <c r="P95" i="39"/>
  <c r="Q95" i="39"/>
  <c r="L96" i="39"/>
  <c r="M96" i="39"/>
  <c r="N96" i="39"/>
  <c r="O96" i="39"/>
  <c r="P96" i="39"/>
  <c r="Q96" i="39"/>
  <c r="L97" i="39"/>
  <c r="M97" i="39"/>
  <c r="N97" i="39"/>
  <c r="O97" i="39"/>
  <c r="P97" i="39"/>
  <c r="Q97" i="39"/>
  <c r="L98" i="39"/>
  <c r="M98" i="39"/>
  <c r="N98" i="39"/>
  <c r="O98" i="39"/>
  <c r="P98" i="39"/>
  <c r="Q98" i="39"/>
  <c r="L99" i="39"/>
  <c r="M99" i="39"/>
  <c r="N99" i="39"/>
  <c r="O99" i="39"/>
  <c r="P99" i="39"/>
  <c r="Q99" i="39"/>
  <c r="L100" i="39"/>
  <c r="M100" i="39"/>
  <c r="N100" i="39"/>
  <c r="O100" i="39"/>
  <c r="P100" i="39"/>
  <c r="Q100" i="39"/>
  <c r="L101" i="39"/>
  <c r="M101" i="39"/>
  <c r="N101" i="39"/>
  <c r="O101" i="39"/>
  <c r="P101" i="39"/>
  <c r="Q101" i="39"/>
  <c r="L102" i="39"/>
  <c r="M102" i="39"/>
  <c r="N102" i="39"/>
  <c r="O102" i="39"/>
  <c r="P102" i="39"/>
  <c r="Q102" i="39"/>
  <c r="L103" i="39"/>
  <c r="M103" i="39"/>
  <c r="N103" i="39"/>
  <c r="O103" i="39"/>
  <c r="P103" i="39"/>
  <c r="Q103" i="39"/>
  <c r="L104" i="39"/>
  <c r="M104" i="39"/>
  <c r="N104" i="39"/>
  <c r="O104" i="39"/>
  <c r="P104" i="39"/>
  <c r="Q104" i="39"/>
  <c r="L105" i="39"/>
  <c r="M105" i="39"/>
  <c r="N105" i="39"/>
  <c r="O105" i="39"/>
  <c r="P105" i="39"/>
  <c r="Q105" i="39"/>
  <c r="L106" i="39"/>
  <c r="M106" i="39"/>
  <c r="N106" i="39"/>
  <c r="O106" i="39"/>
  <c r="P106" i="39"/>
  <c r="Q106" i="39"/>
  <c r="L107" i="39"/>
  <c r="M107" i="39"/>
  <c r="N107" i="39"/>
  <c r="O107" i="39"/>
  <c r="P107" i="39"/>
  <c r="Q107" i="39"/>
  <c r="L108" i="39"/>
  <c r="M108" i="39"/>
  <c r="N108" i="39"/>
  <c r="O108" i="39"/>
  <c r="P108" i="39"/>
  <c r="Q108" i="39"/>
  <c r="L109" i="39"/>
  <c r="M109" i="39"/>
  <c r="N109" i="39"/>
  <c r="O109" i="39"/>
  <c r="P109" i="39"/>
  <c r="Q109" i="39"/>
  <c r="L110" i="39"/>
  <c r="M110" i="39"/>
  <c r="N110" i="39"/>
  <c r="O110" i="39"/>
  <c r="P110" i="39"/>
  <c r="Q110" i="39"/>
  <c r="L111" i="39"/>
  <c r="M111" i="39"/>
  <c r="N111" i="39"/>
  <c r="O111" i="39"/>
  <c r="P111" i="39"/>
  <c r="Q111" i="39"/>
  <c r="L112" i="39"/>
  <c r="M112" i="39"/>
  <c r="N112" i="39"/>
  <c r="O112" i="39"/>
  <c r="P112" i="39"/>
  <c r="Q112" i="39"/>
  <c r="L113" i="39"/>
  <c r="M113" i="39"/>
  <c r="N113" i="39"/>
  <c r="O113" i="39"/>
  <c r="P113" i="39"/>
  <c r="Q113" i="39"/>
  <c r="L114" i="39"/>
  <c r="M114" i="39"/>
  <c r="N114" i="39"/>
  <c r="O114" i="39"/>
  <c r="P114" i="39"/>
  <c r="Q114" i="39"/>
  <c r="L115" i="39"/>
  <c r="M115" i="39"/>
  <c r="N115" i="39"/>
  <c r="O115" i="39"/>
  <c r="P115" i="39"/>
  <c r="Q115" i="39"/>
  <c r="L116" i="39"/>
  <c r="M116" i="39"/>
  <c r="N116" i="39"/>
  <c r="O116" i="39"/>
  <c r="P116" i="39"/>
  <c r="Q116" i="39"/>
  <c r="L117" i="39"/>
  <c r="M117" i="39"/>
  <c r="N117" i="39"/>
  <c r="O117" i="39"/>
  <c r="P117" i="39"/>
  <c r="Q117" i="39"/>
  <c r="L118" i="39"/>
  <c r="M118" i="39"/>
  <c r="N118" i="39"/>
  <c r="O118" i="39"/>
  <c r="P118" i="39"/>
  <c r="Q118" i="39"/>
  <c r="L119" i="39"/>
  <c r="M119" i="39"/>
  <c r="N119" i="39"/>
  <c r="O119" i="39"/>
  <c r="P119" i="39"/>
  <c r="Q119" i="39"/>
  <c r="L120" i="39"/>
  <c r="M120" i="39"/>
  <c r="N120" i="39"/>
  <c r="O120" i="39"/>
  <c r="P120" i="39"/>
  <c r="Q120" i="39"/>
  <c r="L121" i="39"/>
  <c r="M121" i="39"/>
  <c r="N121" i="39"/>
  <c r="O121" i="39"/>
  <c r="P121" i="39"/>
  <c r="Q121" i="39"/>
  <c r="L122" i="39"/>
  <c r="M122" i="39"/>
  <c r="N122" i="39"/>
  <c r="O122" i="39"/>
  <c r="P122" i="39"/>
  <c r="Q122" i="39"/>
  <c r="L123" i="39"/>
  <c r="M123" i="39"/>
  <c r="N123" i="39"/>
  <c r="O123" i="39"/>
  <c r="P123" i="39"/>
  <c r="Q123" i="39"/>
  <c r="L124" i="39"/>
  <c r="M124" i="39"/>
  <c r="N124" i="39"/>
  <c r="O124" i="39"/>
  <c r="P124" i="39"/>
  <c r="Q124" i="39"/>
  <c r="L125" i="39"/>
  <c r="M125" i="39"/>
  <c r="N125" i="39"/>
  <c r="O125" i="39"/>
  <c r="P125" i="39"/>
  <c r="Q125" i="39"/>
  <c r="L126" i="39"/>
  <c r="M126" i="39"/>
  <c r="N126" i="39"/>
  <c r="O126" i="39"/>
  <c r="P126" i="39"/>
  <c r="Q126" i="39"/>
  <c r="L127" i="39"/>
  <c r="M127" i="39"/>
  <c r="N127" i="39"/>
  <c r="O127" i="39"/>
  <c r="P127" i="39"/>
  <c r="Q127" i="39"/>
  <c r="L128" i="39"/>
  <c r="M128" i="39"/>
  <c r="N128" i="39"/>
  <c r="O128" i="39"/>
  <c r="P128" i="39"/>
  <c r="Q128" i="39"/>
  <c r="L129" i="39"/>
  <c r="M129" i="39"/>
  <c r="N129" i="39"/>
  <c r="O129" i="39"/>
  <c r="P129" i="39"/>
  <c r="Q129" i="39"/>
  <c r="L130" i="39"/>
  <c r="M130" i="39"/>
  <c r="N130" i="39"/>
  <c r="O130" i="39"/>
  <c r="P130" i="39"/>
  <c r="Q130" i="39"/>
  <c r="L131" i="39"/>
  <c r="M131" i="39"/>
  <c r="N131" i="39"/>
  <c r="O131" i="39"/>
  <c r="P131" i="39"/>
  <c r="Q131" i="39"/>
  <c r="L132" i="39"/>
  <c r="M132" i="39"/>
  <c r="N132" i="39"/>
  <c r="O132" i="39"/>
  <c r="P132" i="39"/>
  <c r="Q132" i="39"/>
  <c r="L133" i="39"/>
  <c r="M133" i="39"/>
  <c r="N133" i="39"/>
  <c r="O133" i="39"/>
  <c r="P133" i="39"/>
  <c r="Q133" i="39"/>
  <c r="L134" i="39"/>
  <c r="M134" i="39"/>
  <c r="N134" i="39"/>
  <c r="O134" i="39"/>
  <c r="P134" i="39"/>
  <c r="Q134" i="39"/>
  <c r="L135" i="39"/>
  <c r="M135" i="39"/>
  <c r="N135" i="39"/>
  <c r="O135" i="39"/>
  <c r="P135" i="39"/>
  <c r="Q135" i="39"/>
  <c r="L136" i="39"/>
  <c r="M136" i="39"/>
  <c r="N136" i="39"/>
  <c r="O136" i="39"/>
  <c r="P136" i="39"/>
  <c r="Q136" i="39"/>
  <c r="L137" i="39"/>
  <c r="M137" i="39"/>
  <c r="N137" i="39"/>
  <c r="O137" i="39"/>
  <c r="P137" i="39"/>
  <c r="Q137" i="39"/>
  <c r="L138" i="39"/>
  <c r="M138" i="39"/>
  <c r="N138" i="39"/>
  <c r="O138" i="39"/>
  <c r="P138" i="39"/>
  <c r="Q138" i="39"/>
  <c r="L139" i="39"/>
  <c r="M139" i="39"/>
  <c r="N139" i="39"/>
  <c r="O139" i="39"/>
  <c r="P139" i="39"/>
  <c r="Q139" i="39"/>
  <c r="L140" i="39"/>
  <c r="M140" i="39"/>
  <c r="N140" i="39"/>
  <c r="O140" i="39"/>
  <c r="P140" i="39"/>
  <c r="Q140" i="39"/>
  <c r="L141" i="39"/>
  <c r="M141" i="39"/>
  <c r="N141" i="39"/>
  <c r="O141" i="39"/>
  <c r="P141" i="39"/>
  <c r="Q141" i="39"/>
  <c r="L142" i="39"/>
  <c r="M142" i="39"/>
  <c r="N142" i="39"/>
  <c r="O142" i="39"/>
  <c r="P142" i="39"/>
  <c r="Q142" i="39"/>
  <c r="L143" i="39"/>
  <c r="M143" i="39"/>
  <c r="N143" i="39"/>
  <c r="O143" i="39"/>
  <c r="P143" i="39"/>
  <c r="Q143" i="39"/>
  <c r="L144" i="39"/>
  <c r="M144" i="39"/>
  <c r="N144" i="39"/>
  <c r="O144" i="39"/>
  <c r="P144" i="39"/>
  <c r="Q144" i="39"/>
  <c r="L145" i="39"/>
  <c r="M145" i="39"/>
  <c r="N145" i="39"/>
  <c r="O145" i="39"/>
  <c r="P145" i="39"/>
  <c r="Q145" i="39"/>
  <c r="L146" i="39"/>
  <c r="M146" i="39"/>
  <c r="N146" i="39"/>
  <c r="O146" i="39"/>
  <c r="P146" i="39"/>
  <c r="Q146" i="39"/>
  <c r="L147" i="39"/>
  <c r="M147" i="39"/>
  <c r="N147" i="39"/>
  <c r="O147" i="39"/>
  <c r="P147" i="39"/>
  <c r="Q147" i="39"/>
  <c r="L148" i="39"/>
  <c r="M148" i="39"/>
  <c r="N148" i="39"/>
  <c r="O148" i="39"/>
  <c r="P148" i="39"/>
  <c r="Q148" i="39"/>
  <c r="L149" i="39"/>
  <c r="M149" i="39"/>
  <c r="N149" i="39"/>
  <c r="O149" i="39"/>
  <c r="P149" i="39"/>
  <c r="Q149" i="39"/>
  <c r="L150" i="39"/>
  <c r="M150" i="39"/>
  <c r="N150" i="39"/>
  <c r="O150" i="39"/>
  <c r="P150" i="39"/>
  <c r="Q150" i="39"/>
  <c r="L151" i="39"/>
  <c r="M151" i="39"/>
  <c r="N151" i="39"/>
  <c r="O151" i="39"/>
  <c r="P151" i="39"/>
  <c r="Q151" i="39"/>
  <c r="L152" i="39"/>
  <c r="M152" i="39"/>
  <c r="N152" i="39"/>
  <c r="O152" i="39"/>
  <c r="P152" i="39"/>
  <c r="Q152" i="39"/>
  <c r="L153" i="39"/>
  <c r="M153" i="39"/>
  <c r="N153" i="39"/>
  <c r="O153" i="39"/>
  <c r="P153" i="39"/>
  <c r="Q153" i="39"/>
  <c r="Q32" i="39"/>
  <c r="P32" i="39"/>
  <c r="O32" i="39"/>
  <c r="N32" i="39"/>
  <c r="M32" i="39"/>
  <c r="L32" i="39"/>
  <c r="K32" i="39"/>
  <c r="K31" i="39"/>
  <c r="K33" i="41"/>
  <c r="K30" i="39"/>
  <c r="K38" i="37"/>
  <c r="K35" i="35"/>
  <c r="K38" i="33"/>
  <c r="K36" i="31"/>
  <c r="K33" i="28"/>
  <c r="K51" i="24"/>
  <c r="K55" i="22"/>
  <c r="K64" i="20"/>
  <c r="K47" i="18"/>
  <c r="K56" i="16"/>
  <c r="K47" i="14"/>
  <c r="K57" i="11"/>
  <c r="K65" i="9"/>
  <c r="K45" i="7"/>
  <c r="S37" i="37"/>
  <c r="T37" i="37"/>
  <c r="U37" i="37"/>
  <c r="S34" i="35"/>
  <c r="T34" i="35"/>
  <c r="U34" i="35"/>
  <c r="K32" i="41"/>
  <c r="K29" i="39"/>
  <c r="K37" i="37"/>
  <c r="K34" i="35"/>
  <c r="K37" i="33"/>
  <c r="K35" i="31"/>
  <c r="K32" i="28"/>
  <c r="K50" i="24"/>
  <c r="K54" i="22"/>
  <c r="K63" i="20"/>
  <c r="K46" i="18"/>
  <c r="K55" i="16"/>
  <c r="K46" i="14"/>
  <c r="K56" i="11"/>
  <c r="K64" i="9"/>
  <c r="K44" i="7"/>
  <c r="K31" i="41"/>
  <c r="K28" i="39"/>
  <c r="K36" i="37"/>
  <c r="K33" i="35"/>
  <c r="K36" i="33"/>
  <c r="K34" i="31"/>
  <c r="K31" i="28"/>
  <c r="K49" i="24"/>
  <c r="K53" i="22"/>
  <c r="K62" i="20"/>
  <c r="K45" i="18"/>
  <c r="K54" i="16"/>
  <c r="K45" i="14"/>
  <c r="K55" i="11"/>
  <c r="K63" i="9"/>
  <c r="K43" i="7"/>
  <c r="K29" i="41"/>
  <c r="K30" i="41"/>
  <c r="K32" i="35"/>
  <c r="K35" i="33"/>
  <c r="K33" i="31"/>
  <c r="K30" i="28"/>
  <c r="K48" i="24"/>
  <c r="K52" i="22"/>
  <c r="K61" i="20"/>
  <c r="K51" i="22"/>
  <c r="K60" i="20"/>
  <c r="K44" i="18"/>
  <c r="K53" i="16"/>
  <c r="K44" i="14"/>
  <c r="K54" i="11"/>
  <c r="K62" i="9"/>
  <c r="K42" i="7"/>
  <c r="K24" i="39"/>
  <c r="K25" i="39"/>
  <c r="K26" i="39"/>
  <c r="K27" i="39"/>
  <c r="K33" i="37"/>
  <c r="K34" i="37"/>
  <c r="K35" i="37"/>
  <c r="O43" i="37"/>
  <c r="P43" i="37"/>
  <c r="Q43" i="37"/>
  <c r="O44" i="37"/>
  <c r="P44" i="37"/>
  <c r="Q44" i="37"/>
  <c r="O45" i="37"/>
  <c r="P45" i="37"/>
  <c r="Q45" i="37"/>
  <c r="O46" i="37"/>
  <c r="P46" i="37"/>
  <c r="Q46" i="37"/>
  <c r="O47" i="37"/>
  <c r="P47" i="37"/>
  <c r="Q47" i="37"/>
  <c r="O48" i="37"/>
  <c r="P48" i="37"/>
  <c r="Q48" i="37"/>
  <c r="O49" i="37"/>
  <c r="P49" i="37"/>
  <c r="Q49" i="37"/>
  <c r="O50" i="37"/>
  <c r="P50" i="37"/>
  <c r="Q50" i="37"/>
  <c r="O51" i="37"/>
  <c r="P51" i="37"/>
  <c r="Q51" i="37"/>
  <c r="O52" i="37"/>
  <c r="P52" i="37"/>
  <c r="Q52" i="37"/>
  <c r="O53" i="37"/>
  <c r="P53" i="37"/>
  <c r="Q53" i="37"/>
  <c r="O54" i="37"/>
  <c r="P54" i="37"/>
  <c r="Q54" i="37"/>
  <c r="O55" i="37"/>
  <c r="P55" i="37"/>
  <c r="Q55" i="37"/>
  <c r="O56" i="37"/>
  <c r="P56" i="37"/>
  <c r="Q56" i="37"/>
  <c r="O57" i="37"/>
  <c r="P57" i="37"/>
  <c r="Q57" i="37"/>
  <c r="O58" i="37"/>
  <c r="P58" i="37"/>
  <c r="Q58" i="37"/>
  <c r="O59" i="37"/>
  <c r="P59" i="37"/>
  <c r="Q59" i="37"/>
  <c r="O60" i="37"/>
  <c r="P60" i="37"/>
  <c r="Q60" i="37"/>
  <c r="O61" i="37"/>
  <c r="P61" i="37"/>
  <c r="Q61" i="37"/>
  <c r="O62" i="37"/>
  <c r="P62" i="37"/>
  <c r="Q62" i="37"/>
  <c r="O63" i="37"/>
  <c r="P63" i="37"/>
  <c r="Q63" i="37"/>
  <c r="O64" i="37"/>
  <c r="P64" i="37"/>
  <c r="Q64" i="37"/>
  <c r="O65" i="37"/>
  <c r="P65" i="37"/>
  <c r="Q65" i="37"/>
  <c r="O66" i="37"/>
  <c r="P66" i="37"/>
  <c r="Q66" i="37"/>
  <c r="O67" i="37"/>
  <c r="P67" i="37"/>
  <c r="Q67" i="37"/>
  <c r="O68" i="37"/>
  <c r="P68" i="37"/>
  <c r="Q68" i="37"/>
  <c r="O69" i="37"/>
  <c r="P69" i="37"/>
  <c r="Q69" i="37"/>
  <c r="O70" i="37"/>
  <c r="P70" i="37"/>
  <c r="Q70" i="37"/>
  <c r="O71" i="37"/>
  <c r="P71" i="37"/>
  <c r="Q71" i="37"/>
  <c r="O72" i="37"/>
  <c r="P72" i="37"/>
  <c r="Q72" i="37"/>
  <c r="O73" i="37"/>
  <c r="P73" i="37"/>
  <c r="Q73" i="37"/>
  <c r="O74" i="37"/>
  <c r="P74" i="37"/>
  <c r="Q74" i="37"/>
  <c r="O75" i="37"/>
  <c r="P75" i="37"/>
  <c r="Q75" i="37"/>
  <c r="O76" i="37"/>
  <c r="P76" i="37"/>
  <c r="Q76" i="37"/>
  <c r="O77" i="37"/>
  <c r="P77" i="37"/>
  <c r="Q77" i="37"/>
  <c r="O78" i="37"/>
  <c r="P78" i="37"/>
  <c r="Q78" i="37"/>
  <c r="O79" i="37"/>
  <c r="P79" i="37"/>
  <c r="Q79" i="37"/>
  <c r="O80" i="37"/>
  <c r="P80" i="37"/>
  <c r="Q80" i="37"/>
  <c r="O81" i="37"/>
  <c r="P81" i="37"/>
  <c r="Q81" i="37"/>
  <c r="O82" i="37"/>
  <c r="P82" i="37"/>
  <c r="Q82" i="37"/>
  <c r="O83" i="37"/>
  <c r="P83" i="37"/>
  <c r="Q83" i="37"/>
  <c r="O84" i="37"/>
  <c r="P84" i="37"/>
  <c r="Q84" i="37"/>
  <c r="O85" i="37"/>
  <c r="P85" i="37"/>
  <c r="Q85" i="37"/>
  <c r="O86" i="37"/>
  <c r="P86" i="37"/>
  <c r="Q86" i="37"/>
  <c r="O87" i="37"/>
  <c r="P87" i="37"/>
  <c r="Q87" i="37"/>
  <c r="O88" i="37"/>
  <c r="P88" i="37"/>
  <c r="Q88" i="37"/>
  <c r="O89" i="37"/>
  <c r="P89" i="37"/>
  <c r="Q89" i="37"/>
  <c r="O90" i="37"/>
  <c r="P90" i="37"/>
  <c r="Q90" i="37"/>
  <c r="O91" i="37"/>
  <c r="P91" i="37"/>
  <c r="Q91" i="37"/>
  <c r="O92" i="37"/>
  <c r="P92" i="37"/>
  <c r="Q92" i="37"/>
  <c r="O93" i="37"/>
  <c r="P93" i="37"/>
  <c r="Q93" i="37"/>
  <c r="O94" i="37"/>
  <c r="P94" i="37"/>
  <c r="Q94" i="37"/>
  <c r="O95" i="37"/>
  <c r="P95" i="37"/>
  <c r="Q95" i="37"/>
  <c r="O96" i="37"/>
  <c r="P96" i="37"/>
  <c r="Q96" i="37"/>
  <c r="O97" i="37"/>
  <c r="P97" i="37"/>
  <c r="Q97" i="37"/>
  <c r="O98" i="37"/>
  <c r="P98" i="37"/>
  <c r="Q98" i="37"/>
  <c r="O99" i="37"/>
  <c r="P99" i="37"/>
  <c r="Q99" i="37"/>
  <c r="O100" i="37"/>
  <c r="P100" i="37"/>
  <c r="Q100" i="37"/>
  <c r="O101" i="37"/>
  <c r="P101" i="37"/>
  <c r="Q101" i="37"/>
  <c r="O102" i="37"/>
  <c r="P102" i="37"/>
  <c r="Q102" i="37"/>
  <c r="O103" i="37"/>
  <c r="P103" i="37"/>
  <c r="Q103" i="37"/>
  <c r="O104" i="37"/>
  <c r="P104" i="37"/>
  <c r="Q104" i="37"/>
  <c r="O105" i="37"/>
  <c r="P105" i="37"/>
  <c r="Q105" i="37"/>
  <c r="O106" i="37"/>
  <c r="P106" i="37"/>
  <c r="Q106" i="37"/>
  <c r="O107" i="37"/>
  <c r="P107" i="37"/>
  <c r="Q107" i="37"/>
  <c r="O108" i="37"/>
  <c r="P108" i="37"/>
  <c r="Q108" i="37"/>
  <c r="O109" i="37"/>
  <c r="P109" i="37"/>
  <c r="Q109" i="37"/>
  <c r="O110" i="37"/>
  <c r="P110" i="37"/>
  <c r="Q110" i="37"/>
  <c r="O111" i="37"/>
  <c r="P111" i="37"/>
  <c r="Q111" i="37"/>
  <c r="O112" i="37"/>
  <c r="P112" i="37"/>
  <c r="Q112" i="37"/>
  <c r="O113" i="37"/>
  <c r="P113" i="37"/>
  <c r="Q113" i="37"/>
  <c r="O114" i="37"/>
  <c r="P114" i="37"/>
  <c r="Q114" i="37"/>
  <c r="O115" i="37"/>
  <c r="P115" i="37"/>
  <c r="Q115" i="37"/>
  <c r="O116" i="37"/>
  <c r="P116" i="37"/>
  <c r="Q116" i="37"/>
  <c r="O117" i="37"/>
  <c r="P117" i="37"/>
  <c r="Q117" i="37"/>
  <c r="O118" i="37"/>
  <c r="P118" i="37"/>
  <c r="Q118" i="37"/>
  <c r="O119" i="37"/>
  <c r="P119" i="37"/>
  <c r="Q119" i="37"/>
  <c r="O120" i="37"/>
  <c r="P120" i="37"/>
  <c r="Q120" i="37"/>
  <c r="O121" i="37"/>
  <c r="P121" i="37"/>
  <c r="Q121" i="37"/>
  <c r="O122" i="37"/>
  <c r="P122" i="37"/>
  <c r="Q122" i="37"/>
  <c r="O123" i="37"/>
  <c r="P123" i="37"/>
  <c r="Q123" i="37"/>
  <c r="O124" i="37"/>
  <c r="P124" i="37"/>
  <c r="Q124" i="37"/>
  <c r="O125" i="37"/>
  <c r="P125" i="37"/>
  <c r="Q125" i="37"/>
  <c r="O126" i="37"/>
  <c r="P126" i="37"/>
  <c r="Q126" i="37"/>
  <c r="O127" i="37"/>
  <c r="P127" i="37"/>
  <c r="Q127" i="37"/>
  <c r="O128" i="37"/>
  <c r="P128" i="37"/>
  <c r="Q128" i="37"/>
  <c r="O129" i="37"/>
  <c r="P129" i="37"/>
  <c r="Q129" i="37"/>
  <c r="O130" i="37"/>
  <c r="P130" i="37"/>
  <c r="Q130" i="37"/>
  <c r="O131" i="37"/>
  <c r="P131" i="37"/>
  <c r="Q131" i="37"/>
  <c r="O132" i="37"/>
  <c r="P132" i="37"/>
  <c r="Q132" i="37"/>
  <c r="O133" i="37"/>
  <c r="P133" i="37"/>
  <c r="Q133" i="37"/>
  <c r="O134" i="37"/>
  <c r="P134" i="37"/>
  <c r="Q134" i="37"/>
  <c r="O135" i="37"/>
  <c r="P135" i="37"/>
  <c r="Q135" i="37"/>
  <c r="O136" i="37"/>
  <c r="P136" i="37"/>
  <c r="Q136" i="37"/>
  <c r="O137" i="37"/>
  <c r="P137" i="37"/>
  <c r="Q137" i="37"/>
  <c r="O138" i="37"/>
  <c r="P138" i="37"/>
  <c r="Q138" i="37"/>
  <c r="O139" i="37"/>
  <c r="P139" i="37"/>
  <c r="Q139" i="37"/>
  <c r="O140" i="37"/>
  <c r="P140" i="37"/>
  <c r="Q140" i="37"/>
  <c r="O141" i="37"/>
  <c r="P141" i="37"/>
  <c r="Q141" i="37"/>
  <c r="O142" i="37"/>
  <c r="P142" i="37"/>
  <c r="Q142" i="37"/>
  <c r="O143" i="37"/>
  <c r="P143" i="37"/>
  <c r="Q143" i="37"/>
  <c r="O144" i="37"/>
  <c r="P144" i="37"/>
  <c r="Q144" i="37"/>
  <c r="O145" i="37"/>
  <c r="P145" i="37"/>
  <c r="Q145" i="37"/>
  <c r="O146" i="37"/>
  <c r="P146" i="37"/>
  <c r="Q146" i="37"/>
  <c r="O147" i="37"/>
  <c r="P147" i="37"/>
  <c r="Q147" i="37"/>
  <c r="O148" i="37"/>
  <c r="P148" i="37"/>
  <c r="Q148" i="37"/>
  <c r="O149" i="37"/>
  <c r="P149" i="37"/>
  <c r="Q149" i="37"/>
  <c r="O150" i="37"/>
  <c r="P150" i="37"/>
  <c r="Q150" i="37"/>
  <c r="O151" i="37"/>
  <c r="P151" i="37"/>
  <c r="Q151" i="37"/>
  <c r="O152" i="37"/>
  <c r="P152" i="37"/>
  <c r="Q152" i="37"/>
  <c r="O153" i="37"/>
  <c r="P153" i="37"/>
  <c r="Q153" i="37"/>
  <c r="L35" i="35"/>
  <c r="L36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K31" i="35"/>
  <c r="K30" i="35"/>
  <c r="K29" i="35"/>
  <c r="K28" i="35"/>
  <c r="K18" i="41"/>
  <c r="K19" i="41"/>
  <c r="K20" i="41"/>
  <c r="K21" i="41"/>
  <c r="K22" i="41"/>
  <c r="K23" i="41"/>
  <c r="K24" i="41"/>
  <c r="K25" i="41"/>
  <c r="K26" i="41"/>
  <c r="K27" i="41"/>
  <c r="K28" i="41"/>
  <c r="W7" i="41"/>
  <c r="X153" i="41"/>
  <c r="W153" i="41"/>
  <c r="V153" i="41"/>
  <c r="U153" i="41"/>
  <c r="T153" i="41"/>
  <c r="S153" i="41"/>
  <c r="R153" i="41"/>
  <c r="X152" i="41"/>
  <c r="W152" i="41"/>
  <c r="V152" i="41"/>
  <c r="U152" i="41"/>
  <c r="T152" i="41"/>
  <c r="S152" i="41"/>
  <c r="R152" i="41"/>
  <c r="X151" i="41"/>
  <c r="W151" i="41"/>
  <c r="V151" i="41"/>
  <c r="U151" i="41"/>
  <c r="T151" i="41"/>
  <c r="S151" i="41"/>
  <c r="R151" i="41"/>
  <c r="X150" i="41"/>
  <c r="W150" i="41"/>
  <c r="V150" i="41"/>
  <c r="U150" i="41"/>
  <c r="T150" i="41"/>
  <c r="S150" i="41"/>
  <c r="R150" i="41"/>
  <c r="X149" i="41"/>
  <c r="W149" i="41"/>
  <c r="V149" i="41"/>
  <c r="U149" i="41"/>
  <c r="T149" i="41"/>
  <c r="S149" i="41"/>
  <c r="R149" i="41"/>
  <c r="X148" i="41"/>
  <c r="W148" i="41"/>
  <c r="V148" i="41"/>
  <c r="U148" i="41"/>
  <c r="T148" i="41"/>
  <c r="S148" i="41"/>
  <c r="R148" i="41"/>
  <c r="X147" i="41"/>
  <c r="W147" i="41"/>
  <c r="V147" i="41"/>
  <c r="U147" i="41"/>
  <c r="T147" i="41"/>
  <c r="S147" i="41"/>
  <c r="R147" i="41"/>
  <c r="X146" i="41"/>
  <c r="W146" i="41"/>
  <c r="V146" i="41"/>
  <c r="U146" i="41"/>
  <c r="T146" i="41"/>
  <c r="S146" i="41"/>
  <c r="R146" i="41"/>
  <c r="X145" i="41"/>
  <c r="W145" i="41"/>
  <c r="V145" i="41"/>
  <c r="U145" i="41"/>
  <c r="T145" i="41"/>
  <c r="S145" i="41"/>
  <c r="R145" i="41"/>
  <c r="X144" i="41"/>
  <c r="W144" i="41"/>
  <c r="V144" i="41"/>
  <c r="U144" i="41"/>
  <c r="T144" i="41"/>
  <c r="S144" i="41"/>
  <c r="R144" i="41"/>
  <c r="X143" i="41"/>
  <c r="W143" i="41"/>
  <c r="V143" i="41"/>
  <c r="U143" i="41"/>
  <c r="T143" i="41"/>
  <c r="S143" i="41"/>
  <c r="R143" i="41"/>
  <c r="X142" i="41"/>
  <c r="W142" i="41"/>
  <c r="V142" i="41"/>
  <c r="U142" i="41"/>
  <c r="T142" i="41"/>
  <c r="S142" i="41"/>
  <c r="R142" i="41"/>
  <c r="X141" i="41"/>
  <c r="W141" i="41"/>
  <c r="V141" i="41"/>
  <c r="U141" i="41"/>
  <c r="T141" i="41"/>
  <c r="S141" i="41"/>
  <c r="R141" i="41"/>
  <c r="X140" i="41"/>
  <c r="W140" i="41"/>
  <c r="V140" i="41"/>
  <c r="U140" i="41"/>
  <c r="T140" i="41"/>
  <c r="S140" i="41"/>
  <c r="R140" i="41"/>
  <c r="X139" i="41"/>
  <c r="W139" i="41"/>
  <c r="V139" i="41"/>
  <c r="U139" i="41"/>
  <c r="T139" i="41"/>
  <c r="S139" i="41"/>
  <c r="R139" i="41"/>
  <c r="X138" i="41"/>
  <c r="W138" i="41"/>
  <c r="V138" i="41"/>
  <c r="U138" i="41"/>
  <c r="T138" i="41"/>
  <c r="S138" i="41"/>
  <c r="R138" i="41"/>
  <c r="X137" i="41"/>
  <c r="W137" i="41"/>
  <c r="V137" i="41"/>
  <c r="U137" i="41"/>
  <c r="T137" i="41"/>
  <c r="S137" i="41"/>
  <c r="R137" i="41"/>
  <c r="X136" i="41"/>
  <c r="W136" i="41"/>
  <c r="V136" i="41"/>
  <c r="U136" i="41"/>
  <c r="T136" i="41"/>
  <c r="S136" i="41"/>
  <c r="R136" i="41"/>
  <c r="X135" i="41"/>
  <c r="W135" i="41"/>
  <c r="V135" i="41"/>
  <c r="U135" i="41"/>
  <c r="T135" i="41"/>
  <c r="S135" i="41"/>
  <c r="R135" i="41"/>
  <c r="X134" i="41"/>
  <c r="W134" i="41"/>
  <c r="V134" i="41"/>
  <c r="U134" i="41"/>
  <c r="T134" i="41"/>
  <c r="S134" i="41"/>
  <c r="R134" i="41"/>
  <c r="X133" i="41"/>
  <c r="W133" i="41"/>
  <c r="V133" i="41"/>
  <c r="U133" i="41"/>
  <c r="T133" i="41"/>
  <c r="S133" i="41"/>
  <c r="R133" i="41"/>
  <c r="X132" i="41"/>
  <c r="W132" i="41"/>
  <c r="V132" i="41"/>
  <c r="U132" i="41"/>
  <c r="T132" i="41"/>
  <c r="S132" i="41"/>
  <c r="R132" i="41"/>
  <c r="X131" i="41"/>
  <c r="W131" i="41"/>
  <c r="V131" i="41"/>
  <c r="U131" i="41"/>
  <c r="T131" i="41"/>
  <c r="S131" i="41"/>
  <c r="R131" i="41"/>
  <c r="X130" i="41"/>
  <c r="W130" i="41"/>
  <c r="V130" i="41"/>
  <c r="U130" i="41"/>
  <c r="T130" i="41"/>
  <c r="S130" i="41"/>
  <c r="R130" i="41"/>
  <c r="X129" i="41"/>
  <c r="W129" i="41"/>
  <c r="V129" i="41"/>
  <c r="U129" i="41"/>
  <c r="T129" i="41"/>
  <c r="S129" i="41"/>
  <c r="R129" i="41"/>
  <c r="X128" i="41"/>
  <c r="W128" i="41"/>
  <c r="V128" i="41"/>
  <c r="U128" i="41"/>
  <c r="T128" i="41"/>
  <c r="S128" i="41"/>
  <c r="R128" i="41"/>
  <c r="X127" i="41"/>
  <c r="W127" i="41"/>
  <c r="V127" i="41"/>
  <c r="U127" i="41"/>
  <c r="T127" i="41"/>
  <c r="S127" i="41"/>
  <c r="R127" i="41"/>
  <c r="X126" i="41"/>
  <c r="W126" i="41"/>
  <c r="V126" i="41"/>
  <c r="U126" i="41"/>
  <c r="T126" i="41"/>
  <c r="S126" i="41"/>
  <c r="R126" i="41"/>
  <c r="X125" i="41"/>
  <c r="W125" i="41"/>
  <c r="V125" i="41"/>
  <c r="U125" i="41"/>
  <c r="T125" i="41"/>
  <c r="S125" i="41"/>
  <c r="R125" i="41"/>
  <c r="X124" i="41"/>
  <c r="W124" i="41"/>
  <c r="V124" i="41"/>
  <c r="U124" i="41"/>
  <c r="T124" i="41"/>
  <c r="S124" i="41"/>
  <c r="R124" i="41"/>
  <c r="X123" i="41"/>
  <c r="W123" i="41"/>
  <c r="V123" i="41"/>
  <c r="U123" i="41"/>
  <c r="T123" i="41"/>
  <c r="S123" i="41"/>
  <c r="R123" i="41"/>
  <c r="X122" i="41"/>
  <c r="W122" i="41"/>
  <c r="V122" i="41"/>
  <c r="U122" i="41"/>
  <c r="T122" i="41"/>
  <c r="S122" i="41"/>
  <c r="R122" i="41"/>
  <c r="X121" i="41"/>
  <c r="W121" i="41"/>
  <c r="V121" i="41"/>
  <c r="U121" i="41"/>
  <c r="T121" i="41"/>
  <c r="S121" i="41"/>
  <c r="R121" i="41"/>
  <c r="X120" i="41"/>
  <c r="W120" i="41"/>
  <c r="V120" i="41"/>
  <c r="U120" i="41"/>
  <c r="T120" i="41"/>
  <c r="S120" i="41"/>
  <c r="R120" i="41"/>
  <c r="X119" i="41"/>
  <c r="W119" i="41"/>
  <c r="V119" i="41"/>
  <c r="U119" i="41"/>
  <c r="T119" i="41"/>
  <c r="S119" i="41"/>
  <c r="R119" i="41"/>
  <c r="X118" i="41"/>
  <c r="W118" i="41"/>
  <c r="V118" i="41"/>
  <c r="U118" i="41"/>
  <c r="T118" i="41"/>
  <c r="S118" i="41"/>
  <c r="R118" i="41"/>
  <c r="X117" i="41"/>
  <c r="W117" i="41"/>
  <c r="V117" i="41"/>
  <c r="U117" i="41"/>
  <c r="T117" i="41"/>
  <c r="S117" i="41"/>
  <c r="R117" i="41"/>
  <c r="X116" i="41"/>
  <c r="W116" i="41"/>
  <c r="V116" i="41"/>
  <c r="U116" i="41"/>
  <c r="T116" i="41"/>
  <c r="S116" i="41"/>
  <c r="R116" i="41"/>
  <c r="X115" i="41"/>
  <c r="W115" i="41"/>
  <c r="V115" i="41"/>
  <c r="U115" i="41"/>
  <c r="T115" i="41"/>
  <c r="S115" i="41"/>
  <c r="R115" i="41"/>
  <c r="X114" i="41"/>
  <c r="W114" i="41"/>
  <c r="V114" i="41"/>
  <c r="U114" i="41"/>
  <c r="T114" i="41"/>
  <c r="S114" i="41"/>
  <c r="R114" i="41"/>
  <c r="X113" i="41"/>
  <c r="W113" i="41"/>
  <c r="V113" i="41"/>
  <c r="U113" i="41"/>
  <c r="T113" i="41"/>
  <c r="S113" i="41"/>
  <c r="R113" i="41"/>
  <c r="X112" i="41"/>
  <c r="W112" i="41"/>
  <c r="V112" i="41"/>
  <c r="U112" i="41"/>
  <c r="T112" i="41"/>
  <c r="S112" i="41"/>
  <c r="R112" i="41"/>
  <c r="X111" i="41"/>
  <c r="W111" i="41"/>
  <c r="V111" i="41"/>
  <c r="U111" i="41"/>
  <c r="T111" i="41"/>
  <c r="S111" i="41"/>
  <c r="R111" i="41"/>
  <c r="X110" i="41"/>
  <c r="W110" i="41"/>
  <c r="V110" i="41"/>
  <c r="U110" i="41"/>
  <c r="T110" i="41"/>
  <c r="S110" i="41"/>
  <c r="R110" i="41"/>
  <c r="X109" i="41"/>
  <c r="W109" i="41"/>
  <c r="V109" i="41"/>
  <c r="U109" i="41"/>
  <c r="T109" i="41"/>
  <c r="S109" i="41"/>
  <c r="R109" i="41"/>
  <c r="X108" i="41"/>
  <c r="W108" i="41"/>
  <c r="V108" i="41"/>
  <c r="U108" i="41"/>
  <c r="T108" i="41"/>
  <c r="S108" i="41"/>
  <c r="R108" i="41"/>
  <c r="X107" i="41"/>
  <c r="W107" i="41"/>
  <c r="V107" i="41"/>
  <c r="U107" i="41"/>
  <c r="T107" i="41"/>
  <c r="S107" i="41"/>
  <c r="R107" i="41"/>
  <c r="X106" i="41"/>
  <c r="W106" i="41"/>
  <c r="V106" i="41"/>
  <c r="U106" i="41"/>
  <c r="T106" i="41"/>
  <c r="S106" i="41"/>
  <c r="R106" i="41"/>
  <c r="X105" i="41"/>
  <c r="W105" i="41"/>
  <c r="V105" i="41"/>
  <c r="U105" i="41"/>
  <c r="T105" i="41"/>
  <c r="S105" i="41"/>
  <c r="R105" i="41"/>
  <c r="X104" i="41"/>
  <c r="W104" i="41"/>
  <c r="V104" i="41"/>
  <c r="U104" i="41"/>
  <c r="T104" i="41"/>
  <c r="S104" i="41"/>
  <c r="R104" i="41"/>
  <c r="X103" i="41"/>
  <c r="W103" i="41"/>
  <c r="V103" i="41"/>
  <c r="U103" i="41"/>
  <c r="T103" i="41"/>
  <c r="S103" i="41"/>
  <c r="R103" i="41"/>
  <c r="X102" i="41"/>
  <c r="W102" i="41"/>
  <c r="V102" i="41"/>
  <c r="U102" i="41"/>
  <c r="T102" i="41"/>
  <c r="S102" i="41"/>
  <c r="R102" i="41"/>
  <c r="X101" i="41"/>
  <c r="W101" i="41"/>
  <c r="V101" i="41"/>
  <c r="U101" i="41"/>
  <c r="T101" i="41"/>
  <c r="S101" i="41"/>
  <c r="R101" i="41"/>
  <c r="X100" i="41"/>
  <c r="W100" i="41"/>
  <c r="V100" i="41"/>
  <c r="U100" i="41"/>
  <c r="T100" i="41"/>
  <c r="S100" i="41"/>
  <c r="R100" i="41"/>
  <c r="X99" i="41"/>
  <c r="W99" i="41"/>
  <c r="V99" i="41"/>
  <c r="U99" i="41"/>
  <c r="T99" i="41"/>
  <c r="S99" i="41"/>
  <c r="R99" i="41"/>
  <c r="X98" i="41"/>
  <c r="W98" i="41"/>
  <c r="V98" i="41"/>
  <c r="U98" i="41"/>
  <c r="T98" i="41"/>
  <c r="S98" i="41"/>
  <c r="R98" i="41"/>
  <c r="X97" i="41"/>
  <c r="W97" i="41"/>
  <c r="V97" i="41"/>
  <c r="U97" i="41"/>
  <c r="T97" i="41"/>
  <c r="S97" i="41"/>
  <c r="R97" i="41"/>
  <c r="X96" i="41"/>
  <c r="W96" i="41"/>
  <c r="V96" i="41"/>
  <c r="U96" i="41"/>
  <c r="T96" i="41"/>
  <c r="S96" i="41"/>
  <c r="R96" i="41"/>
  <c r="X95" i="41"/>
  <c r="W95" i="41"/>
  <c r="V95" i="41"/>
  <c r="U95" i="41"/>
  <c r="T95" i="41"/>
  <c r="S95" i="41"/>
  <c r="R95" i="41"/>
  <c r="X94" i="41"/>
  <c r="W94" i="41"/>
  <c r="V94" i="41"/>
  <c r="U94" i="41"/>
  <c r="T94" i="41"/>
  <c r="S94" i="41"/>
  <c r="R94" i="41"/>
  <c r="X93" i="41"/>
  <c r="W93" i="41"/>
  <c r="V93" i="41"/>
  <c r="U93" i="41"/>
  <c r="T93" i="41"/>
  <c r="S93" i="41"/>
  <c r="R93" i="41"/>
  <c r="X92" i="41"/>
  <c r="W92" i="41"/>
  <c r="V92" i="41"/>
  <c r="U92" i="41"/>
  <c r="T92" i="41"/>
  <c r="S92" i="41"/>
  <c r="R92" i="41"/>
  <c r="X91" i="41"/>
  <c r="W91" i="41"/>
  <c r="V91" i="41"/>
  <c r="U91" i="41"/>
  <c r="T91" i="41"/>
  <c r="S91" i="41"/>
  <c r="R91" i="41"/>
  <c r="X90" i="41"/>
  <c r="W90" i="41"/>
  <c r="V90" i="41"/>
  <c r="U90" i="41"/>
  <c r="T90" i="41"/>
  <c r="S90" i="41"/>
  <c r="R90" i="41"/>
  <c r="X89" i="41"/>
  <c r="W89" i="41"/>
  <c r="V89" i="41"/>
  <c r="U89" i="41"/>
  <c r="T89" i="41"/>
  <c r="S89" i="41"/>
  <c r="R89" i="41"/>
  <c r="X88" i="41"/>
  <c r="W88" i="41"/>
  <c r="V88" i="41"/>
  <c r="U88" i="41"/>
  <c r="T88" i="41"/>
  <c r="S88" i="41"/>
  <c r="R88" i="41"/>
  <c r="X87" i="41"/>
  <c r="W87" i="41"/>
  <c r="V87" i="41"/>
  <c r="U87" i="41"/>
  <c r="T87" i="41"/>
  <c r="S87" i="41"/>
  <c r="R87" i="41"/>
  <c r="X86" i="41"/>
  <c r="W86" i="41"/>
  <c r="V86" i="41"/>
  <c r="U86" i="41"/>
  <c r="T86" i="41"/>
  <c r="S86" i="41"/>
  <c r="R86" i="41"/>
  <c r="X85" i="41"/>
  <c r="W85" i="41"/>
  <c r="V85" i="41"/>
  <c r="U85" i="41"/>
  <c r="T85" i="41"/>
  <c r="S85" i="41"/>
  <c r="R85" i="41"/>
  <c r="X84" i="41"/>
  <c r="W84" i="41"/>
  <c r="V84" i="41"/>
  <c r="U84" i="41"/>
  <c r="T84" i="41"/>
  <c r="S84" i="41"/>
  <c r="R84" i="41"/>
  <c r="X83" i="41"/>
  <c r="W83" i="41"/>
  <c r="V83" i="41"/>
  <c r="U83" i="41"/>
  <c r="T83" i="41"/>
  <c r="S83" i="41"/>
  <c r="R83" i="41"/>
  <c r="X82" i="41"/>
  <c r="W82" i="41"/>
  <c r="V82" i="41"/>
  <c r="U82" i="41"/>
  <c r="T82" i="41"/>
  <c r="S82" i="41"/>
  <c r="R82" i="41"/>
  <c r="X81" i="41"/>
  <c r="W81" i="41"/>
  <c r="V81" i="41"/>
  <c r="U81" i="41"/>
  <c r="T81" i="41"/>
  <c r="S81" i="41"/>
  <c r="R81" i="41"/>
  <c r="X80" i="41"/>
  <c r="W80" i="41"/>
  <c r="V80" i="41"/>
  <c r="U80" i="41"/>
  <c r="T80" i="41"/>
  <c r="S80" i="41"/>
  <c r="R80" i="41"/>
  <c r="X79" i="41"/>
  <c r="W79" i="41"/>
  <c r="V79" i="41"/>
  <c r="U79" i="41"/>
  <c r="T79" i="41"/>
  <c r="S79" i="41"/>
  <c r="R79" i="41"/>
  <c r="X78" i="41"/>
  <c r="W78" i="41"/>
  <c r="V78" i="41"/>
  <c r="U78" i="41"/>
  <c r="T78" i="41"/>
  <c r="S78" i="41"/>
  <c r="R78" i="41"/>
  <c r="X77" i="41"/>
  <c r="W77" i="41"/>
  <c r="V77" i="41"/>
  <c r="U77" i="41"/>
  <c r="T77" i="41"/>
  <c r="S77" i="41"/>
  <c r="R77" i="41"/>
  <c r="X76" i="41"/>
  <c r="W76" i="41"/>
  <c r="V76" i="41"/>
  <c r="U76" i="41"/>
  <c r="T76" i="41"/>
  <c r="S76" i="41"/>
  <c r="R76" i="41"/>
  <c r="X75" i="41"/>
  <c r="W75" i="41"/>
  <c r="V75" i="41"/>
  <c r="U75" i="41"/>
  <c r="T75" i="41"/>
  <c r="S75" i="41"/>
  <c r="R75" i="41"/>
  <c r="X74" i="41"/>
  <c r="W74" i="41"/>
  <c r="V74" i="41"/>
  <c r="U74" i="41"/>
  <c r="T74" i="41"/>
  <c r="S74" i="41"/>
  <c r="R74" i="41"/>
  <c r="X73" i="41"/>
  <c r="W73" i="41"/>
  <c r="V73" i="41"/>
  <c r="U73" i="41"/>
  <c r="T73" i="41"/>
  <c r="S73" i="41"/>
  <c r="R73" i="41"/>
  <c r="X72" i="41"/>
  <c r="W72" i="41"/>
  <c r="V72" i="41"/>
  <c r="U72" i="41"/>
  <c r="T72" i="41"/>
  <c r="S72" i="41"/>
  <c r="R72" i="41"/>
  <c r="X71" i="41"/>
  <c r="W71" i="41"/>
  <c r="V71" i="41"/>
  <c r="U71" i="41"/>
  <c r="T71" i="41"/>
  <c r="S71" i="41"/>
  <c r="R71" i="41"/>
  <c r="X70" i="41"/>
  <c r="W70" i="41"/>
  <c r="V70" i="41"/>
  <c r="U70" i="41"/>
  <c r="T70" i="41"/>
  <c r="S70" i="41"/>
  <c r="R70" i="41"/>
  <c r="X69" i="41"/>
  <c r="W69" i="41"/>
  <c r="V69" i="41"/>
  <c r="U69" i="41"/>
  <c r="T69" i="41"/>
  <c r="S69" i="41"/>
  <c r="R69" i="41"/>
  <c r="X68" i="41"/>
  <c r="W68" i="41"/>
  <c r="V68" i="41"/>
  <c r="U68" i="41"/>
  <c r="T68" i="41"/>
  <c r="S68" i="41"/>
  <c r="R68" i="41"/>
  <c r="X67" i="41"/>
  <c r="W67" i="41"/>
  <c r="V67" i="41"/>
  <c r="U67" i="41"/>
  <c r="T67" i="41"/>
  <c r="S67" i="41"/>
  <c r="R67" i="41"/>
  <c r="X66" i="41"/>
  <c r="W66" i="41"/>
  <c r="V66" i="41"/>
  <c r="U66" i="41"/>
  <c r="T66" i="41"/>
  <c r="S66" i="41"/>
  <c r="R66" i="41"/>
  <c r="X65" i="41"/>
  <c r="W65" i="41"/>
  <c r="V65" i="41"/>
  <c r="U65" i="41"/>
  <c r="T65" i="41"/>
  <c r="S65" i="41"/>
  <c r="R65" i="41"/>
  <c r="X64" i="41"/>
  <c r="W64" i="41"/>
  <c r="V64" i="41"/>
  <c r="U64" i="41"/>
  <c r="T64" i="41"/>
  <c r="S64" i="41"/>
  <c r="R64" i="41"/>
  <c r="X63" i="41"/>
  <c r="W63" i="41"/>
  <c r="V63" i="41"/>
  <c r="U63" i="41"/>
  <c r="T63" i="41"/>
  <c r="S63" i="41"/>
  <c r="R63" i="41"/>
  <c r="X62" i="41"/>
  <c r="W62" i="41"/>
  <c r="V62" i="41"/>
  <c r="U62" i="41"/>
  <c r="T62" i="41"/>
  <c r="S62" i="41"/>
  <c r="R62" i="41"/>
  <c r="X61" i="41"/>
  <c r="W61" i="41"/>
  <c r="V61" i="41"/>
  <c r="U61" i="41"/>
  <c r="T61" i="41"/>
  <c r="S61" i="41"/>
  <c r="R61" i="41"/>
  <c r="X60" i="41"/>
  <c r="W60" i="41"/>
  <c r="V60" i="41"/>
  <c r="U60" i="41"/>
  <c r="T60" i="41"/>
  <c r="S60" i="41"/>
  <c r="R60" i="41"/>
  <c r="X59" i="41"/>
  <c r="W59" i="41"/>
  <c r="V59" i="41"/>
  <c r="U59" i="41"/>
  <c r="T59" i="41"/>
  <c r="S59" i="41"/>
  <c r="R59" i="41"/>
  <c r="X58" i="41"/>
  <c r="W58" i="41"/>
  <c r="V58" i="41"/>
  <c r="U58" i="41"/>
  <c r="T58" i="41"/>
  <c r="S58" i="41"/>
  <c r="R58" i="41"/>
  <c r="X57" i="41"/>
  <c r="W57" i="41"/>
  <c r="V57" i="41"/>
  <c r="U57" i="41"/>
  <c r="T57" i="41"/>
  <c r="S57" i="41"/>
  <c r="R57" i="41"/>
  <c r="X56" i="41"/>
  <c r="W56" i="41"/>
  <c r="V56" i="41"/>
  <c r="U56" i="41"/>
  <c r="T56" i="41"/>
  <c r="S56" i="41"/>
  <c r="R56" i="41"/>
  <c r="X55" i="41"/>
  <c r="W55" i="41"/>
  <c r="V55" i="41"/>
  <c r="U55" i="41"/>
  <c r="T55" i="41"/>
  <c r="S55" i="41"/>
  <c r="R55" i="41"/>
  <c r="X54" i="41"/>
  <c r="W54" i="41"/>
  <c r="V54" i="41"/>
  <c r="U54" i="41"/>
  <c r="T54" i="41"/>
  <c r="S54" i="41"/>
  <c r="R54" i="41"/>
  <c r="X53" i="41"/>
  <c r="W53" i="41"/>
  <c r="V53" i="41"/>
  <c r="U53" i="41"/>
  <c r="T53" i="41"/>
  <c r="S53" i="41"/>
  <c r="R53" i="41"/>
  <c r="X52" i="41"/>
  <c r="W52" i="41"/>
  <c r="V52" i="41"/>
  <c r="U52" i="41"/>
  <c r="T52" i="41"/>
  <c r="S52" i="41"/>
  <c r="R52" i="41"/>
  <c r="X51" i="41"/>
  <c r="W51" i="41"/>
  <c r="V51" i="41"/>
  <c r="U51" i="41"/>
  <c r="T51" i="41"/>
  <c r="S51" i="41"/>
  <c r="R51" i="41"/>
  <c r="X50" i="41"/>
  <c r="W50" i="41"/>
  <c r="V50" i="41"/>
  <c r="U50" i="41"/>
  <c r="T50" i="41"/>
  <c r="S50" i="41"/>
  <c r="R50" i="41"/>
  <c r="X49" i="41"/>
  <c r="W49" i="41"/>
  <c r="V49" i="41"/>
  <c r="U49" i="41"/>
  <c r="T49" i="41"/>
  <c r="S49" i="41"/>
  <c r="R49" i="41"/>
  <c r="X48" i="41"/>
  <c r="W48" i="41"/>
  <c r="V48" i="41"/>
  <c r="U48" i="41"/>
  <c r="T48" i="41"/>
  <c r="S48" i="41"/>
  <c r="R48" i="41"/>
  <c r="X47" i="41"/>
  <c r="W47" i="41"/>
  <c r="V47" i="41"/>
  <c r="U47" i="41"/>
  <c r="T47" i="41"/>
  <c r="S47" i="41"/>
  <c r="R47" i="41"/>
  <c r="X46" i="41"/>
  <c r="W46" i="41"/>
  <c r="V46" i="41"/>
  <c r="U46" i="41"/>
  <c r="T46" i="41"/>
  <c r="S46" i="41"/>
  <c r="R46" i="41"/>
  <c r="X45" i="41"/>
  <c r="W45" i="41"/>
  <c r="V45" i="41"/>
  <c r="U45" i="41"/>
  <c r="T45" i="41"/>
  <c r="S45" i="41"/>
  <c r="R45" i="41"/>
  <c r="X44" i="41"/>
  <c r="W44" i="41"/>
  <c r="V44" i="41"/>
  <c r="U44" i="41"/>
  <c r="T44" i="41"/>
  <c r="S44" i="41"/>
  <c r="R44" i="41"/>
  <c r="X43" i="41"/>
  <c r="W43" i="41"/>
  <c r="V43" i="41"/>
  <c r="U43" i="41"/>
  <c r="T43" i="41"/>
  <c r="S43" i="41"/>
  <c r="R43" i="41"/>
  <c r="X42" i="41"/>
  <c r="W42" i="41"/>
  <c r="V42" i="41"/>
  <c r="U42" i="41"/>
  <c r="T42" i="41"/>
  <c r="S42" i="41"/>
  <c r="R42" i="41"/>
  <c r="X41" i="41"/>
  <c r="W41" i="41"/>
  <c r="V41" i="41"/>
  <c r="U41" i="41"/>
  <c r="T41" i="41"/>
  <c r="S41" i="41"/>
  <c r="R41" i="41"/>
  <c r="X40" i="41"/>
  <c r="W40" i="41"/>
  <c r="V40" i="41"/>
  <c r="U40" i="41"/>
  <c r="T40" i="41"/>
  <c r="S40" i="41"/>
  <c r="R40" i="41"/>
  <c r="X39" i="41"/>
  <c r="W39" i="41"/>
  <c r="V39" i="41"/>
  <c r="U39" i="41"/>
  <c r="T39" i="41"/>
  <c r="S39" i="41"/>
  <c r="R39" i="41"/>
  <c r="X38" i="41"/>
  <c r="W38" i="41"/>
  <c r="V38" i="41"/>
  <c r="U38" i="41"/>
  <c r="T38" i="41"/>
  <c r="S38" i="41"/>
  <c r="R38" i="41"/>
  <c r="X37" i="41"/>
  <c r="W37" i="41"/>
  <c r="V37" i="41"/>
  <c r="U37" i="41"/>
  <c r="T37" i="41"/>
  <c r="S37" i="41"/>
  <c r="R37" i="41"/>
  <c r="X36" i="41"/>
  <c r="W36" i="41"/>
  <c r="V36" i="41"/>
  <c r="U36" i="41"/>
  <c r="T36" i="41"/>
  <c r="S36" i="41"/>
  <c r="R36" i="41"/>
  <c r="X35" i="41"/>
  <c r="W35" i="41"/>
  <c r="V35" i="41"/>
  <c r="U35" i="41"/>
  <c r="T35" i="41"/>
  <c r="S35" i="41"/>
  <c r="R35" i="41"/>
  <c r="U34" i="41"/>
  <c r="T34" i="41"/>
  <c r="S34" i="41"/>
  <c r="R34" i="41"/>
  <c r="M34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L42" i="41" s="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R16" i="41"/>
  <c r="N16" i="41"/>
  <c r="M16" i="41"/>
  <c r="L16" i="41"/>
  <c r="K16" i="41"/>
  <c r="Y2" i="41"/>
  <c r="K23" i="37"/>
  <c r="K24" i="37"/>
  <c r="K25" i="37"/>
  <c r="K26" i="37"/>
  <c r="K27" i="37"/>
  <c r="K28" i="37"/>
  <c r="K29" i="37"/>
  <c r="K30" i="37"/>
  <c r="K31" i="37"/>
  <c r="K32" i="37"/>
  <c r="K18" i="39"/>
  <c r="K19" i="39"/>
  <c r="K20" i="39"/>
  <c r="K21" i="39"/>
  <c r="K22" i="39"/>
  <c r="K23" i="39"/>
  <c r="X153" i="39"/>
  <c r="W153" i="39"/>
  <c r="V153" i="39"/>
  <c r="U153" i="39"/>
  <c r="T153" i="39"/>
  <c r="S153" i="39"/>
  <c r="R153" i="39"/>
  <c r="X152" i="39"/>
  <c r="W152" i="39"/>
  <c r="V152" i="39"/>
  <c r="U152" i="39"/>
  <c r="T152" i="39"/>
  <c r="S152" i="39"/>
  <c r="R152" i="39"/>
  <c r="X151" i="39"/>
  <c r="W151" i="39"/>
  <c r="V151" i="39"/>
  <c r="U151" i="39"/>
  <c r="T151" i="39"/>
  <c r="S151" i="39"/>
  <c r="R151" i="39"/>
  <c r="X150" i="39"/>
  <c r="W150" i="39"/>
  <c r="V150" i="39"/>
  <c r="U150" i="39"/>
  <c r="T150" i="39"/>
  <c r="S150" i="39"/>
  <c r="R150" i="39"/>
  <c r="X149" i="39"/>
  <c r="W149" i="39"/>
  <c r="V149" i="39"/>
  <c r="U149" i="39"/>
  <c r="T149" i="39"/>
  <c r="S149" i="39"/>
  <c r="R149" i="39"/>
  <c r="X148" i="39"/>
  <c r="W148" i="39"/>
  <c r="V148" i="39"/>
  <c r="U148" i="39"/>
  <c r="T148" i="39"/>
  <c r="S148" i="39"/>
  <c r="R148" i="39"/>
  <c r="X147" i="39"/>
  <c r="W147" i="39"/>
  <c r="V147" i="39"/>
  <c r="U147" i="39"/>
  <c r="T147" i="39"/>
  <c r="S147" i="39"/>
  <c r="R147" i="39"/>
  <c r="X146" i="39"/>
  <c r="W146" i="39"/>
  <c r="V146" i="39"/>
  <c r="U146" i="39"/>
  <c r="T146" i="39"/>
  <c r="S146" i="39"/>
  <c r="R146" i="39"/>
  <c r="X145" i="39"/>
  <c r="W145" i="39"/>
  <c r="V145" i="39"/>
  <c r="U145" i="39"/>
  <c r="T145" i="39"/>
  <c r="S145" i="39"/>
  <c r="R145" i="39"/>
  <c r="X144" i="39"/>
  <c r="W144" i="39"/>
  <c r="V144" i="39"/>
  <c r="U144" i="39"/>
  <c r="T144" i="39"/>
  <c r="S144" i="39"/>
  <c r="R144" i="39"/>
  <c r="X143" i="39"/>
  <c r="W143" i="39"/>
  <c r="V143" i="39"/>
  <c r="U143" i="39"/>
  <c r="T143" i="39"/>
  <c r="S143" i="39"/>
  <c r="R143" i="39"/>
  <c r="X142" i="39"/>
  <c r="W142" i="39"/>
  <c r="V142" i="39"/>
  <c r="U142" i="39"/>
  <c r="T142" i="39"/>
  <c r="S142" i="39"/>
  <c r="R142" i="39"/>
  <c r="X141" i="39"/>
  <c r="W141" i="39"/>
  <c r="V141" i="39"/>
  <c r="U141" i="39"/>
  <c r="T141" i="39"/>
  <c r="S141" i="39"/>
  <c r="R141" i="39"/>
  <c r="X140" i="39"/>
  <c r="W140" i="39"/>
  <c r="V140" i="39"/>
  <c r="U140" i="39"/>
  <c r="T140" i="39"/>
  <c r="S140" i="39"/>
  <c r="R140" i="39"/>
  <c r="X139" i="39"/>
  <c r="W139" i="39"/>
  <c r="V139" i="39"/>
  <c r="U139" i="39"/>
  <c r="T139" i="39"/>
  <c r="S139" i="39"/>
  <c r="R139" i="39"/>
  <c r="X138" i="39"/>
  <c r="W138" i="39"/>
  <c r="V138" i="39"/>
  <c r="U138" i="39"/>
  <c r="T138" i="39"/>
  <c r="S138" i="39"/>
  <c r="R138" i="39"/>
  <c r="X137" i="39"/>
  <c r="W137" i="39"/>
  <c r="V137" i="39"/>
  <c r="U137" i="39"/>
  <c r="T137" i="39"/>
  <c r="S137" i="39"/>
  <c r="R137" i="39"/>
  <c r="X136" i="39"/>
  <c r="W136" i="39"/>
  <c r="V136" i="39"/>
  <c r="U136" i="39"/>
  <c r="T136" i="39"/>
  <c r="S136" i="39"/>
  <c r="R136" i="39"/>
  <c r="X135" i="39"/>
  <c r="W135" i="39"/>
  <c r="V135" i="39"/>
  <c r="U135" i="39"/>
  <c r="T135" i="39"/>
  <c r="S135" i="39"/>
  <c r="R135" i="39"/>
  <c r="X134" i="39"/>
  <c r="W134" i="39"/>
  <c r="V134" i="39"/>
  <c r="U134" i="39"/>
  <c r="T134" i="39"/>
  <c r="S134" i="39"/>
  <c r="R134" i="39"/>
  <c r="X133" i="39"/>
  <c r="W133" i="39"/>
  <c r="V133" i="39"/>
  <c r="U133" i="39"/>
  <c r="T133" i="39"/>
  <c r="S133" i="39"/>
  <c r="R133" i="39"/>
  <c r="X132" i="39"/>
  <c r="W132" i="39"/>
  <c r="V132" i="39"/>
  <c r="U132" i="39"/>
  <c r="T132" i="39"/>
  <c r="S132" i="39"/>
  <c r="R132" i="39"/>
  <c r="X131" i="39"/>
  <c r="W131" i="39"/>
  <c r="V131" i="39"/>
  <c r="U131" i="39"/>
  <c r="T131" i="39"/>
  <c r="S131" i="39"/>
  <c r="R131" i="39"/>
  <c r="X130" i="39"/>
  <c r="W130" i="39"/>
  <c r="V130" i="39"/>
  <c r="U130" i="39"/>
  <c r="T130" i="39"/>
  <c r="S130" i="39"/>
  <c r="R130" i="39"/>
  <c r="X129" i="39"/>
  <c r="W129" i="39"/>
  <c r="V129" i="39"/>
  <c r="U129" i="39"/>
  <c r="T129" i="39"/>
  <c r="S129" i="39"/>
  <c r="R129" i="39"/>
  <c r="X128" i="39"/>
  <c r="W128" i="39"/>
  <c r="V128" i="39"/>
  <c r="U128" i="39"/>
  <c r="T128" i="39"/>
  <c r="S128" i="39"/>
  <c r="R128" i="39"/>
  <c r="X127" i="39"/>
  <c r="W127" i="39"/>
  <c r="V127" i="39"/>
  <c r="U127" i="39"/>
  <c r="T127" i="39"/>
  <c r="S127" i="39"/>
  <c r="R127" i="39"/>
  <c r="X126" i="39"/>
  <c r="W126" i="39"/>
  <c r="V126" i="39"/>
  <c r="U126" i="39"/>
  <c r="T126" i="39"/>
  <c r="S126" i="39"/>
  <c r="R126" i="39"/>
  <c r="X125" i="39"/>
  <c r="W125" i="39"/>
  <c r="V125" i="39"/>
  <c r="U125" i="39"/>
  <c r="T125" i="39"/>
  <c r="S125" i="39"/>
  <c r="R125" i="39"/>
  <c r="X124" i="39"/>
  <c r="W124" i="39"/>
  <c r="V124" i="39"/>
  <c r="U124" i="39"/>
  <c r="T124" i="39"/>
  <c r="S124" i="39"/>
  <c r="R124" i="39"/>
  <c r="X123" i="39"/>
  <c r="W123" i="39"/>
  <c r="V123" i="39"/>
  <c r="U123" i="39"/>
  <c r="T123" i="39"/>
  <c r="S123" i="39"/>
  <c r="R123" i="39"/>
  <c r="X122" i="39"/>
  <c r="W122" i="39"/>
  <c r="V122" i="39"/>
  <c r="U122" i="39"/>
  <c r="T122" i="39"/>
  <c r="S122" i="39"/>
  <c r="R122" i="39"/>
  <c r="X121" i="39"/>
  <c r="W121" i="39"/>
  <c r="V121" i="39"/>
  <c r="U121" i="39"/>
  <c r="T121" i="39"/>
  <c r="S121" i="39"/>
  <c r="R121" i="39"/>
  <c r="X120" i="39"/>
  <c r="W120" i="39"/>
  <c r="V120" i="39"/>
  <c r="U120" i="39"/>
  <c r="T120" i="39"/>
  <c r="S120" i="39"/>
  <c r="R120" i="39"/>
  <c r="X119" i="39"/>
  <c r="W119" i="39"/>
  <c r="V119" i="39"/>
  <c r="U119" i="39"/>
  <c r="T119" i="39"/>
  <c r="S119" i="39"/>
  <c r="R119" i="39"/>
  <c r="X118" i="39"/>
  <c r="W118" i="39"/>
  <c r="V118" i="39"/>
  <c r="U118" i="39"/>
  <c r="T118" i="39"/>
  <c r="S118" i="39"/>
  <c r="R118" i="39"/>
  <c r="X117" i="39"/>
  <c r="W117" i="39"/>
  <c r="V117" i="39"/>
  <c r="U117" i="39"/>
  <c r="T117" i="39"/>
  <c r="S117" i="39"/>
  <c r="R117" i="39"/>
  <c r="X116" i="39"/>
  <c r="W116" i="39"/>
  <c r="V116" i="39"/>
  <c r="U116" i="39"/>
  <c r="T116" i="39"/>
  <c r="S116" i="39"/>
  <c r="R116" i="39"/>
  <c r="X115" i="39"/>
  <c r="W115" i="39"/>
  <c r="V115" i="39"/>
  <c r="U115" i="39"/>
  <c r="T115" i="39"/>
  <c r="S115" i="39"/>
  <c r="R115" i="39"/>
  <c r="X114" i="39"/>
  <c r="W114" i="39"/>
  <c r="V114" i="39"/>
  <c r="U114" i="39"/>
  <c r="T114" i="39"/>
  <c r="S114" i="39"/>
  <c r="R114" i="39"/>
  <c r="X113" i="39"/>
  <c r="W113" i="39"/>
  <c r="V113" i="39"/>
  <c r="U113" i="39"/>
  <c r="T113" i="39"/>
  <c r="S113" i="39"/>
  <c r="R113" i="39"/>
  <c r="X112" i="39"/>
  <c r="W112" i="39"/>
  <c r="V112" i="39"/>
  <c r="U112" i="39"/>
  <c r="T112" i="39"/>
  <c r="S112" i="39"/>
  <c r="R112" i="39"/>
  <c r="X111" i="39"/>
  <c r="W111" i="39"/>
  <c r="V111" i="39"/>
  <c r="U111" i="39"/>
  <c r="T111" i="39"/>
  <c r="S111" i="39"/>
  <c r="R111" i="39"/>
  <c r="X110" i="39"/>
  <c r="W110" i="39"/>
  <c r="V110" i="39"/>
  <c r="U110" i="39"/>
  <c r="T110" i="39"/>
  <c r="S110" i="39"/>
  <c r="R110" i="39"/>
  <c r="X109" i="39"/>
  <c r="W109" i="39"/>
  <c r="V109" i="39"/>
  <c r="U109" i="39"/>
  <c r="T109" i="39"/>
  <c r="S109" i="39"/>
  <c r="R109" i="39"/>
  <c r="X108" i="39"/>
  <c r="W108" i="39"/>
  <c r="V108" i="39"/>
  <c r="U108" i="39"/>
  <c r="T108" i="39"/>
  <c r="S108" i="39"/>
  <c r="R108" i="39"/>
  <c r="X107" i="39"/>
  <c r="W107" i="39"/>
  <c r="V107" i="39"/>
  <c r="U107" i="39"/>
  <c r="T107" i="39"/>
  <c r="S107" i="39"/>
  <c r="R107" i="39"/>
  <c r="X106" i="39"/>
  <c r="W106" i="39"/>
  <c r="V106" i="39"/>
  <c r="U106" i="39"/>
  <c r="T106" i="39"/>
  <c r="S106" i="39"/>
  <c r="R106" i="39"/>
  <c r="X105" i="39"/>
  <c r="W105" i="39"/>
  <c r="V105" i="39"/>
  <c r="U105" i="39"/>
  <c r="T105" i="39"/>
  <c r="S105" i="39"/>
  <c r="R105" i="39"/>
  <c r="X104" i="39"/>
  <c r="W104" i="39"/>
  <c r="V104" i="39"/>
  <c r="U104" i="39"/>
  <c r="T104" i="39"/>
  <c r="S104" i="39"/>
  <c r="R104" i="39"/>
  <c r="X103" i="39"/>
  <c r="W103" i="39"/>
  <c r="V103" i="39"/>
  <c r="U103" i="39"/>
  <c r="T103" i="39"/>
  <c r="S103" i="39"/>
  <c r="R103" i="39"/>
  <c r="X102" i="39"/>
  <c r="W102" i="39"/>
  <c r="V102" i="39"/>
  <c r="U102" i="39"/>
  <c r="T102" i="39"/>
  <c r="S102" i="39"/>
  <c r="R102" i="39"/>
  <c r="X101" i="39"/>
  <c r="W101" i="39"/>
  <c r="V101" i="39"/>
  <c r="U101" i="39"/>
  <c r="T101" i="39"/>
  <c r="S101" i="39"/>
  <c r="R101" i="39"/>
  <c r="X100" i="39"/>
  <c r="W100" i="39"/>
  <c r="V100" i="39"/>
  <c r="U100" i="39"/>
  <c r="T100" i="39"/>
  <c r="S100" i="39"/>
  <c r="R100" i="39"/>
  <c r="X99" i="39"/>
  <c r="W99" i="39"/>
  <c r="V99" i="39"/>
  <c r="U99" i="39"/>
  <c r="T99" i="39"/>
  <c r="S99" i="39"/>
  <c r="R99" i="39"/>
  <c r="X98" i="39"/>
  <c r="W98" i="39"/>
  <c r="V98" i="39"/>
  <c r="U98" i="39"/>
  <c r="T98" i="39"/>
  <c r="S98" i="39"/>
  <c r="R98" i="39"/>
  <c r="X97" i="39"/>
  <c r="W97" i="39"/>
  <c r="V97" i="39"/>
  <c r="U97" i="39"/>
  <c r="T97" i="39"/>
  <c r="S97" i="39"/>
  <c r="R97" i="39"/>
  <c r="X96" i="39"/>
  <c r="W96" i="39"/>
  <c r="V96" i="39"/>
  <c r="U96" i="39"/>
  <c r="T96" i="39"/>
  <c r="S96" i="39"/>
  <c r="R96" i="39"/>
  <c r="X95" i="39"/>
  <c r="W95" i="39"/>
  <c r="V95" i="39"/>
  <c r="U95" i="39"/>
  <c r="T95" i="39"/>
  <c r="S95" i="39"/>
  <c r="R95" i="39"/>
  <c r="X94" i="39"/>
  <c r="W94" i="39"/>
  <c r="V94" i="39"/>
  <c r="U94" i="39"/>
  <c r="T94" i="39"/>
  <c r="S94" i="39"/>
  <c r="R94" i="39"/>
  <c r="X93" i="39"/>
  <c r="W93" i="39"/>
  <c r="V93" i="39"/>
  <c r="U93" i="39"/>
  <c r="T93" i="39"/>
  <c r="S93" i="39"/>
  <c r="R93" i="39"/>
  <c r="X92" i="39"/>
  <c r="W92" i="39"/>
  <c r="V92" i="39"/>
  <c r="U92" i="39"/>
  <c r="T92" i="39"/>
  <c r="S92" i="39"/>
  <c r="R92" i="39"/>
  <c r="X91" i="39"/>
  <c r="W91" i="39"/>
  <c r="V91" i="39"/>
  <c r="U91" i="39"/>
  <c r="T91" i="39"/>
  <c r="S91" i="39"/>
  <c r="R91" i="39"/>
  <c r="X90" i="39"/>
  <c r="W90" i="39"/>
  <c r="V90" i="39"/>
  <c r="U90" i="39"/>
  <c r="T90" i="39"/>
  <c r="S90" i="39"/>
  <c r="R90" i="39"/>
  <c r="X89" i="39"/>
  <c r="W89" i="39"/>
  <c r="V89" i="39"/>
  <c r="U89" i="39"/>
  <c r="T89" i="39"/>
  <c r="S89" i="39"/>
  <c r="R89" i="39"/>
  <c r="X88" i="39"/>
  <c r="W88" i="39"/>
  <c r="V88" i="39"/>
  <c r="U88" i="39"/>
  <c r="T88" i="39"/>
  <c r="S88" i="39"/>
  <c r="R88" i="39"/>
  <c r="X87" i="39"/>
  <c r="W87" i="39"/>
  <c r="V87" i="39"/>
  <c r="U87" i="39"/>
  <c r="T87" i="39"/>
  <c r="S87" i="39"/>
  <c r="R87" i="39"/>
  <c r="X86" i="39"/>
  <c r="W86" i="39"/>
  <c r="V86" i="39"/>
  <c r="U86" i="39"/>
  <c r="T86" i="39"/>
  <c r="S86" i="39"/>
  <c r="R86" i="39"/>
  <c r="X85" i="39"/>
  <c r="W85" i="39"/>
  <c r="V85" i="39"/>
  <c r="U85" i="39"/>
  <c r="T85" i="39"/>
  <c r="S85" i="39"/>
  <c r="R85" i="39"/>
  <c r="X84" i="39"/>
  <c r="W84" i="39"/>
  <c r="V84" i="39"/>
  <c r="U84" i="39"/>
  <c r="T84" i="39"/>
  <c r="S84" i="39"/>
  <c r="R84" i="39"/>
  <c r="X83" i="39"/>
  <c r="W83" i="39"/>
  <c r="V83" i="39"/>
  <c r="U83" i="39"/>
  <c r="T83" i="39"/>
  <c r="S83" i="39"/>
  <c r="R83" i="39"/>
  <c r="X82" i="39"/>
  <c r="W82" i="39"/>
  <c r="V82" i="39"/>
  <c r="U82" i="39"/>
  <c r="T82" i="39"/>
  <c r="S82" i="39"/>
  <c r="R82" i="39"/>
  <c r="X81" i="39"/>
  <c r="W81" i="39"/>
  <c r="V81" i="39"/>
  <c r="U81" i="39"/>
  <c r="T81" i="39"/>
  <c r="S81" i="39"/>
  <c r="R81" i="39"/>
  <c r="X80" i="39"/>
  <c r="W80" i="39"/>
  <c r="V80" i="39"/>
  <c r="U80" i="39"/>
  <c r="T80" i="39"/>
  <c r="S80" i="39"/>
  <c r="R80" i="39"/>
  <c r="X79" i="39"/>
  <c r="W79" i="39"/>
  <c r="V79" i="39"/>
  <c r="U79" i="39"/>
  <c r="T79" i="39"/>
  <c r="S79" i="39"/>
  <c r="R79" i="39"/>
  <c r="X78" i="39"/>
  <c r="W78" i="39"/>
  <c r="V78" i="39"/>
  <c r="U78" i="39"/>
  <c r="T78" i="39"/>
  <c r="S78" i="39"/>
  <c r="R78" i="39"/>
  <c r="X77" i="39"/>
  <c r="W77" i="39"/>
  <c r="V77" i="39"/>
  <c r="U77" i="39"/>
  <c r="T77" i="39"/>
  <c r="S77" i="39"/>
  <c r="R77" i="39"/>
  <c r="X76" i="39"/>
  <c r="W76" i="39"/>
  <c r="V76" i="39"/>
  <c r="U76" i="39"/>
  <c r="T76" i="39"/>
  <c r="S76" i="39"/>
  <c r="R76" i="39"/>
  <c r="X75" i="39"/>
  <c r="W75" i="39"/>
  <c r="V75" i="39"/>
  <c r="U75" i="39"/>
  <c r="T75" i="39"/>
  <c r="S75" i="39"/>
  <c r="R75" i="39"/>
  <c r="X74" i="39"/>
  <c r="W74" i="39"/>
  <c r="V74" i="39"/>
  <c r="U74" i="39"/>
  <c r="T74" i="39"/>
  <c r="S74" i="39"/>
  <c r="R74" i="39"/>
  <c r="X73" i="39"/>
  <c r="W73" i="39"/>
  <c r="V73" i="39"/>
  <c r="U73" i="39"/>
  <c r="T73" i="39"/>
  <c r="S73" i="39"/>
  <c r="R73" i="39"/>
  <c r="X72" i="39"/>
  <c r="W72" i="39"/>
  <c r="V72" i="39"/>
  <c r="U72" i="39"/>
  <c r="T72" i="39"/>
  <c r="S72" i="39"/>
  <c r="R72" i="39"/>
  <c r="X71" i="39"/>
  <c r="W71" i="39"/>
  <c r="V71" i="39"/>
  <c r="U71" i="39"/>
  <c r="T71" i="39"/>
  <c r="S71" i="39"/>
  <c r="R71" i="39"/>
  <c r="X70" i="39"/>
  <c r="W70" i="39"/>
  <c r="V70" i="39"/>
  <c r="U70" i="39"/>
  <c r="T70" i="39"/>
  <c r="S70" i="39"/>
  <c r="R70" i="39"/>
  <c r="X69" i="39"/>
  <c r="W69" i="39"/>
  <c r="V69" i="39"/>
  <c r="U69" i="39"/>
  <c r="T69" i="39"/>
  <c r="S69" i="39"/>
  <c r="R69" i="39"/>
  <c r="X68" i="39"/>
  <c r="W68" i="39"/>
  <c r="V68" i="39"/>
  <c r="U68" i="39"/>
  <c r="T68" i="39"/>
  <c r="S68" i="39"/>
  <c r="R68" i="39"/>
  <c r="X67" i="39"/>
  <c r="W67" i="39"/>
  <c r="V67" i="39"/>
  <c r="U67" i="39"/>
  <c r="T67" i="39"/>
  <c r="S67" i="39"/>
  <c r="R67" i="39"/>
  <c r="X66" i="39"/>
  <c r="W66" i="39"/>
  <c r="V66" i="39"/>
  <c r="U66" i="39"/>
  <c r="T66" i="39"/>
  <c r="S66" i="39"/>
  <c r="R66" i="39"/>
  <c r="X65" i="39"/>
  <c r="W65" i="39"/>
  <c r="V65" i="39"/>
  <c r="U65" i="39"/>
  <c r="T65" i="39"/>
  <c r="S65" i="39"/>
  <c r="R65" i="39"/>
  <c r="X64" i="39"/>
  <c r="W64" i="39"/>
  <c r="V64" i="39"/>
  <c r="U64" i="39"/>
  <c r="T64" i="39"/>
  <c r="S64" i="39"/>
  <c r="R64" i="39"/>
  <c r="X63" i="39"/>
  <c r="W63" i="39"/>
  <c r="V63" i="39"/>
  <c r="U63" i="39"/>
  <c r="T63" i="39"/>
  <c r="S63" i="39"/>
  <c r="R63" i="39"/>
  <c r="X62" i="39"/>
  <c r="W62" i="39"/>
  <c r="V62" i="39"/>
  <c r="U62" i="39"/>
  <c r="T62" i="39"/>
  <c r="S62" i="39"/>
  <c r="R62" i="39"/>
  <c r="X61" i="39"/>
  <c r="W61" i="39"/>
  <c r="V61" i="39"/>
  <c r="U61" i="39"/>
  <c r="T61" i="39"/>
  <c r="S61" i="39"/>
  <c r="R61" i="39"/>
  <c r="X60" i="39"/>
  <c r="W60" i="39"/>
  <c r="V60" i="39"/>
  <c r="U60" i="39"/>
  <c r="T60" i="39"/>
  <c r="S60" i="39"/>
  <c r="R60" i="39"/>
  <c r="X59" i="39"/>
  <c r="W59" i="39"/>
  <c r="V59" i="39"/>
  <c r="U59" i="39"/>
  <c r="T59" i="39"/>
  <c r="S59" i="39"/>
  <c r="R59" i="39"/>
  <c r="X58" i="39"/>
  <c r="W58" i="39"/>
  <c r="V58" i="39"/>
  <c r="U58" i="39"/>
  <c r="T58" i="39"/>
  <c r="S58" i="39"/>
  <c r="R58" i="39"/>
  <c r="X57" i="39"/>
  <c r="W57" i="39"/>
  <c r="V57" i="39"/>
  <c r="U57" i="39"/>
  <c r="T57" i="39"/>
  <c r="S57" i="39"/>
  <c r="R57" i="39"/>
  <c r="X56" i="39"/>
  <c r="W56" i="39"/>
  <c r="V56" i="39"/>
  <c r="U56" i="39"/>
  <c r="T56" i="39"/>
  <c r="S56" i="39"/>
  <c r="R56" i="39"/>
  <c r="X55" i="39"/>
  <c r="W55" i="39"/>
  <c r="V55" i="39"/>
  <c r="U55" i="39"/>
  <c r="T55" i="39"/>
  <c r="S55" i="39"/>
  <c r="R55" i="39"/>
  <c r="X54" i="39"/>
  <c r="W54" i="39"/>
  <c r="V54" i="39"/>
  <c r="U54" i="39"/>
  <c r="T54" i="39"/>
  <c r="S54" i="39"/>
  <c r="R54" i="39"/>
  <c r="X53" i="39"/>
  <c r="W53" i="39"/>
  <c r="V53" i="39"/>
  <c r="U53" i="39"/>
  <c r="T53" i="39"/>
  <c r="S53" i="39"/>
  <c r="R53" i="39"/>
  <c r="X52" i="39"/>
  <c r="W52" i="39"/>
  <c r="V52" i="39"/>
  <c r="U52" i="39"/>
  <c r="T52" i="39"/>
  <c r="S52" i="39"/>
  <c r="R52" i="39"/>
  <c r="X51" i="39"/>
  <c r="W51" i="39"/>
  <c r="V51" i="39"/>
  <c r="U51" i="39"/>
  <c r="T51" i="39"/>
  <c r="S51" i="39"/>
  <c r="R51" i="39"/>
  <c r="X50" i="39"/>
  <c r="W50" i="39"/>
  <c r="V50" i="39"/>
  <c r="U50" i="39"/>
  <c r="T50" i="39"/>
  <c r="S50" i="39"/>
  <c r="R50" i="39"/>
  <c r="X49" i="39"/>
  <c r="W49" i="39"/>
  <c r="V49" i="39"/>
  <c r="U49" i="39"/>
  <c r="T49" i="39"/>
  <c r="S49" i="39"/>
  <c r="R49" i="39"/>
  <c r="X48" i="39"/>
  <c r="W48" i="39"/>
  <c r="V48" i="39"/>
  <c r="U48" i="39"/>
  <c r="T48" i="39"/>
  <c r="S48" i="39"/>
  <c r="R48" i="39"/>
  <c r="X47" i="39"/>
  <c r="W47" i="39"/>
  <c r="V47" i="39"/>
  <c r="U47" i="39"/>
  <c r="T47" i="39"/>
  <c r="S47" i="39"/>
  <c r="R47" i="39"/>
  <c r="X46" i="39"/>
  <c r="W46" i="39"/>
  <c r="V46" i="39"/>
  <c r="U46" i="39"/>
  <c r="T46" i="39"/>
  <c r="S46" i="39"/>
  <c r="R46" i="39"/>
  <c r="X45" i="39"/>
  <c r="W45" i="39"/>
  <c r="V45" i="39"/>
  <c r="U45" i="39"/>
  <c r="T45" i="39"/>
  <c r="S45" i="39"/>
  <c r="R45" i="39"/>
  <c r="X44" i="39"/>
  <c r="W44" i="39"/>
  <c r="V44" i="39"/>
  <c r="U44" i="39"/>
  <c r="T44" i="39"/>
  <c r="S44" i="39"/>
  <c r="R44" i="39"/>
  <c r="X43" i="39"/>
  <c r="W43" i="39"/>
  <c r="V43" i="39"/>
  <c r="U43" i="39"/>
  <c r="T43" i="39"/>
  <c r="S43" i="39"/>
  <c r="R43" i="39"/>
  <c r="X42" i="39"/>
  <c r="W42" i="39"/>
  <c r="V42" i="39"/>
  <c r="U42" i="39"/>
  <c r="T42" i="39"/>
  <c r="S42" i="39"/>
  <c r="R42" i="39"/>
  <c r="X41" i="39"/>
  <c r="W41" i="39"/>
  <c r="V41" i="39"/>
  <c r="U41" i="39"/>
  <c r="T41" i="39"/>
  <c r="S41" i="39"/>
  <c r="R41" i="39"/>
  <c r="X40" i="39"/>
  <c r="W40" i="39"/>
  <c r="V40" i="39"/>
  <c r="U40" i="39"/>
  <c r="T40" i="39"/>
  <c r="S40" i="39"/>
  <c r="R40" i="39"/>
  <c r="X39" i="39"/>
  <c r="W39" i="39"/>
  <c r="V39" i="39"/>
  <c r="U39" i="39"/>
  <c r="T39" i="39"/>
  <c r="S39" i="39"/>
  <c r="R39" i="39"/>
  <c r="X38" i="39"/>
  <c r="W38" i="39"/>
  <c r="V38" i="39"/>
  <c r="U38" i="39"/>
  <c r="T38" i="39"/>
  <c r="S38" i="39"/>
  <c r="R38" i="39"/>
  <c r="X37" i="39"/>
  <c r="W37" i="39"/>
  <c r="V37" i="39"/>
  <c r="U37" i="39"/>
  <c r="T37" i="39"/>
  <c r="S37" i="39"/>
  <c r="R37" i="39"/>
  <c r="X36" i="39"/>
  <c r="W36" i="39"/>
  <c r="V36" i="39"/>
  <c r="U36" i="39"/>
  <c r="T36" i="39"/>
  <c r="S36" i="39"/>
  <c r="R36" i="39"/>
  <c r="X35" i="39"/>
  <c r="W35" i="39"/>
  <c r="V35" i="39"/>
  <c r="U35" i="39"/>
  <c r="T35" i="39"/>
  <c r="S35" i="39"/>
  <c r="R35" i="39"/>
  <c r="X34" i="39"/>
  <c r="W34" i="39"/>
  <c r="V34" i="39"/>
  <c r="U34" i="39"/>
  <c r="T34" i="39"/>
  <c r="S34" i="39"/>
  <c r="R34" i="39"/>
  <c r="X33" i="39"/>
  <c r="W33" i="39"/>
  <c r="V33" i="39"/>
  <c r="U33" i="39"/>
  <c r="T33" i="39"/>
  <c r="S33" i="39"/>
  <c r="R33" i="39"/>
  <c r="X32" i="39"/>
  <c r="W32" i="39"/>
  <c r="V32" i="39"/>
  <c r="R32" i="39"/>
  <c r="U31" i="39"/>
  <c r="T31" i="39"/>
  <c r="S31" i="39"/>
  <c r="R31" i="39"/>
  <c r="N31" i="39"/>
  <c r="M31" i="39"/>
  <c r="L31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R16" i="39"/>
  <c r="N16" i="39"/>
  <c r="M16" i="39"/>
  <c r="L16" i="39"/>
  <c r="K16" i="39"/>
  <c r="Y2" i="39"/>
  <c r="O40" i="35"/>
  <c r="P40" i="35"/>
  <c r="Q40" i="35"/>
  <c r="O41" i="35"/>
  <c r="P41" i="35"/>
  <c r="Q41" i="35"/>
  <c r="O42" i="35"/>
  <c r="P42" i="35"/>
  <c r="Q42" i="35"/>
  <c r="O43" i="35"/>
  <c r="P43" i="35"/>
  <c r="Q43" i="35"/>
  <c r="O44" i="35"/>
  <c r="P44" i="35"/>
  <c r="Q44" i="35"/>
  <c r="O45" i="35"/>
  <c r="P45" i="35"/>
  <c r="Q45" i="35"/>
  <c r="O46" i="35"/>
  <c r="P46" i="35"/>
  <c r="Q46" i="35"/>
  <c r="O47" i="35"/>
  <c r="P47" i="35"/>
  <c r="Q47" i="35"/>
  <c r="O48" i="35"/>
  <c r="P48" i="35"/>
  <c r="Q48" i="35"/>
  <c r="O49" i="35"/>
  <c r="P49" i="35"/>
  <c r="Q49" i="35"/>
  <c r="O50" i="35"/>
  <c r="P50" i="35"/>
  <c r="Q50" i="35"/>
  <c r="O51" i="35"/>
  <c r="P51" i="35"/>
  <c r="Q51" i="35"/>
  <c r="O52" i="35"/>
  <c r="P52" i="35"/>
  <c r="Q52" i="35"/>
  <c r="O53" i="35"/>
  <c r="P53" i="35"/>
  <c r="Q53" i="35"/>
  <c r="O54" i="35"/>
  <c r="P54" i="35"/>
  <c r="Q54" i="35"/>
  <c r="O55" i="35"/>
  <c r="P55" i="35"/>
  <c r="Q55" i="35"/>
  <c r="O56" i="35"/>
  <c r="P56" i="35"/>
  <c r="Q56" i="35"/>
  <c r="O57" i="35"/>
  <c r="P57" i="35"/>
  <c r="Q57" i="35"/>
  <c r="O58" i="35"/>
  <c r="P58" i="35"/>
  <c r="Q58" i="35"/>
  <c r="O59" i="35"/>
  <c r="P59" i="35"/>
  <c r="Q59" i="35"/>
  <c r="O60" i="35"/>
  <c r="P60" i="35"/>
  <c r="Q60" i="35"/>
  <c r="O61" i="35"/>
  <c r="P61" i="35"/>
  <c r="Q61" i="35"/>
  <c r="O62" i="35"/>
  <c r="P62" i="35"/>
  <c r="Q62" i="35"/>
  <c r="O63" i="35"/>
  <c r="P63" i="35"/>
  <c r="Q63" i="35"/>
  <c r="O64" i="35"/>
  <c r="P64" i="35"/>
  <c r="Q64" i="35"/>
  <c r="O65" i="35"/>
  <c r="P65" i="35"/>
  <c r="Q65" i="35"/>
  <c r="O66" i="35"/>
  <c r="P66" i="35"/>
  <c r="Q66" i="35"/>
  <c r="O67" i="35"/>
  <c r="P67" i="35"/>
  <c r="Q67" i="35"/>
  <c r="O68" i="35"/>
  <c r="P68" i="35"/>
  <c r="Q68" i="35"/>
  <c r="O69" i="35"/>
  <c r="P69" i="35"/>
  <c r="Q69" i="35"/>
  <c r="O70" i="35"/>
  <c r="P70" i="35"/>
  <c r="Q70" i="35"/>
  <c r="O71" i="35"/>
  <c r="P71" i="35"/>
  <c r="Q71" i="35"/>
  <c r="O72" i="35"/>
  <c r="P72" i="35"/>
  <c r="Q72" i="35"/>
  <c r="O73" i="35"/>
  <c r="P73" i="35"/>
  <c r="Q73" i="35"/>
  <c r="O74" i="35"/>
  <c r="P74" i="35"/>
  <c r="Q74" i="35"/>
  <c r="O75" i="35"/>
  <c r="P75" i="35"/>
  <c r="Q75" i="35"/>
  <c r="O76" i="35"/>
  <c r="P76" i="35"/>
  <c r="Q76" i="35"/>
  <c r="O77" i="35"/>
  <c r="P77" i="35"/>
  <c r="Q77" i="35"/>
  <c r="O78" i="35"/>
  <c r="P78" i="35"/>
  <c r="Q78" i="35"/>
  <c r="O79" i="35"/>
  <c r="P79" i="35"/>
  <c r="Q79" i="35"/>
  <c r="O80" i="35"/>
  <c r="P80" i="35"/>
  <c r="Q80" i="35"/>
  <c r="O81" i="35"/>
  <c r="P81" i="35"/>
  <c r="Q81" i="35"/>
  <c r="O82" i="35"/>
  <c r="P82" i="35"/>
  <c r="Q82" i="35"/>
  <c r="O83" i="35"/>
  <c r="P83" i="35"/>
  <c r="Q83" i="35"/>
  <c r="O84" i="35"/>
  <c r="P84" i="35"/>
  <c r="Q84" i="35"/>
  <c r="O85" i="35"/>
  <c r="P85" i="35"/>
  <c r="Q85" i="35"/>
  <c r="O86" i="35"/>
  <c r="P86" i="35"/>
  <c r="Q86" i="35"/>
  <c r="O87" i="35"/>
  <c r="P87" i="35"/>
  <c r="Q87" i="35"/>
  <c r="O88" i="35"/>
  <c r="P88" i="35"/>
  <c r="Q88" i="35"/>
  <c r="O89" i="35"/>
  <c r="P89" i="35"/>
  <c r="Q89" i="35"/>
  <c r="O90" i="35"/>
  <c r="P90" i="35"/>
  <c r="Q90" i="35"/>
  <c r="O91" i="35"/>
  <c r="P91" i="35"/>
  <c r="Q91" i="35"/>
  <c r="O92" i="35"/>
  <c r="P92" i="35"/>
  <c r="Q92" i="35"/>
  <c r="O93" i="35"/>
  <c r="P93" i="35"/>
  <c r="Q93" i="35"/>
  <c r="O94" i="35"/>
  <c r="P94" i="35"/>
  <c r="Q94" i="35"/>
  <c r="O95" i="35"/>
  <c r="P95" i="35"/>
  <c r="Q95" i="35"/>
  <c r="O96" i="35"/>
  <c r="P96" i="35"/>
  <c r="Q96" i="35"/>
  <c r="O97" i="35"/>
  <c r="P97" i="35"/>
  <c r="Q97" i="35"/>
  <c r="O98" i="35"/>
  <c r="P98" i="35"/>
  <c r="Q98" i="35"/>
  <c r="O99" i="35"/>
  <c r="P99" i="35"/>
  <c r="Q99" i="35"/>
  <c r="O100" i="35"/>
  <c r="P100" i="35"/>
  <c r="Q100" i="35"/>
  <c r="O101" i="35"/>
  <c r="P101" i="35"/>
  <c r="Q101" i="35"/>
  <c r="O102" i="35"/>
  <c r="P102" i="35"/>
  <c r="Q102" i="35"/>
  <c r="O103" i="35"/>
  <c r="P103" i="35"/>
  <c r="Q103" i="35"/>
  <c r="O104" i="35"/>
  <c r="P104" i="35"/>
  <c r="Q104" i="35"/>
  <c r="O105" i="35"/>
  <c r="P105" i="35"/>
  <c r="Q105" i="35"/>
  <c r="O106" i="35"/>
  <c r="P106" i="35"/>
  <c r="Q106" i="35"/>
  <c r="O107" i="35"/>
  <c r="P107" i="35"/>
  <c r="Q107" i="35"/>
  <c r="O108" i="35"/>
  <c r="P108" i="35"/>
  <c r="Q108" i="35"/>
  <c r="O109" i="35"/>
  <c r="P109" i="35"/>
  <c r="Q109" i="35"/>
  <c r="O110" i="35"/>
  <c r="P110" i="35"/>
  <c r="Q110" i="35"/>
  <c r="O111" i="35"/>
  <c r="P111" i="35"/>
  <c r="Q111" i="35"/>
  <c r="O112" i="35"/>
  <c r="P112" i="35"/>
  <c r="Q112" i="35"/>
  <c r="O113" i="35"/>
  <c r="P113" i="35"/>
  <c r="Q113" i="35"/>
  <c r="O114" i="35"/>
  <c r="P114" i="35"/>
  <c r="Q114" i="35"/>
  <c r="O115" i="35"/>
  <c r="P115" i="35"/>
  <c r="Q115" i="35"/>
  <c r="O116" i="35"/>
  <c r="P116" i="35"/>
  <c r="Q116" i="35"/>
  <c r="O117" i="35"/>
  <c r="P117" i="35"/>
  <c r="Q117" i="35"/>
  <c r="O118" i="35"/>
  <c r="P118" i="35"/>
  <c r="Q118" i="35"/>
  <c r="O119" i="35"/>
  <c r="P119" i="35"/>
  <c r="Q119" i="35"/>
  <c r="O120" i="35"/>
  <c r="P120" i="35"/>
  <c r="Q120" i="35"/>
  <c r="O121" i="35"/>
  <c r="P121" i="35"/>
  <c r="Q121" i="35"/>
  <c r="O122" i="35"/>
  <c r="P122" i="35"/>
  <c r="Q122" i="35"/>
  <c r="O123" i="35"/>
  <c r="P123" i="35"/>
  <c r="Q123" i="35"/>
  <c r="O124" i="35"/>
  <c r="P124" i="35"/>
  <c r="Q124" i="35"/>
  <c r="O125" i="35"/>
  <c r="P125" i="35"/>
  <c r="Q125" i="35"/>
  <c r="O126" i="35"/>
  <c r="P126" i="35"/>
  <c r="Q126" i="35"/>
  <c r="O127" i="35"/>
  <c r="P127" i="35"/>
  <c r="Q127" i="35"/>
  <c r="O128" i="35"/>
  <c r="P128" i="35"/>
  <c r="Q128" i="35"/>
  <c r="O129" i="35"/>
  <c r="P129" i="35"/>
  <c r="Q129" i="35"/>
  <c r="O130" i="35"/>
  <c r="P130" i="35"/>
  <c r="Q130" i="35"/>
  <c r="O131" i="35"/>
  <c r="P131" i="35"/>
  <c r="Q131" i="35"/>
  <c r="O132" i="35"/>
  <c r="P132" i="35"/>
  <c r="Q132" i="35"/>
  <c r="O133" i="35"/>
  <c r="P133" i="35"/>
  <c r="Q133" i="35"/>
  <c r="O134" i="35"/>
  <c r="P134" i="35"/>
  <c r="Q134" i="35"/>
  <c r="O135" i="35"/>
  <c r="P135" i="35"/>
  <c r="Q135" i="35"/>
  <c r="O136" i="35"/>
  <c r="P136" i="35"/>
  <c r="Q136" i="35"/>
  <c r="O137" i="35"/>
  <c r="P137" i="35"/>
  <c r="Q137" i="35"/>
  <c r="O138" i="35"/>
  <c r="P138" i="35"/>
  <c r="Q138" i="35"/>
  <c r="O139" i="35"/>
  <c r="P139" i="35"/>
  <c r="Q139" i="35"/>
  <c r="O140" i="35"/>
  <c r="P140" i="35"/>
  <c r="Q140" i="35"/>
  <c r="O141" i="35"/>
  <c r="P141" i="35"/>
  <c r="Q141" i="35"/>
  <c r="O142" i="35"/>
  <c r="P142" i="35"/>
  <c r="Q142" i="35"/>
  <c r="O143" i="35"/>
  <c r="P143" i="35"/>
  <c r="Q143" i="35"/>
  <c r="O144" i="35"/>
  <c r="P144" i="35"/>
  <c r="Q144" i="35"/>
  <c r="O145" i="35"/>
  <c r="P145" i="35"/>
  <c r="Q145" i="35"/>
  <c r="O146" i="35"/>
  <c r="P146" i="35"/>
  <c r="Q146" i="35"/>
  <c r="O147" i="35"/>
  <c r="P147" i="35"/>
  <c r="Q147" i="35"/>
  <c r="O148" i="35"/>
  <c r="P148" i="35"/>
  <c r="Q148" i="35"/>
  <c r="O149" i="35"/>
  <c r="P149" i="35"/>
  <c r="Q149" i="35"/>
  <c r="O150" i="35"/>
  <c r="P150" i="35"/>
  <c r="Q150" i="35"/>
  <c r="O151" i="35"/>
  <c r="P151" i="35"/>
  <c r="Q151" i="35"/>
  <c r="O152" i="35"/>
  <c r="P152" i="35"/>
  <c r="Q152" i="35"/>
  <c r="O153" i="35"/>
  <c r="P153" i="35"/>
  <c r="Q153" i="35"/>
  <c r="O43" i="33"/>
  <c r="P43" i="33"/>
  <c r="Q43" i="33"/>
  <c r="O44" i="33"/>
  <c r="P44" i="33"/>
  <c r="Q44" i="33"/>
  <c r="O45" i="33"/>
  <c r="P45" i="33"/>
  <c r="Q45" i="33"/>
  <c r="O46" i="33"/>
  <c r="P46" i="33"/>
  <c r="Q46" i="33"/>
  <c r="O47" i="33"/>
  <c r="P47" i="33"/>
  <c r="Q47" i="33"/>
  <c r="O48" i="33"/>
  <c r="P48" i="33"/>
  <c r="Q48" i="33"/>
  <c r="O49" i="33"/>
  <c r="P49" i="33"/>
  <c r="Q49" i="33"/>
  <c r="O50" i="33"/>
  <c r="P50" i="33"/>
  <c r="Q50" i="33"/>
  <c r="O51" i="33"/>
  <c r="P51" i="33"/>
  <c r="Q51" i="33"/>
  <c r="O52" i="33"/>
  <c r="P52" i="33"/>
  <c r="Q52" i="33"/>
  <c r="O53" i="33"/>
  <c r="P53" i="33"/>
  <c r="Q53" i="33"/>
  <c r="O54" i="33"/>
  <c r="P54" i="33"/>
  <c r="Q54" i="33"/>
  <c r="O55" i="33"/>
  <c r="P55" i="33"/>
  <c r="Q55" i="33"/>
  <c r="O56" i="33"/>
  <c r="P56" i="33"/>
  <c r="Q56" i="33"/>
  <c r="O57" i="33"/>
  <c r="P57" i="33"/>
  <c r="Q57" i="33"/>
  <c r="O58" i="33"/>
  <c r="P58" i="33"/>
  <c r="Q58" i="33"/>
  <c r="O59" i="33"/>
  <c r="P59" i="33"/>
  <c r="Q59" i="33"/>
  <c r="O60" i="33"/>
  <c r="P60" i="33"/>
  <c r="Q60" i="33"/>
  <c r="O61" i="33"/>
  <c r="P61" i="33"/>
  <c r="Q61" i="33"/>
  <c r="O62" i="33"/>
  <c r="P62" i="33"/>
  <c r="Q62" i="33"/>
  <c r="O63" i="33"/>
  <c r="P63" i="33"/>
  <c r="Q63" i="33"/>
  <c r="O64" i="33"/>
  <c r="P64" i="33"/>
  <c r="Q64" i="33"/>
  <c r="O65" i="33"/>
  <c r="P65" i="33"/>
  <c r="Q65" i="33"/>
  <c r="O66" i="33"/>
  <c r="P66" i="33"/>
  <c r="Q66" i="33"/>
  <c r="O67" i="33"/>
  <c r="P67" i="33"/>
  <c r="Q67" i="33"/>
  <c r="O68" i="33"/>
  <c r="P68" i="33"/>
  <c r="Q68" i="33"/>
  <c r="O69" i="33"/>
  <c r="P69" i="33"/>
  <c r="Q69" i="33"/>
  <c r="O70" i="33"/>
  <c r="P70" i="33"/>
  <c r="Q70" i="33"/>
  <c r="O71" i="33"/>
  <c r="P71" i="33"/>
  <c r="Q71" i="33"/>
  <c r="O72" i="33"/>
  <c r="P72" i="33"/>
  <c r="Q72" i="33"/>
  <c r="O73" i="33"/>
  <c r="P73" i="33"/>
  <c r="Q73" i="33"/>
  <c r="O74" i="33"/>
  <c r="P74" i="33"/>
  <c r="Q74" i="33"/>
  <c r="O75" i="33"/>
  <c r="P75" i="33"/>
  <c r="Q75" i="33"/>
  <c r="O76" i="33"/>
  <c r="P76" i="33"/>
  <c r="Q76" i="33"/>
  <c r="O77" i="33"/>
  <c r="P77" i="33"/>
  <c r="Q77" i="33"/>
  <c r="O78" i="33"/>
  <c r="P78" i="33"/>
  <c r="Q78" i="33"/>
  <c r="O79" i="33"/>
  <c r="P79" i="33"/>
  <c r="Q79" i="33"/>
  <c r="O80" i="33"/>
  <c r="P80" i="33"/>
  <c r="Q80" i="33"/>
  <c r="O81" i="33"/>
  <c r="P81" i="33"/>
  <c r="Q81" i="33"/>
  <c r="O82" i="33"/>
  <c r="P82" i="33"/>
  <c r="Q82" i="33"/>
  <c r="O83" i="33"/>
  <c r="P83" i="33"/>
  <c r="Q83" i="33"/>
  <c r="O84" i="33"/>
  <c r="P84" i="33"/>
  <c r="Q84" i="33"/>
  <c r="O85" i="33"/>
  <c r="P85" i="33"/>
  <c r="Q85" i="33"/>
  <c r="O86" i="33"/>
  <c r="P86" i="33"/>
  <c r="Q86" i="33"/>
  <c r="O87" i="33"/>
  <c r="P87" i="33"/>
  <c r="Q87" i="33"/>
  <c r="O88" i="33"/>
  <c r="P88" i="33"/>
  <c r="Q88" i="33"/>
  <c r="O89" i="33"/>
  <c r="P89" i="33"/>
  <c r="Q89" i="33"/>
  <c r="O90" i="33"/>
  <c r="P90" i="33"/>
  <c r="Q90" i="33"/>
  <c r="O91" i="33"/>
  <c r="P91" i="33"/>
  <c r="Q91" i="33"/>
  <c r="O92" i="33"/>
  <c r="P92" i="33"/>
  <c r="Q92" i="33"/>
  <c r="O93" i="33"/>
  <c r="P93" i="33"/>
  <c r="Q93" i="33"/>
  <c r="O94" i="33"/>
  <c r="P94" i="33"/>
  <c r="Q94" i="33"/>
  <c r="O95" i="33"/>
  <c r="P95" i="33"/>
  <c r="Q95" i="33"/>
  <c r="O96" i="33"/>
  <c r="P96" i="33"/>
  <c r="Q96" i="33"/>
  <c r="O97" i="33"/>
  <c r="P97" i="33"/>
  <c r="Q97" i="33"/>
  <c r="O98" i="33"/>
  <c r="P98" i="33"/>
  <c r="Q98" i="33"/>
  <c r="O99" i="33"/>
  <c r="P99" i="33"/>
  <c r="Q99" i="33"/>
  <c r="O100" i="33"/>
  <c r="P100" i="33"/>
  <c r="Q100" i="33"/>
  <c r="O101" i="33"/>
  <c r="P101" i="33"/>
  <c r="Q101" i="33"/>
  <c r="O102" i="33"/>
  <c r="P102" i="33"/>
  <c r="Q102" i="33"/>
  <c r="O103" i="33"/>
  <c r="P103" i="33"/>
  <c r="Q103" i="33"/>
  <c r="O104" i="33"/>
  <c r="P104" i="33"/>
  <c r="Q104" i="33"/>
  <c r="O105" i="33"/>
  <c r="P105" i="33"/>
  <c r="Q105" i="33"/>
  <c r="O106" i="33"/>
  <c r="P106" i="33"/>
  <c r="Q106" i="33"/>
  <c r="O107" i="33"/>
  <c r="P107" i="33"/>
  <c r="Q107" i="33"/>
  <c r="O108" i="33"/>
  <c r="P108" i="33"/>
  <c r="Q108" i="33"/>
  <c r="O109" i="33"/>
  <c r="P109" i="33"/>
  <c r="Q109" i="33"/>
  <c r="O110" i="33"/>
  <c r="P110" i="33"/>
  <c r="Q110" i="33"/>
  <c r="O111" i="33"/>
  <c r="P111" i="33"/>
  <c r="Q111" i="33"/>
  <c r="O112" i="33"/>
  <c r="P112" i="33"/>
  <c r="Q112" i="33"/>
  <c r="O113" i="33"/>
  <c r="P113" i="33"/>
  <c r="Q113" i="33"/>
  <c r="O114" i="33"/>
  <c r="P114" i="33"/>
  <c r="Q114" i="33"/>
  <c r="O115" i="33"/>
  <c r="P115" i="33"/>
  <c r="Q115" i="33"/>
  <c r="O116" i="33"/>
  <c r="P116" i="33"/>
  <c r="Q116" i="33"/>
  <c r="O117" i="33"/>
  <c r="P117" i="33"/>
  <c r="Q117" i="33"/>
  <c r="O118" i="33"/>
  <c r="P118" i="33"/>
  <c r="Q118" i="33"/>
  <c r="O119" i="33"/>
  <c r="P119" i="33"/>
  <c r="Q119" i="33"/>
  <c r="O120" i="33"/>
  <c r="P120" i="33"/>
  <c r="Q120" i="33"/>
  <c r="O121" i="33"/>
  <c r="P121" i="33"/>
  <c r="Q121" i="33"/>
  <c r="O122" i="33"/>
  <c r="P122" i="33"/>
  <c r="Q122" i="33"/>
  <c r="O123" i="33"/>
  <c r="P123" i="33"/>
  <c r="Q123" i="33"/>
  <c r="O124" i="33"/>
  <c r="P124" i="33"/>
  <c r="Q124" i="33"/>
  <c r="O125" i="33"/>
  <c r="P125" i="33"/>
  <c r="Q125" i="33"/>
  <c r="O126" i="33"/>
  <c r="P126" i="33"/>
  <c r="Q126" i="33"/>
  <c r="O127" i="33"/>
  <c r="P127" i="33"/>
  <c r="Q127" i="33"/>
  <c r="O128" i="33"/>
  <c r="P128" i="33"/>
  <c r="Q128" i="33"/>
  <c r="O129" i="33"/>
  <c r="P129" i="33"/>
  <c r="Q129" i="33"/>
  <c r="O130" i="33"/>
  <c r="P130" i="33"/>
  <c r="Q130" i="33"/>
  <c r="O131" i="33"/>
  <c r="P131" i="33"/>
  <c r="Q131" i="33"/>
  <c r="O132" i="33"/>
  <c r="P132" i="33"/>
  <c r="Q132" i="33"/>
  <c r="O133" i="33"/>
  <c r="P133" i="33"/>
  <c r="Q133" i="33"/>
  <c r="O134" i="33"/>
  <c r="P134" i="33"/>
  <c r="Q134" i="33"/>
  <c r="O135" i="33"/>
  <c r="P135" i="33"/>
  <c r="Q135" i="33"/>
  <c r="O136" i="33"/>
  <c r="P136" i="33"/>
  <c r="Q136" i="33"/>
  <c r="O137" i="33"/>
  <c r="P137" i="33"/>
  <c r="Q137" i="33"/>
  <c r="O138" i="33"/>
  <c r="P138" i="33"/>
  <c r="Q138" i="33"/>
  <c r="O139" i="33"/>
  <c r="P139" i="33"/>
  <c r="Q139" i="33"/>
  <c r="O140" i="33"/>
  <c r="P140" i="33"/>
  <c r="Q140" i="33"/>
  <c r="O141" i="33"/>
  <c r="P141" i="33"/>
  <c r="Q141" i="33"/>
  <c r="O142" i="33"/>
  <c r="P142" i="33"/>
  <c r="Q142" i="33"/>
  <c r="O143" i="33"/>
  <c r="P143" i="33"/>
  <c r="Q143" i="33"/>
  <c r="O144" i="33"/>
  <c r="P144" i="33"/>
  <c r="Q144" i="33"/>
  <c r="O145" i="33"/>
  <c r="P145" i="33"/>
  <c r="Q145" i="33"/>
  <c r="O146" i="33"/>
  <c r="P146" i="33"/>
  <c r="Q146" i="33"/>
  <c r="O147" i="33"/>
  <c r="P147" i="33"/>
  <c r="Q147" i="33"/>
  <c r="O148" i="33"/>
  <c r="P148" i="33"/>
  <c r="Q148" i="33"/>
  <c r="O149" i="33"/>
  <c r="P149" i="33"/>
  <c r="Q149" i="33"/>
  <c r="O150" i="33"/>
  <c r="P150" i="33"/>
  <c r="Q150" i="33"/>
  <c r="O151" i="33"/>
  <c r="P151" i="33"/>
  <c r="Q151" i="33"/>
  <c r="O152" i="33"/>
  <c r="P152" i="33"/>
  <c r="Q152" i="33"/>
  <c r="O153" i="33"/>
  <c r="P153" i="33"/>
  <c r="Q153" i="33"/>
  <c r="O41" i="31"/>
  <c r="P41" i="31"/>
  <c r="Q41" i="31"/>
  <c r="O42" i="31"/>
  <c r="P42" i="31"/>
  <c r="Q42" i="31"/>
  <c r="O43" i="31"/>
  <c r="P43" i="31"/>
  <c r="Q43" i="31"/>
  <c r="O44" i="31"/>
  <c r="P44" i="31"/>
  <c r="Q44" i="31"/>
  <c r="O45" i="31"/>
  <c r="P45" i="31"/>
  <c r="Q45" i="31"/>
  <c r="O46" i="31"/>
  <c r="P46" i="31"/>
  <c r="Q46" i="31"/>
  <c r="O47" i="31"/>
  <c r="P47" i="31"/>
  <c r="Q47" i="31"/>
  <c r="O48" i="31"/>
  <c r="P48" i="31"/>
  <c r="Q48" i="31"/>
  <c r="O49" i="31"/>
  <c r="P49" i="31"/>
  <c r="Q49" i="31"/>
  <c r="O50" i="31"/>
  <c r="P50" i="31"/>
  <c r="Q50" i="31"/>
  <c r="O51" i="31"/>
  <c r="P51" i="31"/>
  <c r="Q51" i="31"/>
  <c r="O52" i="31"/>
  <c r="P52" i="31"/>
  <c r="Q52" i="31"/>
  <c r="O53" i="31"/>
  <c r="P53" i="31"/>
  <c r="Q53" i="31"/>
  <c r="O54" i="31"/>
  <c r="P54" i="31"/>
  <c r="Q54" i="31"/>
  <c r="O55" i="31"/>
  <c r="P55" i="31"/>
  <c r="Q55" i="31"/>
  <c r="O56" i="31"/>
  <c r="P56" i="31"/>
  <c r="Q56" i="31"/>
  <c r="O57" i="31"/>
  <c r="P57" i="31"/>
  <c r="Q57" i="31"/>
  <c r="O58" i="31"/>
  <c r="P58" i="31"/>
  <c r="Q58" i="31"/>
  <c r="O59" i="31"/>
  <c r="P59" i="31"/>
  <c r="Q59" i="31"/>
  <c r="O60" i="31"/>
  <c r="P60" i="31"/>
  <c r="Q60" i="31"/>
  <c r="O61" i="31"/>
  <c r="P61" i="31"/>
  <c r="Q61" i="31"/>
  <c r="O62" i="31"/>
  <c r="P62" i="31"/>
  <c r="Q62" i="31"/>
  <c r="O63" i="31"/>
  <c r="P63" i="31"/>
  <c r="Q63" i="31"/>
  <c r="O64" i="31"/>
  <c r="P64" i="31"/>
  <c r="Q64" i="31"/>
  <c r="O65" i="31"/>
  <c r="P65" i="31"/>
  <c r="Q65" i="31"/>
  <c r="O66" i="31"/>
  <c r="P66" i="31"/>
  <c r="Q66" i="31"/>
  <c r="O67" i="31"/>
  <c r="P67" i="31"/>
  <c r="Q67" i="31"/>
  <c r="O68" i="31"/>
  <c r="P68" i="31"/>
  <c r="Q68" i="31"/>
  <c r="O69" i="31"/>
  <c r="P69" i="31"/>
  <c r="Q69" i="31"/>
  <c r="O70" i="31"/>
  <c r="P70" i="31"/>
  <c r="Q70" i="31"/>
  <c r="O71" i="31"/>
  <c r="P71" i="31"/>
  <c r="Q71" i="31"/>
  <c r="O72" i="31"/>
  <c r="P72" i="31"/>
  <c r="Q72" i="31"/>
  <c r="O73" i="31"/>
  <c r="P73" i="31"/>
  <c r="Q73" i="31"/>
  <c r="O74" i="31"/>
  <c r="P74" i="31"/>
  <c r="Q74" i="31"/>
  <c r="O75" i="31"/>
  <c r="P75" i="31"/>
  <c r="Q75" i="31"/>
  <c r="O76" i="31"/>
  <c r="P76" i="31"/>
  <c r="Q76" i="31"/>
  <c r="O77" i="31"/>
  <c r="P77" i="31"/>
  <c r="Q77" i="31"/>
  <c r="O78" i="31"/>
  <c r="P78" i="31"/>
  <c r="Q78" i="31"/>
  <c r="O79" i="31"/>
  <c r="P79" i="31"/>
  <c r="Q79" i="31"/>
  <c r="O80" i="31"/>
  <c r="P80" i="31"/>
  <c r="Q80" i="31"/>
  <c r="O81" i="31"/>
  <c r="P81" i="31"/>
  <c r="Q81" i="31"/>
  <c r="O82" i="31"/>
  <c r="P82" i="31"/>
  <c r="Q82" i="31"/>
  <c r="O83" i="31"/>
  <c r="P83" i="31"/>
  <c r="Q83" i="31"/>
  <c r="O84" i="31"/>
  <c r="P84" i="31"/>
  <c r="Q84" i="31"/>
  <c r="O85" i="31"/>
  <c r="P85" i="31"/>
  <c r="Q85" i="31"/>
  <c r="O86" i="31"/>
  <c r="P86" i="31"/>
  <c r="Q86" i="31"/>
  <c r="O87" i="31"/>
  <c r="P87" i="31"/>
  <c r="Q87" i="31"/>
  <c r="O88" i="31"/>
  <c r="P88" i="31"/>
  <c r="Q88" i="31"/>
  <c r="O89" i="31"/>
  <c r="P89" i="31"/>
  <c r="Q89" i="31"/>
  <c r="O90" i="31"/>
  <c r="P90" i="31"/>
  <c r="Q90" i="31"/>
  <c r="O91" i="31"/>
  <c r="P91" i="31"/>
  <c r="Q91" i="31"/>
  <c r="O92" i="31"/>
  <c r="P92" i="31"/>
  <c r="Q92" i="31"/>
  <c r="O93" i="31"/>
  <c r="P93" i="31"/>
  <c r="Q93" i="31"/>
  <c r="O94" i="31"/>
  <c r="P94" i="31"/>
  <c r="Q94" i="31"/>
  <c r="O95" i="31"/>
  <c r="P95" i="31"/>
  <c r="Q95" i="31"/>
  <c r="O96" i="31"/>
  <c r="P96" i="31"/>
  <c r="Q96" i="31"/>
  <c r="O97" i="31"/>
  <c r="P97" i="31"/>
  <c r="Q97" i="31"/>
  <c r="O98" i="31"/>
  <c r="P98" i="31"/>
  <c r="Q98" i="31"/>
  <c r="O99" i="31"/>
  <c r="P99" i="31"/>
  <c r="Q99" i="31"/>
  <c r="O100" i="31"/>
  <c r="P100" i="31"/>
  <c r="Q100" i="31"/>
  <c r="O101" i="31"/>
  <c r="P101" i="31"/>
  <c r="Q101" i="31"/>
  <c r="O102" i="31"/>
  <c r="P102" i="31"/>
  <c r="Q102" i="31"/>
  <c r="O103" i="31"/>
  <c r="P103" i="31"/>
  <c r="Q103" i="31"/>
  <c r="O104" i="31"/>
  <c r="P104" i="31"/>
  <c r="Q104" i="31"/>
  <c r="O105" i="31"/>
  <c r="P105" i="31"/>
  <c r="Q105" i="31"/>
  <c r="O106" i="31"/>
  <c r="P106" i="31"/>
  <c r="Q106" i="31"/>
  <c r="O107" i="31"/>
  <c r="P107" i="31"/>
  <c r="Q107" i="31"/>
  <c r="O108" i="31"/>
  <c r="P108" i="31"/>
  <c r="Q108" i="31"/>
  <c r="O109" i="31"/>
  <c r="P109" i="31"/>
  <c r="Q109" i="31"/>
  <c r="O110" i="31"/>
  <c r="P110" i="31"/>
  <c r="Q110" i="31"/>
  <c r="O111" i="31"/>
  <c r="P111" i="31"/>
  <c r="Q111" i="31"/>
  <c r="O112" i="31"/>
  <c r="P112" i="31"/>
  <c r="Q112" i="31"/>
  <c r="O113" i="31"/>
  <c r="P113" i="31"/>
  <c r="Q113" i="31"/>
  <c r="O114" i="31"/>
  <c r="P114" i="31"/>
  <c r="Q114" i="31"/>
  <c r="O115" i="31"/>
  <c r="P115" i="31"/>
  <c r="Q115" i="31"/>
  <c r="O116" i="31"/>
  <c r="P116" i="31"/>
  <c r="Q116" i="31"/>
  <c r="O117" i="31"/>
  <c r="P117" i="31"/>
  <c r="Q117" i="31"/>
  <c r="O118" i="31"/>
  <c r="P118" i="31"/>
  <c r="Q118" i="31"/>
  <c r="O119" i="31"/>
  <c r="P119" i="31"/>
  <c r="Q119" i="31"/>
  <c r="O120" i="31"/>
  <c r="P120" i="31"/>
  <c r="Q120" i="31"/>
  <c r="O121" i="31"/>
  <c r="P121" i="31"/>
  <c r="Q121" i="31"/>
  <c r="O122" i="31"/>
  <c r="P122" i="31"/>
  <c r="Q122" i="31"/>
  <c r="O123" i="31"/>
  <c r="P123" i="31"/>
  <c r="Q123" i="31"/>
  <c r="O124" i="31"/>
  <c r="P124" i="31"/>
  <c r="Q124" i="31"/>
  <c r="O125" i="31"/>
  <c r="P125" i="31"/>
  <c r="Q125" i="31"/>
  <c r="O126" i="31"/>
  <c r="P126" i="31"/>
  <c r="Q126" i="31"/>
  <c r="O127" i="31"/>
  <c r="P127" i="31"/>
  <c r="Q127" i="31"/>
  <c r="O128" i="31"/>
  <c r="P128" i="31"/>
  <c r="Q128" i="31"/>
  <c r="O129" i="31"/>
  <c r="P129" i="31"/>
  <c r="Q129" i="31"/>
  <c r="O130" i="31"/>
  <c r="P130" i="31"/>
  <c r="Q130" i="31"/>
  <c r="O131" i="31"/>
  <c r="P131" i="31"/>
  <c r="Q131" i="31"/>
  <c r="O132" i="31"/>
  <c r="P132" i="31"/>
  <c r="Q132" i="31"/>
  <c r="O133" i="31"/>
  <c r="P133" i="31"/>
  <c r="Q133" i="31"/>
  <c r="O134" i="31"/>
  <c r="P134" i="31"/>
  <c r="Q134" i="31"/>
  <c r="O135" i="31"/>
  <c r="P135" i="31"/>
  <c r="Q135" i="31"/>
  <c r="O136" i="31"/>
  <c r="P136" i="31"/>
  <c r="Q136" i="31"/>
  <c r="O137" i="31"/>
  <c r="P137" i="31"/>
  <c r="Q137" i="31"/>
  <c r="O138" i="31"/>
  <c r="P138" i="31"/>
  <c r="Q138" i="31"/>
  <c r="O139" i="31"/>
  <c r="P139" i="31"/>
  <c r="Q139" i="31"/>
  <c r="O140" i="31"/>
  <c r="P140" i="31"/>
  <c r="Q140" i="31"/>
  <c r="O141" i="31"/>
  <c r="P141" i="31"/>
  <c r="Q141" i="31"/>
  <c r="O142" i="31"/>
  <c r="P142" i="31"/>
  <c r="Q142" i="31"/>
  <c r="O143" i="31"/>
  <c r="P143" i="31"/>
  <c r="Q143" i="31"/>
  <c r="O144" i="31"/>
  <c r="P144" i="31"/>
  <c r="Q144" i="31"/>
  <c r="O145" i="31"/>
  <c r="P145" i="31"/>
  <c r="Q145" i="31"/>
  <c r="O146" i="31"/>
  <c r="P146" i="31"/>
  <c r="Q146" i="31"/>
  <c r="O147" i="31"/>
  <c r="P147" i="31"/>
  <c r="Q147" i="31"/>
  <c r="O148" i="31"/>
  <c r="P148" i="31"/>
  <c r="Q148" i="31"/>
  <c r="O149" i="31"/>
  <c r="P149" i="31"/>
  <c r="Q149" i="31"/>
  <c r="O150" i="31"/>
  <c r="P150" i="31"/>
  <c r="Q150" i="31"/>
  <c r="O151" i="31"/>
  <c r="P151" i="31"/>
  <c r="Q151" i="31"/>
  <c r="O152" i="31"/>
  <c r="P152" i="31"/>
  <c r="Q152" i="31"/>
  <c r="O153" i="31"/>
  <c r="P153" i="31"/>
  <c r="Q153" i="31"/>
  <c r="N35" i="35"/>
  <c r="N36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105" i="35"/>
  <c r="N106" i="35"/>
  <c r="N107" i="35"/>
  <c r="N108" i="35"/>
  <c r="N109" i="35"/>
  <c r="N110" i="35"/>
  <c r="N111" i="35"/>
  <c r="N112" i="35"/>
  <c r="N113" i="35"/>
  <c r="N114" i="35"/>
  <c r="N115" i="35"/>
  <c r="N116" i="35"/>
  <c r="N117" i="35"/>
  <c r="N118" i="35"/>
  <c r="N119" i="35"/>
  <c r="N120" i="35"/>
  <c r="N121" i="35"/>
  <c r="N122" i="35"/>
  <c r="N123" i="35"/>
  <c r="N124" i="35"/>
  <c r="N125" i="35"/>
  <c r="N126" i="35"/>
  <c r="N127" i="35"/>
  <c r="N128" i="35"/>
  <c r="N129" i="35"/>
  <c r="N130" i="35"/>
  <c r="N131" i="35"/>
  <c r="N132" i="35"/>
  <c r="N133" i="35"/>
  <c r="N134" i="35"/>
  <c r="N135" i="35"/>
  <c r="N136" i="35"/>
  <c r="N137" i="35"/>
  <c r="N138" i="35"/>
  <c r="N139" i="35"/>
  <c r="N140" i="35"/>
  <c r="N141" i="35"/>
  <c r="N142" i="35"/>
  <c r="N143" i="35"/>
  <c r="N144" i="35"/>
  <c r="N145" i="35"/>
  <c r="N146" i="35"/>
  <c r="N147" i="35"/>
  <c r="N148" i="35"/>
  <c r="N149" i="35"/>
  <c r="N150" i="35"/>
  <c r="N151" i="35"/>
  <c r="N152" i="35"/>
  <c r="N153" i="35"/>
  <c r="K24" i="35"/>
  <c r="K25" i="35"/>
  <c r="K26" i="35"/>
  <c r="K27" i="35"/>
  <c r="M35" i="33"/>
  <c r="M36" i="33"/>
  <c r="M37" i="33"/>
  <c r="M38" i="33"/>
  <c r="M39" i="33"/>
  <c r="M40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M108" i="33"/>
  <c r="M109" i="33"/>
  <c r="M110" i="33"/>
  <c r="M111" i="33"/>
  <c r="M112" i="33"/>
  <c r="M113" i="33"/>
  <c r="M114" i="33"/>
  <c r="M115" i="33"/>
  <c r="M116" i="33"/>
  <c r="M117" i="33"/>
  <c r="M118" i="33"/>
  <c r="M119" i="33"/>
  <c r="M120" i="33"/>
  <c r="M121" i="33"/>
  <c r="M122" i="33"/>
  <c r="M123" i="33"/>
  <c r="M124" i="33"/>
  <c r="M125" i="33"/>
  <c r="M126" i="33"/>
  <c r="M127" i="33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M143" i="33"/>
  <c r="M144" i="33"/>
  <c r="M145" i="33"/>
  <c r="M146" i="33"/>
  <c r="M147" i="33"/>
  <c r="M148" i="33"/>
  <c r="M149" i="33"/>
  <c r="M150" i="33"/>
  <c r="M151" i="33"/>
  <c r="M152" i="33"/>
  <c r="M153" i="33"/>
  <c r="K31" i="33"/>
  <c r="K32" i="33"/>
  <c r="K33" i="33"/>
  <c r="K34" i="33"/>
  <c r="L33" i="31"/>
  <c r="M33" i="31"/>
  <c r="N33" i="31"/>
  <c r="L34" i="31"/>
  <c r="M34" i="31"/>
  <c r="N34" i="31"/>
  <c r="L35" i="31"/>
  <c r="M35" i="31"/>
  <c r="N35" i="31"/>
  <c r="L36" i="31"/>
  <c r="M36" i="31"/>
  <c r="N36" i="31"/>
  <c r="L37" i="31"/>
  <c r="M37" i="31"/>
  <c r="N37" i="31"/>
  <c r="L38" i="31"/>
  <c r="M38" i="31"/>
  <c r="N38" i="31"/>
  <c r="L40" i="31"/>
  <c r="M40" i="31"/>
  <c r="N40" i="31"/>
  <c r="L41" i="31"/>
  <c r="M41" i="31"/>
  <c r="N41" i="31"/>
  <c r="L42" i="31"/>
  <c r="M42" i="31"/>
  <c r="N42" i="31"/>
  <c r="L43" i="31"/>
  <c r="M43" i="31"/>
  <c r="N43" i="31"/>
  <c r="L44" i="31"/>
  <c r="M44" i="31"/>
  <c r="N44" i="31"/>
  <c r="L45" i="31"/>
  <c r="M45" i="31"/>
  <c r="N45" i="31"/>
  <c r="L46" i="31"/>
  <c r="M46" i="31"/>
  <c r="N46" i="31"/>
  <c r="L47" i="31"/>
  <c r="M47" i="31"/>
  <c r="N47" i="31"/>
  <c r="L48" i="31"/>
  <c r="M48" i="31"/>
  <c r="N48" i="31"/>
  <c r="L49" i="31"/>
  <c r="M49" i="31"/>
  <c r="N49" i="31"/>
  <c r="L50" i="31"/>
  <c r="M50" i="31"/>
  <c r="N50" i="31"/>
  <c r="L51" i="31"/>
  <c r="M51" i="31"/>
  <c r="N51" i="31"/>
  <c r="L52" i="31"/>
  <c r="M52" i="31"/>
  <c r="N52" i="31"/>
  <c r="L53" i="31"/>
  <c r="M53" i="31"/>
  <c r="N53" i="31"/>
  <c r="L54" i="31"/>
  <c r="M54" i="31"/>
  <c r="N54" i="31"/>
  <c r="L55" i="31"/>
  <c r="M55" i="31"/>
  <c r="N55" i="31"/>
  <c r="L56" i="31"/>
  <c r="M56" i="31"/>
  <c r="N56" i="31"/>
  <c r="L57" i="31"/>
  <c r="M57" i="31"/>
  <c r="N57" i="31"/>
  <c r="L58" i="31"/>
  <c r="M58" i="31"/>
  <c r="N58" i="31"/>
  <c r="L59" i="31"/>
  <c r="M59" i="31"/>
  <c r="N59" i="31"/>
  <c r="L60" i="31"/>
  <c r="M60" i="31"/>
  <c r="N60" i="31"/>
  <c r="L61" i="31"/>
  <c r="M61" i="31"/>
  <c r="N61" i="31"/>
  <c r="L62" i="31"/>
  <c r="M62" i="31"/>
  <c r="N62" i="31"/>
  <c r="L63" i="31"/>
  <c r="M63" i="31"/>
  <c r="N63" i="31"/>
  <c r="L64" i="31"/>
  <c r="M64" i="31"/>
  <c r="N64" i="31"/>
  <c r="L65" i="31"/>
  <c r="M65" i="31"/>
  <c r="N65" i="31"/>
  <c r="L66" i="31"/>
  <c r="M66" i="31"/>
  <c r="N66" i="31"/>
  <c r="L67" i="31"/>
  <c r="M67" i="31"/>
  <c r="N67" i="31"/>
  <c r="L68" i="31"/>
  <c r="M68" i="31"/>
  <c r="N68" i="31"/>
  <c r="L69" i="31"/>
  <c r="M69" i="31"/>
  <c r="N69" i="31"/>
  <c r="L70" i="31"/>
  <c r="M70" i="31"/>
  <c r="N70" i="31"/>
  <c r="L71" i="31"/>
  <c r="M71" i="31"/>
  <c r="N71" i="31"/>
  <c r="L72" i="31"/>
  <c r="M72" i="31"/>
  <c r="N72" i="31"/>
  <c r="L73" i="31"/>
  <c r="M73" i="31"/>
  <c r="N73" i="31"/>
  <c r="L74" i="31"/>
  <c r="M74" i="31"/>
  <c r="N74" i="31"/>
  <c r="L75" i="31"/>
  <c r="M75" i="31"/>
  <c r="N75" i="31"/>
  <c r="L76" i="31"/>
  <c r="M76" i="31"/>
  <c r="N76" i="31"/>
  <c r="L77" i="31"/>
  <c r="M77" i="31"/>
  <c r="N77" i="31"/>
  <c r="L78" i="31"/>
  <c r="M78" i="31"/>
  <c r="N78" i="31"/>
  <c r="L79" i="31"/>
  <c r="M79" i="31"/>
  <c r="N79" i="31"/>
  <c r="L80" i="31"/>
  <c r="M80" i="31"/>
  <c r="N80" i="31"/>
  <c r="L81" i="31"/>
  <c r="M81" i="31"/>
  <c r="N81" i="31"/>
  <c r="L82" i="31"/>
  <c r="M82" i="31"/>
  <c r="N82" i="31"/>
  <c r="L83" i="31"/>
  <c r="M83" i="31"/>
  <c r="N83" i="31"/>
  <c r="L84" i="31"/>
  <c r="M84" i="31"/>
  <c r="N84" i="31"/>
  <c r="L85" i="31"/>
  <c r="M85" i="31"/>
  <c r="N85" i="31"/>
  <c r="L86" i="31"/>
  <c r="M86" i="31"/>
  <c r="N86" i="31"/>
  <c r="L87" i="31"/>
  <c r="M87" i="31"/>
  <c r="N87" i="31"/>
  <c r="L88" i="31"/>
  <c r="M88" i="31"/>
  <c r="N88" i="31"/>
  <c r="L89" i="31"/>
  <c r="M89" i="31"/>
  <c r="N89" i="31"/>
  <c r="L90" i="31"/>
  <c r="M90" i="31"/>
  <c r="N90" i="31"/>
  <c r="L91" i="31"/>
  <c r="M91" i="31"/>
  <c r="N91" i="31"/>
  <c r="L92" i="31"/>
  <c r="M92" i="31"/>
  <c r="N92" i="31"/>
  <c r="L93" i="31"/>
  <c r="M93" i="31"/>
  <c r="N93" i="31"/>
  <c r="L94" i="31"/>
  <c r="M94" i="31"/>
  <c r="N94" i="31"/>
  <c r="L95" i="31"/>
  <c r="M95" i="31"/>
  <c r="N95" i="31"/>
  <c r="L96" i="31"/>
  <c r="M96" i="31"/>
  <c r="N96" i="31"/>
  <c r="L97" i="31"/>
  <c r="M97" i="31"/>
  <c r="N97" i="31"/>
  <c r="L98" i="31"/>
  <c r="M98" i="31"/>
  <c r="N98" i="31"/>
  <c r="L99" i="31"/>
  <c r="M99" i="31"/>
  <c r="N99" i="31"/>
  <c r="L100" i="31"/>
  <c r="M100" i="31"/>
  <c r="N100" i="31"/>
  <c r="L101" i="31"/>
  <c r="M101" i="31"/>
  <c r="N101" i="31"/>
  <c r="L102" i="31"/>
  <c r="M102" i="31"/>
  <c r="N102" i="31"/>
  <c r="L103" i="31"/>
  <c r="M103" i="31"/>
  <c r="N103" i="31"/>
  <c r="L104" i="31"/>
  <c r="M104" i="31"/>
  <c r="N104" i="31"/>
  <c r="L105" i="31"/>
  <c r="M105" i="31"/>
  <c r="N105" i="31"/>
  <c r="L106" i="31"/>
  <c r="M106" i="31"/>
  <c r="N106" i="31"/>
  <c r="L107" i="31"/>
  <c r="M107" i="31"/>
  <c r="N107" i="31"/>
  <c r="L108" i="31"/>
  <c r="M108" i="31"/>
  <c r="N108" i="31"/>
  <c r="L109" i="31"/>
  <c r="M109" i="31"/>
  <c r="N109" i="31"/>
  <c r="L110" i="31"/>
  <c r="M110" i="31"/>
  <c r="N110" i="31"/>
  <c r="L111" i="31"/>
  <c r="M111" i="31"/>
  <c r="N111" i="31"/>
  <c r="L112" i="31"/>
  <c r="M112" i="31"/>
  <c r="N112" i="31"/>
  <c r="L113" i="31"/>
  <c r="M113" i="31"/>
  <c r="N113" i="31"/>
  <c r="L114" i="31"/>
  <c r="M114" i="31"/>
  <c r="N114" i="31"/>
  <c r="L115" i="31"/>
  <c r="M115" i="31"/>
  <c r="N115" i="31"/>
  <c r="L116" i="31"/>
  <c r="M116" i="31"/>
  <c r="N116" i="31"/>
  <c r="L117" i="31"/>
  <c r="M117" i="31"/>
  <c r="N117" i="31"/>
  <c r="L118" i="31"/>
  <c r="M118" i="31"/>
  <c r="N118" i="31"/>
  <c r="L119" i="31"/>
  <c r="M119" i="31"/>
  <c r="N119" i="31"/>
  <c r="L120" i="31"/>
  <c r="M120" i="31"/>
  <c r="N120" i="31"/>
  <c r="L121" i="31"/>
  <c r="M121" i="31"/>
  <c r="N121" i="31"/>
  <c r="L122" i="31"/>
  <c r="M122" i="31"/>
  <c r="N122" i="31"/>
  <c r="L123" i="31"/>
  <c r="M123" i="31"/>
  <c r="N123" i="31"/>
  <c r="L124" i="31"/>
  <c r="M124" i="31"/>
  <c r="N124" i="31"/>
  <c r="L125" i="31"/>
  <c r="M125" i="31"/>
  <c r="N125" i="31"/>
  <c r="L126" i="31"/>
  <c r="M126" i="31"/>
  <c r="N126" i="31"/>
  <c r="L127" i="31"/>
  <c r="M127" i="31"/>
  <c r="N127" i="31"/>
  <c r="L128" i="31"/>
  <c r="M128" i="31"/>
  <c r="N128" i="31"/>
  <c r="L129" i="31"/>
  <c r="M129" i="31"/>
  <c r="N129" i="31"/>
  <c r="L130" i="31"/>
  <c r="M130" i="31"/>
  <c r="N130" i="31"/>
  <c r="L131" i="31"/>
  <c r="M131" i="31"/>
  <c r="N131" i="31"/>
  <c r="L132" i="31"/>
  <c r="M132" i="31"/>
  <c r="N132" i="31"/>
  <c r="L133" i="31"/>
  <c r="M133" i="31"/>
  <c r="N133" i="31"/>
  <c r="L134" i="31"/>
  <c r="M134" i="31"/>
  <c r="N134" i="31"/>
  <c r="L135" i="31"/>
  <c r="M135" i="31"/>
  <c r="N135" i="31"/>
  <c r="L136" i="31"/>
  <c r="M136" i="31"/>
  <c r="N136" i="31"/>
  <c r="L137" i="31"/>
  <c r="M137" i="31"/>
  <c r="N137" i="31"/>
  <c r="L138" i="31"/>
  <c r="M138" i="31"/>
  <c r="N138" i="31"/>
  <c r="L139" i="31"/>
  <c r="M139" i="31"/>
  <c r="N139" i="31"/>
  <c r="L140" i="31"/>
  <c r="M140" i="31"/>
  <c r="N140" i="31"/>
  <c r="L141" i="31"/>
  <c r="M141" i="31"/>
  <c r="N141" i="31"/>
  <c r="L142" i="31"/>
  <c r="M142" i="31"/>
  <c r="N142" i="31"/>
  <c r="L143" i="31"/>
  <c r="M143" i="31"/>
  <c r="N143" i="31"/>
  <c r="L144" i="31"/>
  <c r="M144" i="31"/>
  <c r="N144" i="31"/>
  <c r="L145" i="31"/>
  <c r="M145" i="31"/>
  <c r="N145" i="31"/>
  <c r="L146" i="31"/>
  <c r="M146" i="31"/>
  <c r="N146" i="31"/>
  <c r="L147" i="31"/>
  <c r="M147" i="31"/>
  <c r="N147" i="31"/>
  <c r="L148" i="31"/>
  <c r="M148" i="31"/>
  <c r="N148" i="31"/>
  <c r="L149" i="31"/>
  <c r="M149" i="31"/>
  <c r="N149" i="31"/>
  <c r="L150" i="31"/>
  <c r="M150" i="31"/>
  <c r="N150" i="31"/>
  <c r="L151" i="31"/>
  <c r="M151" i="31"/>
  <c r="N151" i="31"/>
  <c r="L152" i="31"/>
  <c r="M152" i="31"/>
  <c r="N152" i="31"/>
  <c r="L153" i="31"/>
  <c r="M153" i="31"/>
  <c r="N153" i="31"/>
  <c r="K26" i="31"/>
  <c r="K27" i="31"/>
  <c r="K28" i="31"/>
  <c r="K29" i="31"/>
  <c r="K30" i="31"/>
  <c r="K31" i="31"/>
  <c r="K32" i="31"/>
  <c r="L30" i="28"/>
  <c r="M30" i="28"/>
  <c r="L31" i="28"/>
  <c r="M31" i="28"/>
  <c r="L32" i="28"/>
  <c r="M32" i="28"/>
  <c r="L33" i="28"/>
  <c r="M33" i="28"/>
  <c r="L34" i="28"/>
  <c r="M34" i="28"/>
  <c r="L35" i="28"/>
  <c r="M35" i="28"/>
  <c r="L37" i="28"/>
  <c r="M37" i="28"/>
  <c r="L38" i="28"/>
  <c r="M38" i="28"/>
  <c r="L39" i="28"/>
  <c r="M39" i="28"/>
  <c r="L40" i="28"/>
  <c r="M40" i="28"/>
  <c r="L41" i="28"/>
  <c r="M41" i="28"/>
  <c r="L42" i="28"/>
  <c r="M42" i="28"/>
  <c r="L43" i="28"/>
  <c r="M43" i="28"/>
  <c r="L44" i="28"/>
  <c r="M44" i="28"/>
  <c r="L45" i="28"/>
  <c r="M45" i="28"/>
  <c r="L46" i="28"/>
  <c r="M46" i="28"/>
  <c r="L47" i="28"/>
  <c r="M47" i="28"/>
  <c r="L48" i="28"/>
  <c r="M48" i="28"/>
  <c r="L49" i="28"/>
  <c r="M49" i="28"/>
  <c r="L50" i="28"/>
  <c r="M50" i="28"/>
  <c r="L51" i="28"/>
  <c r="M51" i="28"/>
  <c r="L52" i="28"/>
  <c r="M52" i="28"/>
  <c r="L53" i="28"/>
  <c r="M53" i="28"/>
  <c r="L54" i="28"/>
  <c r="M54" i="28"/>
  <c r="L55" i="28"/>
  <c r="M55" i="28"/>
  <c r="L56" i="28"/>
  <c r="M56" i="28"/>
  <c r="L57" i="28"/>
  <c r="M57" i="28"/>
  <c r="L58" i="28"/>
  <c r="M58" i="28"/>
  <c r="L59" i="28"/>
  <c r="M59" i="28"/>
  <c r="L60" i="28"/>
  <c r="M60" i="28"/>
  <c r="L61" i="28"/>
  <c r="M61" i="28"/>
  <c r="L62" i="28"/>
  <c r="M62" i="28"/>
  <c r="L63" i="28"/>
  <c r="M63" i="28"/>
  <c r="L64" i="28"/>
  <c r="M64" i="28"/>
  <c r="L65" i="28"/>
  <c r="M65" i="28"/>
  <c r="L66" i="28"/>
  <c r="M66" i="28"/>
  <c r="L67" i="28"/>
  <c r="M67" i="28"/>
  <c r="L68" i="28"/>
  <c r="M68" i="28"/>
  <c r="L69" i="28"/>
  <c r="M69" i="28"/>
  <c r="L70" i="28"/>
  <c r="M70" i="28"/>
  <c r="L71" i="28"/>
  <c r="M71" i="28"/>
  <c r="L72" i="28"/>
  <c r="M72" i="28"/>
  <c r="L73" i="28"/>
  <c r="M73" i="28"/>
  <c r="L74" i="28"/>
  <c r="M74" i="28"/>
  <c r="L75" i="28"/>
  <c r="M75" i="28"/>
  <c r="L76" i="28"/>
  <c r="M76" i="28"/>
  <c r="L77" i="28"/>
  <c r="M77" i="28"/>
  <c r="L78" i="28"/>
  <c r="M78" i="28"/>
  <c r="L79" i="28"/>
  <c r="M79" i="28"/>
  <c r="L80" i="28"/>
  <c r="M80" i="28"/>
  <c r="L81" i="28"/>
  <c r="M81" i="28"/>
  <c r="L82" i="28"/>
  <c r="M82" i="28"/>
  <c r="L83" i="28"/>
  <c r="M83" i="28"/>
  <c r="L84" i="28"/>
  <c r="M84" i="28"/>
  <c r="L85" i="28"/>
  <c r="M85" i="28"/>
  <c r="L86" i="28"/>
  <c r="M86" i="28"/>
  <c r="L87" i="28"/>
  <c r="M87" i="28"/>
  <c r="L88" i="28"/>
  <c r="M88" i="28"/>
  <c r="L89" i="28"/>
  <c r="M89" i="28"/>
  <c r="L90" i="28"/>
  <c r="M90" i="28"/>
  <c r="L91" i="28"/>
  <c r="M91" i="28"/>
  <c r="L92" i="28"/>
  <c r="M92" i="28"/>
  <c r="L93" i="28"/>
  <c r="M93" i="28"/>
  <c r="L94" i="28"/>
  <c r="M94" i="28"/>
  <c r="L95" i="28"/>
  <c r="M95" i="28"/>
  <c r="L96" i="28"/>
  <c r="M96" i="28"/>
  <c r="L97" i="28"/>
  <c r="M97" i="28"/>
  <c r="L98" i="28"/>
  <c r="M98" i="28"/>
  <c r="L99" i="28"/>
  <c r="M99" i="28"/>
  <c r="L100" i="28"/>
  <c r="M100" i="28"/>
  <c r="L101" i="28"/>
  <c r="M101" i="28"/>
  <c r="L102" i="28"/>
  <c r="M102" i="28"/>
  <c r="L103" i="28"/>
  <c r="M103" i="28"/>
  <c r="L104" i="28"/>
  <c r="M104" i="28"/>
  <c r="L105" i="28"/>
  <c r="M105" i="28"/>
  <c r="L106" i="28"/>
  <c r="M106" i="28"/>
  <c r="L107" i="28"/>
  <c r="M107" i="28"/>
  <c r="L108" i="28"/>
  <c r="M108" i="28"/>
  <c r="L109" i="28"/>
  <c r="M109" i="28"/>
  <c r="L110" i="28"/>
  <c r="M110" i="28"/>
  <c r="L111" i="28"/>
  <c r="M111" i="28"/>
  <c r="L112" i="28"/>
  <c r="M112" i="28"/>
  <c r="L113" i="28"/>
  <c r="M113" i="28"/>
  <c r="L114" i="28"/>
  <c r="M114" i="28"/>
  <c r="L115" i="28"/>
  <c r="M115" i="28"/>
  <c r="L116" i="28"/>
  <c r="M116" i="28"/>
  <c r="L117" i="28"/>
  <c r="M117" i="28"/>
  <c r="L118" i="28"/>
  <c r="M118" i="28"/>
  <c r="L119" i="28"/>
  <c r="M119" i="28"/>
  <c r="L120" i="28"/>
  <c r="M120" i="28"/>
  <c r="L121" i="28"/>
  <c r="M121" i="28"/>
  <c r="L122" i="28"/>
  <c r="M122" i="28"/>
  <c r="L123" i="28"/>
  <c r="M123" i="28"/>
  <c r="L124" i="28"/>
  <c r="M124" i="28"/>
  <c r="L125" i="28"/>
  <c r="M125" i="28"/>
  <c r="L126" i="28"/>
  <c r="M126" i="28"/>
  <c r="L127" i="28"/>
  <c r="M127" i="28"/>
  <c r="L128" i="28"/>
  <c r="M128" i="28"/>
  <c r="L129" i="28"/>
  <c r="M129" i="28"/>
  <c r="L130" i="28"/>
  <c r="M130" i="28"/>
  <c r="L131" i="28"/>
  <c r="M131" i="28"/>
  <c r="L132" i="28"/>
  <c r="M132" i="28"/>
  <c r="L133" i="28"/>
  <c r="M133" i="28"/>
  <c r="L134" i="28"/>
  <c r="M134" i="28"/>
  <c r="L135" i="28"/>
  <c r="M135" i="28"/>
  <c r="L136" i="28"/>
  <c r="M136" i="28"/>
  <c r="L137" i="28"/>
  <c r="M137" i="28"/>
  <c r="L138" i="28"/>
  <c r="M138" i="28"/>
  <c r="L139" i="28"/>
  <c r="M139" i="28"/>
  <c r="L140" i="28"/>
  <c r="M140" i="28"/>
  <c r="L141" i="28"/>
  <c r="M141" i="28"/>
  <c r="L142" i="28"/>
  <c r="M142" i="28"/>
  <c r="L143" i="28"/>
  <c r="M143" i="28"/>
  <c r="L144" i="28"/>
  <c r="M144" i="28"/>
  <c r="L145" i="28"/>
  <c r="M145" i="28"/>
  <c r="L146" i="28"/>
  <c r="M146" i="28"/>
  <c r="L147" i="28"/>
  <c r="M147" i="28"/>
  <c r="L148" i="28"/>
  <c r="M148" i="28"/>
  <c r="L149" i="28"/>
  <c r="M149" i="28"/>
  <c r="L150" i="28"/>
  <c r="M150" i="28"/>
  <c r="L151" i="28"/>
  <c r="M151" i="28"/>
  <c r="L152" i="28"/>
  <c r="M152" i="28"/>
  <c r="L153" i="28"/>
  <c r="M153" i="28"/>
  <c r="K23" i="28"/>
  <c r="K24" i="28"/>
  <c r="K25" i="28"/>
  <c r="K26" i="28"/>
  <c r="K27" i="28"/>
  <c r="K28" i="28"/>
  <c r="K29" i="28"/>
  <c r="K45" i="24"/>
  <c r="K46" i="24"/>
  <c r="K47" i="24"/>
  <c r="K48" i="22"/>
  <c r="K49" i="22"/>
  <c r="K50" i="22"/>
  <c r="K59" i="20"/>
  <c r="K57" i="20"/>
  <c r="K58" i="20"/>
  <c r="O38" i="28"/>
  <c r="P38" i="28"/>
  <c r="Q38" i="28"/>
  <c r="O39" i="28"/>
  <c r="P39" i="28"/>
  <c r="Q39" i="28"/>
  <c r="O40" i="28"/>
  <c r="P40" i="28"/>
  <c r="Q40" i="28"/>
  <c r="O41" i="28"/>
  <c r="P41" i="28"/>
  <c r="Q41" i="28"/>
  <c r="O42" i="28"/>
  <c r="P42" i="28"/>
  <c r="Q42" i="28"/>
  <c r="O43" i="28"/>
  <c r="P43" i="28"/>
  <c r="Q43" i="28"/>
  <c r="O44" i="28"/>
  <c r="P44" i="28"/>
  <c r="Q44" i="28"/>
  <c r="O45" i="28"/>
  <c r="P45" i="28"/>
  <c r="Q45" i="28"/>
  <c r="O46" i="28"/>
  <c r="P46" i="28"/>
  <c r="Q46" i="28"/>
  <c r="O47" i="28"/>
  <c r="P47" i="28"/>
  <c r="Q47" i="28"/>
  <c r="O48" i="28"/>
  <c r="P48" i="28"/>
  <c r="Q48" i="28"/>
  <c r="O49" i="28"/>
  <c r="P49" i="28"/>
  <c r="Q49" i="28"/>
  <c r="O50" i="28"/>
  <c r="P50" i="28"/>
  <c r="Q50" i="28"/>
  <c r="O51" i="28"/>
  <c r="P51" i="28"/>
  <c r="Q51" i="28"/>
  <c r="O52" i="28"/>
  <c r="P52" i="28"/>
  <c r="Q52" i="28"/>
  <c r="O53" i="28"/>
  <c r="P53" i="28"/>
  <c r="Q53" i="28"/>
  <c r="O54" i="28"/>
  <c r="P54" i="28"/>
  <c r="Q54" i="28"/>
  <c r="O55" i="28"/>
  <c r="P55" i="28"/>
  <c r="Q55" i="28"/>
  <c r="O56" i="28"/>
  <c r="P56" i="28"/>
  <c r="Q56" i="28"/>
  <c r="O57" i="28"/>
  <c r="P57" i="28"/>
  <c r="Q57" i="28"/>
  <c r="O58" i="28"/>
  <c r="P58" i="28"/>
  <c r="Q58" i="28"/>
  <c r="O59" i="28"/>
  <c r="P59" i="28"/>
  <c r="Q59" i="28"/>
  <c r="O60" i="28"/>
  <c r="P60" i="28"/>
  <c r="Q60" i="28"/>
  <c r="O61" i="28"/>
  <c r="P61" i="28"/>
  <c r="Q61" i="28"/>
  <c r="O62" i="28"/>
  <c r="P62" i="28"/>
  <c r="Q62" i="28"/>
  <c r="O63" i="28"/>
  <c r="P63" i="28"/>
  <c r="Q63" i="28"/>
  <c r="O64" i="28"/>
  <c r="P64" i="28"/>
  <c r="Q64" i="28"/>
  <c r="O65" i="28"/>
  <c r="P65" i="28"/>
  <c r="Q65" i="28"/>
  <c r="O66" i="28"/>
  <c r="P66" i="28"/>
  <c r="Q66" i="28"/>
  <c r="O67" i="28"/>
  <c r="P67" i="28"/>
  <c r="Q67" i="28"/>
  <c r="O68" i="28"/>
  <c r="P68" i="28"/>
  <c r="Q68" i="28"/>
  <c r="O69" i="28"/>
  <c r="P69" i="28"/>
  <c r="Q69" i="28"/>
  <c r="O70" i="28"/>
  <c r="P70" i="28"/>
  <c r="Q70" i="28"/>
  <c r="O71" i="28"/>
  <c r="P71" i="28"/>
  <c r="Q71" i="28"/>
  <c r="O72" i="28"/>
  <c r="P72" i="28"/>
  <c r="Q72" i="28"/>
  <c r="O73" i="28"/>
  <c r="P73" i="28"/>
  <c r="Q73" i="28"/>
  <c r="O74" i="28"/>
  <c r="P74" i="28"/>
  <c r="Q74" i="28"/>
  <c r="O75" i="28"/>
  <c r="P75" i="28"/>
  <c r="Q75" i="28"/>
  <c r="O76" i="28"/>
  <c r="P76" i="28"/>
  <c r="Q76" i="28"/>
  <c r="O77" i="28"/>
  <c r="P77" i="28"/>
  <c r="Q77" i="28"/>
  <c r="O78" i="28"/>
  <c r="P78" i="28"/>
  <c r="Q78" i="28"/>
  <c r="O79" i="28"/>
  <c r="P79" i="28"/>
  <c r="Q79" i="28"/>
  <c r="O80" i="28"/>
  <c r="P80" i="28"/>
  <c r="Q80" i="28"/>
  <c r="O81" i="28"/>
  <c r="P81" i="28"/>
  <c r="Q81" i="28"/>
  <c r="O82" i="28"/>
  <c r="P82" i="28"/>
  <c r="Q82" i="28"/>
  <c r="O83" i="28"/>
  <c r="P83" i="28"/>
  <c r="Q83" i="28"/>
  <c r="O84" i="28"/>
  <c r="P84" i="28"/>
  <c r="Q84" i="28"/>
  <c r="O85" i="28"/>
  <c r="P85" i="28"/>
  <c r="Q85" i="28"/>
  <c r="O86" i="28"/>
  <c r="P86" i="28"/>
  <c r="Q86" i="28"/>
  <c r="O87" i="28"/>
  <c r="P87" i="28"/>
  <c r="Q87" i="28"/>
  <c r="O88" i="28"/>
  <c r="P88" i="28"/>
  <c r="Q88" i="28"/>
  <c r="O89" i="28"/>
  <c r="P89" i="28"/>
  <c r="Q89" i="28"/>
  <c r="O90" i="28"/>
  <c r="P90" i="28"/>
  <c r="Q90" i="28"/>
  <c r="O91" i="28"/>
  <c r="P91" i="28"/>
  <c r="Q91" i="28"/>
  <c r="O92" i="28"/>
  <c r="P92" i="28"/>
  <c r="Q92" i="28"/>
  <c r="O93" i="28"/>
  <c r="P93" i="28"/>
  <c r="Q93" i="28"/>
  <c r="O94" i="28"/>
  <c r="P94" i="28"/>
  <c r="Q94" i="28"/>
  <c r="O95" i="28"/>
  <c r="P95" i="28"/>
  <c r="Q95" i="28"/>
  <c r="O96" i="28"/>
  <c r="P96" i="28"/>
  <c r="Q96" i="28"/>
  <c r="O97" i="28"/>
  <c r="P97" i="28"/>
  <c r="Q97" i="28"/>
  <c r="O98" i="28"/>
  <c r="P98" i="28"/>
  <c r="Q98" i="28"/>
  <c r="O99" i="28"/>
  <c r="P99" i="28"/>
  <c r="Q99" i="28"/>
  <c r="O100" i="28"/>
  <c r="P100" i="28"/>
  <c r="Q100" i="28"/>
  <c r="O101" i="28"/>
  <c r="P101" i="28"/>
  <c r="Q101" i="28"/>
  <c r="O102" i="28"/>
  <c r="P102" i="28"/>
  <c r="Q102" i="28"/>
  <c r="O103" i="28"/>
  <c r="P103" i="28"/>
  <c r="Q103" i="28"/>
  <c r="O104" i="28"/>
  <c r="P104" i="28"/>
  <c r="Q104" i="28"/>
  <c r="O105" i="28"/>
  <c r="P105" i="28"/>
  <c r="Q105" i="28"/>
  <c r="O106" i="28"/>
  <c r="P106" i="28"/>
  <c r="Q106" i="28"/>
  <c r="O107" i="28"/>
  <c r="P107" i="28"/>
  <c r="Q107" i="28"/>
  <c r="O108" i="28"/>
  <c r="P108" i="28"/>
  <c r="Q108" i="28"/>
  <c r="O109" i="28"/>
  <c r="P109" i="28"/>
  <c r="Q109" i="28"/>
  <c r="O110" i="28"/>
  <c r="P110" i="28"/>
  <c r="Q110" i="28"/>
  <c r="O111" i="28"/>
  <c r="P111" i="28"/>
  <c r="Q111" i="28"/>
  <c r="O112" i="28"/>
  <c r="P112" i="28"/>
  <c r="Q112" i="28"/>
  <c r="O113" i="28"/>
  <c r="P113" i="28"/>
  <c r="Q113" i="28"/>
  <c r="O114" i="28"/>
  <c r="P114" i="28"/>
  <c r="Q114" i="28"/>
  <c r="O115" i="28"/>
  <c r="P115" i="28"/>
  <c r="Q115" i="28"/>
  <c r="O116" i="28"/>
  <c r="P116" i="28"/>
  <c r="Q116" i="28"/>
  <c r="O117" i="28"/>
  <c r="P117" i="28"/>
  <c r="Q117" i="28"/>
  <c r="O118" i="28"/>
  <c r="P118" i="28"/>
  <c r="Q118" i="28"/>
  <c r="O119" i="28"/>
  <c r="P119" i="28"/>
  <c r="Q119" i="28"/>
  <c r="O120" i="28"/>
  <c r="P120" i="28"/>
  <c r="Q120" i="28"/>
  <c r="O121" i="28"/>
  <c r="P121" i="28"/>
  <c r="Q121" i="28"/>
  <c r="O122" i="28"/>
  <c r="P122" i="28"/>
  <c r="Q122" i="28"/>
  <c r="O123" i="28"/>
  <c r="P123" i="28"/>
  <c r="Q123" i="28"/>
  <c r="O124" i="28"/>
  <c r="P124" i="28"/>
  <c r="Q124" i="28"/>
  <c r="O125" i="28"/>
  <c r="P125" i="28"/>
  <c r="Q125" i="28"/>
  <c r="O126" i="28"/>
  <c r="P126" i="28"/>
  <c r="Q126" i="28"/>
  <c r="O127" i="28"/>
  <c r="P127" i="28"/>
  <c r="Q127" i="28"/>
  <c r="O128" i="28"/>
  <c r="P128" i="28"/>
  <c r="Q128" i="28"/>
  <c r="O129" i="28"/>
  <c r="P129" i="28"/>
  <c r="Q129" i="28"/>
  <c r="O130" i="28"/>
  <c r="P130" i="28"/>
  <c r="Q130" i="28"/>
  <c r="O131" i="28"/>
  <c r="P131" i="28"/>
  <c r="Q131" i="28"/>
  <c r="O132" i="28"/>
  <c r="P132" i="28"/>
  <c r="Q132" i="28"/>
  <c r="O133" i="28"/>
  <c r="P133" i="28"/>
  <c r="Q133" i="28"/>
  <c r="O134" i="28"/>
  <c r="P134" i="28"/>
  <c r="Q134" i="28"/>
  <c r="O135" i="28"/>
  <c r="P135" i="28"/>
  <c r="Q135" i="28"/>
  <c r="O136" i="28"/>
  <c r="P136" i="28"/>
  <c r="Q136" i="28"/>
  <c r="O137" i="28"/>
  <c r="P137" i="28"/>
  <c r="Q137" i="28"/>
  <c r="O138" i="28"/>
  <c r="P138" i="28"/>
  <c r="Q138" i="28"/>
  <c r="O139" i="28"/>
  <c r="P139" i="28"/>
  <c r="Q139" i="28"/>
  <c r="O140" i="28"/>
  <c r="P140" i="28"/>
  <c r="Q140" i="28"/>
  <c r="O141" i="28"/>
  <c r="P141" i="28"/>
  <c r="Q141" i="28"/>
  <c r="O142" i="28"/>
  <c r="P142" i="28"/>
  <c r="Q142" i="28"/>
  <c r="O143" i="28"/>
  <c r="P143" i="28"/>
  <c r="Q143" i="28"/>
  <c r="O144" i="28"/>
  <c r="P144" i="28"/>
  <c r="Q144" i="28"/>
  <c r="O145" i="28"/>
  <c r="P145" i="28"/>
  <c r="Q145" i="28"/>
  <c r="O146" i="28"/>
  <c r="P146" i="28"/>
  <c r="Q146" i="28"/>
  <c r="O147" i="28"/>
  <c r="P147" i="28"/>
  <c r="Q147" i="28"/>
  <c r="O148" i="28"/>
  <c r="P148" i="28"/>
  <c r="Q148" i="28"/>
  <c r="O149" i="28"/>
  <c r="P149" i="28"/>
  <c r="Q149" i="28"/>
  <c r="O150" i="28"/>
  <c r="P150" i="28"/>
  <c r="Q150" i="28"/>
  <c r="O151" i="28"/>
  <c r="P151" i="28"/>
  <c r="Q151" i="28"/>
  <c r="O152" i="28"/>
  <c r="P152" i="28"/>
  <c r="Q152" i="28"/>
  <c r="O153" i="28"/>
  <c r="P153" i="28"/>
  <c r="Q153" i="28"/>
  <c r="K22" i="28"/>
  <c r="K43" i="24"/>
  <c r="K44" i="24"/>
  <c r="K21" i="28"/>
  <c r="O56" i="24"/>
  <c r="P56" i="24"/>
  <c r="Q56" i="24"/>
  <c r="O57" i="24"/>
  <c r="P57" i="24"/>
  <c r="Q57" i="24"/>
  <c r="O58" i="24"/>
  <c r="P58" i="24"/>
  <c r="Q58" i="24"/>
  <c r="O59" i="24"/>
  <c r="P59" i="24"/>
  <c r="Q59" i="24"/>
  <c r="O60" i="24"/>
  <c r="P60" i="24"/>
  <c r="Q60" i="24"/>
  <c r="O61" i="24"/>
  <c r="P61" i="24"/>
  <c r="Q61" i="24"/>
  <c r="O62" i="24"/>
  <c r="P62" i="24"/>
  <c r="Q62" i="24"/>
  <c r="O63" i="24"/>
  <c r="P63" i="24"/>
  <c r="Q63" i="24"/>
  <c r="O64" i="24"/>
  <c r="P64" i="24"/>
  <c r="Q64" i="24"/>
  <c r="O65" i="24"/>
  <c r="P65" i="24"/>
  <c r="Q65" i="24"/>
  <c r="O66" i="24"/>
  <c r="P66" i="24"/>
  <c r="Q66" i="24"/>
  <c r="O67" i="24"/>
  <c r="P67" i="24"/>
  <c r="Q67" i="24"/>
  <c r="O68" i="24"/>
  <c r="P68" i="24"/>
  <c r="Q68" i="24"/>
  <c r="O69" i="24"/>
  <c r="P69" i="24"/>
  <c r="Q69" i="24"/>
  <c r="O70" i="24"/>
  <c r="P70" i="24"/>
  <c r="Q70" i="24"/>
  <c r="O71" i="24"/>
  <c r="P71" i="24"/>
  <c r="Q71" i="24"/>
  <c r="O72" i="24"/>
  <c r="P72" i="24"/>
  <c r="Q72" i="24"/>
  <c r="O73" i="24"/>
  <c r="P73" i="24"/>
  <c r="Q73" i="24"/>
  <c r="O74" i="24"/>
  <c r="P74" i="24"/>
  <c r="Q74" i="24"/>
  <c r="O75" i="24"/>
  <c r="P75" i="24"/>
  <c r="Q75" i="24"/>
  <c r="O76" i="24"/>
  <c r="P76" i="24"/>
  <c r="Q76" i="24"/>
  <c r="O77" i="24"/>
  <c r="P77" i="24"/>
  <c r="Q77" i="24"/>
  <c r="O78" i="24"/>
  <c r="P78" i="24"/>
  <c r="Q78" i="24"/>
  <c r="O79" i="24"/>
  <c r="P79" i="24"/>
  <c r="Q79" i="24"/>
  <c r="O80" i="24"/>
  <c r="P80" i="24"/>
  <c r="Q80" i="24"/>
  <c r="O81" i="24"/>
  <c r="P81" i="24"/>
  <c r="Q81" i="24"/>
  <c r="O82" i="24"/>
  <c r="P82" i="24"/>
  <c r="Q82" i="24"/>
  <c r="O83" i="24"/>
  <c r="P83" i="24"/>
  <c r="Q83" i="24"/>
  <c r="O84" i="24"/>
  <c r="P84" i="24"/>
  <c r="Q84" i="24"/>
  <c r="O85" i="24"/>
  <c r="P85" i="24"/>
  <c r="Q85" i="24"/>
  <c r="O86" i="24"/>
  <c r="P86" i="24"/>
  <c r="Q86" i="24"/>
  <c r="O87" i="24"/>
  <c r="P87" i="24"/>
  <c r="Q87" i="24"/>
  <c r="O88" i="24"/>
  <c r="P88" i="24"/>
  <c r="Q88" i="24"/>
  <c r="O89" i="24"/>
  <c r="P89" i="24"/>
  <c r="Q89" i="24"/>
  <c r="O90" i="24"/>
  <c r="P90" i="24"/>
  <c r="Q90" i="24"/>
  <c r="O91" i="24"/>
  <c r="P91" i="24"/>
  <c r="Q91" i="24"/>
  <c r="O92" i="24"/>
  <c r="P92" i="24"/>
  <c r="Q92" i="24"/>
  <c r="O93" i="24"/>
  <c r="P93" i="24"/>
  <c r="Q93" i="24"/>
  <c r="O94" i="24"/>
  <c r="P94" i="24"/>
  <c r="Q94" i="24"/>
  <c r="O95" i="24"/>
  <c r="P95" i="24"/>
  <c r="Q95" i="24"/>
  <c r="O96" i="24"/>
  <c r="P96" i="24"/>
  <c r="Q96" i="24"/>
  <c r="O97" i="24"/>
  <c r="P97" i="24"/>
  <c r="Q97" i="24"/>
  <c r="O98" i="24"/>
  <c r="P98" i="24"/>
  <c r="Q98" i="24"/>
  <c r="O99" i="24"/>
  <c r="P99" i="24"/>
  <c r="Q99" i="24"/>
  <c r="O100" i="24"/>
  <c r="P100" i="24"/>
  <c r="Q100" i="24"/>
  <c r="O101" i="24"/>
  <c r="P101" i="24"/>
  <c r="Q101" i="24"/>
  <c r="O102" i="24"/>
  <c r="P102" i="24"/>
  <c r="Q102" i="24"/>
  <c r="O103" i="24"/>
  <c r="P103" i="24"/>
  <c r="Q103" i="24"/>
  <c r="O104" i="24"/>
  <c r="P104" i="24"/>
  <c r="Q104" i="24"/>
  <c r="O105" i="24"/>
  <c r="P105" i="24"/>
  <c r="Q105" i="24"/>
  <c r="O106" i="24"/>
  <c r="P106" i="24"/>
  <c r="Q106" i="24"/>
  <c r="O107" i="24"/>
  <c r="P107" i="24"/>
  <c r="Q107" i="24"/>
  <c r="O108" i="24"/>
  <c r="P108" i="24"/>
  <c r="Q108" i="24"/>
  <c r="O109" i="24"/>
  <c r="P109" i="24"/>
  <c r="Q109" i="24"/>
  <c r="O110" i="24"/>
  <c r="P110" i="24"/>
  <c r="Q110" i="24"/>
  <c r="O111" i="24"/>
  <c r="P111" i="24"/>
  <c r="Q111" i="24"/>
  <c r="O112" i="24"/>
  <c r="P112" i="24"/>
  <c r="Q112" i="24"/>
  <c r="O113" i="24"/>
  <c r="P113" i="24"/>
  <c r="Q113" i="24"/>
  <c r="O114" i="24"/>
  <c r="P114" i="24"/>
  <c r="Q114" i="24"/>
  <c r="O115" i="24"/>
  <c r="P115" i="24"/>
  <c r="Q115" i="24"/>
  <c r="O116" i="24"/>
  <c r="P116" i="24"/>
  <c r="Q116" i="24"/>
  <c r="O117" i="24"/>
  <c r="P117" i="24"/>
  <c r="Q117" i="24"/>
  <c r="O118" i="24"/>
  <c r="P118" i="24"/>
  <c r="Q118" i="24"/>
  <c r="O119" i="24"/>
  <c r="P119" i="24"/>
  <c r="Q119" i="24"/>
  <c r="O120" i="24"/>
  <c r="P120" i="24"/>
  <c r="Q120" i="24"/>
  <c r="O121" i="24"/>
  <c r="P121" i="24"/>
  <c r="Q121" i="24"/>
  <c r="O122" i="24"/>
  <c r="P122" i="24"/>
  <c r="Q122" i="24"/>
  <c r="O123" i="24"/>
  <c r="P123" i="24"/>
  <c r="Q123" i="24"/>
  <c r="O124" i="24"/>
  <c r="P124" i="24"/>
  <c r="Q124" i="24"/>
  <c r="O125" i="24"/>
  <c r="P125" i="24"/>
  <c r="Q125" i="24"/>
  <c r="O126" i="24"/>
  <c r="P126" i="24"/>
  <c r="Q126" i="24"/>
  <c r="O127" i="24"/>
  <c r="P127" i="24"/>
  <c r="Q127" i="24"/>
  <c r="O128" i="24"/>
  <c r="P128" i="24"/>
  <c r="Q128" i="24"/>
  <c r="O129" i="24"/>
  <c r="P129" i="24"/>
  <c r="Q129" i="24"/>
  <c r="O130" i="24"/>
  <c r="P130" i="24"/>
  <c r="Q130" i="24"/>
  <c r="O131" i="24"/>
  <c r="P131" i="24"/>
  <c r="Q131" i="24"/>
  <c r="O132" i="24"/>
  <c r="P132" i="24"/>
  <c r="Q132" i="24"/>
  <c r="O133" i="24"/>
  <c r="P133" i="24"/>
  <c r="Q133" i="24"/>
  <c r="O134" i="24"/>
  <c r="P134" i="24"/>
  <c r="Q134" i="24"/>
  <c r="O135" i="24"/>
  <c r="P135" i="24"/>
  <c r="Q135" i="24"/>
  <c r="O136" i="24"/>
  <c r="P136" i="24"/>
  <c r="Q136" i="24"/>
  <c r="O137" i="24"/>
  <c r="P137" i="24"/>
  <c r="Q137" i="24"/>
  <c r="O138" i="24"/>
  <c r="P138" i="24"/>
  <c r="Q138" i="24"/>
  <c r="O139" i="24"/>
  <c r="P139" i="24"/>
  <c r="Q139" i="24"/>
  <c r="O140" i="24"/>
  <c r="P140" i="24"/>
  <c r="Q140" i="24"/>
  <c r="O141" i="24"/>
  <c r="P141" i="24"/>
  <c r="Q141" i="24"/>
  <c r="O142" i="24"/>
  <c r="P142" i="24"/>
  <c r="Q142" i="24"/>
  <c r="O143" i="24"/>
  <c r="P143" i="24"/>
  <c r="Q143" i="24"/>
  <c r="O144" i="24"/>
  <c r="P144" i="24"/>
  <c r="Q144" i="24"/>
  <c r="O145" i="24"/>
  <c r="P145" i="24"/>
  <c r="Q145" i="24"/>
  <c r="O146" i="24"/>
  <c r="P146" i="24"/>
  <c r="Q146" i="24"/>
  <c r="O147" i="24"/>
  <c r="P147" i="24"/>
  <c r="Q147" i="24"/>
  <c r="O148" i="24"/>
  <c r="P148" i="24"/>
  <c r="Q148" i="24"/>
  <c r="O149" i="24"/>
  <c r="P149" i="24"/>
  <c r="Q149" i="24"/>
  <c r="O150" i="24"/>
  <c r="P150" i="24"/>
  <c r="Q150" i="24"/>
  <c r="O151" i="24"/>
  <c r="P151" i="24"/>
  <c r="Q151" i="24"/>
  <c r="O152" i="24"/>
  <c r="P152" i="24"/>
  <c r="Q152" i="24"/>
  <c r="O153" i="24"/>
  <c r="P153" i="24"/>
  <c r="Q153" i="24"/>
  <c r="S51" i="20"/>
  <c r="T51" i="20"/>
  <c r="U51" i="20"/>
  <c r="K38" i="24"/>
  <c r="K39" i="24"/>
  <c r="K40" i="24"/>
  <c r="K41" i="24"/>
  <c r="K42" i="24"/>
  <c r="K43" i="22"/>
  <c r="K44" i="22"/>
  <c r="K45" i="22"/>
  <c r="K46" i="22"/>
  <c r="K47" i="22"/>
  <c r="K52" i="20"/>
  <c r="K53" i="20"/>
  <c r="K54" i="20"/>
  <c r="K55" i="20"/>
  <c r="K56" i="20"/>
  <c r="O60" i="22"/>
  <c r="P60" i="22"/>
  <c r="O61" i="22"/>
  <c r="P61" i="22"/>
  <c r="O62" i="22"/>
  <c r="P62" i="22"/>
  <c r="O63" i="22"/>
  <c r="P63" i="22"/>
  <c r="O64" i="22"/>
  <c r="P64" i="22"/>
  <c r="O65" i="22"/>
  <c r="P65" i="22"/>
  <c r="O66" i="22"/>
  <c r="P66" i="22"/>
  <c r="O67" i="22"/>
  <c r="P67" i="22"/>
  <c r="O68" i="22"/>
  <c r="P68" i="22"/>
  <c r="O69" i="22"/>
  <c r="P69" i="22"/>
  <c r="O70" i="22"/>
  <c r="P70" i="22"/>
  <c r="O71" i="22"/>
  <c r="P71" i="22"/>
  <c r="O72" i="22"/>
  <c r="P72" i="22"/>
  <c r="O73" i="22"/>
  <c r="P73" i="22"/>
  <c r="O74" i="22"/>
  <c r="P74" i="22"/>
  <c r="O75" i="22"/>
  <c r="P75" i="22"/>
  <c r="O76" i="22"/>
  <c r="P76" i="22"/>
  <c r="O77" i="22"/>
  <c r="P77" i="22"/>
  <c r="O78" i="22"/>
  <c r="P78" i="22"/>
  <c r="O79" i="22"/>
  <c r="P79" i="22"/>
  <c r="O80" i="22"/>
  <c r="P80" i="22"/>
  <c r="O81" i="22"/>
  <c r="P81" i="22"/>
  <c r="O82" i="22"/>
  <c r="P82" i="22"/>
  <c r="O83" i="22"/>
  <c r="P83" i="22"/>
  <c r="O84" i="22"/>
  <c r="P84" i="22"/>
  <c r="O85" i="22"/>
  <c r="P85" i="22"/>
  <c r="O86" i="22"/>
  <c r="P86" i="22"/>
  <c r="O87" i="22"/>
  <c r="P87" i="22"/>
  <c r="O88" i="22"/>
  <c r="P88" i="22"/>
  <c r="O89" i="22"/>
  <c r="P89" i="22"/>
  <c r="O90" i="22"/>
  <c r="P90" i="22"/>
  <c r="O91" i="22"/>
  <c r="P91" i="22"/>
  <c r="O92" i="22"/>
  <c r="P92" i="22"/>
  <c r="O93" i="22"/>
  <c r="P93" i="22"/>
  <c r="O94" i="22"/>
  <c r="P94" i="22"/>
  <c r="O95" i="22"/>
  <c r="P95" i="22"/>
  <c r="O96" i="22"/>
  <c r="P96" i="22"/>
  <c r="O97" i="22"/>
  <c r="P97" i="22"/>
  <c r="O98" i="22"/>
  <c r="P98" i="22"/>
  <c r="O99" i="22"/>
  <c r="P99" i="22"/>
  <c r="O100" i="22"/>
  <c r="P100" i="22"/>
  <c r="O101" i="22"/>
  <c r="P101" i="22"/>
  <c r="O102" i="22"/>
  <c r="P102" i="22"/>
  <c r="O103" i="22"/>
  <c r="P103" i="22"/>
  <c r="O104" i="22"/>
  <c r="P104" i="22"/>
  <c r="O105" i="22"/>
  <c r="P105" i="22"/>
  <c r="O106" i="22"/>
  <c r="P106" i="22"/>
  <c r="O107" i="22"/>
  <c r="P107" i="22"/>
  <c r="O108" i="22"/>
  <c r="P108" i="22"/>
  <c r="O109" i="22"/>
  <c r="P109" i="22"/>
  <c r="O110" i="22"/>
  <c r="P110" i="22"/>
  <c r="O111" i="22"/>
  <c r="P111" i="22"/>
  <c r="O112" i="22"/>
  <c r="P112" i="22"/>
  <c r="O113" i="22"/>
  <c r="P113" i="22"/>
  <c r="O114" i="22"/>
  <c r="P114" i="22"/>
  <c r="O115" i="22"/>
  <c r="P115" i="22"/>
  <c r="O116" i="22"/>
  <c r="P116" i="22"/>
  <c r="O117" i="22"/>
  <c r="P117" i="22"/>
  <c r="O118" i="22"/>
  <c r="P118" i="22"/>
  <c r="O119" i="22"/>
  <c r="P119" i="22"/>
  <c r="O120" i="22"/>
  <c r="P120" i="22"/>
  <c r="O121" i="22"/>
  <c r="P121" i="22"/>
  <c r="O122" i="22"/>
  <c r="P122" i="22"/>
  <c r="O123" i="22"/>
  <c r="P123" i="22"/>
  <c r="O124" i="22"/>
  <c r="P124" i="22"/>
  <c r="O125" i="22"/>
  <c r="P125" i="22"/>
  <c r="O126" i="22"/>
  <c r="P126" i="22"/>
  <c r="O127" i="22"/>
  <c r="P127" i="22"/>
  <c r="O128" i="22"/>
  <c r="P128" i="22"/>
  <c r="O129" i="22"/>
  <c r="P129" i="22"/>
  <c r="O130" i="22"/>
  <c r="P130" i="22"/>
  <c r="O131" i="22"/>
  <c r="P131" i="22"/>
  <c r="O132" i="22"/>
  <c r="P132" i="22"/>
  <c r="O133" i="22"/>
  <c r="P133" i="22"/>
  <c r="O134" i="22"/>
  <c r="P134" i="22"/>
  <c r="O135" i="22"/>
  <c r="P135" i="22"/>
  <c r="O136" i="22"/>
  <c r="P136" i="22"/>
  <c r="O137" i="22"/>
  <c r="P137" i="22"/>
  <c r="O138" i="22"/>
  <c r="P138" i="22"/>
  <c r="O139" i="22"/>
  <c r="P139" i="22"/>
  <c r="O140" i="22"/>
  <c r="P140" i="22"/>
  <c r="O141" i="22"/>
  <c r="P141" i="22"/>
  <c r="O142" i="22"/>
  <c r="P142" i="22"/>
  <c r="O143" i="22"/>
  <c r="P143" i="22"/>
  <c r="O144" i="22"/>
  <c r="P144" i="22"/>
  <c r="O145" i="22"/>
  <c r="P145" i="22"/>
  <c r="O146" i="22"/>
  <c r="P146" i="22"/>
  <c r="O147" i="22"/>
  <c r="P147" i="22"/>
  <c r="O148" i="22"/>
  <c r="P148" i="22"/>
  <c r="O149" i="22"/>
  <c r="P149" i="22"/>
  <c r="O150" i="22"/>
  <c r="P150" i="22"/>
  <c r="O151" i="22"/>
  <c r="P151" i="22"/>
  <c r="O152" i="22"/>
  <c r="P152" i="22"/>
  <c r="O153" i="22"/>
  <c r="P153" i="22"/>
  <c r="K36" i="24"/>
  <c r="K37" i="24"/>
  <c r="K41" i="22"/>
  <c r="K42" i="22"/>
  <c r="K50" i="20"/>
  <c r="K51" i="20"/>
  <c r="K17" i="37"/>
  <c r="K18" i="37"/>
  <c r="K19" i="37"/>
  <c r="K20" i="37"/>
  <c r="K21" i="37"/>
  <c r="K22" i="37"/>
  <c r="X153" i="37"/>
  <c r="W153" i="37"/>
  <c r="V153" i="37"/>
  <c r="U153" i="37"/>
  <c r="T153" i="37"/>
  <c r="S153" i="37"/>
  <c r="R153" i="37"/>
  <c r="N153" i="37"/>
  <c r="M153" i="37"/>
  <c r="L153" i="37"/>
  <c r="X152" i="37"/>
  <c r="W152" i="37"/>
  <c r="V152" i="37"/>
  <c r="U152" i="37"/>
  <c r="T152" i="37"/>
  <c r="S152" i="37"/>
  <c r="R152" i="37"/>
  <c r="N152" i="37"/>
  <c r="M152" i="37"/>
  <c r="L152" i="37"/>
  <c r="X151" i="37"/>
  <c r="W151" i="37"/>
  <c r="V151" i="37"/>
  <c r="U151" i="37"/>
  <c r="T151" i="37"/>
  <c r="S151" i="37"/>
  <c r="R151" i="37"/>
  <c r="N151" i="37"/>
  <c r="M151" i="37"/>
  <c r="L151" i="37"/>
  <c r="X150" i="37"/>
  <c r="W150" i="37"/>
  <c r="V150" i="37"/>
  <c r="U150" i="37"/>
  <c r="T150" i="37"/>
  <c r="S150" i="37"/>
  <c r="R150" i="37"/>
  <c r="N150" i="37"/>
  <c r="M150" i="37"/>
  <c r="L150" i="37"/>
  <c r="X149" i="37"/>
  <c r="W149" i="37"/>
  <c r="V149" i="37"/>
  <c r="U149" i="37"/>
  <c r="T149" i="37"/>
  <c r="S149" i="37"/>
  <c r="R149" i="37"/>
  <c r="N149" i="37"/>
  <c r="M149" i="37"/>
  <c r="L149" i="37"/>
  <c r="X148" i="37"/>
  <c r="W148" i="37"/>
  <c r="V148" i="37"/>
  <c r="U148" i="37"/>
  <c r="T148" i="37"/>
  <c r="S148" i="37"/>
  <c r="R148" i="37"/>
  <c r="N148" i="37"/>
  <c r="M148" i="37"/>
  <c r="L148" i="37"/>
  <c r="X147" i="37"/>
  <c r="W147" i="37"/>
  <c r="V147" i="37"/>
  <c r="U147" i="37"/>
  <c r="T147" i="37"/>
  <c r="S147" i="37"/>
  <c r="R147" i="37"/>
  <c r="N147" i="37"/>
  <c r="M147" i="37"/>
  <c r="L147" i="37"/>
  <c r="X146" i="37"/>
  <c r="W146" i="37"/>
  <c r="V146" i="37"/>
  <c r="U146" i="37"/>
  <c r="T146" i="37"/>
  <c r="S146" i="37"/>
  <c r="R146" i="37"/>
  <c r="N146" i="37"/>
  <c r="M146" i="37"/>
  <c r="L146" i="37"/>
  <c r="X145" i="37"/>
  <c r="W145" i="37"/>
  <c r="V145" i="37"/>
  <c r="U145" i="37"/>
  <c r="T145" i="37"/>
  <c r="S145" i="37"/>
  <c r="R145" i="37"/>
  <c r="N145" i="37"/>
  <c r="M145" i="37"/>
  <c r="L145" i="37"/>
  <c r="X144" i="37"/>
  <c r="W144" i="37"/>
  <c r="V144" i="37"/>
  <c r="U144" i="37"/>
  <c r="T144" i="37"/>
  <c r="S144" i="37"/>
  <c r="R144" i="37"/>
  <c r="N144" i="37"/>
  <c r="M144" i="37"/>
  <c r="L144" i="37"/>
  <c r="X143" i="37"/>
  <c r="W143" i="37"/>
  <c r="V143" i="37"/>
  <c r="U143" i="37"/>
  <c r="T143" i="37"/>
  <c r="S143" i="37"/>
  <c r="R143" i="37"/>
  <c r="N143" i="37"/>
  <c r="M143" i="37"/>
  <c r="L143" i="37"/>
  <c r="X142" i="37"/>
  <c r="W142" i="37"/>
  <c r="V142" i="37"/>
  <c r="U142" i="37"/>
  <c r="T142" i="37"/>
  <c r="S142" i="37"/>
  <c r="R142" i="37"/>
  <c r="N142" i="37"/>
  <c r="M142" i="37"/>
  <c r="L142" i="37"/>
  <c r="X141" i="37"/>
  <c r="W141" i="37"/>
  <c r="V141" i="37"/>
  <c r="U141" i="37"/>
  <c r="T141" i="37"/>
  <c r="S141" i="37"/>
  <c r="R141" i="37"/>
  <c r="N141" i="37"/>
  <c r="M141" i="37"/>
  <c r="L141" i="37"/>
  <c r="X140" i="37"/>
  <c r="W140" i="37"/>
  <c r="V140" i="37"/>
  <c r="U140" i="37"/>
  <c r="T140" i="37"/>
  <c r="S140" i="37"/>
  <c r="R140" i="37"/>
  <c r="N140" i="37"/>
  <c r="M140" i="37"/>
  <c r="L140" i="37"/>
  <c r="X139" i="37"/>
  <c r="W139" i="37"/>
  <c r="V139" i="37"/>
  <c r="U139" i="37"/>
  <c r="T139" i="37"/>
  <c r="S139" i="37"/>
  <c r="R139" i="37"/>
  <c r="N139" i="37"/>
  <c r="M139" i="37"/>
  <c r="L139" i="37"/>
  <c r="X138" i="37"/>
  <c r="W138" i="37"/>
  <c r="V138" i="37"/>
  <c r="U138" i="37"/>
  <c r="T138" i="37"/>
  <c r="S138" i="37"/>
  <c r="R138" i="37"/>
  <c r="N138" i="37"/>
  <c r="M138" i="37"/>
  <c r="L138" i="37"/>
  <c r="X137" i="37"/>
  <c r="W137" i="37"/>
  <c r="V137" i="37"/>
  <c r="U137" i="37"/>
  <c r="T137" i="37"/>
  <c r="S137" i="37"/>
  <c r="R137" i="37"/>
  <c r="N137" i="37"/>
  <c r="M137" i="37"/>
  <c r="L137" i="37"/>
  <c r="X136" i="37"/>
  <c r="W136" i="37"/>
  <c r="V136" i="37"/>
  <c r="U136" i="37"/>
  <c r="T136" i="37"/>
  <c r="S136" i="37"/>
  <c r="R136" i="37"/>
  <c r="N136" i="37"/>
  <c r="M136" i="37"/>
  <c r="L136" i="37"/>
  <c r="X135" i="37"/>
  <c r="W135" i="37"/>
  <c r="V135" i="37"/>
  <c r="U135" i="37"/>
  <c r="T135" i="37"/>
  <c r="S135" i="37"/>
  <c r="R135" i="37"/>
  <c r="N135" i="37"/>
  <c r="M135" i="37"/>
  <c r="L135" i="37"/>
  <c r="X134" i="37"/>
  <c r="W134" i="37"/>
  <c r="V134" i="37"/>
  <c r="U134" i="37"/>
  <c r="T134" i="37"/>
  <c r="S134" i="37"/>
  <c r="R134" i="37"/>
  <c r="N134" i="37"/>
  <c r="M134" i="37"/>
  <c r="L134" i="37"/>
  <c r="X133" i="37"/>
  <c r="W133" i="37"/>
  <c r="V133" i="37"/>
  <c r="U133" i="37"/>
  <c r="T133" i="37"/>
  <c r="S133" i="37"/>
  <c r="R133" i="37"/>
  <c r="N133" i="37"/>
  <c r="M133" i="37"/>
  <c r="L133" i="37"/>
  <c r="X132" i="37"/>
  <c r="W132" i="37"/>
  <c r="V132" i="37"/>
  <c r="U132" i="37"/>
  <c r="T132" i="37"/>
  <c r="S132" i="37"/>
  <c r="R132" i="37"/>
  <c r="N132" i="37"/>
  <c r="M132" i="37"/>
  <c r="L132" i="37"/>
  <c r="X131" i="37"/>
  <c r="W131" i="37"/>
  <c r="V131" i="37"/>
  <c r="U131" i="37"/>
  <c r="T131" i="37"/>
  <c r="S131" i="37"/>
  <c r="R131" i="37"/>
  <c r="N131" i="37"/>
  <c r="M131" i="37"/>
  <c r="L131" i="37"/>
  <c r="X130" i="37"/>
  <c r="W130" i="37"/>
  <c r="V130" i="37"/>
  <c r="U130" i="37"/>
  <c r="T130" i="37"/>
  <c r="S130" i="37"/>
  <c r="R130" i="37"/>
  <c r="N130" i="37"/>
  <c r="M130" i="37"/>
  <c r="L130" i="37"/>
  <c r="X129" i="37"/>
  <c r="W129" i="37"/>
  <c r="V129" i="37"/>
  <c r="U129" i="37"/>
  <c r="T129" i="37"/>
  <c r="S129" i="37"/>
  <c r="R129" i="37"/>
  <c r="N129" i="37"/>
  <c r="M129" i="37"/>
  <c r="L129" i="37"/>
  <c r="X128" i="37"/>
  <c r="W128" i="37"/>
  <c r="V128" i="37"/>
  <c r="U128" i="37"/>
  <c r="T128" i="37"/>
  <c r="S128" i="37"/>
  <c r="R128" i="37"/>
  <c r="N128" i="37"/>
  <c r="M128" i="37"/>
  <c r="L128" i="37"/>
  <c r="X127" i="37"/>
  <c r="W127" i="37"/>
  <c r="V127" i="37"/>
  <c r="U127" i="37"/>
  <c r="T127" i="37"/>
  <c r="S127" i="37"/>
  <c r="R127" i="37"/>
  <c r="N127" i="37"/>
  <c r="M127" i="37"/>
  <c r="L127" i="37"/>
  <c r="X126" i="37"/>
  <c r="W126" i="37"/>
  <c r="V126" i="37"/>
  <c r="U126" i="37"/>
  <c r="T126" i="37"/>
  <c r="S126" i="37"/>
  <c r="R126" i="37"/>
  <c r="N126" i="37"/>
  <c r="M126" i="37"/>
  <c r="L126" i="37"/>
  <c r="X125" i="37"/>
  <c r="W125" i="37"/>
  <c r="V125" i="37"/>
  <c r="U125" i="37"/>
  <c r="T125" i="37"/>
  <c r="S125" i="37"/>
  <c r="R125" i="37"/>
  <c r="N125" i="37"/>
  <c r="M125" i="37"/>
  <c r="L125" i="37"/>
  <c r="X124" i="37"/>
  <c r="W124" i="37"/>
  <c r="V124" i="37"/>
  <c r="U124" i="37"/>
  <c r="T124" i="37"/>
  <c r="S124" i="37"/>
  <c r="R124" i="37"/>
  <c r="N124" i="37"/>
  <c r="M124" i="37"/>
  <c r="L124" i="37"/>
  <c r="X123" i="37"/>
  <c r="W123" i="37"/>
  <c r="V123" i="37"/>
  <c r="U123" i="37"/>
  <c r="T123" i="37"/>
  <c r="S123" i="37"/>
  <c r="R123" i="37"/>
  <c r="N123" i="37"/>
  <c r="M123" i="37"/>
  <c r="L123" i="37"/>
  <c r="X122" i="37"/>
  <c r="W122" i="37"/>
  <c r="V122" i="37"/>
  <c r="U122" i="37"/>
  <c r="T122" i="37"/>
  <c r="S122" i="37"/>
  <c r="R122" i="37"/>
  <c r="N122" i="37"/>
  <c r="M122" i="37"/>
  <c r="L122" i="37"/>
  <c r="X121" i="37"/>
  <c r="W121" i="37"/>
  <c r="V121" i="37"/>
  <c r="U121" i="37"/>
  <c r="T121" i="37"/>
  <c r="S121" i="37"/>
  <c r="R121" i="37"/>
  <c r="N121" i="37"/>
  <c r="M121" i="37"/>
  <c r="L121" i="37"/>
  <c r="X120" i="37"/>
  <c r="W120" i="37"/>
  <c r="V120" i="37"/>
  <c r="U120" i="37"/>
  <c r="T120" i="37"/>
  <c r="S120" i="37"/>
  <c r="R120" i="37"/>
  <c r="N120" i="37"/>
  <c r="M120" i="37"/>
  <c r="L120" i="37"/>
  <c r="X119" i="37"/>
  <c r="W119" i="37"/>
  <c r="V119" i="37"/>
  <c r="U119" i="37"/>
  <c r="T119" i="37"/>
  <c r="S119" i="37"/>
  <c r="R119" i="37"/>
  <c r="N119" i="37"/>
  <c r="M119" i="37"/>
  <c r="L119" i="37"/>
  <c r="X118" i="37"/>
  <c r="W118" i="37"/>
  <c r="V118" i="37"/>
  <c r="U118" i="37"/>
  <c r="T118" i="37"/>
  <c r="S118" i="37"/>
  <c r="R118" i="37"/>
  <c r="N118" i="37"/>
  <c r="M118" i="37"/>
  <c r="L118" i="37"/>
  <c r="X117" i="37"/>
  <c r="W117" i="37"/>
  <c r="V117" i="37"/>
  <c r="U117" i="37"/>
  <c r="T117" i="37"/>
  <c r="S117" i="37"/>
  <c r="R117" i="37"/>
  <c r="N117" i="37"/>
  <c r="M117" i="37"/>
  <c r="L117" i="37"/>
  <c r="X116" i="37"/>
  <c r="W116" i="37"/>
  <c r="V116" i="37"/>
  <c r="U116" i="37"/>
  <c r="T116" i="37"/>
  <c r="S116" i="37"/>
  <c r="R116" i="37"/>
  <c r="N116" i="37"/>
  <c r="M116" i="37"/>
  <c r="L116" i="37"/>
  <c r="X115" i="37"/>
  <c r="W115" i="37"/>
  <c r="V115" i="37"/>
  <c r="U115" i="37"/>
  <c r="T115" i="37"/>
  <c r="S115" i="37"/>
  <c r="R115" i="37"/>
  <c r="N115" i="37"/>
  <c r="M115" i="37"/>
  <c r="L115" i="37"/>
  <c r="X114" i="37"/>
  <c r="W114" i="37"/>
  <c r="V114" i="37"/>
  <c r="U114" i="37"/>
  <c r="T114" i="37"/>
  <c r="S114" i="37"/>
  <c r="R114" i="37"/>
  <c r="N114" i="37"/>
  <c r="M114" i="37"/>
  <c r="L114" i="37"/>
  <c r="X113" i="37"/>
  <c r="W113" i="37"/>
  <c r="V113" i="37"/>
  <c r="U113" i="37"/>
  <c r="T113" i="37"/>
  <c r="S113" i="37"/>
  <c r="R113" i="37"/>
  <c r="N113" i="37"/>
  <c r="M113" i="37"/>
  <c r="L113" i="37"/>
  <c r="X112" i="37"/>
  <c r="W112" i="37"/>
  <c r="V112" i="37"/>
  <c r="U112" i="37"/>
  <c r="T112" i="37"/>
  <c r="S112" i="37"/>
  <c r="R112" i="37"/>
  <c r="N112" i="37"/>
  <c r="M112" i="37"/>
  <c r="L112" i="37"/>
  <c r="X111" i="37"/>
  <c r="W111" i="37"/>
  <c r="V111" i="37"/>
  <c r="U111" i="37"/>
  <c r="T111" i="37"/>
  <c r="S111" i="37"/>
  <c r="R111" i="37"/>
  <c r="N111" i="37"/>
  <c r="M111" i="37"/>
  <c r="L111" i="37"/>
  <c r="X110" i="37"/>
  <c r="W110" i="37"/>
  <c r="V110" i="37"/>
  <c r="U110" i="37"/>
  <c r="T110" i="37"/>
  <c r="S110" i="37"/>
  <c r="R110" i="37"/>
  <c r="N110" i="37"/>
  <c r="M110" i="37"/>
  <c r="L110" i="37"/>
  <c r="X109" i="37"/>
  <c r="W109" i="37"/>
  <c r="V109" i="37"/>
  <c r="U109" i="37"/>
  <c r="T109" i="37"/>
  <c r="S109" i="37"/>
  <c r="R109" i="37"/>
  <c r="N109" i="37"/>
  <c r="M109" i="37"/>
  <c r="L109" i="37"/>
  <c r="X108" i="37"/>
  <c r="W108" i="37"/>
  <c r="V108" i="37"/>
  <c r="U108" i="37"/>
  <c r="T108" i="37"/>
  <c r="S108" i="37"/>
  <c r="R108" i="37"/>
  <c r="N108" i="37"/>
  <c r="M108" i="37"/>
  <c r="L108" i="37"/>
  <c r="X107" i="37"/>
  <c r="W107" i="37"/>
  <c r="V107" i="37"/>
  <c r="U107" i="37"/>
  <c r="T107" i="37"/>
  <c r="S107" i="37"/>
  <c r="R107" i="37"/>
  <c r="N107" i="37"/>
  <c r="M107" i="37"/>
  <c r="L107" i="37"/>
  <c r="X106" i="37"/>
  <c r="W106" i="37"/>
  <c r="V106" i="37"/>
  <c r="U106" i="37"/>
  <c r="T106" i="37"/>
  <c r="S106" i="37"/>
  <c r="R106" i="37"/>
  <c r="N106" i="37"/>
  <c r="M106" i="37"/>
  <c r="L106" i="37"/>
  <c r="X105" i="37"/>
  <c r="W105" i="37"/>
  <c r="V105" i="37"/>
  <c r="U105" i="37"/>
  <c r="T105" i="37"/>
  <c r="S105" i="37"/>
  <c r="R105" i="37"/>
  <c r="N105" i="37"/>
  <c r="M105" i="37"/>
  <c r="L105" i="37"/>
  <c r="X104" i="37"/>
  <c r="W104" i="37"/>
  <c r="V104" i="37"/>
  <c r="U104" i="37"/>
  <c r="T104" i="37"/>
  <c r="S104" i="37"/>
  <c r="R104" i="37"/>
  <c r="N104" i="37"/>
  <c r="M104" i="37"/>
  <c r="L104" i="37"/>
  <c r="X103" i="37"/>
  <c r="W103" i="37"/>
  <c r="V103" i="37"/>
  <c r="U103" i="37"/>
  <c r="T103" i="37"/>
  <c r="S103" i="37"/>
  <c r="R103" i="37"/>
  <c r="N103" i="37"/>
  <c r="M103" i="37"/>
  <c r="L103" i="37"/>
  <c r="X102" i="37"/>
  <c r="W102" i="37"/>
  <c r="V102" i="37"/>
  <c r="U102" i="37"/>
  <c r="T102" i="37"/>
  <c r="S102" i="37"/>
  <c r="R102" i="37"/>
  <c r="N102" i="37"/>
  <c r="M102" i="37"/>
  <c r="L102" i="37"/>
  <c r="X101" i="37"/>
  <c r="W101" i="37"/>
  <c r="V101" i="37"/>
  <c r="U101" i="37"/>
  <c r="T101" i="37"/>
  <c r="S101" i="37"/>
  <c r="R101" i="37"/>
  <c r="N101" i="37"/>
  <c r="M101" i="37"/>
  <c r="L101" i="37"/>
  <c r="X100" i="37"/>
  <c r="W100" i="37"/>
  <c r="V100" i="37"/>
  <c r="U100" i="37"/>
  <c r="T100" i="37"/>
  <c r="S100" i="37"/>
  <c r="R100" i="37"/>
  <c r="N100" i="37"/>
  <c r="M100" i="37"/>
  <c r="L100" i="37"/>
  <c r="X99" i="37"/>
  <c r="W99" i="37"/>
  <c r="V99" i="37"/>
  <c r="U99" i="37"/>
  <c r="T99" i="37"/>
  <c r="S99" i="37"/>
  <c r="R99" i="37"/>
  <c r="N99" i="37"/>
  <c r="M99" i="37"/>
  <c r="L99" i="37"/>
  <c r="X98" i="37"/>
  <c r="W98" i="37"/>
  <c r="V98" i="37"/>
  <c r="U98" i="37"/>
  <c r="T98" i="37"/>
  <c r="S98" i="37"/>
  <c r="R98" i="37"/>
  <c r="N98" i="37"/>
  <c r="M98" i="37"/>
  <c r="L98" i="37"/>
  <c r="X97" i="37"/>
  <c r="W97" i="37"/>
  <c r="V97" i="37"/>
  <c r="U97" i="37"/>
  <c r="T97" i="37"/>
  <c r="S97" i="37"/>
  <c r="R97" i="37"/>
  <c r="N97" i="37"/>
  <c r="M97" i="37"/>
  <c r="L97" i="37"/>
  <c r="X96" i="37"/>
  <c r="W96" i="37"/>
  <c r="V96" i="37"/>
  <c r="U96" i="37"/>
  <c r="T96" i="37"/>
  <c r="S96" i="37"/>
  <c r="R96" i="37"/>
  <c r="N96" i="37"/>
  <c r="M96" i="37"/>
  <c r="L96" i="37"/>
  <c r="X95" i="37"/>
  <c r="W95" i="37"/>
  <c r="V95" i="37"/>
  <c r="U95" i="37"/>
  <c r="T95" i="37"/>
  <c r="S95" i="37"/>
  <c r="R95" i="37"/>
  <c r="N95" i="37"/>
  <c r="M95" i="37"/>
  <c r="L95" i="37"/>
  <c r="X94" i="37"/>
  <c r="W94" i="37"/>
  <c r="V94" i="37"/>
  <c r="U94" i="37"/>
  <c r="T94" i="37"/>
  <c r="S94" i="37"/>
  <c r="R94" i="37"/>
  <c r="N94" i="37"/>
  <c r="M94" i="37"/>
  <c r="L94" i="37"/>
  <c r="X93" i="37"/>
  <c r="W93" i="37"/>
  <c r="V93" i="37"/>
  <c r="U93" i="37"/>
  <c r="T93" i="37"/>
  <c r="S93" i="37"/>
  <c r="R93" i="37"/>
  <c r="N93" i="37"/>
  <c r="M93" i="37"/>
  <c r="L93" i="37"/>
  <c r="X92" i="37"/>
  <c r="W92" i="37"/>
  <c r="V92" i="37"/>
  <c r="U92" i="37"/>
  <c r="T92" i="37"/>
  <c r="S92" i="37"/>
  <c r="R92" i="37"/>
  <c r="N92" i="37"/>
  <c r="M92" i="37"/>
  <c r="L92" i="37"/>
  <c r="X91" i="37"/>
  <c r="W91" i="37"/>
  <c r="V91" i="37"/>
  <c r="U91" i="37"/>
  <c r="T91" i="37"/>
  <c r="S91" i="37"/>
  <c r="R91" i="37"/>
  <c r="N91" i="37"/>
  <c r="M91" i="37"/>
  <c r="L91" i="37"/>
  <c r="X90" i="37"/>
  <c r="W90" i="37"/>
  <c r="V90" i="37"/>
  <c r="U90" i="37"/>
  <c r="T90" i="37"/>
  <c r="S90" i="37"/>
  <c r="R90" i="37"/>
  <c r="N90" i="37"/>
  <c r="M90" i="37"/>
  <c r="L90" i="37"/>
  <c r="X89" i="37"/>
  <c r="W89" i="37"/>
  <c r="V89" i="37"/>
  <c r="U89" i="37"/>
  <c r="T89" i="37"/>
  <c r="S89" i="37"/>
  <c r="R89" i="37"/>
  <c r="N89" i="37"/>
  <c r="M89" i="37"/>
  <c r="L89" i="37"/>
  <c r="X88" i="37"/>
  <c r="W88" i="37"/>
  <c r="V88" i="37"/>
  <c r="U88" i="37"/>
  <c r="T88" i="37"/>
  <c r="S88" i="37"/>
  <c r="R88" i="37"/>
  <c r="N88" i="37"/>
  <c r="M88" i="37"/>
  <c r="L88" i="37"/>
  <c r="X87" i="37"/>
  <c r="W87" i="37"/>
  <c r="V87" i="37"/>
  <c r="U87" i="37"/>
  <c r="T87" i="37"/>
  <c r="S87" i="37"/>
  <c r="R87" i="37"/>
  <c r="N87" i="37"/>
  <c r="M87" i="37"/>
  <c r="L87" i="37"/>
  <c r="X86" i="37"/>
  <c r="W86" i="37"/>
  <c r="V86" i="37"/>
  <c r="U86" i="37"/>
  <c r="T86" i="37"/>
  <c r="S86" i="37"/>
  <c r="R86" i="37"/>
  <c r="N86" i="37"/>
  <c r="M86" i="37"/>
  <c r="L86" i="37"/>
  <c r="X85" i="37"/>
  <c r="W85" i="37"/>
  <c r="V85" i="37"/>
  <c r="U85" i="37"/>
  <c r="T85" i="37"/>
  <c r="S85" i="37"/>
  <c r="R85" i="37"/>
  <c r="N85" i="37"/>
  <c r="M85" i="37"/>
  <c r="L85" i="37"/>
  <c r="X84" i="37"/>
  <c r="W84" i="37"/>
  <c r="V84" i="37"/>
  <c r="U84" i="37"/>
  <c r="T84" i="37"/>
  <c r="S84" i="37"/>
  <c r="R84" i="37"/>
  <c r="N84" i="37"/>
  <c r="M84" i="37"/>
  <c r="L84" i="37"/>
  <c r="X83" i="37"/>
  <c r="W83" i="37"/>
  <c r="V83" i="37"/>
  <c r="U83" i="37"/>
  <c r="T83" i="37"/>
  <c r="S83" i="37"/>
  <c r="R83" i="37"/>
  <c r="N83" i="37"/>
  <c r="M83" i="37"/>
  <c r="L83" i="37"/>
  <c r="X82" i="37"/>
  <c r="W82" i="37"/>
  <c r="V82" i="37"/>
  <c r="U82" i="37"/>
  <c r="T82" i="37"/>
  <c r="S82" i="37"/>
  <c r="R82" i="37"/>
  <c r="N82" i="37"/>
  <c r="M82" i="37"/>
  <c r="L82" i="37"/>
  <c r="X81" i="37"/>
  <c r="W81" i="37"/>
  <c r="V81" i="37"/>
  <c r="U81" i="37"/>
  <c r="T81" i="37"/>
  <c r="S81" i="37"/>
  <c r="R81" i="37"/>
  <c r="N81" i="37"/>
  <c r="M81" i="37"/>
  <c r="L81" i="37"/>
  <c r="X80" i="37"/>
  <c r="W80" i="37"/>
  <c r="V80" i="37"/>
  <c r="U80" i="37"/>
  <c r="T80" i="37"/>
  <c r="S80" i="37"/>
  <c r="R80" i="37"/>
  <c r="N80" i="37"/>
  <c r="M80" i="37"/>
  <c r="L80" i="37"/>
  <c r="X79" i="37"/>
  <c r="W79" i="37"/>
  <c r="V79" i="37"/>
  <c r="U79" i="37"/>
  <c r="T79" i="37"/>
  <c r="S79" i="37"/>
  <c r="R79" i="37"/>
  <c r="N79" i="37"/>
  <c r="M79" i="37"/>
  <c r="L79" i="37"/>
  <c r="X78" i="37"/>
  <c r="W78" i="37"/>
  <c r="V78" i="37"/>
  <c r="U78" i="37"/>
  <c r="T78" i="37"/>
  <c r="S78" i="37"/>
  <c r="R78" i="37"/>
  <c r="N78" i="37"/>
  <c r="M78" i="37"/>
  <c r="L78" i="37"/>
  <c r="X77" i="37"/>
  <c r="W77" i="37"/>
  <c r="V77" i="37"/>
  <c r="U77" i="37"/>
  <c r="T77" i="37"/>
  <c r="S77" i="37"/>
  <c r="R77" i="37"/>
  <c r="N77" i="37"/>
  <c r="M77" i="37"/>
  <c r="L77" i="37"/>
  <c r="X76" i="37"/>
  <c r="W76" i="37"/>
  <c r="V76" i="37"/>
  <c r="U76" i="37"/>
  <c r="T76" i="37"/>
  <c r="S76" i="37"/>
  <c r="R76" i="37"/>
  <c r="N76" i="37"/>
  <c r="M76" i="37"/>
  <c r="L76" i="37"/>
  <c r="X75" i="37"/>
  <c r="W75" i="37"/>
  <c r="V75" i="37"/>
  <c r="U75" i="37"/>
  <c r="T75" i="37"/>
  <c r="S75" i="37"/>
  <c r="R75" i="37"/>
  <c r="N75" i="37"/>
  <c r="M75" i="37"/>
  <c r="L75" i="37"/>
  <c r="X74" i="37"/>
  <c r="W74" i="37"/>
  <c r="V74" i="37"/>
  <c r="U74" i="37"/>
  <c r="T74" i="37"/>
  <c r="S74" i="37"/>
  <c r="R74" i="37"/>
  <c r="N74" i="37"/>
  <c r="M74" i="37"/>
  <c r="L74" i="37"/>
  <c r="X73" i="37"/>
  <c r="W73" i="37"/>
  <c r="V73" i="37"/>
  <c r="U73" i="37"/>
  <c r="T73" i="37"/>
  <c r="S73" i="37"/>
  <c r="R73" i="37"/>
  <c r="N73" i="37"/>
  <c r="M73" i="37"/>
  <c r="L73" i="37"/>
  <c r="X72" i="37"/>
  <c r="W72" i="37"/>
  <c r="V72" i="37"/>
  <c r="U72" i="37"/>
  <c r="T72" i="37"/>
  <c r="S72" i="37"/>
  <c r="R72" i="37"/>
  <c r="N72" i="37"/>
  <c r="M72" i="37"/>
  <c r="L72" i="37"/>
  <c r="X71" i="37"/>
  <c r="W71" i="37"/>
  <c r="V71" i="37"/>
  <c r="U71" i="37"/>
  <c r="T71" i="37"/>
  <c r="S71" i="37"/>
  <c r="R71" i="37"/>
  <c r="N71" i="37"/>
  <c r="M71" i="37"/>
  <c r="L71" i="37"/>
  <c r="X70" i="37"/>
  <c r="W70" i="37"/>
  <c r="V70" i="37"/>
  <c r="U70" i="37"/>
  <c r="T70" i="37"/>
  <c r="S70" i="37"/>
  <c r="R70" i="37"/>
  <c r="N70" i="37"/>
  <c r="M70" i="37"/>
  <c r="L70" i="37"/>
  <c r="X69" i="37"/>
  <c r="W69" i="37"/>
  <c r="V69" i="37"/>
  <c r="U69" i="37"/>
  <c r="T69" i="37"/>
  <c r="S69" i="37"/>
  <c r="R69" i="37"/>
  <c r="N69" i="37"/>
  <c r="M69" i="37"/>
  <c r="L69" i="37"/>
  <c r="X68" i="37"/>
  <c r="W68" i="37"/>
  <c r="V68" i="37"/>
  <c r="U68" i="37"/>
  <c r="T68" i="37"/>
  <c r="S68" i="37"/>
  <c r="R68" i="37"/>
  <c r="N68" i="37"/>
  <c r="M68" i="37"/>
  <c r="L68" i="37"/>
  <c r="X67" i="37"/>
  <c r="W67" i="37"/>
  <c r="V67" i="37"/>
  <c r="U67" i="37"/>
  <c r="T67" i="37"/>
  <c r="S67" i="37"/>
  <c r="R67" i="37"/>
  <c r="N67" i="37"/>
  <c r="M67" i="37"/>
  <c r="L67" i="37"/>
  <c r="X66" i="37"/>
  <c r="W66" i="37"/>
  <c r="V66" i="37"/>
  <c r="U66" i="37"/>
  <c r="T66" i="37"/>
  <c r="S66" i="37"/>
  <c r="R66" i="37"/>
  <c r="N66" i="37"/>
  <c r="M66" i="37"/>
  <c r="L66" i="37"/>
  <c r="X65" i="37"/>
  <c r="W65" i="37"/>
  <c r="V65" i="37"/>
  <c r="U65" i="37"/>
  <c r="T65" i="37"/>
  <c r="S65" i="37"/>
  <c r="R65" i="37"/>
  <c r="N65" i="37"/>
  <c r="M65" i="37"/>
  <c r="L65" i="37"/>
  <c r="X64" i="37"/>
  <c r="W64" i="37"/>
  <c r="V64" i="37"/>
  <c r="U64" i="37"/>
  <c r="T64" i="37"/>
  <c r="S64" i="37"/>
  <c r="R64" i="37"/>
  <c r="N64" i="37"/>
  <c r="M64" i="37"/>
  <c r="L64" i="37"/>
  <c r="X63" i="37"/>
  <c r="W63" i="37"/>
  <c r="V63" i="37"/>
  <c r="U63" i="37"/>
  <c r="T63" i="37"/>
  <c r="S63" i="37"/>
  <c r="R63" i="37"/>
  <c r="N63" i="37"/>
  <c r="M63" i="37"/>
  <c r="L63" i="37"/>
  <c r="X62" i="37"/>
  <c r="W62" i="37"/>
  <c r="V62" i="37"/>
  <c r="U62" i="37"/>
  <c r="T62" i="37"/>
  <c r="S62" i="37"/>
  <c r="R62" i="37"/>
  <c r="N62" i="37"/>
  <c r="M62" i="37"/>
  <c r="L62" i="37"/>
  <c r="X61" i="37"/>
  <c r="W61" i="37"/>
  <c r="V61" i="37"/>
  <c r="U61" i="37"/>
  <c r="T61" i="37"/>
  <c r="S61" i="37"/>
  <c r="R61" i="37"/>
  <c r="N61" i="37"/>
  <c r="M61" i="37"/>
  <c r="L61" i="37"/>
  <c r="X60" i="37"/>
  <c r="W60" i="37"/>
  <c r="V60" i="37"/>
  <c r="U60" i="37"/>
  <c r="T60" i="37"/>
  <c r="S60" i="37"/>
  <c r="R60" i="37"/>
  <c r="N60" i="37"/>
  <c r="M60" i="37"/>
  <c r="L60" i="37"/>
  <c r="X59" i="37"/>
  <c r="W59" i="37"/>
  <c r="V59" i="37"/>
  <c r="U59" i="37"/>
  <c r="T59" i="37"/>
  <c r="S59" i="37"/>
  <c r="R59" i="37"/>
  <c r="N59" i="37"/>
  <c r="M59" i="37"/>
  <c r="L59" i="37"/>
  <c r="X58" i="37"/>
  <c r="W58" i="37"/>
  <c r="V58" i="37"/>
  <c r="U58" i="37"/>
  <c r="T58" i="37"/>
  <c r="S58" i="37"/>
  <c r="R58" i="37"/>
  <c r="N58" i="37"/>
  <c r="M58" i="37"/>
  <c r="L58" i="37"/>
  <c r="X57" i="37"/>
  <c r="W57" i="37"/>
  <c r="V57" i="37"/>
  <c r="U57" i="37"/>
  <c r="T57" i="37"/>
  <c r="S57" i="37"/>
  <c r="R57" i="37"/>
  <c r="N57" i="37"/>
  <c r="M57" i="37"/>
  <c r="L57" i="37"/>
  <c r="X56" i="37"/>
  <c r="W56" i="37"/>
  <c r="V56" i="37"/>
  <c r="U56" i="37"/>
  <c r="T56" i="37"/>
  <c r="S56" i="37"/>
  <c r="R56" i="37"/>
  <c r="N56" i="37"/>
  <c r="M56" i="37"/>
  <c r="L56" i="37"/>
  <c r="X55" i="37"/>
  <c r="W55" i="37"/>
  <c r="V55" i="37"/>
  <c r="U55" i="37"/>
  <c r="T55" i="37"/>
  <c r="S55" i="37"/>
  <c r="R55" i="37"/>
  <c r="N55" i="37"/>
  <c r="M55" i="37"/>
  <c r="L55" i="37"/>
  <c r="X54" i="37"/>
  <c r="W54" i="37"/>
  <c r="V54" i="37"/>
  <c r="U54" i="37"/>
  <c r="T54" i="37"/>
  <c r="S54" i="37"/>
  <c r="R54" i="37"/>
  <c r="N54" i="37"/>
  <c r="M54" i="37"/>
  <c r="L54" i="37"/>
  <c r="X53" i="37"/>
  <c r="W53" i="37"/>
  <c r="V53" i="37"/>
  <c r="U53" i="37"/>
  <c r="T53" i="37"/>
  <c r="S53" i="37"/>
  <c r="R53" i="37"/>
  <c r="N53" i="37"/>
  <c r="M53" i="37"/>
  <c r="L53" i="37"/>
  <c r="X52" i="37"/>
  <c r="W52" i="37"/>
  <c r="V52" i="37"/>
  <c r="U52" i="37"/>
  <c r="T52" i="37"/>
  <c r="S52" i="37"/>
  <c r="R52" i="37"/>
  <c r="N52" i="37"/>
  <c r="M52" i="37"/>
  <c r="L52" i="37"/>
  <c r="X51" i="37"/>
  <c r="W51" i="37"/>
  <c r="V51" i="37"/>
  <c r="U51" i="37"/>
  <c r="T51" i="37"/>
  <c r="S51" i="37"/>
  <c r="R51" i="37"/>
  <c r="N51" i="37"/>
  <c r="M51" i="37"/>
  <c r="L51" i="37"/>
  <c r="X50" i="37"/>
  <c r="W50" i="37"/>
  <c r="V50" i="37"/>
  <c r="U50" i="37"/>
  <c r="T50" i="37"/>
  <c r="S50" i="37"/>
  <c r="R50" i="37"/>
  <c r="N50" i="37"/>
  <c r="M50" i="37"/>
  <c r="L50" i="37"/>
  <c r="X49" i="37"/>
  <c r="W49" i="37"/>
  <c r="V49" i="37"/>
  <c r="U49" i="37"/>
  <c r="T49" i="37"/>
  <c r="S49" i="37"/>
  <c r="R49" i="37"/>
  <c r="N49" i="37"/>
  <c r="M49" i="37"/>
  <c r="L49" i="37"/>
  <c r="X48" i="37"/>
  <c r="W48" i="37"/>
  <c r="V48" i="37"/>
  <c r="U48" i="37"/>
  <c r="T48" i="37"/>
  <c r="S48" i="37"/>
  <c r="R48" i="37"/>
  <c r="N48" i="37"/>
  <c r="M48" i="37"/>
  <c r="L48" i="37"/>
  <c r="X47" i="37"/>
  <c r="W47" i="37"/>
  <c r="V47" i="37"/>
  <c r="U47" i="37"/>
  <c r="T47" i="37"/>
  <c r="S47" i="37"/>
  <c r="R47" i="37"/>
  <c r="N47" i="37"/>
  <c r="M47" i="37"/>
  <c r="L47" i="37"/>
  <c r="X46" i="37"/>
  <c r="W46" i="37"/>
  <c r="V46" i="37"/>
  <c r="U46" i="37"/>
  <c r="T46" i="37"/>
  <c r="S46" i="37"/>
  <c r="R46" i="37"/>
  <c r="N46" i="37"/>
  <c r="M46" i="37"/>
  <c r="L46" i="37"/>
  <c r="X45" i="37"/>
  <c r="W45" i="37"/>
  <c r="V45" i="37"/>
  <c r="U45" i="37"/>
  <c r="T45" i="37"/>
  <c r="S45" i="37"/>
  <c r="R45" i="37"/>
  <c r="N45" i="37"/>
  <c r="M45" i="37"/>
  <c r="L45" i="37"/>
  <c r="X44" i="37"/>
  <c r="W44" i="37"/>
  <c r="V44" i="37"/>
  <c r="U44" i="37"/>
  <c r="T44" i="37"/>
  <c r="S44" i="37"/>
  <c r="R44" i="37"/>
  <c r="N44" i="37"/>
  <c r="M44" i="37"/>
  <c r="L44" i="37"/>
  <c r="X43" i="37"/>
  <c r="W43" i="37"/>
  <c r="V43" i="37"/>
  <c r="U43" i="37"/>
  <c r="T43" i="37"/>
  <c r="S43" i="37"/>
  <c r="R43" i="37"/>
  <c r="N43" i="37"/>
  <c r="M43" i="37"/>
  <c r="L43" i="37"/>
  <c r="X42" i="37"/>
  <c r="W42" i="37"/>
  <c r="V42" i="37"/>
  <c r="U42" i="37"/>
  <c r="T42" i="37"/>
  <c r="S42" i="37"/>
  <c r="R42" i="37"/>
  <c r="N42" i="37"/>
  <c r="M42" i="37"/>
  <c r="L42" i="37"/>
  <c r="X41" i="37"/>
  <c r="W41" i="37"/>
  <c r="V41" i="37"/>
  <c r="U41" i="37"/>
  <c r="T41" i="37"/>
  <c r="S41" i="37"/>
  <c r="R41" i="37"/>
  <c r="N41" i="37"/>
  <c r="M41" i="37"/>
  <c r="L41" i="37"/>
  <c r="X40" i="37"/>
  <c r="W40" i="37"/>
  <c r="V40" i="37"/>
  <c r="R40" i="37"/>
  <c r="N40" i="37"/>
  <c r="M40" i="37"/>
  <c r="L40" i="37"/>
  <c r="X39" i="37"/>
  <c r="W39" i="37"/>
  <c r="V39" i="37"/>
  <c r="U39" i="37"/>
  <c r="T39" i="37"/>
  <c r="S39" i="37"/>
  <c r="R39" i="37"/>
  <c r="N39" i="37"/>
  <c r="M39" i="37"/>
  <c r="L39" i="37"/>
  <c r="X38" i="37"/>
  <c r="W38" i="37"/>
  <c r="V38" i="37"/>
  <c r="U38" i="37"/>
  <c r="T38" i="37"/>
  <c r="S38" i="37"/>
  <c r="R38" i="37"/>
  <c r="N38" i="37"/>
  <c r="M38" i="37"/>
  <c r="L38" i="37"/>
  <c r="X37" i="37"/>
  <c r="W37" i="37"/>
  <c r="V37" i="37"/>
  <c r="R37" i="37"/>
  <c r="N37" i="37"/>
  <c r="M37" i="37"/>
  <c r="L37" i="37"/>
  <c r="X36" i="37"/>
  <c r="W36" i="37"/>
  <c r="V36" i="37"/>
  <c r="U36" i="37"/>
  <c r="T36" i="37"/>
  <c r="S36" i="37"/>
  <c r="R36" i="37"/>
  <c r="N36" i="37"/>
  <c r="M36" i="37"/>
  <c r="L36" i="37"/>
  <c r="X35" i="37"/>
  <c r="W35" i="37"/>
  <c r="V35" i="37"/>
  <c r="U35" i="37"/>
  <c r="T35" i="37"/>
  <c r="S35" i="37"/>
  <c r="R35" i="37"/>
  <c r="N35" i="37"/>
  <c r="M35" i="37"/>
  <c r="L35" i="37"/>
  <c r="X34" i="37"/>
  <c r="W34" i="37"/>
  <c r="V34" i="37"/>
  <c r="U34" i="37"/>
  <c r="T34" i="37"/>
  <c r="S34" i="37"/>
  <c r="R34" i="37"/>
  <c r="N34" i="37"/>
  <c r="M34" i="37"/>
  <c r="L34" i="37"/>
  <c r="X33" i="37"/>
  <c r="W33" i="37"/>
  <c r="V33" i="37"/>
  <c r="U33" i="37"/>
  <c r="T33" i="37"/>
  <c r="S33" i="37"/>
  <c r="R33" i="37"/>
  <c r="N33" i="37"/>
  <c r="M33" i="37"/>
  <c r="L33" i="37"/>
  <c r="X32" i="37"/>
  <c r="W32" i="37"/>
  <c r="V32" i="37"/>
  <c r="U32" i="37"/>
  <c r="T32" i="37"/>
  <c r="S32" i="37"/>
  <c r="R32" i="37"/>
  <c r="N32" i="37"/>
  <c r="M32" i="37"/>
  <c r="L32" i="37"/>
  <c r="X31" i="37"/>
  <c r="W31" i="37"/>
  <c r="V31" i="37"/>
  <c r="U31" i="37"/>
  <c r="T31" i="37"/>
  <c r="S31" i="37"/>
  <c r="R31" i="37"/>
  <c r="N31" i="37"/>
  <c r="M31" i="37"/>
  <c r="L31" i="37"/>
  <c r="X30" i="37"/>
  <c r="W30" i="37"/>
  <c r="V30" i="37"/>
  <c r="U30" i="37"/>
  <c r="T30" i="37"/>
  <c r="S30" i="37"/>
  <c r="R30" i="37"/>
  <c r="N30" i="37"/>
  <c r="M30" i="37"/>
  <c r="L30" i="37"/>
  <c r="X29" i="37"/>
  <c r="W29" i="37"/>
  <c r="V29" i="37"/>
  <c r="U29" i="37"/>
  <c r="T29" i="37"/>
  <c r="S29" i="37"/>
  <c r="R29" i="37"/>
  <c r="N29" i="37"/>
  <c r="M29" i="37"/>
  <c r="L29" i="37"/>
  <c r="X28" i="37"/>
  <c r="W28" i="37"/>
  <c r="V28" i="37"/>
  <c r="U28" i="37"/>
  <c r="T28" i="37"/>
  <c r="S28" i="37"/>
  <c r="R28" i="37"/>
  <c r="N28" i="37"/>
  <c r="M28" i="37"/>
  <c r="L28" i="37"/>
  <c r="X27" i="37"/>
  <c r="W27" i="37"/>
  <c r="V27" i="37"/>
  <c r="U27" i="37"/>
  <c r="T27" i="37"/>
  <c r="S27" i="37"/>
  <c r="R27" i="37"/>
  <c r="N27" i="37"/>
  <c r="M27" i="37"/>
  <c r="L27" i="37"/>
  <c r="X26" i="37"/>
  <c r="W26" i="37"/>
  <c r="V26" i="37"/>
  <c r="U26" i="37"/>
  <c r="T26" i="37"/>
  <c r="S26" i="37"/>
  <c r="R26" i="37"/>
  <c r="N26" i="37"/>
  <c r="M26" i="37"/>
  <c r="L26" i="37"/>
  <c r="X25" i="37"/>
  <c r="W25" i="37"/>
  <c r="V25" i="37"/>
  <c r="U25" i="37"/>
  <c r="T25" i="37"/>
  <c r="S25" i="37"/>
  <c r="R25" i="37"/>
  <c r="N25" i="37"/>
  <c r="M25" i="37"/>
  <c r="L25" i="37"/>
  <c r="X24" i="37"/>
  <c r="W24" i="37"/>
  <c r="V24" i="37"/>
  <c r="U24" i="37"/>
  <c r="T24" i="37"/>
  <c r="S24" i="37"/>
  <c r="R24" i="37"/>
  <c r="N24" i="37"/>
  <c r="M24" i="37"/>
  <c r="L24" i="37"/>
  <c r="X23" i="37"/>
  <c r="W23" i="37"/>
  <c r="V23" i="37"/>
  <c r="U23" i="37"/>
  <c r="T23" i="37"/>
  <c r="S23" i="37"/>
  <c r="R23" i="37"/>
  <c r="N23" i="37"/>
  <c r="Q41" i="37" s="1"/>
  <c r="M23" i="37"/>
  <c r="P25" i="37" s="1"/>
  <c r="L23" i="37"/>
  <c r="O25" i="37" s="1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R16" i="37"/>
  <c r="N16" i="37"/>
  <c r="M16" i="37"/>
  <c r="L16" i="37"/>
  <c r="K16" i="37"/>
  <c r="Y2" i="37"/>
  <c r="K23" i="35"/>
  <c r="K30" i="33"/>
  <c r="K40" i="22"/>
  <c r="K48" i="20"/>
  <c r="K49" i="20"/>
  <c r="K43" i="18"/>
  <c r="K52" i="16"/>
  <c r="K43" i="14"/>
  <c r="K53" i="11"/>
  <c r="K61" i="9"/>
  <c r="K41" i="7"/>
  <c r="K25" i="31"/>
  <c r="K20" i="28"/>
  <c r="K35" i="24"/>
  <c r="K20" i="33"/>
  <c r="K21" i="33"/>
  <c r="K22" i="33"/>
  <c r="K23" i="33"/>
  <c r="K24" i="33"/>
  <c r="K25" i="33"/>
  <c r="K26" i="33"/>
  <c r="K27" i="33"/>
  <c r="K28" i="33"/>
  <c r="K29" i="33"/>
  <c r="K22" i="35"/>
  <c r="X153" i="35"/>
  <c r="W153" i="35"/>
  <c r="V153" i="35"/>
  <c r="U153" i="35"/>
  <c r="T153" i="35"/>
  <c r="S153" i="35"/>
  <c r="R153" i="35"/>
  <c r="M153" i="35"/>
  <c r="X152" i="35"/>
  <c r="W152" i="35"/>
  <c r="V152" i="35"/>
  <c r="U152" i="35"/>
  <c r="T152" i="35"/>
  <c r="S152" i="35"/>
  <c r="R152" i="35"/>
  <c r="M152" i="35"/>
  <c r="X151" i="35"/>
  <c r="W151" i="35"/>
  <c r="V151" i="35"/>
  <c r="U151" i="35"/>
  <c r="T151" i="35"/>
  <c r="S151" i="35"/>
  <c r="R151" i="35"/>
  <c r="M151" i="35"/>
  <c r="X150" i="35"/>
  <c r="W150" i="35"/>
  <c r="V150" i="35"/>
  <c r="U150" i="35"/>
  <c r="T150" i="35"/>
  <c r="S150" i="35"/>
  <c r="R150" i="35"/>
  <c r="M150" i="35"/>
  <c r="X149" i="35"/>
  <c r="W149" i="35"/>
  <c r="V149" i="35"/>
  <c r="U149" i="35"/>
  <c r="T149" i="35"/>
  <c r="S149" i="35"/>
  <c r="R149" i="35"/>
  <c r="M149" i="35"/>
  <c r="X148" i="35"/>
  <c r="W148" i="35"/>
  <c r="V148" i="35"/>
  <c r="U148" i="35"/>
  <c r="T148" i="35"/>
  <c r="S148" i="35"/>
  <c r="R148" i="35"/>
  <c r="M148" i="35"/>
  <c r="X147" i="35"/>
  <c r="W147" i="35"/>
  <c r="V147" i="35"/>
  <c r="U147" i="35"/>
  <c r="T147" i="35"/>
  <c r="S147" i="35"/>
  <c r="R147" i="35"/>
  <c r="M147" i="35"/>
  <c r="X146" i="35"/>
  <c r="W146" i="35"/>
  <c r="V146" i="35"/>
  <c r="U146" i="35"/>
  <c r="T146" i="35"/>
  <c r="S146" i="35"/>
  <c r="R146" i="35"/>
  <c r="M146" i="35"/>
  <c r="X145" i="35"/>
  <c r="W145" i="35"/>
  <c r="V145" i="35"/>
  <c r="U145" i="35"/>
  <c r="T145" i="35"/>
  <c r="S145" i="35"/>
  <c r="R145" i="35"/>
  <c r="M145" i="35"/>
  <c r="X144" i="35"/>
  <c r="W144" i="35"/>
  <c r="V144" i="35"/>
  <c r="U144" i="35"/>
  <c r="T144" i="35"/>
  <c r="S144" i="35"/>
  <c r="R144" i="35"/>
  <c r="M144" i="35"/>
  <c r="X143" i="35"/>
  <c r="W143" i="35"/>
  <c r="V143" i="35"/>
  <c r="U143" i="35"/>
  <c r="T143" i="35"/>
  <c r="S143" i="35"/>
  <c r="R143" i="35"/>
  <c r="M143" i="35"/>
  <c r="X142" i="35"/>
  <c r="W142" i="35"/>
  <c r="V142" i="35"/>
  <c r="U142" i="35"/>
  <c r="T142" i="35"/>
  <c r="S142" i="35"/>
  <c r="R142" i="35"/>
  <c r="M142" i="35"/>
  <c r="X141" i="35"/>
  <c r="W141" i="35"/>
  <c r="V141" i="35"/>
  <c r="U141" i="35"/>
  <c r="T141" i="35"/>
  <c r="S141" i="35"/>
  <c r="R141" i="35"/>
  <c r="M141" i="35"/>
  <c r="X140" i="35"/>
  <c r="W140" i="35"/>
  <c r="V140" i="35"/>
  <c r="U140" i="35"/>
  <c r="T140" i="35"/>
  <c r="S140" i="35"/>
  <c r="R140" i="35"/>
  <c r="M140" i="35"/>
  <c r="X139" i="35"/>
  <c r="W139" i="35"/>
  <c r="V139" i="35"/>
  <c r="U139" i="35"/>
  <c r="T139" i="35"/>
  <c r="S139" i="35"/>
  <c r="R139" i="35"/>
  <c r="M139" i="35"/>
  <c r="X138" i="35"/>
  <c r="W138" i="35"/>
  <c r="V138" i="35"/>
  <c r="U138" i="35"/>
  <c r="T138" i="35"/>
  <c r="S138" i="35"/>
  <c r="R138" i="35"/>
  <c r="M138" i="35"/>
  <c r="X137" i="35"/>
  <c r="W137" i="35"/>
  <c r="V137" i="35"/>
  <c r="U137" i="35"/>
  <c r="T137" i="35"/>
  <c r="S137" i="35"/>
  <c r="R137" i="35"/>
  <c r="M137" i="35"/>
  <c r="X136" i="35"/>
  <c r="W136" i="35"/>
  <c r="V136" i="35"/>
  <c r="U136" i="35"/>
  <c r="T136" i="35"/>
  <c r="S136" i="35"/>
  <c r="R136" i="35"/>
  <c r="M136" i="35"/>
  <c r="X135" i="35"/>
  <c r="W135" i="35"/>
  <c r="V135" i="35"/>
  <c r="U135" i="35"/>
  <c r="T135" i="35"/>
  <c r="S135" i="35"/>
  <c r="R135" i="35"/>
  <c r="M135" i="35"/>
  <c r="X134" i="35"/>
  <c r="W134" i="35"/>
  <c r="V134" i="35"/>
  <c r="U134" i="35"/>
  <c r="T134" i="35"/>
  <c r="S134" i="35"/>
  <c r="R134" i="35"/>
  <c r="M134" i="35"/>
  <c r="X133" i="35"/>
  <c r="W133" i="35"/>
  <c r="V133" i="35"/>
  <c r="U133" i="35"/>
  <c r="T133" i="35"/>
  <c r="S133" i="35"/>
  <c r="R133" i="35"/>
  <c r="M133" i="35"/>
  <c r="X132" i="35"/>
  <c r="W132" i="35"/>
  <c r="V132" i="35"/>
  <c r="U132" i="35"/>
  <c r="T132" i="35"/>
  <c r="S132" i="35"/>
  <c r="R132" i="35"/>
  <c r="M132" i="35"/>
  <c r="X131" i="35"/>
  <c r="W131" i="35"/>
  <c r="V131" i="35"/>
  <c r="U131" i="35"/>
  <c r="T131" i="35"/>
  <c r="S131" i="35"/>
  <c r="R131" i="35"/>
  <c r="M131" i="35"/>
  <c r="X130" i="35"/>
  <c r="W130" i="35"/>
  <c r="V130" i="35"/>
  <c r="U130" i="35"/>
  <c r="T130" i="35"/>
  <c r="S130" i="35"/>
  <c r="R130" i="35"/>
  <c r="M130" i="35"/>
  <c r="X129" i="35"/>
  <c r="W129" i="35"/>
  <c r="V129" i="35"/>
  <c r="U129" i="35"/>
  <c r="T129" i="35"/>
  <c r="S129" i="35"/>
  <c r="R129" i="35"/>
  <c r="M129" i="35"/>
  <c r="X128" i="35"/>
  <c r="W128" i="35"/>
  <c r="V128" i="35"/>
  <c r="U128" i="35"/>
  <c r="T128" i="35"/>
  <c r="S128" i="35"/>
  <c r="R128" i="35"/>
  <c r="M128" i="35"/>
  <c r="X127" i="35"/>
  <c r="W127" i="35"/>
  <c r="V127" i="35"/>
  <c r="U127" i="35"/>
  <c r="T127" i="35"/>
  <c r="S127" i="35"/>
  <c r="R127" i="35"/>
  <c r="M127" i="35"/>
  <c r="X126" i="35"/>
  <c r="W126" i="35"/>
  <c r="V126" i="35"/>
  <c r="U126" i="35"/>
  <c r="T126" i="35"/>
  <c r="S126" i="35"/>
  <c r="R126" i="35"/>
  <c r="M126" i="35"/>
  <c r="X125" i="35"/>
  <c r="W125" i="35"/>
  <c r="V125" i="35"/>
  <c r="U125" i="35"/>
  <c r="T125" i="35"/>
  <c r="S125" i="35"/>
  <c r="R125" i="35"/>
  <c r="M125" i="35"/>
  <c r="X124" i="35"/>
  <c r="W124" i="35"/>
  <c r="V124" i="35"/>
  <c r="U124" i="35"/>
  <c r="T124" i="35"/>
  <c r="S124" i="35"/>
  <c r="R124" i="35"/>
  <c r="M124" i="35"/>
  <c r="X123" i="35"/>
  <c r="W123" i="35"/>
  <c r="V123" i="35"/>
  <c r="U123" i="35"/>
  <c r="T123" i="35"/>
  <c r="S123" i="35"/>
  <c r="R123" i="35"/>
  <c r="M123" i="35"/>
  <c r="X122" i="35"/>
  <c r="W122" i="35"/>
  <c r="V122" i="35"/>
  <c r="U122" i="35"/>
  <c r="T122" i="35"/>
  <c r="S122" i="35"/>
  <c r="R122" i="35"/>
  <c r="M122" i="35"/>
  <c r="X121" i="35"/>
  <c r="W121" i="35"/>
  <c r="V121" i="35"/>
  <c r="U121" i="35"/>
  <c r="T121" i="35"/>
  <c r="S121" i="35"/>
  <c r="R121" i="35"/>
  <c r="M121" i="35"/>
  <c r="X120" i="35"/>
  <c r="W120" i="35"/>
  <c r="V120" i="35"/>
  <c r="U120" i="35"/>
  <c r="T120" i="35"/>
  <c r="S120" i="35"/>
  <c r="R120" i="35"/>
  <c r="M120" i="35"/>
  <c r="X119" i="35"/>
  <c r="W119" i="35"/>
  <c r="V119" i="35"/>
  <c r="U119" i="35"/>
  <c r="T119" i="35"/>
  <c r="S119" i="35"/>
  <c r="R119" i="35"/>
  <c r="M119" i="35"/>
  <c r="X118" i="35"/>
  <c r="W118" i="35"/>
  <c r="V118" i="35"/>
  <c r="U118" i="35"/>
  <c r="T118" i="35"/>
  <c r="S118" i="35"/>
  <c r="R118" i="35"/>
  <c r="M118" i="35"/>
  <c r="X117" i="35"/>
  <c r="W117" i="35"/>
  <c r="V117" i="35"/>
  <c r="U117" i="35"/>
  <c r="T117" i="35"/>
  <c r="S117" i="35"/>
  <c r="R117" i="35"/>
  <c r="M117" i="35"/>
  <c r="X116" i="35"/>
  <c r="W116" i="35"/>
  <c r="V116" i="35"/>
  <c r="U116" i="35"/>
  <c r="T116" i="35"/>
  <c r="S116" i="35"/>
  <c r="R116" i="35"/>
  <c r="M116" i="35"/>
  <c r="X115" i="35"/>
  <c r="W115" i="35"/>
  <c r="V115" i="35"/>
  <c r="U115" i="35"/>
  <c r="T115" i="35"/>
  <c r="S115" i="35"/>
  <c r="R115" i="35"/>
  <c r="M115" i="35"/>
  <c r="X114" i="35"/>
  <c r="W114" i="35"/>
  <c r="V114" i="35"/>
  <c r="U114" i="35"/>
  <c r="T114" i="35"/>
  <c r="S114" i="35"/>
  <c r="R114" i="35"/>
  <c r="M114" i="35"/>
  <c r="X113" i="35"/>
  <c r="W113" i="35"/>
  <c r="V113" i="35"/>
  <c r="U113" i="35"/>
  <c r="T113" i="35"/>
  <c r="S113" i="35"/>
  <c r="R113" i="35"/>
  <c r="M113" i="35"/>
  <c r="X112" i="35"/>
  <c r="W112" i="35"/>
  <c r="V112" i="35"/>
  <c r="U112" i="35"/>
  <c r="T112" i="35"/>
  <c r="S112" i="35"/>
  <c r="R112" i="35"/>
  <c r="M112" i="35"/>
  <c r="X111" i="35"/>
  <c r="W111" i="35"/>
  <c r="V111" i="35"/>
  <c r="U111" i="35"/>
  <c r="T111" i="35"/>
  <c r="S111" i="35"/>
  <c r="R111" i="35"/>
  <c r="M111" i="35"/>
  <c r="X110" i="35"/>
  <c r="W110" i="35"/>
  <c r="V110" i="35"/>
  <c r="U110" i="35"/>
  <c r="T110" i="35"/>
  <c r="S110" i="35"/>
  <c r="R110" i="35"/>
  <c r="M110" i="35"/>
  <c r="X109" i="35"/>
  <c r="W109" i="35"/>
  <c r="V109" i="35"/>
  <c r="U109" i="35"/>
  <c r="T109" i="35"/>
  <c r="S109" i="35"/>
  <c r="R109" i="35"/>
  <c r="M109" i="35"/>
  <c r="X108" i="35"/>
  <c r="W108" i="35"/>
  <c r="V108" i="35"/>
  <c r="U108" i="35"/>
  <c r="T108" i="35"/>
  <c r="S108" i="35"/>
  <c r="R108" i="35"/>
  <c r="M108" i="35"/>
  <c r="X107" i="35"/>
  <c r="W107" i="35"/>
  <c r="V107" i="35"/>
  <c r="U107" i="35"/>
  <c r="T107" i="35"/>
  <c r="S107" i="35"/>
  <c r="R107" i="35"/>
  <c r="M107" i="35"/>
  <c r="X106" i="35"/>
  <c r="W106" i="35"/>
  <c r="V106" i="35"/>
  <c r="U106" i="35"/>
  <c r="T106" i="35"/>
  <c r="S106" i="35"/>
  <c r="R106" i="35"/>
  <c r="M106" i="35"/>
  <c r="X105" i="35"/>
  <c r="W105" i="35"/>
  <c r="V105" i="35"/>
  <c r="U105" i="35"/>
  <c r="T105" i="35"/>
  <c r="S105" i="35"/>
  <c r="R105" i="35"/>
  <c r="M105" i="35"/>
  <c r="X104" i="35"/>
  <c r="W104" i="35"/>
  <c r="V104" i="35"/>
  <c r="U104" i="35"/>
  <c r="T104" i="35"/>
  <c r="S104" i="35"/>
  <c r="R104" i="35"/>
  <c r="M104" i="35"/>
  <c r="X103" i="35"/>
  <c r="W103" i="35"/>
  <c r="V103" i="35"/>
  <c r="U103" i="35"/>
  <c r="T103" i="35"/>
  <c r="S103" i="35"/>
  <c r="R103" i="35"/>
  <c r="M103" i="35"/>
  <c r="X102" i="35"/>
  <c r="W102" i="35"/>
  <c r="V102" i="35"/>
  <c r="U102" i="35"/>
  <c r="T102" i="35"/>
  <c r="S102" i="35"/>
  <c r="R102" i="35"/>
  <c r="M102" i="35"/>
  <c r="X101" i="35"/>
  <c r="W101" i="35"/>
  <c r="V101" i="35"/>
  <c r="U101" i="35"/>
  <c r="T101" i="35"/>
  <c r="S101" i="35"/>
  <c r="R101" i="35"/>
  <c r="M101" i="35"/>
  <c r="X100" i="35"/>
  <c r="W100" i="35"/>
  <c r="V100" i="35"/>
  <c r="U100" i="35"/>
  <c r="T100" i="35"/>
  <c r="S100" i="35"/>
  <c r="R100" i="35"/>
  <c r="M100" i="35"/>
  <c r="X99" i="35"/>
  <c r="W99" i="35"/>
  <c r="V99" i="35"/>
  <c r="U99" i="35"/>
  <c r="T99" i="35"/>
  <c r="S99" i="35"/>
  <c r="R99" i="35"/>
  <c r="M99" i="35"/>
  <c r="X98" i="35"/>
  <c r="W98" i="35"/>
  <c r="V98" i="35"/>
  <c r="U98" i="35"/>
  <c r="T98" i="35"/>
  <c r="S98" i="35"/>
  <c r="R98" i="35"/>
  <c r="M98" i="35"/>
  <c r="X97" i="35"/>
  <c r="W97" i="35"/>
  <c r="V97" i="35"/>
  <c r="U97" i="35"/>
  <c r="T97" i="35"/>
  <c r="S97" i="35"/>
  <c r="R97" i="35"/>
  <c r="M97" i="35"/>
  <c r="X96" i="35"/>
  <c r="W96" i="35"/>
  <c r="V96" i="35"/>
  <c r="U96" i="35"/>
  <c r="T96" i="35"/>
  <c r="S96" i="35"/>
  <c r="R96" i="35"/>
  <c r="M96" i="35"/>
  <c r="X95" i="35"/>
  <c r="W95" i="35"/>
  <c r="V95" i="35"/>
  <c r="U95" i="35"/>
  <c r="T95" i="35"/>
  <c r="S95" i="35"/>
  <c r="R95" i="35"/>
  <c r="M95" i="35"/>
  <c r="X94" i="35"/>
  <c r="W94" i="35"/>
  <c r="V94" i="35"/>
  <c r="U94" i="35"/>
  <c r="T94" i="35"/>
  <c r="S94" i="35"/>
  <c r="R94" i="35"/>
  <c r="M94" i="35"/>
  <c r="X93" i="35"/>
  <c r="W93" i="35"/>
  <c r="V93" i="35"/>
  <c r="U93" i="35"/>
  <c r="T93" i="35"/>
  <c r="S93" i="35"/>
  <c r="R93" i="35"/>
  <c r="M93" i="35"/>
  <c r="X92" i="35"/>
  <c r="W92" i="35"/>
  <c r="V92" i="35"/>
  <c r="U92" i="35"/>
  <c r="T92" i="35"/>
  <c r="S92" i="35"/>
  <c r="R92" i="35"/>
  <c r="M92" i="35"/>
  <c r="X91" i="35"/>
  <c r="W91" i="35"/>
  <c r="V91" i="35"/>
  <c r="U91" i="35"/>
  <c r="T91" i="35"/>
  <c r="S91" i="35"/>
  <c r="R91" i="35"/>
  <c r="M91" i="35"/>
  <c r="X90" i="35"/>
  <c r="W90" i="35"/>
  <c r="V90" i="35"/>
  <c r="U90" i="35"/>
  <c r="T90" i="35"/>
  <c r="S90" i="35"/>
  <c r="R90" i="35"/>
  <c r="M90" i="35"/>
  <c r="X89" i="35"/>
  <c r="W89" i="35"/>
  <c r="V89" i="35"/>
  <c r="U89" i="35"/>
  <c r="T89" i="35"/>
  <c r="S89" i="35"/>
  <c r="R89" i="35"/>
  <c r="M89" i="35"/>
  <c r="X88" i="35"/>
  <c r="W88" i="35"/>
  <c r="V88" i="35"/>
  <c r="U88" i="35"/>
  <c r="T88" i="35"/>
  <c r="S88" i="35"/>
  <c r="R88" i="35"/>
  <c r="M88" i="35"/>
  <c r="X87" i="35"/>
  <c r="W87" i="35"/>
  <c r="V87" i="35"/>
  <c r="U87" i="35"/>
  <c r="T87" i="35"/>
  <c r="S87" i="35"/>
  <c r="R87" i="35"/>
  <c r="M87" i="35"/>
  <c r="X86" i="35"/>
  <c r="W86" i="35"/>
  <c r="V86" i="35"/>
  <c r="U86" i="35"/>
  <c r="T86" i="35"/>
  <c r="S86" i="35"/>
  <c r="R86" i="35"/>
  <c r="M86" i="35"/>
  <c r="X85" i="35"/>
  <c r="W85" i="35"/>
  <c r="V85" i="35"/>
  <c r="U85" i="35"/>
  <c r="T85" i="35"/>
  <c r="S85" i="35"/>
  <c r="R85" i="35"/>
  <c r="M85" i="35"/>
  <c r="X84" i="35"/>
  <c r="W84" i="35"/>
  <c r="V84" i="35"/>
  <c r="U84" i="35"/>
  <c r="T84" i="35"/>
  <c r="S84" i="35"/>
  <c r="R84" i="35"/>
  <c r="M84" i="35"/>
  <c r="X83" i="35"/>
  <c r="W83" i="35"/>
  <c r="V83" i="35"/>
  <c r="U83" i="35"/>
  <c r="T83" i="35"/>
  <c r="S83" i="35"/>
  <c r="R83" i="35"/>
  <c r="M83" i="35"/>
  <c r="X82" i="35"/>
  <c r="W82" i="35"/>
  <c r="V82" i="35"/>
  <c r="U82" i="35"/>
  <c r="T82" i="35"/>
  <c r="S82" i="35"/>
  <c r="R82" i="35"/>
  <c r="M82" i="35"/>
  <c r="X81" i="35"/>
  <c r="W81" i="35"/>
  <c r="V81" i="35"/>
  <c r="U81" i="35"/>
  <c r="T81" i="35"/>
  <c r="S81" i="35"/>
  <c r="R81" i="35"/>
  <c r="M81" i="35"/>
  <c r="X80" i="35"/>
  <c r="W80" i="35"/>
  <c r="V80" i="35"/>
  <c r="U80" i="35"/>
  <c r="T80" i="35"/>
  <c r="S80" i="35"/>
  <c r="R80" i="35"/>
  <c r="M80" i="35"/>
  <c r="X79" i="35"/>
  <c r="W79" i="35"/>
  <c r="V79" i="35"/>
  <c r="U79" i="35"/>
  <c r="T79" i="35"/>
  <c r="S79" i="35"/>
  <c r="R79" i="35"/>
  <c r="M79" i="35"/>
  <c r="X78" i="35"/>
  <c r="W78" i="35"/>
  <c r="V78" i="35"/>
  <c r="U78" i="35"/>
  <c r="T78" i="35"/>
  <c r="S78" i="35"/>
  <c r="R78" i="35"/>
  <c r="M78" i="35"/>
  <c r="X77" i="35"/>
  <c r="W77" i="35"/>
  <c r="V77" i="35"/>
  <c r="U77" i="35"/>
  <c r="T77" i="35"/>
  <c r="S77" i="35"/>
  <c r="R77" i="35"/>
  <c r="M77" i="35"/>
  <c r="X76" i="35"/>
  <c r="W76" i="35"/>
  <c r="V76" i="35"/>
  <c r="U76" i="35"/>
  <c r="T76" i="35"/>
  <c r="S76" i="35"/>
  <c r="R76" i="35"/>
  <c r="M76" i="35"/>
  <c r="X75" i="35"/>
  <c r="W75" i="35"/>
  <c r="V75" i="35"/>
  <c r="U75" i="35"/>
  <c r="T75" i="35"/>
  <c r="S75" i="35"/>
  <c r="R75" i="35"/>
  <c r="M75" i="35"/>
  <c r="X74" i="35"/>
  <c r="W74" i="35"/>
  <c r="V74" i="35"/>
  <c r="U74" i="35"/>
  <c r="T74" i="35"/>
  <c r="S74" i="35"/>
  <c r="R74" i="35"/>
  <c r="M74" i="35"/>
  <c r="X73" i="35"/>
  <c r="W73" i="35"/>
  <c r="V73" i="35"/>
  <c r="U73" i="35"/>
  <c r="T73" i="35"/>
  <c r="S73" i="35"/>
  <c r="R73" i="35"/>
  <c r="M73" i="35"/>
  <c r="X72" i="35"/>
  <c r="W72" i="35"/>
  <c r="V72" i="35"/>
  <c r="U72" i="35"/>
  <c r="T72" i="35"/>
  <c r="S72" i="35"/>
  <c r="R72" i="35"/>
  <c r="M72" i="35"/>
  <c r="X71" i="35"/>
  <c r="W71" i="35"/>
  <c r="V71" i="35"/>
  <c r="U71" i="35"/>
  <c r="T71" i="35"/>
  <c r="S71" i="35"/>
  <c r="R71" i="35"/>
  <c r="M71" i="35"/>
  <c r="X70" i="35"/>
  <c r="W70" i="35"/>
  <c r="V70" i="35"/>
  <c r="U70" i="35"/>
  <c r="T70" i="35"/>
  <c r="S70" i="35"/>
  <c r="R70" i="35"/>
  <c r="M70" i="35"/>
  <c r="X69" i="35"/>
  <c r="W69" i="35"/>
  <c r="V69" i="35"/>
  <c r="U69" i="35"/>
  <c r="T69" i="35"/>
  <c r="S69" i="35"/>
  <c r="R69" i="35"/>
  <c r="M69" i="35"/>
  <c r="X68" i="35"/>
  <c r="W68" i="35"/>
  <c r="V68" i="35"/>
  <c r="U68" i="35"/>
  <c r="T68" i="35"/>
  <c r="S68" i="35"/>
  <c r="R68" i="35"/>
  <c r="M68" i="35"/>
  <c r="X67" i="35"/>
  <c r="W67" i="35"/>
  <c r="V67" i="35"/>
  <c r="U67" i="35"/>
  <c r="T67" i="35"/>
  <c r="S67" i="35"/>
  <c r="R67" i="35"/>
  <c r="M67" i="35"/>
  <c r="X66" i="35"/>
  <c r="W66" i="35"/>
  <c r="V66" i="35"/>
  <c r="U66" i="35"/>
  <c r="T66" i="35"/>
  <c r="S66" i="35"/>
  <c r="R66" i="35"/>
  <c r="M66" i="35"/>
  <c r="X65" i="35"/>
  <c r="W65" i="35"/>
  <c r="V65" i="35"/>
  <c r="U65" i="35"/>
  <c r="T65" i="35"/>
  <c r="S65" i="35"/>
  <c r="R65" i="35"/>
  <c r="M65" i="35"/>
  <c r="X64" i="35"/>
  <c r="W64" i="35"/>
  <c r="V64" i="35"/>
  <c r="U64" i="35"/>
  <c r="T64" i="35"/>
  <c r="S64" i="35"/>
  <c r="R64" i="35"/>
  <c r="M64" i="35"/>
  <c r="X63" i="35"/>
  <c r="W63" i="35"/>
  <c r="V63" i="35"/>
  <c r="U63" i="35"/>
  <c r="T63" i="35"/>
  <c r="S63" i="35"/>
  <c r="R63" i="35"/>
  <c r="M63" i="35"/>
  <c r="X62" i="35"/>
  <c r="W62" i="35"/>
  <c r="V62" i="35"/>
  <c r="U62" i="35"/>
  <c r="T62" i="35"/>
  <c r="S62" i="35"/>
  <c r="R62" i="35"/>
  <c r="M62" i="35"/>
  <c r="X61" i="35"/>
  <c r="W61" i="35"/>
  <c r="V61" i="35"/>
  <c r="U61" i="35"/>
  <c r="T61" i="35"/>
  <c r="S61" i="35"/>
  <c r="R61" i="35"/>
  <c r="M61" i="35"/>
  <c r="X60" i="35"/>
  <c r="W60" i="35"/>
  <c r="V60" i="35"/>
  <c r="U60" i="35"/>
  <c r="T60" i="35"/>
  <c r="S60" i="35"/>
  <c r="R60" i="35"/>
  <c r="M60" i="35"/>
  <c r="X59" i="35"/>
  <c r="W59" i="35"/>
  <c r="V59" i="35"/>
  <c r="U59" i="35"/>
  <c r="T59" i="35"/>
  <c r="S59" i="35"/>
  <c r="R59" i="35"/>
  <c r="M59" i="35"/>
  <c r="X58" i="35"/>
  <c r="W58" i="35"/>
  <c r="V58" i="35"/>
  <c r="U58" i="35"/>
  <c r="T58" i="35"/>
  <c r="S58" i="35"/>
  <c r="R58" i="35"/>
  <c r="M58" i="35"/>
  <c r="X57" i="35"/>
  <c r="W57" i="35"/>
  <c r="V57" i="35"/>
  <c r="U57" i="35"/>
  <c r="T57" i="35"/>
  <c r="S57" i="35"/>
  <c r="R57" i="35"/>
  <c r="M57" i="35"/>
  <c r="X56" i="35"/>
  <c r="W56" i="35"/>
  <c r="V56" i="35"/>
  <c r="U56" i="35"/>
  <c r="T56" i="35"/>
  <c r="S56" i="35"/>
  <c r="R56" i="35"/>
  <c r="M56" i="35"/>
  <c r="X55" i="35"/>
  <c r="W55" i="35"/>
  <c r="V55" i="35"/>
  <c r="U55" i="35"/>
  <c r="T55" i="35"/>
  <c r="S55" i="35"/>
  <c r="R55" i="35"/>
  <c r="M55" i="35"/>
  <c r="X54" i="35"/>
  <c r="W54" i="35"/>
  <c r="V54" i="35"/>
  <c r="U54" i="35"/>
  <c r="T54" i="35"/>
  <c r="S54" i="35"/>
  <c r="R54" i="35"/>
  <c r="M54" i="35"/>
  <c r="X53" i="35"/>
  <c r="W53" i="35"/>
  <c r="V53" i="35"/>
  <c r="U53" i="35"/>
  <c r="T53" i="35"/>
  <c r="S53" i="35"/>
  <c r="R53" i="35"/>
  <c r="M53" i="35"/>
  <c r="X52" i="35"/>
  <c r="W52" i="35"/>
  <c r="V52" i="35"/>
  <c r="U52" i="35"/>
  <c r="T52" i="35"/>
  <c r="S52" i="35"/>
  <c r="R52" i="35"/>
  <c r="M52" i="35"/>
  <c r="X51" i="35"/>
  <c r="W51" i="35"/>
  <c r="V51" i="35"/>
  <c r="U51" i="35"/>
  <c r="T51" i="35"/>
  <c r="S51" i="35"/>
  <c r="R51" i="35"/>
  <c r="M51" i="35"/>
  <c r="X50" i="35"/>
  <c r="W50" i="35"/>
  <c r="V50" i="35"/>
  <c r="U50" i="35"/>
  <c r="T50" i="35"/>
  <c r="S50" i="35"/>
  <c r="R50" i="35"/>
  <c r="M50" i="35"/>
  <c r="X49" i="35"/>
  <c r="W49" i="35"/>
  <c r="V49" i="35"/>
  <c r="U49" i="35"/>
  <c r="T49" i="35"/>
  <c r="S49" i="35"/>
  <c r="R49" i="35"/>
  <c r="M49" i="35"/>
  <c r="X48" i="35"/>
  <c r="W48" i="35"/>
  <c r="V48" i="35"/>
  <c r="U48" i="35"/>
  <c r="T48" i="35"/>
  <c r="S48" i="35"/>
  <c r="R48" i="35"/>
  <c r="M48" i="35"/>
  <c r="X47" i="35"/>
  <c r="W47" i="35"/>
  <c r="V47" i="35"/>
  <c r="U47" i="35"/>
  <c r="T47" i="35"/>
  <c r="S47" i="35"/>
  <c r="R47" i="35"/>
  <c r="M47" i="35"/>
  <c r="X46" i="35"/>
  <c r="W46" i="35"/>
  <c r="V46" i="35"/>
  <c r="U46" i="35"/>
  <c r="T46" i="35"/>
  <c r="S46" i="35"/>
  <c r="R46" i="35"/>
  <c r="M46" i="35"/>
  <c r="X45" i="35"/>
  <c r="W45" i="35"/>
  <c r="V45" i="35"/>
  <c r="U45" i="35"/>
  <c r="T45" i="35"/>
  <c r="S45" i="35"/>
  <c r="R45" i="35"/>
  <c r="M45" i="35"/>
  <c r="X44" i="35"/>
  <c r="W44" i="35"/>
  <c r="V44" i="35"/>
  <c r="U44" i="35"/>
  <c r="T44" i="35"/>
  <c r="S44" i="35"/>
  <c r="R44" i="35"/>
  <c r="M44" i="35"/>
  <c r="X43" i="35"/>
  <c r="W43" i="35"/>
  <c r="V43" i="35"/>
  <c r="U43" i="35"/>
  <c r="T43" i="35"/>
  <c r="S43" i="35"/>
  <c r="R43" i="35"/>
  <c r="M43" i="35"/>
  <c r="X42" i="35"/>
  <c r="W42" i="35"/>
  <c r="V42" i="35"/>
  <c r="U42" i="35"/>
  <c r="T42" i="35"/>
  <c r="S42" i="35"/>
  <c r="R42" i="35"/>
  <c r="M42" i="35"/>
  <c r="X41" i="35"/>
  <c r="W41" i="35"/>
  <c r="V41" i="35"/>
  <c r="U41" i="35"/>
  <c r="T41" i="35"/>
  <c r="S41" i="35"/>
  <c r="R41" i="35"/>
  <c r="M41" i="35"/>
  <c r="X40" i="35"/>
  <c r="W40" i="35"/>
  <c r="V40" i="35"/>
  <c r="U40" i="35"/>
  <c r="T40" i="35"/>
  <c r="S40" i="35"/>
  <c r="R40" i="35"/>
  <c r="M40" i="35"/>
  <c r="X39" i="35"/>
  <c r="W39" i="35"/>
  <c r="V39" i="35"/>
  <c r="U39" i="35"/>
  <c r="T39" i="35"/>
  <c r="S39" i="35"/>
  <c r="R39" i="35"/>
  <c r="M39" i="35"/>
  <c r="X38" i="35"/>
  <c r="W38" i="35"/>
  <c r="V38" i="35"/>
  <c r="U38" i="35"/>
  <c r="T38" i="35"/>
  <c r="S38" i="35"/>
  <c r="R38" i="35"/>
  <c r="M38" i="35"/>
  <c r="X37" i="35"/>
  <c r="W37" i="35"/>
  <c r="V37" i="35"/>
  <c r="R37" i="35"/>
  <c r="M37" i="35"/>
  <c r="X36" i="35"/>
  <c r="W36" i="35"/>
  <c r="V36" i="35"/>
  <c r="U36" i="35"/>
  <c r="T36" i="35"/>
  <c r="S36" i="35"/>
  <c r="R36" i="35"/>
  <c r="M36" i="35"/>
  <c r="X35" i="35"/>
  <c r="W35" i="35"/>
  <c r="V35" i="35"/>
  <c r="U35" i="35"/>
  <c r="T35" i="35"/>
  <c r="S35" i="35"/>
  <c r="R35" i="35"/>
  <c r="M35" i="35"/>
  <c r="X34" i="35"/>
  <c r="W34" i="35"/>
  <c r="V34" i="35"/>
  <c r="R34" i="35"/>
  <c r="M34" i="35"/>
  <c r="X33" i="35"/>
  <c r="W33" i="35"/>
  <c r="V33" i="35"/>
  <c r="U33" i="35"/>
  <c r="T33" i="35"/>
  <c r="S33" i="35"/>
  <c r="R33" i="35"/>
  <c r="M33" i="35"/>
  <c r="X32" i="35"/>
  <c r="W32" i="35"/>
  <c r="V32" i="35"/>
  <c r="U32" i="35"/>
  <c r="T32" i="35"/>
  <c r="S32" i="35"/>
  <c r="R32" i="35"/>
  <c r="M32" i="35"/>
  <c r="X31" i="35"/>
  <c r="W31" i="35"/>
  <c r="V31" i="35"/>
  <c r="U31" i="35"/>
  <c r="T31" i="35"/>
  <c r="S31" i="35"/>
  <c r="R31" i="35"/>
  <c r="M31" i="35"/>
  <c r="X30" i="35"/>
  <c r="W30" i="35"/>
  <c r="V30" i="35"/>
  <c r="U30" i="35"/>
  <c r="T30" i="35"/>
  <c r="S30" i="35"/>
  <c r="R30" i="35"/>
  <c r="M30" i="35"/>
  <c r="X29" i="35"/>
  <c r="W29" i="35"/>
  <c r="V29" i="35"/>
  <c r="U29" i="35"/>
  <c r="T29" i="35"/>
  <c r="S29" i="35"/>
  <c r="R29" i="35"/>
  <c r="M29" i="35"/>
  <c r="X28" i="35"/>
  <c r="W28" i="35"/>
  <c r="V28" i="35"/>
  <c r="U28" i="35"/>
  <c r="T28" i="35"/>
  <c r="S28" i="35"/>
  <c r="R28" i="35"/>
  <c r="M28" i="35"/>
  <c r="X27" i="35"/>
  <c r="W27" i="35"/>
  <c r="V27" i="35"/>
  <c r="U27" i="35"/>
  <c r="T27" i="35"/>
  <c r="S27" i="35"/>
  <c r="R27" i="35"/>
  <c r="M27" i="35"/>
  <c r="L27" i="35"/>
  <c r="U26" i="35"/>
  <c r="T26" i="35"/>
  <c r="S26" i="35"/>
  <c r="R26" i="35"/>
  <c r="M26" i="35"/>
  <c r="P38" i="35" s="1"/>
  <c r="L26" i="35"/>
  <c r="O33" i="35" s="1"/>
  <c r="X25" i="35"/>
  <c r="W25" i="35"/>
  <c r="V25" i="35"/>
  <c r="U25" i="35"/>
  <c r="T25" i="35"/>
  <c r="S25" i="35"/>
  <c r="R25" i="35"/>
  <c r="Q25" i="35"/>
  <c r="P25" i="35"/>
  <c r="O25" i="35"/>
  <c r="N25" i="35"/>
  <c r="N37" i="35" s="1"/>
  <c r="M25" i="35"/>
  <c r="L25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R16" i="35"/>
  <c r="N16" i="35"/>
  <c r="M16" i="35"/>
  <c r="L16" i="35"/>
  <c r="K16" i="35"/>
  <c r="Y2" i="35"/>
  <c r="X153" i="33"/>
  <c r="W153" i="33"/>
  <c r="V153" i="33"/>
  <c r="U153" i="33"/>
  <c r="T153" i="33"/>
  <c r="S153" i="33"/>
  <c r="R153" i="33"/>
  <c r="N153" i="33"/>
  <c r="L153" i="33"/>
  <c r="X152" i="33"/>
  <c r="W152" i="33"/>
  <c r="V152" i="33"/>
  <c r="U152" i="33"/>
  <c r="T152" i="33"/>
  <c r="S152" i="33"/>
  <c r="R152" i="33"/>
  <c r="N152" i="33"/>
  <c r="L152" i="33"/>
  <c r="X151" i="33"/>
  <c r="W151" i="33"/>
  <c r="V151" i="33"/>
  <c r="U151" i="33"/>
  <c r="T151" i="33"/>
  <c r="S151" i="33"/>
  <c r="R151" i="33"/>
  <c r="N151" i="33"/>
  <c r="L151" i="33"/>
  <c r="X150" i="33"/>
  <c r="W150" i="33"/>
  <c r="V150" i="33"/>
  <c r="U150" i="33"/>
  <c r="T150" i="33"/>
  <c r="S150" i="33"/>
  <c r="R150" i="33"/>
  <c r="N150" i="33"/>
  <c r="L150" i="33"/>
  <c r="X149" i="33"/>
  <c r="W149" i="33"/>
  <c r="V149" i="33"/>
  <c r="U149" i="33"/>
  <c r="T149" i="33"/>
  <c r="S149" i="33"/>
  <c r="R149" i="33"/>
  <c r="N149" i="33"/>
  <c r="L149" i="33"/>
  <c r="X148" i="33"/>
  <c r="W148" i="33"/>
  <c r="V148" i="33"/>
  <c r="U148" i="33"/>
  <c r="T148" i="33"/>
  <c r="S148" i="33"/>
  <c r="R148" i="33"/>
  <c r="N148" i="33"/>
  <c r="L148" i="33"/>
  <c r="X147" i="33"/>
  <c r="W147" i="33"/>
  <c r="V147" i="33"/>
  <c r="U147" i="33"/>
  <c r="T147" i="33"/>
  <c r="S147" i="33"/>
  <c r="R147" i="33"/>
  <c r="N147" i="33"/>
  <c r="L147" i="33"/>
  <c r="X146" i="33"/>
  <c r="W146" i="33"/>
  <c r="V146" i="33"/>
  <c r="U146" i="33"/>
  <c r="T146" i="33"/>
  <c r="S146" i="33"/>
  <c r="R146" i="33"/>
  <c r="N146" i="33"/>
  <c r="L146" i="33"/>
  <c r="X145" i="33"/>
  <c r="W145" i="33"/>
  <c r="V145" i="33"/>
  <c r="U145" i="33"/>
  <c r="T145" i="33"/>
  <c r="S145" i="33"/>
  <c r="R145" i="33"/>
  <c r="N145" i="33"/>
  <c r="L145" i="33"/>
  <c r="X144" i="33"/>
  <c r="W144" i="33"/>
  <c r="V144" i="33"/>
  <c r="U144" i="33"/>
  <c r="T144" i="33"/>
  <c r="S144" i="33"/>
  <c r="R144" i="33"/>
  <c r="N144" i="33"/>
  <c r="L144" i="33"/>
  <c r="X143" i="33"/>
  <c r="W143" i="33"/>
  <c r="V143" i="33"/>
  <c r="U143" i="33"/>
  <c r="T143" i="33"/>
  <c r="S143" i="33"/>
  <c r="R143" i="33"/>
  <c r="N143" i="33"/>
  <c r="L143" i="33"/>
  <c r="X142" i="33"/>
  <c r="W142" i="33"/>
  <c r="V142" i="33"/>
  <c r="U142" i="33"/>
  <c r="T142" i="33"/>
  <c r="S142" i="33"/>
  <c r="R142" i="33"/>
  <c r="N142" i="33"/>
  <c r="L142" i="33"/>
  <c r="X141" i="33"/>
  <c r="W141" i="33"/>
  <c r="V141" i="33"/>
  <c r="U141" i="33"/>
  <c r="T141" i="33"/>
  <c r="S141" i="33"/>
  <c r="R141" i="33"/>
  <c r="N141" i="33"/>
  <c r="L141" i="33"/>
  <c r="X140" i="33"/>
  <c r="W140" i="33"/>
  <c r="V140" i="33"/>
  <c r="U140" i="33"/>
  <c r="T140" i="33"/>
  <c r="S140" i="33"/>
  <c r="R140" i="33"/>
  <c r="N140" i="33"/>
  <c r="L140" i="33"/>
  <c r="X139" i="33"/>
  <c r="W139" i="33"/>
  <c r="V139" i="33"/>
  <c r="U139" i="33"/>
  <c r="T139" i="33"/>
  <c r="S139" i="33"/>
  <c r="R139" i="33"/>
  <c r="N139" i="33"/>
  <c r="L139" i="33"/>
  <c r="X138" i="33"/>
  <c r="W138" i="33"/>
  <c r="V138" i="33"/>
  <c r="U138" i="33"/>
  <c r="T138" i="33"/>
  <c r="S138" i="33"/>
  <c r="R138" i="33"/>
  <c r="N138" i="33"/>
  <c r="L138" i="33"/>
  <c r="X137" i="33"/>
  <c r="W137" i="33"/>
  <c r="V137" i="33"/>
  <c r="U137" i="33"/>
  <c r="T137" i="33"/>
  <c r="S137" i="33"/>
  <c r="R137" i="33"/>
  <c r="N137" i="33"/>
  <c r="L137" i="33"/>
  <c r="X136" i="33"/>
  <c r="W136" i="33"/>
  <c r="V136" i="33"/>
  <c r="U136" i="33"/>
  <c r="T136" i="33"/>
  <c r="S136" i="33"/>
  <c r="R136" i="33"/>
  <c r="N136" i="33"/>
  <c r="L136" i="33"/>
  <c r="X135" i="33"/>
  <c r="W135" i="33"/>
  <c r="V135" i="33"/>
  <c r="U135" i="33"/>
  <c r="T135" i="33"/>
  <c r="S135" i="33"/>
  <c r="R135" i="33"/>
  <c r="N135" i="33"/>
  <c r="L135" i="33"/>
  <c r="X134" i="33"/>
  <c r="W134" i="33"/>
  <c r="V134" i="33"/>
  <c r="U134" i="33"/>
  <c r="T134" i="33"/>
  <c r="S134" i="33"/>
  <c r="R134" i="33"/>
  <c r="N134" i="33"/>
  <c r="L134" i="33"/>
  <c r="X133" i="33"/>
  <c r="W133" i="33"/>
  <c r="V133" i="33"/>
  <c r="U133" i="33"/>
  <c r="T133" i="33"/>
  <c r="S133" i="33"/>
  <c r="R133" i="33"/>
  <c r="N133" i="33"/>
  <c r="L133" i="33"/>
  <c r="X132" i="33"/>
  <c r="W132" i="33"/>
  <c r="V132" i="33"/>
  <c r="U132" i="33"/>
  <c r="T132" i="33"/>
  <c r="S132" i="33"/>
  <c r="R132" i="33"/>
  <c r="N132" i="33"/>
  <c r="L132" i="33"/>
  <c r="X131" i="33"/>
  <c r="W131" i="33"/>
  <c r="V131" i="33"/>
  <c r="U131" i="33"/>
  <c r="T131" i="33"/>
  <c r="S131" i="33"/>
  <c r="R131" i="33"/>
  <c r="N131" i="33"/>
  <c r="L131" i="33"/>
  <c r="X130" i="33"/>
  <c r="W130" i="33"/>
  <c r="V130" i="33"/>
  <c r="U130" i="33"/>
  <c r="T130" i="33"/>
  <c r="S130" i="33"/>
  <c r="R130" i="33"/>
  <c r="N130" i="33"/>
  <c r="L130" i="33"/>
  <c r="X129" i="33"/>
  <c r="W129" i="33"/>
  <c r="V129" i="33"/>
  <c r="U129" i="33"/>
  <c r="T129" i="33"/>
  <c r="S129" i="33"/>
  <c r="R129" i="33"/>
  <c r="N129" i="33"/>
  <c r="L129" i="33"/>
  <c r="X128" i="33"/>
  <c r="W128" i="33"/>
  <c r="V128" i="33"/>
  <c r="U128" i="33"/>
  <c r="T128" i="33"/>
  <c r="S128" i="33"/>
  <c r="R128" i="33"/>
  <c r="N128" i="33"/>
  <c r="L128" i="33"/>
  <c r="X127" i="33"/>
  <c r="W127" i="33"/>
  <c r="V127" i="33"/>
  <c r="U127" i="33"/>
  <c r="T127" i="33"/>
  <c r="S127" i="33"/>
  <c r="R127" i="33"/>
  <c r="N127" i="33"/>
  <c r="L127" i="33"/>
  <c r="X126" i="33"/>
  <c r="W126" i="33"/>
  <c r="V126" i="33"/>
  <c r="U126" i="33"/>
  <c r="T126" i="33"/>
  <c r="S126" i="33"/>
  <c r="R126" i="33"/>
  <c r="N126" i="33"/>
  <c r="L126" i="33"/>
  <c r="X125" i="33"/>
  <c r="W125" i="33"/>
  <c r="V125" i="33"/>
  <c r="U125" i="33"/>
  <c r="T125" i="33"/>
  <c r="S125" i="33"/>
  <c r="R125" i="33"/>
  <c r="N125" i="33"/>
  <c r="L125" i="33"/>
  <c r="X124" i="33"/>
  <c r="W124" i="33"/>
  <c r="V124" i="33"/>
  <c r="U124" i="33"/>
  <c r="T124" i="33"/>
  <c r="S124" i="33"/>
  <c r="R124" i="33"/>
  <c r="N124" i="33"/>
  <c r="L124" i="33"/>
  <c r="X123" i="33"/>
  <c r="W123" i="33"/>
  <c r="V123" i="33"/>
  <c r="U123" i="33"/>
  <c r="T123" i="33"/>
  <c r="S123" i="33"/>
  <c r="R123" i="33"/>
  <c r="N123" i="33"/>
  <c r="L123" i="33"/>
  <c r="X122" i="33"/>
  <c r="W122" i="33"/>
  <c r="V122" i="33"/>
  <c r="U122" i="33"/>
  <c r="T122" i="33"/>
  <c r="S122" i="33"/>
  <c r="R122" i="33"/>
  <c r="N122" i="33"/>
  <c r="L122" i="33"/>
  <c r="X121" i="33"/>
  <c r="W121" i="33"/>
  <c r="V121" i="33"/>
  <c r="U121" i="33"/>
  <c r="T121" i="33"/>
  <c r="S121" i="33"/>
  <c r="R121" i="33"/>
  <c r="N121" i="33"/>
  <c r="L121" i="33"/>
  <c r="X120" i="33"/>
  <c r="W120" i="33"/>
  <c r="V120" i="33"/>
  <c r="U120" i="33"/>
  <c r="T120" i="33"/>
  <c r="S120" i="33"/>
  <c r="R120" i="33"/>
  <c r="N120" i="33"/>
  <c r="L120" i="33"/>
  <c r="X119" i="33"/>
  <c r="W119" i="33"/>
  <c r="V119" i="33"/>
  <c r="U119" i="33"/>
  <c r="T119" i="33"/>
  <c r="S119" i="33"/>
  <c r="R119" i="33"/>
  <c r="N119" i="33"/>
  <c r="L119" i="33"/>
  <c r="X118" i="33"/>
  <c r="W118" i="33"/>
  <c r="V118" i="33"/>
  <c r="U118" i="33"/>
  <c r="T118" i="33"/>
  <c r="S118" i="33"/>
  <c r="R118" i="33"/>
  <c r="N118" i="33"/>
  <c r="L118" i="33"/>
  <c r="X117" i="33"/>
  <c r="W117" i="33"/>
  <c r="V117" i="33"/>
  <c r="U117" i="33"/>
  <c r="T117" i="33"/>
  <c r="S117" i="33"/>
  <c r="R117" i="33"/>
  <c r="N117" i="33"/>
  <c r="L117" i="33"/>
  <c r="X116" i="33"/>
  <c r="W116" i="33"/>
  <c r="V116" i="33"/>
  <c r="U116" i="33"/>
  <c r="T116" i="33"/>
  <c r="S116" i="33"/>
  <c r="R116" i="33"/>
  <c r="N116" i="33"/>
  <c r="L116" i="33"/>
  <c r="X115" i="33"/>
  <c r="W115" i="33"/>
  <c r="V115" i="33"/>
  <c r="U115" i="33"/>
  <c r="T115" i="33"/>
  <c r="S115" i="33"/>
  <c r="R115" i="33"/>
  <c r="N115" i="33"/>
  <c r="L115" i="33"/>
  <c r="X114" i="33"/>
  <c r="W114" i="33"/>
  <c r="V114" i="33"/>
  <c r="U114" i="33"/>
  <c r="T114" i="33"/>
  <c r="S114" i="33"/>
  <c r="R114" i="33"/>
  <c r="N114" i="33"/>
  <c r="L114" i="33"/>
  <c r="X113" i="33"/>
  <c r="W113" i="33"/>
  <c r="V113" i="33"/>
  <c r="U113" i="33"/>
  <c r="T113" i="33"/>
  <c r="S113" i="33"/>
  <c r="R113" i="33"/>
  <c r="N113" i="33"/>
  <c r="L113" i="33"/>
  <c r="X112" i="33"/>
  <c r="W112" i="33"/>
  <c r="V112" i="33"/>
  <c r="U112" i="33"/>
  <c r="T112" i="33"/>
  <c r="S112" i="33"/>
  <c r="R112" i="33"/>
  <c r="N112" i="33"/>
  <c r="L112" i="33"/>
  <c r="X111" i="33"/>
  <c r="W111" i="33"/>
  <c r="V111" i="33"/>
  <c r="U111" i="33"/>
  <c r="T111" i="33"/>
  <c r="S111" i="33"/>
  <c r="R111" i="33"/>
  <c r="N111" i="33"/>
  <c r="L111" i="33"/>
  <c r="X110" i="33"/>
  <c r="W110" i="33"/>
  <c r="V110" i="33"/>
  <c r="U110" i="33"/>
  <c r="T110" i="33"/>
  <c r="S110" i="33"/>
  <c r="R110" i="33"/>
  <c r="N110" i="33"/>
  <c r="L110" i="33"/>
  <c r="X109" i="33"/>
  <c r="W109" i="33"/>
  <c r="V109" i="33"/>
  <c r="U109" i="33"/>
  <c r="T109" i="33"/>
  <c r="S109" i="33"/>
  <c r="R109" i="33"/>
  <c r="N109" i="33"/>
  <c r="L109" i="33"/>
  <c r="X108" i="33"/>
  <c r="W108" i="33"/>
  <c r="V108" i="33"/>
  <c r="U108" i="33"/>
  <c r="T108" i="33"/>
  <c r="S108" i="33"/>
  <c r="R108" i="33"/>
  <c r="N108" i="33"/>
  <c r="L108" i="33"/>
  <c r="X107" i="33"/>
  <c r="W107" i="33"/>
  <c r="V107" i="33"/>
  <c r="U107" i="33"/>
  <c r="T107" i="33"/>
  <c r="S107" i="33"/>
  <c r="R107" i="33"/>
  <c r="N107" i="33"/>
  <c r="L107" i="33"/>
  <c r="X106" i="33"/>
  <c r="W106" i="33"/>
  <c r="V106" i="33"/>
  <c r="U106" i="33"/>
  <c r="T106" i="33"/>
  <c r="S106" i="33"/>
  <c r="R106" i="33"/>
  <c r="N106" i="33"/>
  <c r="L106" i="33"/>
  <c r="X105" i="33"/>
  <c r="W105" i="33"/>
  <c r="V105" i="33"/>
  <c r="U105" i="33"/>
  <c r="T105" i="33"/>
  <c r="S105" i="33"/>
  <c r="R105" i="33"/>
  <c r="N105" i="33"/>
  <c r="L105" i="33"/>
  <c r="X104" i="33"/>
  <c r="W104" i="33"/>
  <c r="V104" i="33"/>
  <c r="U104" i="33"/>
  <c r="T104" i="33"/>
  <c r="S104" i="33"/>
  <c r="R104" i="33"/>
  <c r="N104" i="33"/>
  <c r="L104" i="33"/>
  <c r="X103" i="33"/>
  <c r="W103" i="33"/>
  <c r="V103" i="33"/>
  <c r="U103" i="33"/>
  <c r="T103" i="33"/>
  <c r="S103" i="33"/>
  <c r="R103" i="33"/>
  <c r="N103" i="33"/>
  <c r="L103" i="33"/>
  <c r="X102" i="33"/>
  <c r="W102" i="33"/>
  <c r="V102" i="33"/>
  <c r="U102" i="33"/>
  <c r="T102" i="33"/>
  <c r="S102" i="33"/>
  <c r="R102" i="33"/>
  <c r="N102" i="33"/>
  <c r="L102" i="33"/>
  <c r="X101" i="33"/>
  <c r="W101" i="33"/>
  <c r="V101" i="33"/>
  <c r="U101" i="33"/>
  <c r="T101" i="33"/>
  <c r="S101" i="33"/>
  <c r="R101" i="33"/>
  <c r="N101" i="33"/>
  <c r="L101" i="33"/>
  <c r="X100" i="33"/>
  <c r="W100" i="33"/>
  <c r="V100" i="33"/>
  <c r="U100" i="33"/>
  <c r="T100" i="33"/>
  <c r="S100" i="33"/>
  <c r="R100" i="33"/>
  <c r="N100" i="33"/>
  <c r="L100" i="33"/>
  <c r="X99" i="33"/>
  <c r="W99" i="33"/>
  <c r="V99" i="33"/>
  <c r="U99" i="33"/>
  <c r="T99" i="33"/>
  <c r="S99" i="33"/>
  <c r="R99" i="33"/>
  <c r="N99" i="33"/>
  <c r="L99" i="33"/>
  <c r="X98" i="33"/>
  <c r="W98" i="33"/>
  <c r="V98" i="33"/>
  <c r="U98" i="33"/>
  <c r="T98" i="33"/>
  <c r="S98" i="33"/>
  <c r="R98" i="33"/>
  <c r="N98" i="33"/>
  <c r="L98" i="33"/>
  <c r="X97" i="33"/>
  <c r="W97" i="33"/>
  <c r="V97" i="33"/>
  <c r="U97" i="33"/>
  <c r="T97" i="33"/>
  <c r="S97" i="33"/>
  <c r="R97" i="33"/>
  <c r="N97" i="33"/>
  <c r="L97" i="33"/>
  <c r="X96" i="33"/>
  <c r="W96" i="33"/>
  <c r="V96" i="33"/>
  <c r="U96" i="33"/>
  <c r="T96" i="33"/>
  <c r="S96" i="33"/>
  <c r="R96" i="33"/>
  <c r="N96" i="33"/>
  <c r="L96" i="33"/>
  <c r="X95" i="33"/>
  <c r="W95" i="33"/>
  <c r="V95" i="33"/>
  <c r="U95" i="33"/>
  <c r="T95" i="33"/>
  <c r="S95" i="33"/>
  <c r="R95" i="33"/>
  <c r="N95" i="33"/>
  <c r="L95" i="33"/>
  <c r="X94" i="33"/>
  <c r="W94" i="33"/>
  <c r="V94" i="33"/>
  <c r="U94" i="33"/>
  <c r="T94" i="33"/>
  <c r="S94" i="33"/>
  <c r="R94" i="33"/>
  <c r="N94" i="33"/>
  <c r="L94" i="33"/>
  <c r="X93" i="33"/>
  <c r="W93" i="33"/>
  <c r="V93" i="33"/>
  <c r="U93" i="33"/>
  <c r="T93" i="33"/>
  <c r="S93" i="33"/>
  <c r="R93" i="33"/>
  <c r="N93" i="33"/>
  <c r="L93" i="33"/>
  <c r="X92" i="33"/>
  <c r="W92" i="33"/>
  <c r="V92" i="33"/>
  <c r="U92" i="33"/>
  <c r="T92" i="33"/>
  <c r="S92" i="33"/>
  <c r="R92" i="33"/>
  <c r="N92" i="33"/>
  <c r="L92" i="33"/>
  <c r="X91" i="33"/>
  <c r="W91" i="33"/>
  <c r="V91" i="33"/>
  <c r="U91" i="33"/>
  <c r="T91" i="33"/>
  <c r="S91" i="33"/>
  <c r="R91" i="33"/>
  <c r="N91" i="33"/>
  <c r="L91" i="33"/>
  <c r="X90" i="33"/>
  <c r="W90" i="33"/>
  <c r="V90" i="33"/>
  <c r="U90" i="33"/>
  <c r="T90" i="33"/>
  <c r="S90" i="33"/>
  <c r="R90" i="33"/>
  <c r="N90" i="33"/>
  <c r="L90" i="33"/>
  <c r="X89" i="33"/>
  <c r="W89" i="33"/>
  <c r="V89" i="33"/>
  <c r="U89" i="33"/>
  <c r="T89" i="33"/>
  <c r="S89" i="33"/>
  <c r="R89" i="33"/>
  <c r="N89" i="33"/>
  <c r="L89" i="33"/>
  <c r="X88" i="33"/>
  <c r="W88" i="33"/>
  <c r="V88" i="33"/>
  <c r="U88" i="33"/>
  <c r="T88" i="33"/>
  <c r="S88" i="33"/>
  <c r="R88" i="33"/>
  <c r="N88" i="33"/>
  <c r="L88" i="33"/>
  <c r="X87" i="33"/>
  <c r="W87" i="33"/>
  <c r="V87" i="33"/>
  <c r="U87" i="33"/>
  <c r="T87" i="33"/>
  <c r="S87" i="33"/>
  <c r="R87" i="33"/>
  <c r="N87" i="33"/>
  <c r="L87" i="33"/>
  <c r="X86" i="33"/>
  <c r="W86" i="33"/>
  <c r="V86" i="33"/>
  <c r="U86" i="33"/>
  <c r="T86" i="33"/>
  <c r="S86" i="33"/>
  <c r="R86" i="33"/>
  <c r="N86" i="33"/>
  <c r="L86" i="33"/>
  <c r="X85" i="33"/>
  <c r="W85" i="33"/>
  <c r="V85" i="33"/>
  <c r="U85" i="33"/>
  <c r="T85" i="33"/>
  <c r="S85" i="33"/>
  <c r="R85" i="33"/>
  <c r="N85" i="33"/>
  <c r="L85" i="33"/>
  <c r="X84" i="33"/>
  <c r="W84" i="33"/>
  <c r="V84" i="33"/>
  <c r="U84" i="33"/>
  <c r="T84" i="33"/>
  <c r="S84" i="33"/>
  <c r="R84" i="33"/>
  <c r="N84" i="33"/>
  <c r="L84" i="33"/>
  <c r="X83" i="33"/>
  <c r="W83" i="33"/>
  <c r="V83" i="33"/>
  <c r="U83" i="33"/>
  <c r="T83" i="33"/>
  <c r="S83" i="33"/>
  <c r="R83" i="33"/>
  <c r="N83" i="33"/>
  <c r="L83" i="33"/>
  <c r="X82" i="33"/>
  <c r="W82" i="33"/>
  <c r="V82" i="33"/>
  <c r="U82" i="33"/>
  <c r="T82" i="33"/>
  <c r="S82" i="33"/>
  <c r="R82" i="33"/>
  <c r="N82" i="33"/>
  <c r="L82" i="33"/>
  <c r="X81" i="33"/>
  <c r="W81" i="33"/>
  <c r="V81" i="33"/>
  <c r="U81" i="33"/>
  <c r="T81" i="33"/>
  <c r="S81" i="33"/>
  <c r="R81" i="33"/>
  <c r="N81" i="33"/>
  <c r="L81" i="33"/>
  <c r="X80" i="33"/>
  <c r="W80" i="33"/>
  <c r="V80" i="33"/>
  <c r="U80" i="33"/>
  <c r="T80" i="33"/>
  <c r="S80" i="33"/>
  <c r="R80" i="33"/>
  <c r="N80" i="33"/>
  <c r="L80" i="33"/>
  <c r="X79" i="33"/>
  <c r="W79" i="33"/>
  <c r="V79" i="33"/>
  <c r="U79" i="33"/>
  <c r="T79" i="33"/>
  <c r="S79" i="33"/>
  <c r="R79" i="33"/>
  <c r="N79" i="33"/>
  <c r="L79" i="33"/>
  <c r="X78" i="33"/>
  <c r="W78" i="33"/>
  <c r="V78" i="33"/>
  <c r="U78" i="33"/>
  <c r="T78" i="33"/>
  <c r="S78" i="33"/>
  <c r="R78" i="33"/>
  <c r="N78" i="33"/>
  <c r="L78" i="33"/>
  <c r="X77" i="33"/>
  <c r="W77" i="33"/>
  <c r="V77" i="33"/>
  <c r="U77" i="33"/>
  <c r="T77" i="33"/>
  <c r="S77" i="33"/>
  <c r="R77" i="33"/>
  <c r="N77" i="33"/>
  <c r="L77" i="33"/>
  <c r="X76" i="33"/>
  <c r="W76" i="33"/>
  <c r="V76" i="33"/>
  <c r="U76" i="33"/>
  <c r="T76" i="33"/>
  <c r="S76" i="33"/>
  <c r="R76" i="33"/>
  <c r="N76" i="33"/>
  <c r="L76" i="33"/>
  <c r="X75" i="33"/>
  <c r="W75" i="33"/>
  <c r="V75" i="33"/>
  <c r="U75" i="33"/>
  <c r="T75" i="33"/>
  <c r="S75" i="33"/>
  <c r="R75" i="33"/>
  <c r="N75" i="33"/>
  <c r="L75" i="33"/>
  <c r="X74" i="33"/>
  <c r="W74" i="33"/>
  <c r="V74" i="33"/>
  <c r="U74" i="33"/>
  <c r="T74" i="33"/>
  <c r="S74" i="33"/>
  <c r="R74" i="33"/>
  <c r="N74" i="33"/>
  <c r="L74" i="33"/>
  <c r="X73" i="33"/>
  <c r="W73" i="33"/>
  <c r="V73" i="33"/>
  <c r="U73" i="33"/>
  <c r="T73" i="33"/>
  <c r="S73" i="33"/>
  <c r="R73" i="33"/>
  <c r="N73" i="33"/>
  <c r="L73" i="33"/>
  <c r="X72" i="33"/>
  <c r="W72" i="33"/>
  <c r="V72" i="33"/>
  <c r="U72" i="33"/>
  <c r="T72" i="33"/>
  <c r="S72" i="33"/>
  <c r="R72" i="33"/>
  <c r="N72" i="33"/>
  <c r="L72" i="33"/>
  <c r="X71" i="33"/>
  <c r="W71" i="33"/>
  <c r="V71" i="33"/>
  <c r="U71" i="33"/>
  <c r="T71" i="33"/>
  <c r="S71" i="33"/>
  <c r="R71" i="33"/>
  <c r="N71" i="33"/>
  <c r="L71" i="33"/>
  <c r="X70" i="33"/>
  <c r="W70" i="33"/>
  <c r="V70" i="33"/>
  <c r="U70" i="33"/>
  <c r="T70" i="33"/>
  <c r="S70" i="33"/>
  <c r="R70" i="33"/>
  <c r="N70" i="33"/>
  <c r="L70" i="33"/>
  <c r="X69" i="33"/>
  <c r="W69" i="33"/>
  <c r="V69" i="33"/>
  <c r="U69" i="33"/>
  <c r="T69" i="33"/>
  <c r="S69" i="33"/>
  <c r="R69" i="33"/>
  <c r="N69" i="33"/>
  <c r="L69" i="33"/>
  <c r="X68" i="33"/>
  <c r="W68" i="33"/>
  <c r="V68" i="33"/>
  <c r="U68" i="33"/>
  <c r="T68" i="33"/>
  <c r="S68" i="33"/>
  <c r="R68" i="33"/>
  <c r="N68" i="33"/>
  <c r="L68" i="33"/>
  <c r="X67" i="33"/>
  <c r="W67" i="33"/>
  <c r="V67" i="33"/>
  <c r="U67" i="33"/>
  <c r="T67" i="33"/>
  <c r="S67" i="33"/>
  <c r="R67" i="33"/>
  <c r="N67" i="33"/>
  <c r="L67" i="33"/>
  <c r="X66" i="33"/>
  <c r="W66" i="33"/>
  <c r="V66" i="33"/>
  <c r="U66" i="33"/>
  <c r="T66" i="33"/>
  <c r="S66" i="33"/>
  <c r="R66" i="33"/>
  <c r="N66" i="33"/>
  <c r="L66" i="33"/>
  <c r="X65" i="33"/>
  <c r="W65" i="33"/>
  <c r="V65" i="33"/>
  <c r="U65" i="33"/>
  <c r="T65" i="33"/>
  <c r="S65" i="33"/>
  <c r="R65" i="33"/>
  <c r="N65" i="33"/>
  <c r="L65" i="33"/>
  <c r="X64" i="33"/>
  <c r="W64" i="33"/>
  <c r="V64" i="33"/>
  <c r="U64" i="33"/>
  <c r="T64" i="33"/>
  <c r="S64" i="33"/>
  <c r="R64" i="33"/>
  <c r="N64" i="33"/>
  <c r="L64" i="33"/>
  <c r="X63" i="33"/>
  <c r="W63" i="33"/>
  <c r="V63" i="33"/>
  <c r="U63" i="33"/>
  <c r="T63" i="33"/>
  <c r="S63" i="33"/>
  <c r="R63" i="33"/>
  <c r="N63" i="33"/>
  <c r="L63" i="33"/>
  <c r="X62" i="33"/>
  <c r="W62" i="33"/>
  <c r="V62" i="33"/>
  <c r="U62" i="33"/>
  <c r="T62" i="33"/>
  <c r="S62" i="33"/>
  <c r="R62" i="33"/>
  <c r="N62" i="33"/>
  <c r="L62" i="33"/>
  <c r="X61" i="33"/>
  <c r="W61" i="33"/>
  <c r="V61" i="33"/>
  <c r="U61" i="33"/>
  <c r="T61" i="33"/>
  <c r="S61" i="33"/>
  <c r="R61" i="33"/>
  <c r="N61" i="33"/>
  <c r="L61" i="33"/>
  <c r="X60" i="33"/>
  <c r="W60" i="33"/>
  <c r="V60" i="33"/>
  <c r="U60" i="33"/>
  <c r="T60" i="33"/>
  <c r="S60" i="33"/>
  <c r="R60" i="33"/>
  <c r="N60" i="33"/>
  <c r="L60" i="33"/>
  <c r="X59" i="33"/>
  <c r="W59" i="33"/>
  <c r="V59" i="33"/>
  <c r="U59" i="33"/>
  <c r="T59" i="33"/>
  <c r="S59" i="33"/>
  <c r="R59" i="33"/>
  <c r="N59" i="33"/>
  <c r="L59" i="33"/>
  <c r="X58" i="33"/>
  <c r="W58" i="33"/>
  <c r="V58" i="33"/>
  <c r="U58" i="33"/>
  <c r="T58" i="33"/>
  <c r="S58" i="33"/>
  <c r="R58" i="33"/>
  <c r="N58" i="33"/>
  <c r="L58" i="33"/>
  <c r="X57" i="33"/>
  <c r="W57" i="33"/>
  <c r="V57" i="33"/>
  <c r="U57" i="33"/>
  <c r="T57" i="33"/>
  <c r="S57" i="33"/>
  <c r="R57" i="33"/>
  <c r="N57" i="33"/>
  <c r="L57" i="33"/>
  <c r="X56" i="33"/>
  <c r="W56" i="33"/>
  <c r="V56" i="33"/>
  <c r="U56" i="33"/>
  <c r="T56" i="33"/>
  <c r="S56" i="33"/>
  <c r="R56" i="33"/>
  <c r="N56" i="33"/>
  <c r="L56" i="33"/>
  <c r="X55" i="33"/>
  <c r="W55" i="33"/>
  <c r="V55" i="33"/>
  <c r="U55" i="33"/>
  <c r="T55" i="33"/>
  <c r="S55" i="33"/>
  <c r="R55" i="33"/>
  <c r="N55" i="33"/>
  <c r="L55" i="33"/>
  <c r="X54" i="33"/>
  <c r="W54" i="33"/>
  <c r="V54" i="33"/>
  <c r="U54" i="33"/>
  <c r="T54" i="33"/>
  <c r="S54" i="33"/>
  <c r="R54" i="33"/>
  <c r="N54" i="33"/>
  <c r="L54" i="33"/>
  <c r="X53" i="33"/>
  <c r="W53" i="33"/>
  <c r="V53" i="33"/>
  <c r="U53" i="33"/>
  <c r="T53" i="33"/>
  <c r="S53" i="33"/>
  <c r="R53" i="33"/>
  <c r="N53" i="33"/>
  <c r="L53" i="33"/>
  <c r="X52" i="33"/>
  <c r="W52" i="33"/>
  <c r="V52" i="33"/>
  <c r="U52" i="33"/>
  <c r="T52" i="33"/>
  <c r="S52" i="33"/>
  <c r="R52" i="33"/>
  <c r="N52" i="33"/>
  <c r="L52" i="33"/>
  <c r="X51" i="33"/>
  <c r="W51" i="33"/>
  <c r="V51" i="33"/>
  <c r="U51" i="33"/>
  <c r="T51" i="33"/>
  <c r="S51" i="33"/>
  <c r="R51" i="33"/>
  <c r="N51" i="33"/>
  <c r="L51" i="33"/>
  <c r="X50" i="33"/>
  <c r="W50" i="33"/>
  <c r="V50" i="33"/>
  <c r="U50" i="33"/>
  <c r="T50" i="33"/>
  <c r="S50" i="33"/>
  <c r="R50" i="33"/>
  <c r="N50" i="33"/>
  <c r="L50" i="33"/>
  <c r="X49" i="33"/>
  <c r="W49" i="33"/>
  <c r="V49" i="33"/>
  <c r="U49" i="33"/>
  <c r="T49" i="33"/>
  <c r="S49" i="33"/>
  <c r="R49" i="33"/>
  <c r="N49" i="33"/>
  <c r="L49" i="33"/>
  <c r="X48" i="33"/>
  <c r="W48" i="33"/>
  <c r="V48" i="33"/>
  <c r="U48" i="33"/>
  <c r="T48" i="33"/>
  <c r="S48" i="33"/>
  <c r="R48" i="33"/>
  <c r="N48" i="33"/>
  <c r="L48" i="33"/>
  <c r="X47" i="33"/>
  <c r="W47" i="33"/>
  <c r="V47" i="33"/>
  <c r="U47" i="33"/>
  <c r="T47" i="33"/>
  <c r="S47" i="33"/>
  <c r="R47" i="33"/>
  <c r="N47" i="33"/>
  <c r="L47" i="33"/>
  <c r="X46" i="33"/>
  <c r="W46" i="33"/>
  <c r="V46" i="33"/>
  <c r="U46" i="33"/>
  <c r="T46" i="33"/>
  <c r="S46" i="33"/>
  <c r="R46" i="33"/>
  <c r="N46" i="33"/>
  <c r="L46" i="33"/>
  <c r="X45" i="33"/>
  <c r="W45" i="33"/>
  <c r="V45" i="33"/>
  <c r="U45" i="33"/>
  <c r="T45" i="33"/>
  <c r="S45" i="33"/>
  <c r="R45" i="33"/>
  <c r="N45" i="33"/>
  <c r="L45" i="33"/>
  <c r="X44" i="33"/>
  <c r="W44" i="33"/>
  <c r="V44" i="33"/>
  <c r="U44" i="33"/>
  <c r="T44" i="33"/>
  <c r="S44" i="33"/>
  <c r="R44" i="33"/>
  <c r="N44" i="33"/>
  <c r="L44" i="33"/>
  <c r="X43" i="33"/>
  <c r="W43" i="33"/>
  <c r="V43" i="33"/>
  <c r="U43" i="33"/>
  <c r="T43" i="33"/>
  <c r="S43" i="33"/>
  <c r="R43" i="33"/>
  <c r="N43" i="33"/>
  <c r="L43" i="33"/>
  <c r="X42" i="33"/>
  <c r="W42" i="33"/>
  <c r="V42" i="33"/>
  <c r="U42" i="33"/>
  <c r="T42" i="33"/>
  <c r="S42" i="33"/>
  <c r="R42" i="33"/>
  <c r="N42" i="33"/>
  <c r="L42" i="33"/>
  <c r="X41" i="33"/>
  <c r="W41" i="33"/>
  <c r="V41" i="33"/>
  <c r="R41" i="33"/>
  <c r="X40" i="33"/>
  <c r="W40" i="33"/>
  <c r="V40" i="33"/>
  <c r="U40" i="33"/>
  <c r="T40" i="33"/>
  <c r="S40" i="33"/>
  <c r="R40" i="33"/>
  <c r="N40" i="33"/>
  <c r="L40" i="33"/>
  <c r="X39" i="33"/>
  <c r="W39" i="33"/>
  <c r="V39" i="33"/>
  <c r="U39" i="33"/>
  <c r="T39" i="33"/>
  <c r="S39" i="33"/>
  <c r="R39" i="33"/>
  <c r="N39" i="33"/>
  <c r="L39" i="33"/>
  <c r="X38" i="33"/>
  <c r="W38" i="33"/>
  <c r="V38" i="33"/>
  <c r="U38" i="33"/>
  <c r="T38" i="33"/>
  <c r="S38" i="33"/>
  <c r="R38" i="33"/>
  <c r="N38" i="33"/>
  <c r="L38" i="33"/>
  <c r="X37" i="33"/>
  <c r="W37" i="33"/>
  <c r="V37" i="33"/>
  <c r="U37" i="33"/>
  <c r="T37" i="33"/>
  <c r="S37" i="33"/>
  <c r="R37" i="33"/>
  <c r="N37" i="33"/>
  <c r="L37" i="33"/>
  <c r="X36" i="33"/>
  <c r="W36" i="33"/>
  <c r="V36" i="33"/>
  <c r="U36" i="33"/>
  <c r="T36" i="33"/>
  <c r="S36" i="33"/>
  <c r="R36" i="33"/>
  <c r="N36" i="33"/>
  <c r="L36" i="33"/>
  <c r="X35" i="33"/>
  <c r="W35" i="33"/>
  <c r="V35" i="33"/>
  <c r="U35" i="33"/>
  <c r="T35" i="33"/>
  <c r="S35" i="33"/>
  <c r="R35" i="33"/>
  <c r="N35" i="33"/>
  <c r="L35" i="33"/>
  <c r="X34" i="33"/>
  <c r="W34" i="33"/>
  <c r="V34" i="33"/>
  <c r="U34" i="33"/>
  <c r="T34" i="33"/>
  <c r="S34" i="33"/>
  <c r="R34" i="33"/>
  <c r="N34" i="33"/>
  <c r="L34" i="33"/>
  <c r="X33" i="33"/>
  <c r="W33" i="33"/>
  <c r="V33" i="33"/>
  <c r="U33" i="33"/>
  <c r="T33" i="33"/>
  <c r="S33" i="33"/>
  <c r="R33" i="33"/>
  <c r="N33" i="33"/>
  <c r="L33" i="33"/>
  <c r="X32" i="33"/>
  <c r="W32" i="33"/>
  <c r="V32" i="33"/>
  <c r="U32" i="33"/>
  <c r="T32" i="33"/>
  <c r="S32" i="33"/>
  <c r="R32" i="33"/>
  <c r="N32" i="33"/>
  <c r="M32" i="33"/>
  <c r="M34" i="33" s="1"/>
  <c r="L32" i="33"/>
  <c r="U31" i="33"/>
  <c r="T31" i="33"/>
  <c r="S31" i="33"/>
  <c r="R31" i="33"/>
  <c r="N31" i="33"/>
  <c r="Q38" i="33" s="1"/>
  <c r="M31" i="33"/>
  <c r="P36" i="33" s="1"/>
  <c r="L31" i="33"/>
  <c r="O39" i="33" s="1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R16" i="33"/>
  <c r="N16" i="33"/>
  <c r="M16" i="33"/>
  <c r="L16" i="33"/>
  <c r="K16" i="33"/>
  <c r="W7" i="33"/>
  <c r="Y2" i="33"/>
  <c r="X153" i="31"/>
  <c r="W153" i="31"/>
  <c r="V153" i="31"/>
  <c r="U153" i="31"/>
  <c r="T153" i="31"/>
  <c r="S153" i="31"/>
  <c r="R153" i="31"/>
  <c r="X152" i="31"/>
  <c r="W152" i="31"/>
  <c r="V152" i="31"/>
  <c r="U152" i="31"/>
  <c r="T152" i="31"/>
  <c r="S152" i="31"/>
  <c r="R152" i="31"/>
  <c r="X151" i="31"/>
  <c r="W151" i="31"/>
  <c r="V151" i="31"/>
  <c r="U151" i="31"/>
  <c r="T151" i="31"/>
  <c r="S151" i="31"/>
  <c r="R151" i="31"/>
  <c r="X150" i="31"/>
  <c r="W150" i="31"/>
  <c r="V150" i="31"/>
  <c r="U150" i="31"/>
  <c r="T150" i="31"/>
  <c r="S150" i="31"/>
  <c r="R150" i="31"/>
  <c r="X149" i="31"/>
  <c r="W149" i="31"/>
  <c r="V149" i="31"/>
  <c r="U149" i="31"/>
  <c r="T149" i="31"/>
  <c r="S149" i="31"/>
  <c r="R149" i="31"/>
  <c r="X148" i="31"/>
  <c r="W148" i="31"/>
  <c r="V148" i="31"/>
  <c r="U148" i="31"/>
  <c r="T148" i="31"/>
  <c r="S148" i="31"/>
  <c r="R148" i="31"/>
  <c r="X147" i="31"/>
  <c r="W147" i="31"/>
  <c r="V147" i="31"/>
  <c r="U147" i="31"/>
  <c r="T147" i="31"/>
  <c r="S147" i="31"/>
  <c r="R147" i="31"/>
  <c r="X146" i="31"/>
  <c r="W146" i="31"/>
  <c r="V146" i="31"/>
  <c r="U146" i="31"/>
  <c r="T146" i="31"/>
  <c r="S146" i="31"/>
  <c r="R146" i="31"/>
  <c r="X145" i="31"/>
  <c r="W145" i="31"/>
  <c r="V145" i="31"/>
  <c r="U145" i="31"/>
  <c r="T145" i="31"/>
  <c r="S145" i="31"/>
  <c r="R145" i="31"/>
  <c r="X144" i="31"/>
  <c r="W144" i="31"/>
  <c r="V144" i="31"/>
  <c r="U144" i="31"/>
  <c r="T144" i="31"/>
  <c r="S144" i="31"/>
  <c r="R144" i="31"/>
  <c r="X143" i="31"/>
  <c r="W143" i="31"/>
  <c r="V143" i="31"/>
  <c r="U143" i="31"/>
  <c r="T143" i="31"/>
  <c r="S143" i="31"/>
  <c r="R143" i="31"/>
  <c r="X142" i="31"/>
  <c r="W142" i="31"/>
  <c r="V142" i="31"/>
  <c r="U142" i="31"/>
  <c r="T142" i="31"/>
  <c r="S142" i="31"/>
  <c r="R142" i="31"/>
  <c r="X141" i="31"/>
  <c r="W141" i="31"/>
  <c r="V141" i="31"/>
  <c r="U141" i="31"/>
  <c r="T141" i="31"/>
  <c r="S141" i="31"/>
  <c r="R141" i="31"/>
  <c r="X140" i="31"/>
  <c r="W140" i="31"/>
  <c r="V140" i="31"/>
  <c r="U140" i="31"/>
  <c r="T140" i="31"/>
  <c r="S140" i="31"/>
  <c r="R140" i="31"/>
  <c r="X139" i="31"/>
  <c r="W139" i="31"/>
  <c r="V139" i="31"/>
  <c r="U139" i="31"/>
  <c r="T139" i="31"/>
  <c r="S139" i="31"/>
  <c r="R139" i="31"/>
  <c r="X138" i="31"/>
  <c r="W138" i="31"/>
  <c r="V138" i="31"/>
  <c r="U138" i="31"/>
  <c r="T138" i="31"/>
  <c r="S138" i="31"/>
  <c r="R138" i="31"/>
  <c r="X137" i="31"/>
  <c r="W137" i="31"/>
  <c r="V137" i="31"/>
  <c r="U137" i="31"/>
  <c r="T137" i="31"/>
  <c r="S137" i="31"/>
  <c r="R137" i="31"/>
  <c r="X136" i="31"/>
  <c r="W136" i="31"/>
  <c r="V136" i="31"/>
  <c r="U136" i="31"/>
  <c r="T136" i="31"/>
  <c r="S136" i="31"/>
  <c r="R136" i="31"/>
  <c r="X135" i="31"/>
  <c r="W135" i="31"/>
  <c r="V135" i="31"/>
  <c r="U135" i="31"/>
  <c r="T135" i="31"/>
  <c r="S135" i="31"/>
  <c r="R135" i="31"/>
  <c r="X134" i="31"/>
  <c r="W134" i="31"/>
  <c r="V134" i="31"/>
  <c r="U134" i="31"/>
  <c r="T134" i="31"/>
  <c r="S134" i="31"/>
  <c r="R134" i="31"/>
  <c r="X133" i="31"/>
  <c r="W133" i="31"/>
  <c r="V133" i="31"/>
  <c r="U133" i="31"/>
  <c r="T133" i="31"/>
  <c r="S133" i="31"/>
  <c r="R133" i="31"/>
  <c r="X132" i="31"/>
  <c r="W132" i="31"/>
  <c r="V132" i="31"/>
  <c r="U132" i="31"/>
  <c r="T132" i="31"/>
  <c r="S132" i="31"/>
  <c r="R132" i="31"/>
  <c r="X131" i="31"/>
  <c r="W131" i="31"/>
  <c r="V131" i="31"/>
  <c r="U131" i="31"/>
  <c r="T131" i="31"/>
  <c r="S131" i="31"/>
  <c r="R131" i="31"/>
  <c r="X130" i="31"/>
  <c r="W130" i="31"/>
  <c r="V130" i="31"/>
  <c r="U130" i="31"/>
  <c r="T130" i="31"/>
  <c r="S130" i="31"/>
  <c r="R130" i="31"/>
  <c r="X129" i="31"/>
  <c r="W129" i="31"/>
  <c r="V129" i="31"/>
  <c r="U129" i="31"/>
  <c r="T129" i="31"/>
  <c r="S129" i="31"/>
  <c r="R129" i="31"/>
  <c r="X128" i="31"/>
  <c r="W128" i="31"/>
  <c r="V128" i="31"/>
  <c r="U128" i="31"/>
  <c r="T128" i="31"/>
  <c r="S128" i="31"/>
  <c r="R128" i="31"/>
  <c r="X127" i="31"/>
  <c r="W127" i="31"/>
  <c r="V127" i="31"/>
  <c r="U127" i="31"/>
  <c r="T127" i="31"/>
  <c r="S127" i="31"/>
  <c r="R127" i="31"/>
  <c r="X126" i="31"/>
  <c r="W126" i="31"/>
  <c r="V126" i="31"/>
  <c r="U126" i="31"/>
  <c r="T126" i="31"/>
  <c r="S126" i="31"/>
  <c r="R126" i="31"/>
  <c r="X125" i="31"/>
  <c r="W125" i="31"/>
  <c r="V125" i="31"/>
  <c r="U125" i="31"/>
  <c r="T125" i="31"/>
  <c r="S125" i="31"/>
  <c r="R125" i="31"/>
  <c r="X124" i="31"/>
  <c r="W124" i="31"/>
  <c r="V124" i="31"/>
  <c r="U124" i="31"/>
  <c r="T124" i="31"/>
  <c r="S124" i="31"/>
  <c r="R124" i="31"/>
  <c r="X123" i="31"/>
  <c r="W123" i="31"/>
  <c r="V123" i="31"/>
  <c r="U123" i="31"/>
  <c r="T123" i="31"/>
  <c r="S123" i="31"/>
  <c r="R123" i="31"/>
  <c r="X122" i="31"/>
  <c r="W122" i="31"/>
  <c r="V122" i="31"/>
  <c r="U122" i="31"/>
  <c r="T122" i="31"/>
  <c r="S122" i="31"/>
  <c r="R122" i="31"/>
  <c r="X121" i="31"/>
  <c r="W121" i="31"/>
  <c r="V121" i="31"/>
  <c r="U121" i="31"/>
  <c r="T121" i="31"/>
  <c r="S121" i="31"/>
  <c r="R121" i="31"/>
  <c r="X120" i="31"/>
  <c r="W120" i="31"/>
  <c r="V120" i="31"/>
  <c r="U120" i="31"/>
  <c r="T120" i="31"/>
  <c r="S120" i="31"/>
  <c r="R120" i="31"/>
  <c r="X119" i="31"/>
  <c r="W119" i="31"/>
  <c r="V119" i="31"/>
  <c r="U119" i="31"/>
  <c r="T119" i="31"/>
  <c r="S119" i="31"/>
  <c r="R119" i="31"/>
  <c r="X118" i="31"/>
  <c r="W118" i="31"/>
  <c r="V118" i="31"/>
  <c r="U118" i="31"/>
  <c r="T118" i="31"/>
  <c r="S118" i="31"/>
  <c r="R118" i="31"/>
  <c r="X117" i="31"/>
  <c r="W117" i="31"/>
  <c r="V117" i="31"/>
  <c r="U117" i="31"/>
  <c r="T117" i="31"/>
  <c r="S117" i="31"/>
  <c r="R117" i="31"/>
  <c r="X116" i="31"/>
  <c r="W116" i="31"/>
  <c r="V116" i="31"/>
  <c r="U116" i="31"/>
  <c r="T116" i="31"/>
  <c r="S116" i="31"/>
  <c r="R116" i="31"/>
  <c r="X115" i="31"/>
  <c r="W115" i="31"/>
  <c r="V115" i="31"/>
  <c r="U115" i="31"/>
  <c r="T115" i="31"/>
  <c r="S115" i="31"/>
  <c r="R115" i="31"/>
  <c r="X114" i="31"/>
  <c r="W114" i="31"/>
  <c r="V114" i="31"/>
  <c r="U114" i="31"/>
  <c r="T114" i="31"/>
  <c r="S114" i="31"/>
  <c r="R114" i="31"/>
  <c r="X113" i="31"/>
  <c r="W113" i="31"/>
  <c r="V113" i="31"/>
  <c r="U113" i="31"/>
  <c r="T113" i="31"/>
  <c r="S113" i="31"/>
  <c r="R113" i="31"/>
  <c r="X112" i="31"/>
  <c r="W112" i="31"/>
  <c r="V112" i="31"/>
  <c r="U112" i="31"/>
  <c r="T112" i="31"/>
  <c r="S112" i="31"/>
  <c r="R112" i="31"/>
  <c r="X111" i="31"/>
  <c r="W111" i="31"/>
  <c r="V111" i="31"/>
  <c r="U111" i="31"/>
  <c r="T111" i="31"/>
  <c r="S111" i="31"/>
  <c r="R111" i="31"/>
  <c r="X110" i="31"/>
  <c r="W110" i="31"/>
  <c r="V110" i="31"/>
  <c r="U110" i="31"/>
  <c r="T110" i="31"/>
  <c r="S110" i="31"/>
  <c r="R110" i="31"/>
  <c r="X109" i="31"/>
  <c r="W109" i="31"/>
  <c r="V109" i="31"/>
  <c r="U109" i="31"/>
  <c r="T109" i="31"/>
  <c r="S109" i="31"/>
  <c r="R109" i="31"/>
  <c r="X108" i="31"/>
  <c r="W108" i="31"/>
  <c r="V108" i="31"/>
  <c r="U108" i="31"/>
  <c r="T108" i="31"/>
  <c r="S108" i="31"/>
  <c r="R108" i="31"/>
  <c r="X107" i="31"/>
  <c r="W107" i="31"/>
  <c r="V107" i="31"/>
  <c r="U107" i="31"/>
  <c r="T107" i="31"/>
  <c r="S107" i="31"/>
  <c r="R107" i="31"/>
  <c r="X106" i="31"/>
  <c r="W106" i="31"/>
  <c r="V106" i="31"/>
  <c r="U106" i="31"/>
  <c r="T106" i="31"/>
  <c r="S106" i="31"/>
  <c r="R106" i="31"/>
  <c r="X105" i="31"/>
  <c r="W105" i="31"/>
  <c r="V105" i="31"/>
  <c r="U105" i="31"/>
  <c r="T105" i="31"/>
  <c r="S105" i="31"/>
  <c r="R105" i="31"/>
  <c r="X104" i="31"/>
  <c r="W104" i="31"/>
  <c r="V104" i="31"/>
  <c r="U104" i="31"/>
  <c r="T104" i="31"/>
  <c r="S104" i="31"/>
  <c r="R104" i="31"/>
  <c r="X103" i="31"/>
  <c r="W103" i="31"/>
  <c r="V103" i="31"/>
  <c r="U103" i="31"/>
  <c r="T103" i="31"/>
  <c r="S103" i="31"/>
  <c r="R103" i="31"/>
  <c r="X102" i="31"/>
  <c r="W102" i="31"/>
  <c r="V102" i="31"/>
  <c r="U102" i="31"/>
  <c r="T102" i="31"/>
  <c r="S102" i="31"/>
  <c r="R102" i="31"/>
  <c r="X101" i="31"/>
  <c r="W101" i="31"/>
  <c r="V101" i="31"/>
  <c r="U101" i="31"/>
  <c r="T101" i="31"/>
  <c r="S101" i="31"/>
  <c r="R101" i="31"/>
  <c r="X100" i="31"/>
  <c r="W100" i="31"/>
  <c r="V100" i="31"/>
  <c r="U100" i="31"/>
  <c r="T100" i="31"/>
  <c r="S100" i="31"/>
  <c r="R100" i="31"/>
  <c r="X99" i="31"/>
  <c r="W99" i="31"/>
  <c r="V99" i="31"/>
  <c r="U99" i="31"/>
  <c r="T99" i="31"/>
  <c r="S99" i="31"/>
  <c r="R99" i="31"/>
  <c r="X98" i="31"/>
  <c r="W98" i="31"/>
  <c r="V98" i="31"/>
  <c r="U98" i="31"/>
  <c r="T98" i="31"/>
  <c r="S98" i="31"/>
  <c r="R98" i="31"/>
  <c r="X97" i="31"/>
  <c r="W97" i="31"/>
  <c r="V97" i="31"/>
  <c r="U97" i="31"/>
  <c r="T97" i="31"/>
  <c r="S97" i="31"/>
  <c r="R97" i="31"/>
  <c r="X96" i="31"/>
  <c r="W96" i="31"/>
  <c r="V96" i="31"/>
  <c r="U96" i="31"/>
  <c r="T96" i="31"/>
  <c r="S96" i="31"/>
  <c r="R96" i="31"/>
  <c r="X95" i="31"/>
  <c r="W95" i="31"/>
  <c r="V95" i="31"/>
  <c r="U95" i="31"/>
  <c r="T95" i="31"/>
  <c r="S95" i="31"/>
  <c r="R95" i="31"/>
  <c r="X94" i="31"/>
  <c r="W94" i="31"/>
  <c r="V94" i="31"/>
  <c r="U94" i="31"/>
  <c r="T94" i="31"/>
  <c r="S94" i="31"/>
  <c r="R94" i="31"/>
  <c r="X93" i="31"/>
  <c r="W93" i="31"/>
  <c r="V93" i="31"/>
  <c r="U93" i="31"/>
  <c r="T93" i="31"/>
  <c r="S93" i="31"/>
  <c r="R93" i="31"/>
  <c r="X92" i="31"/>
  <c r="W92" i="31"/>
  <c r="V92" i="31"/>
  <c r="U92" i="31"/>
  <c r="T92" i="31"/>
  <c r="S92" i="31"/>
  <c r="R92" i="31"/>
  <c r="X91" i="31"/>
  <c r="W91" i="31"/>
  <c r="V91" i="31"/>
  <c r="U91" i="31"/>
  <c r="T91" i="31"/>
  <c r="S91" i="31"/>
  <c r="R91" i="31"/>
  <c r="X90" i="31"/>
  <c r="W90" i="31"/>
  <c r="V90" i="31"/>
  <c r="U90" i="31"/>
  <c r="T90" i="31"/>
  <c r="S90" i="31"/>
  <c r="R90" i="31"/>
  <c r="X89" i="31"/>
  <c r="W89" i="31"/>
  <c r="V89" i="31"/>
  <c r="U89" i="31"/>
  <c r="T89" i="31"/>
  <c r="S89" i="31"/>
  <c r="R89" i="31"/>
  <c r="X88" i="31"/>
  <c r="W88" i="31"/>
  <c r="V88" i="31"/>
  <c r="U88" i="31"/>
  <c r="T88" i="31"/>
  <c r="S88" i="31"/>
  <c r="R88" i="31"/>
  <c r="X87" i="31"/>
  <c r="W87" i="31"/>
  <c r="V87" i="31"/>
  <c r="U87" i="31"/>
  <c r="T87" i="31"/>
  <c r="S87" i="31"/>
  <c r="R87" i="31"/>
  <c r="X86" i="31"/>
  <c r="W86" i="31"/>
  <c r="V86" i="31"/>
  <c r="U86" i="31"/>
  <c r="T86" i="31"/>
  <c r="S86" i="31"/>
  <c r="R86" i="31"/>
  <c r="X85" i="31"/>
  <c r="W85" i="31"/>
  <c r="V85" i="31"/>
  <c r="U85" i="31"/>
  <c r="T85" i="31"/>
  <c r="S85" i="31"/>
  <c r="R85" i="31"/>
  <c r="X84" i="31"/>
  <c r="W84" i="31"/>
  <c r="V84" i="31"/>
  <c r="U84" i="31"/>
  <c r="T84" i="31"/>
  <c r="S84" i="31"/>
  <c r="R84" i="31"/>
  <c r="X83" i="31"/>
  <c r="W83" i="31"/>
  <c r="V83" i="31"/>
  <c r="U83" i="31"/>
  <c r="T83" i="31"/>
  <c r="S83" i="31"/>
  <c r="R83" i="31"/>
  <c r="X82" i="31"/>
  <c r="W82" i="31"/>
  <c r="V82" i="31"/>
  <c r="U82" i="31"/>
  <c r="T82" i="31"/>
  <c r="S82" i="31"/>
  <c r="R82" i="31"/>
  <c r="X81" i="31"/>
  <c r="W81" i="31"/>
  <c r="V81" i="31"/>
  <c r="U81" i="31"/>
  <c r="T81" i="31"/>
  <c r="S81" i="31"/>
  <c r="R81" i="31"/>
  <c r="X80" i="31"/>
  <c r="W80" i="31"/>
  <c r="V80" i="31"/>
  <c r="U80" i="31"/>
  <c r="T80" i="31"/>
  <c r="S80" i="31"/>
  <c r="R80" i="31"/>
  <c r="X79" i="31"/>
  <c r="W79" i="31"/>
  <c r="V79" i="31"/>
  <c r="U79" i="31"/>
  <c r="T79" i="31"/>
  <c r="S79" i="31"/>
  <c r="R79" i="31"/>
  <c r="X78" i="31"/>
  <c r="W78" i="31"/>
  <c r="V78" i="31"/>
  <c r="U78" i="31"/>
  <c r="T78" i="31"/>
  <c r="S78" i="31"/>
  <c r="R78" i="31"/>
  <c r="X77" i="31"/>
  <c r="W77" i="31"/>
  <c r="V77" i="31"/>
  <c r="U77" i="31"/>
  <c r="T77" i="31"/>
  <c r="S77" i="31"/>
  <c r="R77" i="31"/>
  <c r="X76" i="31"/>
  <c r="W76" i="31"/>
  <c r="V76" i="31"/>
  <c r="U76" i="31"/>
  <c r="T76" i="31"/>
  <c r="S76" i="31"/>
  <c r="R76" i="31"/>
  <c r="X75" i="31"/>
  <c r="W75" i="31"/>
  <c r="V75" i="31"/>
  <c r="U75" i="31"/>
  <c r="T75" i="31"/>
  <c r="S75" i="31"/>
  <c r="R75" i="31"/>
  <c r="X74" i="31"/>
  <c r="W74" i="31"/>
  <c r="V74" i="31"/>
  <c r="U74" i="31"/>
  <c r="T74" i="31"/>
  <c r="S74" i="31"/>
  <c r="R74" i="31"/>
  <c r="X73" i="31"/>
  <c r="W73" i="31"/>
  <c r="V73" i="31"/>
  <c r="U73" i="31"/>
  <c r="T73" i="31"/>
  <c r="S73" i="31"/>
  <c r="R73" i="31"/>
  <c r="X72" i="31"/>
  <c r="W72" i="31"/>
  <c r="V72" i="31"/>
  <c r="U72" i="31"/>
  <c r="T72" i="31"/>
  <c r="S72" i="31"/>
  <c r="R72" i="31"/>
  <c r="X71" i="31"/>
  <c r="W71" i="31"/>
  <c r="V71" i="31"/>
  <c r="U71" i="31"/>
  <c r="T71" i="31"/>
  <c r="S71" i="31"/>
  <c r="R71" i="31"/>
  <c r="X70" i="31"/>
  <c r="W70" i="31"/>
  <c r="V70" i="31"/>
  <c r="U70" i="31"/>
  <c r="T70" i="31"/>
  <c r="S70" i="31"/>
  <c r="R70" i="31"/>
  <c r="X69" i="31"/>
  <c r="W69" i="31"/>
  <c r="V69" i="31"/>
  <c r="U69" i="31"/>
  <c r="T69" i="31"/>
  <c r="S69" i="31"/>
  <c r="R69" i="31"/>
  <c r="X68" i="31"/>
  <c r="W68" i="31"/>
  <c r="V68" i="31"/>
  <c r="U68" i="31"/>
  <c r="T68" i="31"/>
  <c r="S68" i="31"/>
  <c r="R68" i="31"/>
  <c r="X67" i="31"/>
  <c r="W67" i="31"/>
  <c r="V67" i="31"/>
  <c r="U67" i="31"/>
  <c r="T67" i="31"/>
  <c r="S67" i="31"/>
  <c r="R67" i="31"/>
  <c r="X66" i="31"/>
  <c r="W66" i="31"/>
  <c r="V66" i="31"/>
  <c r="U66" i="31"/>
  <c r="T66" i="31"/>
  <c r="S66" i="31"/>
  <c r="R66" i="31"/>
  <c r="X65" i="31"/>
  <c r="W65" i="31"/>
  <c r="V65" i="31"/>
  <c r="U65" i="31"/>
  <c r="T65" i="31"/>
  <c r="S65" i="31"/>
  <c r="R65" i="31"/>
  <c r="X64" i="31"/>
  <c r="W64" i="31"/>
  <c r="V64" i="31"/>
  <c r="U64" i="31"/>
  <c r="T64" i="31"/>
  <c r="S64" i="31"/>
  <c r="R64" i="31"/>
  <c r="X63" i="31"/>
  <c r="W63" i="31"/>
  <c r="V63" i="31"/>
  <c r="U63" i="31"/>
  <c r="T63" i="31"/>
  <c r="S63" i="31"/>
  <c r="R63" i="31"/>
  <c r="X62" i="31"/>
  <c r="W62" i="31"/>
  <c r="V62" i="31"/>
  <c r="U62" i="31"/>
  <c r="T62" i="31"/>
  <c r="S62" i="31"/>
  <c r="R62" i="31"/>
  <c r="X61" i="31"/>
  <c r="W61" i="31"/>
  <c r="V61" i="31"/>
  <c r="U61" i="31"/>
  <c r="T61" i="31"/>
  <c r="S61" i="31"/>
  <c r="R61" i="31"/>
  <c r="X60" i="31"/>
  <c r="W60" i="31"/>
  <c r="V60" i="31"/>
  <c r="U60" i="31"/>
  <c r="T60" i="31"/>
  <c r="S60" i="31"/>
  <c r="R60" i="31"/>
  <c r="X59" i="31"/>
  <c r="W59" i="31"/>
  <c r="V59" i="31"/>
  <c r="U59" i="31"/>
  <c r="T59" i="31"/>
  <c r="S59" i="31"/>
  <c r="R59" i="31"/>
  <c r="X58" i="31"/>
  <c r="W58" i="31"/>
  <c r="V58" i="31"/>
  <c r="U58" i="31"/>
  <c r="T58" i="31"/>
  <c r="S58" i="31"/>
  <c r="R58" i="31"/>
  <c r="X57" i="31"/>
  <c r="W57" i="31"/>
  <c r="V57" i="31"/>
  <c r="U57" i="31"/>
  <c r="T57" i="31"/>
  <c r="S57" i="31"/>
  <c r="R57" i="31"/>
  <c r="X56" i="31"/>
  <c r="W56" i="31"/>
  <c r="V56" i="31"/>
  <c r="U56" i="31"/>
  <c r="T56" i="31"/>
  <c r="S56" i="31"/>
  <c r="R56" i="31"/>
  <c r="X55" i="31"/>
  <c r="W55" i="31"/>
  <c r="V55" i="31"/>
  <c r="U55" i="31"/>
  <c r="T55" i="31"/>
  <c r="S55" i="31"/>
  <c r="R55" i="31"/>
  <c r="X54" i="31"/>
  <c r="W54" i="31"/>
  <c r="V54" i="31"/>
  <c r="U54" i="31"/>
  <c r="T54" i="31"/>
  <c r="S54" i="31"/>
  <c r="R54" i="31"/>
  <c r="X53" i="31"/>
  <c r="W53" i="31"/>
  <c r="V53" i="31"/>
  <c r="U53" i="31"/>
  <c r="T53" i="31"/>
  <c r="S53" i="31"/>
  <c r="R53" i="31"/>
  <c r="X52" i="31"/>
  <c r="W52" i="31"/>
  <c r="V52" i="31"/>
  <c r="U52" i="31"/>
  <c r="T52" i="31"/>
  <c r="S52" i="31"/>
  <c r="R52" i="31"/>
  <c r="X51" i="31"/>
  <c r="W51" i="31"/>
  <c r="V51" i="31"/>
  <c r="U51" i="31"/>
  <c r="T51" i="31"/>
  <c r="S51" i="31"/>
  <c r="R51" i="31"/>
  <c r="X50" i="31"/>
  <c r="W50" i="31"/>
  <c r="V50" i="31"/>
  <c r="U50" i="31"/>
  <c r="T50" i="31"/>
  <c r="S50" i="31"/>
  <c r="R50" i="31"/>
  <c r="X49" i="31"/>
  <c r="W49" i="31"/>
  <c r="V49" i="31"/>
  <c r="U49" i="31"/>
  <c r="T49" i="31"/>
  <c r="S49" i="31"/>
  <c r="R49" i="31"/>
  <c r="X48" i="31"/>
  <c r="W48" i="31"/>
  <c r="V48" i="31"/>
  <c r="U48" i="31"/>
  <c r="T48" i="31"/>
  <c r="S48" i="31"/>
  <c r="R48" i="31"/>
  <c r="X47" i="31"/>
  <c r="W47" i="31"/>
  <c r="V47" i="31"/>
  <c r="U47" i="31"/>
  <c r="T47" i="31"/>
  <c r="S47" i="31"/>
  <c r="R47" i="31"/>
  <c r="X46" i="31"/>
  <c r="W46" i="31"/>
  <c r="V46" i="31"/>
  <c r="U46" i="31"/>
  <c r="T46" i="31"/>
  <c r="S46" i="31"/>
  <c r="R46" i="31"/>
  <c r="X45" i="31"/>
  <c r="W45" i="31"/>
  <c r="V45" i="31"/>
  <c r="U45" i="31"/>
  <c r="T45" i="31"/>
  <c r="S45" i="31"/>
  <c r="R45" i="31"/>
  <c r="X44" i="31"/>
  <c r="W44" i="31"/>
  <c r="V44" i="31"/>
  <c r="U44" i="31"/>
  <c r="T44" i="31"/>
  <c r="S44" i="31"/>
  <c r="R44" i="31"/>
  <c r="X43" i="31"/>
  <c r="W43" i="31"/>
  <c r="V43" i="31"/>
  <c r="U43" i="31"/>
  <c r="T43" i="31"/>
  <c r="S43" i="31"/>
  <c r="R43" i="31"/>
  <c r="X42" i="31"/>
  <c r="W42" i="31"/>
  <c r="V42" i="31"/>
  <c r="U42" i="31"/>
  <c r="T42" i="31"/>
  <c r="S42" i="31"/>
  <c r="R42" i="31"/>
  <c r="X41" i="31"/>
  <c r="W41" i="31"/>
  <c r="V41" i="31"/>
  <c r="U41" i="31"/>
  <c r="T41" i="31"/>
  <c r="S41" i="31"/>
  <c r="R41" i="31"/>
  <c r="X40" i="31"/>
  <c r="W40" i="31"/>
  <c r="V40" i="31"/>
  <c r="U40" i="31"/>
  <c r="T40" i="31"/>
  <c r="S40" i="31"/>
  <c r="R40" i="31"/>
  <c r="X39" i="31"/>
  <c r="W39" i="31"/>
  <c r="V39" i="31"/>
  <c r="R39" i="31"/>
  <c r="X38" i="31"/>
  <c r="W38" i="31"/>
  <c r="V38" i="31"/>
  <c r="U38" i="31"/>
  <c r="T38" i="31"/>
  <c r="S38" i="31"/>
  <c r="R38" i="31"/>
  <c r="X37" i="31"/>
  <c r="W37" i="31"/>
  <c r="V37" i="31"/>
  <c r="U37" i="31"/>
  <c r="T37" i="31"/>
  <c r="S37" i="31"/>
  <c r="R37" i="31"/>
  <c r="X36" i="31"/>
  <c r="W36" i="31"/>
  <c r="V36" i="31"/>
  <c r="U36" i="31"/>
  <c r="T36" i="31"/>
  <c r="S36" i="31"/>
  <c r="R36" i="31"/>
  <c r="X35" i="31"/>
  <c r="W35" i="31"/>
  <c r="V35" i="31"/>
  <c r="U35" i="31"/>
  <c r="T35" i="31"/>
  <c r="S35" i="31"/>
  <c r="R35" i="31"/>
  <c r="X34" i="31"/>
  <c r="W34" i="31"/>
  <c r="V34" i="31"/>
  <c r="U34" i="31"/>
  <c r="T34" i="31"/>
  <c r="S34" i="31"/>
  <c r="R34" i="31"/>
  <c r="X33" i="31"/>
  <c r="W33" i="31"/>
  <c r="V33" i="31"/>
  <c r="U33" i="31"/>
  <c r="T33" i="31"/>
  <c r="S33" i="31"/>
  <c r="R33" i="31"/>
  <c r="X32" i="31"/>
  <c r="W32" i="31"/>
  <c r="V32" i="31"/>
  <c r="U32" i="31"/>
  <c r="T32" i="31"/>
  <c r="S32" i="31"/>
  <c r="R32" i="31"/>
  <c r="X31" i="31"/>
  <c r="W31" i="31"/>
  <c r="V31" i="31"/>
  <c r="U31" i="31"/>
  <c r="T31" i="31"/>
  <c r="S31" i="31"/>
  <c r="R31" i="31"/>
  <c r="X30" i="31"/>
  <c r="W30" i="31"/>
  <c r="V30" i="31"/>
  <c r="U30" i="31"/>
  <c r="T30" i="31"/>
  <c r="S30" i="31"/>
  <c r="R30" i="31"/>
  <c r="X29" i="31"/>
  <c r="W29" i="31"/>
  <c r="V29" i="31"/>
  <c r="U29" i="31"/>
  <c r="T29" i="31"/>
  <c r="S29" i="31"/>
  <c r="R29" i="31"/>
  <c r="N29" i="31"/>
  <c r="N32" i="31" s="1"/>
  <c r="M29" i="31"/>
  <c r="M31" i="31" s="1"/>
  <c r="L29" i="31"/>
  <c r="L31" i="31" s="1"/>
  <c r="U28" i="31"/>
  <c r="T28" i="31"/>
  <c r="S28" i="31"/>
  <c r="R28" i="31"/>
  <c r="N28" i="31"/>
  <c r="Q40" i="31" s="1"/>
  <c r="M28" i="31"/>
  <c r="P38" i="31" s="1"/>
  <c r="L28" i="31"/>
  <c r="O37" i="31" s="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R16" i="31"/>
  <c r="N16" i="31"/>
  <c r="M16" i="31"/>
  <c r="L16" i="31"/>
  <c r="K16" i="31"/>
  <c r="W7" i="31"/>
  <c r="Y2" i="31"/>
  <c r="K32" i="24"/>
  <c r="K33" i="24"/>
  <c r="K34" i="24"/>
  <c r="K19" i="28"/>
  <c r="K17" i="28"/>
  <c r="K18" i="28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R45" i="24"/>
  <c r="R46" i="24"/>
  <c r="R47" i="24"/>
  <c r="R48" i="24"/>
  <c r="R49" i="24"/>
  <c r="R50" i="24"/>
  <c r="R51" i="24"/>
  <c r="R52" i="24"/>
  <c r="R53" i="24"/>
  <c r="R54" i="24"/>
  <c r="R55" i="24"/>
  <c r="R56" i="24"/>
  <c r="R57" i="24"/>
  <c r="R58" i="24"/>
  <c r="R59" i="24"/>
  <c r="R60" i="24"/>
  <c r="R61" i="24"/>
  <c r="R62" i="24"/>
  <c r="R63" i="24"/>
  <c r="R64" i="24"/>
  <c r="R65" i="24"/>
  <c r="R66" i="24"/>
  <c r="R67" i="24"/>
  <c r="R68" i="24"/>
  <c r="R69" i="24"/>
  <c r="R70" i="24"/>
  <c r="R71" i="24"/>
  <c r="R72" i="24"/>
  <c r="R73" i="24"/>
  <c r="R74" i="24"/>
  <c r="R75" i="24"/>
  <c r="R76" i="24"/>
  <c r="R77" i="24"/>
  <c r="R78" i="24"/>
  <c r="R79" i="24"/>
  <c r="R80" i="24"/>
  <c r="R81" i="24"/>
  <c r="R82" i="24"/>
  <c r="R83" i="24"/>
  <c r="R84" i="24"/>
  <c r="R85" i="24"/>
  <c r="R86" i="24"/>
  <c r="R87" i="24"/>
  <c r="R88" i="24"/>
  <c r="R89" i="24"/>
  <c r="R90" i="24"/>
  <c r="R91" i="24"/>
  <c r="R92" i="24"/>
  <c r="R93" i="24"/>
  <c r="R94" i="24"/>
  <c r="R95" i="24"/>
  <c r="R96" i="24"/>
  <c r="R97" i="24"/>
  <c r="R98" i="24"/>
  <c r="R99" i="24"/>
  <c r="R100" i="24"/>
  <c r="R101" i="24"/>
  <c r="R102" i="24"/>
  <c r="R103" i="24"/>
  <c r="R104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117" i="24"/>
  <c r="R118" i="24"/>
  <c r="R119" i="24"/>
  <c r="R120" i="24"/>
  <c r="R121" i="24"/>
  <c r="R122" i="24"/>
  <c r="R123" i="24"/>
  <c r="R124" i="24"/>
  <c r="R125" i="24"/>
  <c r="R126" i="24"/>
  <c r="R127" i="24"/>
  <c r="R128" i="24"/>
  <c r="R129" i="24"/>
  <c r="R130" i="24"/>
  <c r="R131" i="24"/>
  <c r="R132" i="24"/>
  <c r="R133" i="24"/>
  <c r="R134" i="24"/>
  <c r="R135" i="24"/>
  <c r="R136" i="24"/>
  <c r="R137" i="24"/>
  <c r="R138" i="24"/>
  <c r="R139" i="24"/>
  <c r="R140" i="24"/>
  <c r="R141" i="24"/>
  <c r="R142" i="24"/>
  <c r="R143" i="24"/>
  <c r="R144" i="24"/>
  <c r="R145" i="24"/>
  <c r="R146" i="24"/>
  <c r="R147" i="24"/>
  <c r="R148" i="24"/>
  <c r="R149" i="24"/>
  <c r="R150" i="24"/>
  <c r="R151" i="24"/>
  <c r="R152" i="24"/>
  <c r="R153" i="24"/>
  <c r="R25" i="24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O69" i="20"/>
  <c r="P69" i="20"/>
  <c r="Q69" i="20"/>
  <c r="O70" i="20"/>
  <c r="P70" i="20"/>
  <c r="Q70" i="20"/>
  <c r="O71" i="20"/>
  <c r="P71" i="20"/>
  <c r="Q71" i="20"/>
  <c r="O72" i="20"/>
  <c r="P72" i="20"/>
  <c r="Q72" i="20"/>
  <c r="O73" i="20"/>
  <c r="P73" i="20"/>
  <c r="Q73" i="20"/>
  <c r="O74" i="20"/>
  <c r="P74" i="20"/>
  <c r="Q74" i="20"/>
  <c r="O75" i="20"/>
  <c r="P75" i="20"/>
  <c r="Q75" i="20"/>
  <c r="O76" i="20"/>
  <c r="P76" i="20"/>
  <c r="Q76" i="20"/>
  <c r="O77" i="20"/>
  <c r="P77" i="20"/>
  <c r="Q77" i="20"/>
  <c r="O78" i="20"/>
  <c r="P78" i="20"/>
  <c r="Q78" i="20"/>
  <c r="O79" i="20"/>
  <c r="P79" i="20"/>
  <c r="Q79" i="20"/>
  <c r="O80" i="20"/>
  <c r="P80" i="20"/>
  <c r="Q80" i="20"/>
  <c r="O81" i="20"/>
  <c r="P81" i="20"/>
  <c r="Q81" i="20"/>
  <c r="O82" i="20"/>
  <c r="P82" i="20"/>
  <c r="Q82" i="20"/>
  <c r="O83" i="20"/>
  <c r="P83" i="20"/>
  <c r="Q83" i="20"/>
  <c r="O84" i="20"/>
  <c r="P84" i="20"/>
  <c r="Q84" i="20"/>
  <c r="O85" i="20"/>
  <c r="P85" i="20"/>
  <c r="Q85" i="20"/>
  <c r="O86" i="20"/>
  <c r="P86" i="20"/>
  <c r="Q86" i="20"/>
  <c r="O87" i="20"/>
  <c r="P87" i="20"/>
  <c r="Q87" i="20"/>
  <c r="O88" i="20"/>
  <c r="P88" i="20"/>
  <c r="Q88" i="20"/>
  <c r="O89" i="20"/>
  <c r="P89" i="20"/>
  <c r="Q89" i="20"/>
  <c r="O90" i="20"/>
  <c r="P90" i="20"/>
  <c r="Q90" i="20"/>
  <c r="O91" i="20"/>
  <c r="P91" i="20"/>
  <c r="Q91" i="20"/>
  <c r="O92" i="20"/>
  <c r="P92" i="20"/>
  <c r="Q92" i="20"/>
  <c r="O93" i="20"/>
  <c r="P93" i="20"/>
  <c r="Q93" i="20"/>
  <c r="O94" i="20"/>
  <c r="P94" i="20"/>
  <c r="Q94" i="20"/>
  <c r="O95" i="20"/>
  <c r="P95" i="20"/>
  <c r="Q95" i="20"/>
  <c r="O96" i="20"/>
  <c r="P96" i="20"/>
  <c r="Q96" i="20"/>
  <c r="O97" i="20"/>
  <c r="P97" i="20"/>
  <c r="Q97" i="20"/>
  <c r="O98" i="20"/>
  <c r="P98" i="20"/>
  <c r="Q98" i="20"/>
  <c r="O99" i="20"/>
  <c r="P99" i="20"/>
  <c r="Q99" i="20"/>
  <c r="O100" i="20"/>
  <c r="P100" i="20"/>
  <c r="Q100" i="20"/>
  <c r="O101" i="20"/>
  <c r="P101" i="20"/>
  <c r="Q101" i="20"/>
  <c r="O102" i="20"/>
  <c r="P102" i="20"/>
  <c r="Q102" i="20"/>
  <c r="O103" i="20"/>
  <c r="P103" i="20"/>
  <c r="Q103" i="20"/>
  <c r="O104" i="20"/>
  <c r="P104" i="20"/>
  <c r="Q104" i="20"/>
  <c r="O105" i="20"/>
  <c r="P105" i="20"/>
  <c r="Q105" i="20"/>
  <c r="O106" i="20"/>
  <c r="P106" i="20"/>
  <c r="Q106" i="20"/>
  <c r="O107" i="20"/>
  <c r="P107" i="20"/>
  <c r="Q107" i="20"/>
  <c r="O108" i="20"/>
  <c r="P108" i="20"/>
  <c r="Q108" i="20"/>
  <c r="O109" i="20"/>
  <c r="P109" i="20"/>
  <c r="Q109" i="20"/>
  <c r="O110" i="20"/>
  <c r="P110" i="20"/>
  <c r="Q110" i="20"/>
  <c r="O111" i="20"/>
  <c r="P111" i="20"/>
  <c r="Q111" i="20"/>
  <c r="O112" i="20"/>
  <c r="P112" i="20"/>
  <c r="Q112" i="20"/>
  <c r="O113" i="20"/>
  <c r="P113" i="20"/>
  <c r="Q113" i="20"/>
  <c r="O114" i="20"/>
  <c r="P114" i="20"/>
  <c r="Q114" i="20"/>
  <c r="O115" i="20"/>
  <c r="P115" i="20"/>
  <c r="Q115" i="20"/>
  <c r="O116" i="20"/>
  <c r="P116" i="20"/>
  <c r="Q116" i="20"/>
  <c r="O117" i="20"/>
  <c r="P117" i="20"/>
  <c r="Q117" i="20"/>
  <c r="O118" i="20"/>
  <c r="P118" i="20"/>
  <c r="Q118" i="20"/>
  <c r="O119" i="20"/>
  <c r="P119" i="20"/>
  <c r="Q119" i="20"/>
  <c r="O120" i="20"/>
  <c r="P120" i="20"/>
  <c r="Q120" i="20"/>
  <c r="O121" i="20"/>
  <c r="P121" i="20"/>
  <c r="Q121" i="20"/>
  <c r="O122" i="20"/>
  <c r="P122" i="20"/>
  <c r="Q122" i="20"/>
  <c r="O123" i="20"/>
  <c r="P123" i="20"/>
  <c r="Q123" i="20"/>
  <c r="O124" i="20"/>
  <c r="P124" i="20"/>
  <c r="Q124" i="20"/>
  <c r="O125" i="20"/>
  <c r="P125" i="20"/>
  <c r="Q125" i="20"/>
  <c r="O126" i="20"/>
  <c r="P126" i="20"/>
  <c r="Q126" i="20"/>
  <c r="O127" i="20"/>
  <c r="P127" i="20"/>
  <c r="Q127" i="20"/>
  <c r="O128" i="20"/>
  <c r="P128" i="20"/>
  <c r="Q128" i="20"/>
  <c r="O129" i="20"/>
  <c r="P129" i="20"/>
  <c r="Q129" i="20"/>
  <c r="O130" i="20"/>
  <c r="P130" i="20"/>
  <c r="Q130" i="20"/>
  <c r="O131" i="20"/>
  <c r="P131" i="20"/>
  <c r="Q131" i="20"/>
  <c r="O132" i="20"/>
  <c r="P132" i="20"/>
  <c r="Q132" i="20"/>
  <c r="O133" i="20"/>
  <c r="P133" i="20"/>
  <c r="Q133" i="20"/>
  <c r="O134" i="20"/>
  <c r="P134" i="20"/>
  <c r="Q134" i="20"/>
  <c r="O135" i="20"/>
  <c r="P135" i="20"/>
  <c r="Q135" i="20"/>
  <c r="O136" i="20"/>
  <c r="P136" i="20"/>
  <c r="Q136" i="20"/>
  <c r="O137" i="20"/>
  <c r="P137" i="20"/>
  <c r="Q137" i="20"/>
  <c r="O138" i="20"/>
  <c r="P138" i="20"/>
  <c r="Q138" i="20"/>
  <c r="O139" i="20"/>
  <c r="P139" i="20"/>
  <c r="Q139" i="20"/>
  <c r="O140" i="20"/>
  <c r="P140" i="20"/>
  <c r="Q140" i="20"/>
  <c r="O141" i="20"/>
  <c r="P141" i="20"/>
  <c r="Q141" i="20"/>
  <c r="O142" i="20"/>
  <c r="P142" i="20"/>
  <c r="Q142" i="20"/>
  <c r="O143" i="20"/>
  <c r="P143" i="20"/>
  <c r="Q143" i="20"/>
  <c r="O144" i="20"/>
  <c r="P144" i="20"/>
  <c r="Q144" i="20"/>
  <c r="O145" i="20"/>
  <c r="P145" i="20"/>
  <c r="Q145" i="20"/>
  <c r="O146" i="20"/>
  <c r="P146" i="20"/>
  <c r="Q146" i="20"/>
  <c r="O147" i="20"/>
  <c r="P147" i="20"/>
  <c r="Q147" i="20"/>
  <c r="O148" i="20"/>
  <c r="P148" i="20"/>
  <c r="Q148" i="20"/>
  <c r="O149" i="20"/>
  <c r="P149" i="20"/>
  <c r="Q149" i="20"/>
  <c r="O150" i="20"/>
  <c r="P150" i="20"/>
  <c r="Q150" i="20"/>
  <c r="O151" i="20"/>
  <c r="P151" i="20"/>
  <c r="Q151" i="20"/>
  <c r="O152" i="20"/>
  <c r="P152" i="20"/>
  <c r="Q152" i="20"/>
  <c r="O153" i="20"/>
  <c r="P153" i="20"/>
  <c r="Q153" i="20"/>
  <c r="O52" i="18"/>
  <c r="P52" i="18"/>
  <c r="Q52" i="18"/>
  <c r="O53" i="18"/>
  <c r="P53" i="18"/>
  <c r="Q53" i="18"/>
  <c r="O54" i="18"/>
  <c r="P54" i="18"/>
  <c r="Q54" i="18"/>
  <c r="O55" i="18"/>
  <c r="P55" i="18"/>
  <c r="Q55" i="18"/>
  <c r="O56" i="18"/>
  <c r="P56" i="18"/>
  <c r="Q56" i="18"/>
  <c r="O57" i="18"/>
  <c r="P57" i="18"/>
  <c r="Q57" i="18"/>
  <c r="O58" i="18"/>
  <c r="P58" i="18"/>
  <c r="Q58" i="18"/>
  <c r="O59" i="18"/>
  <c r="P59" i="18"/>
  <c r="Q59" i="18"/>
  <c r="O60" i="18"/>
  <c r="P60" i="18"/>
  <c r="Q60" i="18"/>
  <c r="O61" i="18"/>
  <c r="P61" i="18"/>
  <c r="Q61" i="18"/>
  <c r="O62" i="18"/>
  <c r="P62" i="18"/>
  <c r="Q62" i="18"/>
  <c r="O63" i="18"/>
  <c r="P63" i="18"/>
  <c r="Q63" i="18"/>
  <c r="O64" i="18"/>
  <c r="P64" i="18"/>
  <c r="Q64" i="18"/>
  <c r="O65" i="18"/>
  <c r="P65" i="18"/>
  <c r="Q65" i="18"/>
  <c r="O66" i="18"/>
  <c r="P66" i="18"/>
  <c r="Q66" i="18"/>
  <c r="O67" i="18"/>
  <c r="P67" i="18"/>
  <c r="Q67" i="18"/>
  <c r="O68" i="18"/>
  <c r="P68" i="18"/>
  <c r="Q68" i="18"/>
  <c r="O69" i="18"/>
  <c r="P69" i="18"/>
  <c r="Q69" i="18"/>
  <c r="O70" i="18"/>
  <c r="P70" i="18"/>
  <c r="Q70" i="18"/>
  <c r="O71" i="18"/>
  <c r="P71" i="18"/>
  <c r="Q71" i="18"/>
  <c r="O72" i="18"/>
  <c r="P72" i="18"/>
  <c r="Q72" i="18"/>
  <c r="O73" i="18"/>
  <c r="P73" i="18"/>
  <c r="Q73" i="18"/>
  <c r="O74" i="18"/>
  <c r="P74" i="18"/>
  <c r="Q74" i="18"/>
  <c r="O75" i="18"/>
  <c r="P75" i="18"/>
  <c r="Q75" i="18"/>
  <c r="O76" i="18"/>
  <c r="P76" i="18"/>
  <c r="Q76" i="18"/>
  <c r="O77" i="18"/>
  <c r="P77" i="18"/>
  <c r="Q77" i="18"/>
  <c r="O78" i="18"/>
  <c r="P78" i="18"/>
  <c r="Q78" i="18"/>
  <c r="O79" i="18"/>
  <c r="P79" i="18"/>
  <c r="Q79" i="18"/>
  <c r="O80" i="18"/>
  <c r="P80" i="18"/>
  <c r="Q80" i="18"/>
  <c r="O81" i="18"/>
  <c r="P81" i="18"/>
  <c r="Q81" i="18"/>
  <c r="O82" i="18"/>
  <c r="P82" i="18"/>
  <c r="Q82" i="18"/>
  <c r="O83" i="18"/>
  <c r="P83" i="18"/>
  <c r="Q83" i="18"/>
  <c r="O84" i="18"/>
  <c r="P84" i="18"/>
  <c r="Q84" i="18"/>
  <c r="O85" i="18"/>
  <c r="P85" i="18"/>
  <c r="Q85" i="18"/>
  <c r="O86" i="18"/>
  <c r="P86" i="18"/>
  <c r="Q86" i="18"/>
  <c r="O87" i="18"/>
  <c r="P87" i="18"/>
  <c r="Q87" i="18"/>
  <c r="O88" i="18"/>
  <c r="P88" i="18"/>
  <c r="Q88" i="18"/>
  <c r="O89" i="18"/>
  <c r="P89" i="18"/>
  <c r="Q89" i="18"/>
  <c r="O90" i="18"/>
  <c r="P90" i="18"/>
  <c r="Q90" i="18"/>
  <c r="O91" i="18"/>
  <c r="P91" i="18"/>
  <c r="Q91" i="18"/>
  <c r="O92" i="18"/>
  <c r="P92" i="18"/>
  <c r="Q92" i="18"/>
  <c r="O93" i="18"/>
  <c r="P93" i="18"/>
  <c r="Q93" i="18"/>
  <c r="O94" i="18"/>
  <c r="P94" i="18"/>
  <c r="Q94" i="18"/>
  <c r="O95" i="18"/>
  <c r="P95" i="18"/>
  <c r="Q95" i="18"/>
  <c r="O96" i="18"/>
  <c r="P96" i="18"/>
  <c r="Q96" i="18"/>
  <c r="O97" i="18"/>
  <c r="P97" i="18"/>
  <c r="Q97" i="18"/>
  <c r="O98" i="18"/>
  <c r="P98" i="18"/>
  <c r="Q98" i="18"/>
  <c r="O99" i="18"/>
  <c r="P99" i="18"/>
  <c r="Q99" i="18"/>
  <c r="O100" i="18"/>
  <c r="P100" i="18"/>
  <c r="Q100" i="18"/>
  <c r="O101" i="18"/>
  <c r="P101" i="18"/>
  <c r="Q101" i="18"/>
  <c r="O102" i="18"/>
  <c r="P102" i="18"/>
  <c r="Q102" i="18"/>
  <c r="O103" i="18"/>
  <c r="P103" i="18"/>
  <c r="Q103" i="18"/>
  <c r="O104" i="18"/>
  <c r="P104" i="18"/>
  <c r="Q104" i="18"/>
  <c r="O105" i="18"/>
  <c r="P105" i="18"/>
  <c r="Q105" i="18"/>
  <c r="O106" i="18"/>
  <c r="P106" i="18"/>
  <c r="Q106" i="18"/>
  <c r="O107" i="18"/>
  <c r="P107" i="18"/>
  <c r="Q107" i="18"/>
  <c r="O108" i="18"/>
  <c r="P108" i="18"/>
  <c r="Q108" i="18"/>
  <c r="O109" i="18"/>
  <c r="P109" i="18"/>
  <c r="Q109" i="18"/>
  <c r="O110" i="18"/>
  <c r="P110" i="18"/>
  <c r="Q110" i="18"/>
  <c r="O111" i="18"/>
  <c r="P111" i="18"/>
  <c r="Q111" i="18"/>
  <c r="O112" i="18"/>
  <c r="P112" i="18"/>
  <c r="Q112" i="18"/>
  <c r="O113" i="18"/>
  <c r="P113" i="18"/>
  <c r="Q113" i="18"/>
  <c r="O114" i="18"/>
  <c r="P114" i="18"/>
  <c r="Q114" i="18"/>
  <c r="O115" i="18"/>
  <c r="P115" i="18"/>
  <c r="Q115" i="18"/>
  <c r="O116" i="18"/>
  <c r="P116" i="18"/>
  <c r="Q116" i="18"/>
  <c r="O117" i="18"/>
  <c r="P117" i="18"/>
  <c r="Q117" i="18"/>
  <c r="O118" i="18"/>
  <c r="P118" i="18"/>
  <c r="Q118" i="18"/>
  <c r="O119" i="18"/>
  <c r="P119" i="18"/>
  <c r="Q119" i="18"/>
  <c r="O120" i="18"/>
  <c r="P120" i="18"/>
  <c r="Q120" i="18"/>
  <c r="O121" i="18"/>
  <c r="P121" i="18"/>
  <c r="Q121" i="18"/>
  <c r="O122" i="18"/>
  <c r="P122" i="18"/>
  <c r="Q122" i="18"/>
  <c r="O123" i="18"/>
  <c r="P123" i="18"/>
  <c r="Q123" i="18"/>
  <c r="O124" i="18"/>
  <c r="P124" i="18"/>
  <c r="Q124" i="18"/>
  <c r="O125" i="18"/>
  <c r="P125" i="18"/>
  <c r="Q125" i="18"/>
  <c r="O126" i="18"/>
  <c r="P126" i="18"/>
  <c r="Q126" i="18"/>
  <c r="O127" i="18"/>
  <c r="P127" i="18"/>
  <c r="Q127" i="18"/>
  <c r="O128" i="18"/>
  <c r="P128" i="18"/>
  <c r="Q128" i="18"/>
  <c r="O129" i="18"/>
  <c r="P129" i="18"/>
  <c r="Q129" i="18"/>
  <c r="O130" i="18"/>
  <c r="P130" i="18"/>
  <c r="Q130" i="18"/>
  <c r="O131" i="18"/>
  <c r="P131" i="18"/>
  <c r="Q131" i="18"/>
  <c r="O132" i="18"/>
  <c r="P132" i="18"/>
  <c r="Q132" i="18"/>
  <c r="O133" i="18"/>
  <c r="P133" i="18"/>
  <c r="Q133" i="18"/>
  <c r="O134" i="18"/>
  <c r="P134" i="18"/>
  <c r="Q134" i="18"/>
  <c r="O135" i="18"/>
  <c r="P135" i="18"/>
  <c r="Q135" i="18"/>
  <c r="O136" i="18"/>
  <c r="P136" i="18"/>
  <c r="Q136" i="18"/>
  <c r="O137" i="18"/>
  <c r="P137" i="18"/>
  <c r="Q137" i="18"/>
  <c r="O138" i="18"/>
  <c r="P138" i="18"/>
  <c r="Q138" i="18"/>
  <c r="O139" i="18"/>
  <c r="P139" i="18"/>
  <c r="Q139" i="18"/>
  <c r="O140" i="18"/>
  <c r="P140" i="18"/>
  <c r="Q140" i="18"/>
  <c r="O141" i="18"/>
  <c r="P141" i="18"/>
  <c r="Q141" i="18"/>
  <c r="O142" i="18"/>
  <c r="P142" i="18"/>
  <c r="Q142" i="18"/>
  <c r="O143" i="18"/>
  <c r="P143" i="18"/>
  <c r="Q143" i="18"/>
  <c r="O144" i="18"/>
  <c r="P144" i="18"/>
  <c r="Q144" i="18"/>
  <c r="O145" i="18"/>
  <c r="P145" i="18"/>
  <c r="Q145" i="18"/>
  <c r="O146" i="18"/>
  <c r="P146" i="18"/>
  <c r="Q146" i="18"/>
  <c r="O147" i="18"/>
  <c r="P147" i="18"/>
  <c r="Q147" i="18"/>
  <c r="O148" i="18"/>
  <c r="P148" i="18"/>
  <c r="Q148" i="18"/>
  <c r="O149" i="18"/>
  <c r="P149" i="18"/>
  <c r="Q149" i="18"/>
  <c r="O150" i="18"/>
  <c r="P150" i="18"/>
  <c r="Q150" i="18"/>
  <c r="O151" i="18"/>
  <c r="P151" i="18"/>
  <c r="Q151" i="18"/>
  <c r="O152" i="18"/>
  <c r="P152" i="18"/>
  <c r="Q152" i="18"/>
  <c r="O153" i="18"/>
  <c r="P153" i="18"/>
  <c r="Q153" i="18"/>
  <c r="O61" i="16"/>
  <c r="P61" i="16"/>
  <c r="Q61" i="16"/>
  <c r="O62" i="16"/>
  <c r="P62" i="16"/>
  <c r="Q62" i="16"/>
  <c r="O63" i="16"/>
  <c r="P63" i="16"/>
  <c r="Q63" i="16"/>
  <c r="O64" i="16"/>
  <c r="P64" i="16"/>
  <c r="Q64" i="16"/>
  <c r="O65" i="16"/>
  <c r="P65" i="16"/>
  <c r="Q65" i="16"/>
  <c r="O66" i="16"/>
  <c r="P66" i="16"/>
  <c r="Q66" i="16"/>
  <c r="O67" i="16"/>
  <c r="P67" i="16"/>
  <c r="Q67" i="16"/>
  <c r="O68" i="16"/>
  <c r="P68" i="16"/>
  <c r="Q68" i="16"/>
  <c r="O69" i="16"/>
  <c r="P69" i="16"/>
  <c r="Q69" i="16"/>
  <c r="O70" i="16"/>
  <c r="P70" i="16"/>
  <c r="Q70" i="16"/>
  <c r="O71" i="16"/>
  <c r="P71" i="16"/>
  <c r="Q71" i="16"/>
  <c r="O72" i="16"/>
  <c r="P72" i="16"/>
  <c r="Q72" i="16"/>
  <c r="O73" i="16"/>
  <c r="P73" i="16"/>
  <c r="Q73" i="16"/>
  <c r="O74" i="16"/>
  <c r="P74" i="16"/>
  <c r="Q74" i="16"/>
  <c r="O75" i="16"/>
  <c r="P75" i="16"/>
  <c r="Q75" i="16"/>
  <c r="O76" i="16"/>
  <c r="P76" i="16"/>
  <c r="Q76" i="16"/>
  <c r="O77" i="16"/>
  <c r="P77" i="16"/>
  <c r="Q77" i="16"/>
  <c r="O78" i="16"/>
  <c r="P78" i="16"/>
  <c r="Q78" i="16"/>
  <c r="O79" i="16"/>
  <c r="P79" i="16"/>
  <c r="Q79" i="16"/>
  <c r="O80" i="16"/>
  <c r="P80" i="16"/>
  <c r="Q80" i="16"/>
  <c r="O81" i="16"/>
  <c r="P81" i="16"/>
  <c r="Q81" i="16"/>
  <c r="O82" i="16"/>
  <c r="P82" i="16"/>
  <c r="Q82" i="16"/>
  <c r="O83" i="16"/>
  <c r="P83" i="16"/>
  <c r="Q83" i="16"/>
  <c r="O84" i="16"/>
  <c r="P84" i="16"/>
  <c r="Q84" i="16"/>
  <c r="O85" i="16"/>
  <c r="P85" i="16"/>
  <c r="Q85" i="16"/>
  <c r="O86" i="16"/>
  <c r="P86" i="16"/>
  <c r="Q86" i="16"/>
  <c r="O87" i="16"/>
  <c r="P87" i="16"/>
  <c r="Q87" i="16"/>
  <c r="O88" i="16"/>
  <c r="P88" i="16"/>
  <c r="Q88" i="16"/>
  <c r="O89" i="16"/>
  <c r="P89" i="16"/>
  <c r="Q89" i="16"/>
  <c r="O90" i="16"/>
  <c r="P90" i="16"/>
  <c r="Q90" i="16"/>
  <c r="O91" i="16"/>
  <c r="P91" i="16"/>
  <c r="Q91" i="16"/>
  <c r="O92" i="16"/>
  <c r="P92" i="16"/>
  <c r="Q92" i="16"/>
  <c r="O93" i="16"/>
  <c r="P93" i="16"/>
  <c r="Q93" i="16"/>
  <c r="O94" i="16"/>
  <c r="P94" i="16"/>
  <c r="Q94" i="16"/>
  <c r="O95" i="16"/>
  <c r="P95" i="16"/>
  <c r="Q95" i="16"/>
  <c r="O96" i="16"/>
  <c r="P96" i="16"/>
  <c r="Q96" i="16"/>
  <c r="O97" i="16"/>
  <c r="P97" i="16"/>
  <c r="Q97" i="16"/>
  <c r="O98" i="16"/>
  <c r="P98" i="16"/>
  <c r="Q98" i="16"/>
  <c r="O99" i="16"/>
  <c r="P99" i="16"/>
  <c r="Q99" i="16"/>
  <c r="O100" i="16"/>
  <c r="P100" i="16"/>
  <c r="Q100" i="16"/>
  <c r="O101" i="16"/>
  <c r="P101" i="16"/>
  <c r="Q101" i="16"/>
  <c r="O102" i="16"/>
  <c r="P102" i="16"/>
  <c r="Q102" i="16"/>
  <c r="O103" i="16"/>
  <c r="P103" i="16"/>
  <c r="Q103" i="16"/>
  <c r="O104" i="16"/>
  <c r="P104" i="16"/>
  <c r="Q104" i="16"/>
  <c r="O105" i="16"/>
  <c r="P105" i="16"/>
  <c r="Q105" i="16"/>
  <c r="O106" i="16"/>
  <c r="P106" i="16"/>
  <c r="Q106" i="16"/>
  <c r="O107" i="16"/>
  <c r="P107" i="16"/>
  <c r="Q107" i="16"/>
  <c r="O108" i="16"/>
  <c r="P108" i="16"/>
  <c r="Q108" i="16"/>
  <c r="O109" i="16"/>
  <c r="P109" i="16"/>
  <c r="Q109" i="16"/>
  <c r="O110" i="16"/>
  <c r="P110" i="16"/>
  <c r="Q110" i="16"/>
  <c r="O111" i="16"/>
  <c r="P111" i="16"/>
  <c r="Q111" i="16"/>
  <c r="O112" i="16"/>
  <c r="P112" i="16"/>
  <c r="Q112" i="16"/>
  <c r="O113" i="16"/>
  <c r="P113" i="16"/>
  <c r="Q113" i="16"/>
  <c r="O114" i="16"/>
  <c r="P114" i="16"/>
  <c r="Q114" i="16"/>
  <c r="O115" i="16"/>
  <c r="P115" i="16"/>
  <c r="Q115" i="16"/>
  <c r="O116" i="16"/>
  <c r="P116" i="16"/>
  <c r="Q116" i="16"/>
  <c r="O117" i="16"/>
  <c r="P117" i="16"/>
  <c r="Q117" i="16"/>
  <c r="O118" i="16"/>
  <c r="P118" i="16"/>
  <c r="Q118" i="16"/>
  <c r="O119" i="16"/>
  <c r="P119" i="16"/>
  <c r="Q119" i="16"/>
  <c r="O120" i="16"/>
  <c r="P120" i="16"/>
  <c r="Q120" i="16"/>
  <c r="O121" i="16"/>
  <c r="P121" i="16"/>
  <c r="Q121" i="16"/>
  <c r="O122" i="16"/>
  <c r="P122" i="16"/>
  <c r="Q122" i="16"/>
  <c r="O123" i="16"/>
  <c r="P123" i="16"/>
  <c r="Q123" i="16"/>
  <c r="O124" i="16"/>
  <c r="P124" i="16"/>
  <c r="Q124" i="16"/>
  <c r="O125" i="16"/>
  <c r="P125" i="16"/>
  <c r="Q125" i="16"/>
  <c r="O126" i="16"/>
  <c r="P126" i="16"/>
  <c r="Q126" i="16"/>
  <c r="O127" i="16"/>
  <c r="P127" i="16"/>
  <c r="Q127" i="16"/>
  <c r="O128" i="16"/>
  <c r="P128" i="16"/>
  <c r="Q128" i="16"/>
  <c r="O129" i="16"/>
  <c r="P129" i="16"/>
  <c r="Q129" i="16"/>
  <c r="O130" i="16"/>
  <c r="P130" i="16"/>
  <c r="Q130" i="16"/>
  <c r="O131" i="16"/>
  <c r="P131" i="16"/>
  <c r="Q131" i="16"/>
  <c r="O132" i="16"/>
  <c r="P132" i="16"/>
  <c r="Q132" i="16"/>
  <c r="O133" i="16"/>
  <c r="P133" i="16"/>
  <c r="Q133" i="16"/>
  <c r="O134" i="16"/>
  <c r="P134" i="16"/>
  <c r="Q134" i="16"/>
  <c r="O135" i="16"/>
  <c r="P135" i="16"/>
  <c r="Q135" i="16"/>
  <c r="O136" i="16"/>
  <c r="P136" i="16"/>
  <c r="Q136" i="16"/>
  <c r="O137" i="16"/>
  <c r="P137" i="16"/>
  <c r="Q137" i="16"/>
  <c r="O138" i="16"/>
  <c r="P138" i="16"/>
  <c r="Q138" i="16"/>
  <c r="O139" i="16"/>
  <c r="P139" i="16"/>
  <c r="Q139" i="16"/>
  <c r="O140" i="16"/>
  <c r="P140" i="16"/>
  <c r="Q140" i="16"/>
  <c r="O141" i="16"/>
  <c r="P141" i="16"/>
  <c r="Q141" i="16"/>
  <c r="O142" i="16"/>
  <c r="P142" i="16"/>
  <c r="Q142" i="16"/>
  <c r="O143" i="16"/>
  <c r="P143" i="16"/>
  <c r="Q143" i="16"/>
  <c r="O144" i="16"/>
  <c r="P144" i="16"/>
  <c r="Q144" i="16"/>
  <c r="O145" i="16"/>
  <c r="P145" i="16"/>
  <c r="Q145" i="16"/>
  <c r="O146" i="16"/>
  <c r="P146" i="16"/>
  <c r="Q146" i="16"/>
  <c r="O147" i="16"/>
  <c r="P147" i="16"/>
  <c r="Q147" i="16"/>
  <c r="O148" i="16"/>
  <c r="P148" i="16"/>
  <c r="Q148" i="16"/>
  <c r="O149" i="16"/>
  <c r="P149" i="16"/>
  <c r="Q149" i="16"/>
  <c r="O150" i="16"/>
  <c r="P150" i="16"/>
  <c r="Q150" i="16"/>
  <c r="O151" i="16"/>
  <c r="P151" i="16"/>
  <c r="Q151" i="16"/>
  <c r="O152" i="16"/>
  <c r="P152" i="16"/>
  <c r="Q152" i="16"/>
  <c r="O153" i="16"/>
  <c r="P153" i="16"/>
  <c r="Q153" i="16"/>
  <c r="K25" i="24"/>
  <c r="K26" i="24"/>
  <c r="K27" i="24"/>
  <c r="K28" i="24"/>
  <c r="K29" i="24"/>
  <c r="K30" i="24"/>
  <c r="K31" i="24"/>
  <c r="K34" i="18"/>
  <c r="L34" i="18"/>
  <c r="O41" i="18" s="1"/>
  <c r="R24" i="18"/>
  <c r="R48" i="18" s="1"/>
  <c r="S34" i="18"/>
  <c r="T34" i="18"/>
  <c r="U34" i="18"/>
  <c r="K33" i="22"/>
  <c r="K34" i="22"/>
  <c r="K35" i="22"/>
  <c r="K36" i="22"/>
  <c r="K37" i="22"/>
  <c r="K38" i="22"/>
  <c r="K39" i="22"/>
  <c r="K39" i="20"/>
  <c r="K40" i="20"/>
  <c r="K41" i="20"/>
  <c r="K42" i="20"/>
  <c r="K43" i="20"/>
  <c r="K44" i="20"/>
  <c r="K45" i="20"/>
  <c r="K46" i="20"/>
  <c r="K47" i="20"/>
  <c r="K32" i="18"/>
  <c r="K33" i="18"/>
  <c r="K35" i="18"/>
  <c r="K36" i="18"/>
  <c r="K37" i="18"/>
  <c r="K38" i="18"/>
  <c r="K39" i="18"/>
  <c r="K40" i="18"/>
  <c r="K41" i="18"/>
  <c r="K42" i="18"/>
  <c r="K41" i="16"/>
  <c r="K42" i="16"/>
  <c r="K43" i="16"/>
  <c r="K44" i="16"/>
  <c r="K45" i="16"/>
  <c r="K46" i="16"/>
  <c r="K47" i="16"/>
  <c r="K48" i="16"/>
  <c r="K49" i="16"/>
  <c r="K50" i="16"/>
  <c r="K51" i="16"/>
  <c r="K50" i="11"/>
  <c r="K51" i="11"/>
  <c r="K52" i="11"/>
  <c r="K40" i="14"/>
  <c r="K41" i="14"/>
  <c r="K42" i="14"/>
  <c r="K58" i="9"/>
  <c r="K59" i="9"/>
  <c r="K60" i="9"/>
  <c r="K40" i="7"/>
  <c r="K16" i="28"/>
  <c r="W7" i="28"/>
  <c r="Y2" i="28"/>
  <c r="L16" i="28"/>
  <c r="M16" i="28"/>
  <c r="N16" i="28"/>
  <c r="R16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L22" i="28"/>
  <c r="O32" i="28" s="1"/>
  <c r="M22" i="28"/>
  <c r="P37" i="28" s="1"/>
  <c r="N22" i="28"/>
  <c r="Q33" i="28" s="1"/>
  <c r="R22" i="28"/>
  <c r="S22" i="28"/>
  <c r="T22" i="28"/>
  <c r="U22" i="28"/>
  <c r="N23" i="28"/>
  <c r="R23" i="28"/>
  <c r="S23" i="28"/>
  <c r="T23" i="28"/>
  <c r="U23" i="28"/>
  <c r="V23" i="28"/>
  <c r="W23" i="28"/>
  <c r="X23" i="28"/>
  <c r="N24" i="28"/>
  <c r="R24" i="28"/>
  <c r="S24" i="28"/>
  <c r="T24" i="28"/>
  <c r="U24" i="28"/>
  <c r="V24" i="28"/>
  <c r="W24" i="28"/>
  <c r="X24" i="28"/>
  <c r="N25" i="28"/>
  <c r="R25" i="28"/>
  <c r="S25" i="28"/>
  <c r="T25" i="28"/>
  <c r="U25" i="28"/>
  <c r="V25" i="28"/>
  <c r="W25" i="28"/>
  <c r="X25" i="28"/>
  <c r="N26" i="28"/>
  <c r="R26" i="28"/>
  <c r="S26" i="28"/>
  <c r="T26" i="28"/>
  <c r="U26" i="28"/>
  <c r="V26" i="28"/>
  <c r="W26" i="28"/>
  <c r="X26" i="28"/>
  <c r="N27" i="28"/>
  <c r="R27" i="28"/>
  <c r="S27" i="28"/>
  <c r="T27" i="28"/>
  <c r="U27" i="28"/>
  <c r="V27" i="28"/>
  <c r="W27" i="28"/>
  <c r="X27" i="28"/>
  <c r="N28" i="28"/>
  <c r="R28" i="28"/>
  <c r="S28" i="28"/>
  <c r="T28" i="28"/>
  <c r="U28" i="28"/>
  <c r="V28" i="28"/>
  <c r="W28" i="28"/>
  <c r="X28" i="28"/>
  <c r="N29" i="28"/>
  <c r="R29" i="28"/>
  <c r="S29" i="28"/>
  <c r="T29" i="28"/>
  <c r="U29" i="28"/>
  <c r="V29" i="28"/>
  <c r="W29" i="28"/>
  <c r="X29" i="28"/>
  <c r="N30" i="28"/>
  <c r="R30" i="28"/>
  <c r="S30" i="28"/>
  <c r="T30" i="28"/>
  <c r="U30" i="28"/>
  <c r="V30" i="28"/>
  <c r="W30" i="28"/>
  <c r="X30" i="28"/>
  <c r="N31" i="28"/>
  <c r="R31" i="28"/>
  <c r="S31" i="28"/>
  <c r="T31" i="28"/>
  <c r="U31" i="28"/>
  <c r="V31" i="28"/>
  <c r="W31" i="28"/>
  <c r="X31" i="28"/>
  <c r="N32" i="28"/>
  <c r="R32" i="28"/>
  <c r="S32" i="28"/>
  <c r="T32" i="28"/>
  <c r="U32" i="28"/>
  <c r="V32" i="28"/>
  <c r="W32" i="28"/>
  <c r="X32" i="28"/>
  <c r="N33" i="28"/>
  <c r="R33" i="28"/>
  <c r="S33" i="28"/>
  <c r="T33" i="28"/>
  <c r="U33" i="28"/>
  <c r="V33" i="28"/>
  <c r="W33" i="28"/>
  <c r="X33" i="28"/>
  <c r="N34" i="28"/>
  <c r="R34" i="28"/>
  <c r="S34" i="28"/>
  <c r="T34" i="28"/>
  <c r="U34" i="28"/>
  <c r="V34" i="28"/>
  <c r="W34" i="28"/>
  <c r="X34" i="28"/>
  <c r="N35" i="28"/>
  <c r="R35" i="28"/>
  <c r="S35" i="28"/>
  <c r="T35" i="28"/>
  <c r="U35" i="28"/>
  <c r="V35" i="28"/>
  <c r="W35" i="28"/>
  <c r="X35" i="28"/>
  <c r="R36" i="28"/>
  <c r="V36" i="28"/>
  <c r="W36" i="28"/>
  <c r="X36" i="28"/>
  <c r="N37" i="28"/>
  <c r="R37" i="28"/>
  <c r="S37" i="28"/>
  <c r="T37" i="28"/>
  <c r="U37" i="28"/>
  <c r="V37" i="28"/>
  <c r="W37" i="28"/>
  <c r="X37" i="28"/>
  <c r="N38" i="28"/>
  <c r="R38" i="28"/>
  <c r="S38" i="28"/>
  <c r="T38" i="28"/>
  <c r="U38" i="28"/>
  <c r="V38" i="28"/>
  <c r="W38" i="28"/>
  <c r="X38" i="28"/>
  <c r="N39" i="28"/>
  <c r="R39" i="28"/>
  <c r="S39" i="28"/>
  <c r="T39" i="28"/>
  <c r="U39" i="28"/>
  <c r="V39" i="28"/>
  <c r="W39" i="28"/>
  <c r="X39" i="28"/>
  <c r="N40" i="28"/>
  <c r="R40" i="28"/>
  <c r="S40" i="28"/>
  <c r="T40" i="28"/>
  <c r="U40" i="28"/>
  <c r="V40" i="28"/>
  <c r="W40" i="28"/>
  <c r="X40" i="28"/>
  <c r="N41" i="28"/>
  <c r="R41" i="28"/>
  <c r="S41" i="28"/>
  <c r="T41" i="28"/>
  <c r="U41" i="28"/>
  <c r="V41" i="28"/>
  <c r="W41" i="28"/>
  <c r="X41" i="28"/>
  <c r="N42" i="28"/>
  <c r="R42" i="28"/>
  <c r="S42" i="28"/>
  <c r="T42" i="28"/>
  <c r="U42" i="28"/>
  <c r="V42" i="28"/>
  <c r="W42" i="28"/>
  <c r="X42" i="28"/>
  <c r="N43" i="28"/>
  <c r="R43" i="28"/>
  <c r="S43" i="28"/>
  <c r="T43" i="28"/>
  <c r="U43" i="28"/>
  <c r="V43" i="28"/>
  <c r="W43" i="28"/>
  <c r="X43" i="28"/>
  <c r="N44" i="28"/>
  <c r="R44" i="28"/>
  <c r="S44" i="28"/>
  <c r="T44" i="28"/>
  <c r="U44" i="28"/>
  <c r="V44" i="28"/>
  <c r="W44" i="28"/>
  <c r="X44" i="28"/>
  <c r="N45" i="28"/>
  <c r="R45" i="28"/>
  <c r="S45" i="28"/>
  <c r="T45" i="28"/>
  <c r="U45" i="28"/>
  <c r="V45" i="28"/>
  <c r="W45" i="28"/>
  <c r="X45" i="28"/>
  <c r="N46" i="28"/>
  <c r="R46" i="28"/>
  <c r="S46" i="28"/>
  <c r="T46" i="28"/>
  <c r="U46" i="28"/>
  <c r="V46" i="28"/>
  <c r="W46" i="28"/>
  <c r="X46" i="28"/>
  <c r="N47" i="28"/>
  <c r="R47" i="28"/>
  <c r="S47" i="28"/>
  <c r="T47" i="28"/>
  <c r="U47" i="28"/>
  <c r="V47" i="28"/>
  <c r="W47" i="28"/>
  <c r="X47" i="28"/>
  <c r="N48" i="28"/>
  <c r="R48" i="28"/>
  <c r="S48" i="28"/>
  <c r="T48" i="28"/>
  <c r="U48" i="28"/>
  <c r="V48" i="28"/>
  <c r="W48" i="28"/>
  <c r="X48" i="28"/>
  <c r="N49" i="28"/>
  <c r="R49" i="28"/>
  <c r="S49" i="28"/>
  <c r="T49" i="28"/>
  <c r="U49" i="28"/>
  <c r="V49" i="28"/>
  <c r="W49" i="28"/>
  <c r="X49" i="28"/>
  <c r="N50" i="28"/>
  <c r="R50" i="28"/>
  <c r="S50" i="28"/>
  <c r="T50" i="28"/>
  <c r="U50" i="28"/>
  <c r="V50" i="28"/>
  <c r="W50" i="28"/>
  <c r="X50" i="28"/>
  <c r="N51" i="28"/>
  <c r="R51" i="28"/>
  <c r="S51" i="28"/>
  <c r="T51" i="28"/>
  <c r="U51" i="28"/>
  <c r="V51" i="28"/>
  <c r="W51" i="28"/>
  <c r="X51" i="28"/>
  <c r="N52" i="28"/>
  <c r="R52" i="28"/>
  <c r="S52" i="28"/>
  <c r="T52" i="28"/>
  <c r="U52" i="28"/>
  <c r="V52" i="28"/>
  <c r="W52" i="28"/>
  <c r="X52" i="28"/>
  <c r="N53" i="28"/>
  <c r="R53" i="28"/>
  <c r="S53" i="28"/>
  <c r="T53" i="28"/>
  <c r="U53" i="28"/>
  <c r="V53" i="28"/>
  <c r="W53" i="28"/>
  <c r="X53" i="28"/>
  <c r="N54" i="28"/>
  <c r="R54" i="28"/>
  <c r="S54" i="28"/>
  <c r="T54" i="28"/>
  <c r="U54" i="28"/>
  <c r="V54" i="28"/>
  <c r="W54" i="28"/>
  <c r="X54" i="28"/>
  <c r="N55" i="28"/>
  <c r="R55" i="28"/>
  <c r="S55" i="28"/>
  <c r="T55" i="28"/>
  <c r="U55" i="28"/>
  <c r="V55" i="28"/>
  <c r="W55" i="28"/>
  <c r="X55" i="28"/>
  <c r="N56" i="28"/>
  <c r="R56" i="28"/>
  <c r="S56" i="28"/>
  <c r="T56" i="28"/>
  <c r="U56" i="28"/>
  <c r="V56" i="28"/>
  <c r="W56" i="28"/>
  <c r="X56" i="28"/>
  <c r="N57" i="28"/>
  <c r="R57" i="28"/>
  <c r="S57" i="28"/>
  <c r="T57" i="28"/>
  <c r="U57" i="28"/>
  <c r="V57" i="28"/>
  <c r="W57" i="28"/>
  <c r="X57" i="28"/>
  <c r="N58" i="28"/>
  <c r="R58" i="28"/>
  <c r="S58" i="28"/>
  <c r="T58" i="28"/>
  <c r="U58" i="28"/>
  <c r="V58" i="28"/>
  <c r="W58" i="28"/>
  <c r="X58" i="28"/>
  <c r="N59" i="28"/>
  <c r="R59" i="28"/>
  <c r="S59" i="28"/>
  <c r="T59" i="28"/>
  <c r="U59" i="28"/>
  <c r="V59" i="28"/>
  <c r="W59" i="28"/>
  <c r="X59" i="28"/>
  <c r="N60" i="28"/>
  <c r="R60" i="28"/>
  <c r="S60" i="28"/>
  <c r="T60" i="28"/>
  <c r="U60" i="28"/>
  <c r="V60" i="28"/>
  <c r="W60" i="28"/>
  <c r="X60" i="28"/>
  <c r="N61" i="28"/>
  <c r="R61" i="28"/>
  <c r="S61" i="28"/>
  <c r="T61" i="28"/>
  <c r="U61" i="28"/>
  <c r="V61" i="28"/>
  <c r="W61" i="28"/>
  <c r="X61" i="28"/>
  <c r="N62" i="28"/>
  <c r="R62" i="28"/>
  <c r="S62" i="28"/>
  <c r="T62" i="28"/>
  <c r="U62" i="28"/>
  <c r="V62" i="28"/>
  <c r="W62" i="28"/>
  <c r="X62" i="28"/>
  <c r="N63" i="28"/>
  <c r="R63" i="28"/>
  <c r="S63" i="28"/>
  <c r="T63" i="28"/>
  <c r="U63" i="28"/>
  <c r="V63" i="28"/>
  <c r="W63" i="28"/>
  <c r="X63" i="28"/>
  <c r="N64" i="28"/>
  <c r="R64" i="28"/>
  <c r="S64" i="28"/>
  <c r="T64" i="28"/>
  <c r="U64" i="28"/>
  <c r="V64" i="28"/>
  <c r="W64" i="28"/>
  <c r="X64" i="28"/>
  <c r="N65" i="28"/>
  <c r="R65" i="28"/>
  <c r="S65" i="28"/>
  <c r="T65" i="28"/>
  <c r="U65" i="28"/>
  <c r="V65" i="28"/>
  <c r="W65" i="28"/>
  <c r="X65" i="28"/>
  <c r="N66" i="28"/>
  <c r="R66" i="28"/>
  <c r="S66" i="28"/>
  <c r="T66" i="28"/>
  <c r="U66" i="28"/>
  <c r="V66" i="28"/>
  <c r="W66" i="28"/>
  <c r="X66" i="28"/>
  <c r="N67" i="28"/>
  <c r="R67" i="28"/>
  <c r="S67" i="28"/>
  <c r="T67" i="28"/>
  <c r="U67" i="28"/>
  <c r="V67" i="28"/>
  <c r="W67" i="28"/>
  <c r="X67" i="28"/>
  <c r="N68" i="28"/>
  <c r="R68" i="28"/>
  <c r="S68" i="28"/>
  <c r="T68" i="28"/>
  <c r="U68" i="28"/>
  <c r="V68" i="28"/>
  <c r="W68" i="28"/>
  <c r="X68" i="28"/>
  <c r="N69" i="28"/>
  <c r="R69" i="28"/>
  <c r="S69" i="28"/>
  <c r="T69" i="28"/>
  <c r="U69" i="28"/>
  <c r="V69" i="28"/>
  <c r="W69" i="28"/>
  <c r="X69" i="28"/>
  <c r="N70" i="28"/>
  <c r="R70" i="28"/>
  <c r="S70" i="28"/>
  <c r="T70" i="28"/>
  <c r="U70" i="28"/>
  <c r="V70" i="28"/>
  <c r="W70" i="28"/>
  <c r="X70" i="28"/>
  <c r="N71" i="28"/>
  <c r="R71" i="28"/>
  <c r="S71" i="28"/>
  <c r="T71" i="28"/>
  <c r="U71" i="28"/>
  <c r="V71" i="28"/>
  <c r="W71" i="28"/>
  <c r="X71" i="28"/>
  <c r="N72" i="28"/>
  <c r="R72" i="28"/>
  <c r="S72" i="28"/>
  <c r="T72" i="28"/>
  <c r="U72" i="28"/>
  <c r="V72" i="28"/>
  <c r="W72" i="28"/>
  <c r="X72" i="28"/>
  <c r="N73" i="28"/>
  <c r="R73" i="28"/>
  <c r="S73" i="28"/>
  <c r="T73" i="28"/>
  <c r="U73" i="28"/>
  <c r="V73" i="28"/>
  <c r="W73" i="28"/>
  <c r="X73" i="28"/>
  <c r="N74" i="28"/>
  <c r="R74" i="28"/>
  <c r="S74" i="28"/>
  <c r="T74" i="28"/>
  <c r="U74" i="28"/>
  <c r="V74" i="28"/>
  <c r="W74" i="28"/>
  <c r="X74" i="28"/>
  <c r="N75" i="28"/>
  <c r="R75" i="28"/>
  <c r="S75" i="28"/>
  <c r="T75" i="28"/>
  <c r="U75" i="28"/>
  <c r="V75" i="28"/>
  <c r="W75" i="28"/>
  <c r="X75" i="28"/>
  <c r="N76" i="28"/>
  <c r="R76" i="28"/>
  <c r="S76" i="28"/>
  <c r="T76" i="28"/>
  <c r="U76" i="28"/>
  <c r="V76" i="28"/>
  <c r="W76" i="28"/>
  <c r="X76" i="28"/>
  <c r="N77" i="28"/>
  <c r="R77" i="28"/>
  <c r="S77" i="28"/>
  <c r="T77" i="28"/>
  <c r="U77" i="28"/>
  <c r="V77" i="28"/>
  <c r="W77" i="28"/>
  <c r="X77" i="28"/>
  <c r="N78" i="28"/>
  <c r="R78" i="28"/>
  <c r="S78" i="28"/>
  <c r="T78" i="28"/>
  <c r="U78" i="28"/>
  <c r="V78" i="28"/>
  <c r="W78" i="28"/>
  <c r="X78" i="28"/>
  <c r="N79" i="28"/>
  <c r="R79" i="28"/>
  <c r="S79" i="28"/>
  <c r="T79" i="28"/>
  <c r="U79" i="28"/>
  <c r="V79" i="28"/>
  <c r="W79" i="28"/>
  <c r="X79" i="28"/>
  <c r="N80" i="28"/>
  <c r="R80" i="28"/>
  <c r="S80" i="28"/>
  <c r="T80" i="28"/>
  <c r="U80" i="28"/>
  <c r="V80" i="28"/>
  <c r="W80" i="28"/>
  <c r="X80" i="28"/>
  <c r="N81" i="28"/>
  <c r="R81" i="28"/>
  <c r="S81" i="28"/>
  <c r="T81" i="28"/>
  <c r="U81" i="28"/>
  <c r="V81" i="28"/>
  <c r="W81" i="28"/>
  <c r="X81" i="28"/>
  <c r="N82" i="28"/>
  <c r="R82" i="28"/>
  <c r="S82" i="28"/>
  <c r="T82" i="28"/>
  <c r="U82" i="28"/>
  <c r="V82" i="28"/>
  <c r="W82" i="28"/>
  <c r="X82" i="28"/>
  <c r="N83" i="28"/>
  <c r="R83" i="28"/>
  <c r="S83" i="28"/>
  <c r="T83" i="28"/>
  <c r="U83" i="28"/>
  <c r="V83" i="28"/>
  <c r="W83" i="28"/>
  <c r="X83" i="28"/>
  <c r="N84" i="28"/>
  <c r="R84" i="28"/>
  <c r="S84" i="28"/>
  <c r="T84" i="28"/>
  <c r="U84" i="28"/>
  <c r="V84" i="28"/>
  <c r="W84" i="28"/>
  <c r="X84" i="28"/>
  <c r="N85" i="28"/>
  <c r="R85" i="28"/>
  <c r="S85" i="28"/>
  <c r="T85" i="28"/>
  <c r="U85" i="28"/>
  <c r="V85" i="28"/>
  <c r="W85" i="28"/>
  <c r="X85" i="28"/>
  <c r="N86" i="28"/>
  <c r="R86" i="28"/>
  <c r="S86" i="28"/>
  <c r="T86" i="28"/>
  <c r="U86" i="28"/>
  <c r="V86" i="28"/>
  <c r="W86" i="28"/>
  <c r="X86" i="28"/>
  <c r="N87" i="28"/>
  <c r="R87" i="28"/>
  <c r="S87" i="28"/>
  <c r="T87" i="28"/>
  <c r="U87" i="28"/>
  <c r="V87" i="28"/>
  <c r="W87" i="28"/>
  <c r="X87" i="28"/>
  <c r="N88" i="28"/>
  <c r="R88" i="28"/>
  <c r="S88" i="28"/>
  <c r="T88" i="28"/>
  <c r="U88" i="28"/>
  <c r="V88" i="28"/>
  <c r="W88" i="28"/>
  <c r="X88" i="28"/>
  <c r="N89" i="28"/>
  <c r="R89" i="28"/>
  <c r="S89" i="28"/>
  <c r="T89" i="28"/>
  <c r="U89" i="28"/>
  <c r="V89" i="28"/>
  <c r="W89" i="28"/>
  <c r="X89" i="28"/>
  <c r="N90" i="28"/>
  <c r="R90" i="28"/>
  <c r="S90" i="28"/>
  <c r="T90" i="28"/>
  <c r="U90" i="28"/>
  <c r="V90" i="28"/>
  <c r="W90" i="28"/>
  <c r="X90" i="28"/>
  <c r="N91" i="28"/>
  <c r="R91" i="28"/>
  <c r="S91" i="28"/>
  <c r="T91" i="28"/>
  <c r="U91" i="28"/>
  <c r="V91" i="28"/>
  <c r="W91" i="28"/>
  <c r="X91" i="28"/>
  <c r="N92" i="28"/>
  <c r="R92" i="28"/>
  <c r="S92" i="28"/>
  <c r="T92" i="28"/>
  <c r="U92" i="28"/>
  <c r="V92" i="28"/>
  <c r="W92" i="28"/>
  <c r="X92" i="28"/>
  <c r="N93" i="28"/>
  <c r="R93" i="28"/>
  <c r="S93" i="28"/>
  <c r="T93" i="28"/>
  <c r="U93" i="28"/>
  <c r="V93" i="28"/>
  <c r="W93" i="28"/>
  <c r="X93" i="28"/>
  <c r="N94" i="28"/>
  <c r="R94" i="28"/>
  <c r="S94" i="28"/>
  <c r="T94" i="28"/>
  <c r="U94" i="28"/>
  <c r="V94" i="28"/>
  <c r="W94" i="28"/>
  <c r="X94" i="28"/>
  <c r="N95" i="28"/>
  <c r="R95" i="28"/>
  <c r="S95" i="28"/>
  <c r="T95" i="28"/>
  <c r="U95" i="28"/>
  <c r="V95" i="28"/>
  <c r="W95" i="28"/>
  <c r="X95" i="28"/>
  <c r="N96" i="28"/>
  <c r="R96" i="28"/>
  <c r="S96" i="28"/>
  <c r="T96" i="28"/>
  <c r="U96" i="28"/>
  <c r="V96" i="28"/>
  <c r="W96" i="28"/>
  <c r="X96" i="28"/>
  <c r="N97" i="28"/>
  <c r="R97" i="28"/>
  <c r="S97" i="28"/>
  <c r="T97" i="28"/>
  <c r="U97" i="28"/>
  <c r="V97" i="28"/>
  <c r="W97" i="28"/>
  <c r="X97" i="28"/>
  <c r="N98" i="28"/>
  <c r="R98" i="28"/>
  <c r="S98" i="28"/>
  <c r="T98" i="28"/>
  <c r="U98" i="28"/>
  <c r="V98" i="28"/>
  <c r="W98" i="28"/>
  <c r="X98" i="28"/>
  <c r="N99" i="28"/>
  <c r="R99" i="28"/>
  <c r="S99" i="28"/>
  <c r="T99" i="28"/>
  <c r="U99" i="28"/>
  <c r="V99" i="28"/>
  <c r="W99" i="28"/>
  <c r="X99" i="28"/>
  <c r="N100" i="28"/>
  <c r="R100" i="28"/>
  <c r="S100" i="28"/>
  <c r="T100" i="28"/>
  <c r="U100" i="28"/>
  <c r="V100" i="28"/>
  <c r="W100" i="28"/>
  <c r="X100" i="28"/>
  <c r="N101" i="28"/>
  <c r="R101" i="28"/>
  <c r="S101" i="28"/>
  <c r="T101" i="28"/>
  <c r="U101" i="28"/>
  <c r="V101" i="28"/>
  <c r="W101" i="28"/>
  <c r="X101" i="28"/>
  <c r="N102" i="28"/>
  <c r="R102" i="28"/>
  <c r="S102" i="28"/>
  <c r="T102" i="28"/>
  <c r="U102" i="28"/>
  <c r="V102" i="28"/>
  <c r="W102" i="28"/>
  <c r="X102" i="28"/>
  <c r="N103" i="28"/>
  <c r="R103" i="28"/>
  <c r="S103" i="28"/>
  <c r="T103" i="28"/>
  <c r="U103" i="28"/>
  <c r="V103" i="28"/>
  <c r="W103" i="28"/>
  <c r="X103" i="28"/>
  <c r="N104" i="28"/>
  <c r="R104" i="28"/>
  <c r="S104" i="28"/>
  <c r="T104" i="28"/>
  <c r="U104" i="28"/>
  <c r="V104" i="28"/>
  <c r="W104" i="28"/>
  <c r="X104" i="28"/>
  <c r="N105" i="28"/>
  <c r="R105" i="28"/>
  <c r="S105" i="28"/>
  <c r="T105" i="28"/>
  <c r="U105" i="28"/>
  <c r="V105" i="28"/>
  <c r="W105" i="28"/>
  <c r="X105" i="28"/>
  <c r="N106" i="28"/>
  <c r="R106" i="28"/>
  <c r="S106" i="28"/>
  <c r="T106" i="28"/>
  <c r="U106" i="28"/>
  <c r="V106" i="28"/>
  <c r="W106" i="28"/>
  <c r="X106" i="28"/>
  <c r="N107" i="28"/>
  <c r="R107" i="28"/>
  <c r="S107" i="28"/>
  <c r="T107" i="28"/>
  <c r="U107" i="28"/>
  <c r="V107" i="28"/>
  <c r="W107" i="28"/>
  <c r="X107" i="28"/>
  <c r="N108" i="28"/>
  <c r="R108" i="28"/>
  <c r="S108" i="28"/>
  <c r="T108" i="28"/>
  <c r="U108" i="28"/>
  <c r="V108" i="28"/>
  <c r="W108" i="28"/>
  <c r="X108" i="28"/>
  <c r="N109" i="28"/>
  <c r="R109" i="28"/>
  <c r="S109" i="28"/>
  <c r="T109" i="28"/>
  <c r="U109" i="28"/>
  <c r="V109" i="28"/>
  <c r="W109" i="28"/>
  <c r="X109" i="28"/>
  <c r="N110" i="28"/>
  <c r="R110" i="28"/>
  <c r="S110" i="28"/>
  <c r="T110" i="28"/>
  <c r="U110" i="28"/>
  <c r="V110" i="28"/>
  <c r="W110" i="28"/>
  <c r="X110" i="28"/>
  <c r="N111" i="28"/>
  <c r="R111" i="28"/>
  <c r="S111" i="28"/>
  <c r="T111" i="28"/>
  <c r="U111" i="28"/>
  <c r="V111" i="28"/>
  <c r="W111" i="28"/>
  <c r="X111" i="28"/>
  <c r="N112" i="28"/>
  <c r="R112" i="28"/>
  <c r="S112" i="28"/>
  <c r="T112" i="28"/>
  <c r="U112" i="28"/>
  <c r="V112" i="28"/>
  <c r="W112" i="28"/>
  <c r="X112" i="28"/>
  <c r="N113" i="28"/>
  <c r="R113" i="28"/>
  <c r="S113" i="28"/>
  <c r="T113" i="28"/>
  <c r="U113" i="28"/>
  <c r="V113" i="28"/>
  <c r="W113" i="28"/>
  <c r="X113" i="28"/>
  <c r="N114" i="28"/>
  <c r="R114" i="28"/>
  <c r="S114" i="28"/>
  <c r="T114" i="28"/>
  <c r="U114" i="28"/>
  <c r="V114" i="28"/>
  <c r="W114" i="28"/>
  <c r="X114" i="28"/>
  <c r="N115" i="28"/>
  <c r="R115" i="28"/>
  <c r="S115" i="28"/>
  <c r="T115" i="28"/>
  <c r="U115" i="28"/>
  <c r="V115" i="28"/>
  <c r="W115" i="28"/>
  <c r="X115" i="28"/>
  <c r="N116" i="28"/>
  <c r="R116" i="28"/>
  <c r="S116" i="28"/>
  <c r="T116" i="28"/>
  <c r="U116" i="28"/>
  <c r="V116" i="28"/>
  <c r="W116" i="28"/>
  <c r="X116" i="28"/>
  <c r="N117" i="28"/>
  <c r="R117" i="28"/>
  <c r="S117" i="28"/>
  <c r="T117" i="28"/>
  <c r="U117" i="28"/>
  <c r="V117" i="28"/>
  <c r="W117" i="28"/>
  <c r="X117" i="28"/>
  <c r="N118" i="28"/>
  <c r="R118" i="28"/>
  <c r="S118" i="28"/>
  <c r="T118" i="28"/>
  <c r="U118" i="28"/>
  <c r="V118" i="28"/>
  <c r="W118" i="28"/>
  <c r="X118" i="28"/>
  <c r="N119" i="28"/>
  <c r="R119" i="28"/>
  <c r="S119" i="28"/>
  <c r="T119" i="28"/>
  <c r="U119" i="28"/>
  <c r="V119" i="28"/>
  <c r="W119" i="28"/>
  <c r="X119" i="28"/>
  <c r="N120" i="28"/>
  <c r="R120" i="28"/>
  <c r="S120" i="28"/>
  <c r="T120" i="28"/>
  <c r="U120" i="28"/>
  <c r="V120" i="28"/>
  <c r="W120" i="28"/>
  <c r="X120" i="28"/>
  <c r="N121" i="28"/>
  <c r="R121" i="28"/>
  <c r="S121" i="28"/>
  <c r="T121" i="28"/>
  <c r="U121" i="28"/>
  <c r="V121" i="28"/>
  <c r="W121" i="28"/>
  <c r="X121" i="28"/>
  <c r="N122" i="28"/>
  <c r="R122" i="28"/>
  <c r="S122" i="28"/>
  <c r="T122" i="28"/>
  <c r="U122" i="28"/>
  <c r="V122" i="28"/>
  <c r="W122" i="28"/>
  <c r="X122" i="28"/>
  <c r="N123" i="28"/>
  <c r="R123" i="28"/>
  <c r="S123" i="28"/>
  <c r="T123" i="28"/>
  <c r="U123" i="28"/>
  <c r="V123" i="28"/>
  <c r="W123" i="28"/>
  <c r="X123" i="28"/>
  <c r="N124" i="28"/>
  <c r="R124" i="28"/>
  <c r="S124" i="28"/>
  <c r="T124" i="28"/>
  <c r="U124" i="28"/>
  <c r="V124" i="28"/>
  <c r="W124" i="28"/>
  <c r="X124" i="28"/>
  <c r="N125" i="28"/>
  <c r="R125" i="28"/>
  <c r="S125" i="28"/>
  <c r="T125" i="28"/>
  <c r="U125" i="28"/>
  <c r="V125" i="28"/>
  <c r="W125" i="28"/>
  <c r="X125" i="28"/>
  <c r="N126" i="28"/>
  <c r="R126" i="28"/>
  <c r="S126" i="28"/>
  <c r="T126" i="28"/>
  <c r="U126" i="28"/>
  <c r="V126" i="28"/>
  <c r="W126" i="28"/>
  <c r="X126" i="28"/>
  <c r="N127" i="28"/>
  <c r="R127" i="28"/>
  <c r="S127" i="28"/>
  <c r="T127" i="28"/>
  <c r="U127" i="28"/>
  <c r="V127" i="28"/>
  <c r="W127" i="28"/>
  <c r="X127" i="28"/>
  <c r="N128" i="28"/>
  <c r="R128" i="28"/>
  <c r="S128" i="28"/>
  <c r="T128" i="28"/>
  <c r="U128" i="28"/>
  <c r="V128" i="28"/>
  <c r="W128" i="28"/>
  <c r="X128" i="28"/>
  <c r="N129" i="28"/>
  <c r="R129" i="28"/>
  <c r="S129" i="28"/>
  <c r="T129" i="28"/>
  <c r="U129" i="28"/>
  <c r="V129" i="28"/>
  <c r="W129" i="28"/>
  <c r="X129" i="28"/>
  <c r="N130" i="28"/>
  <c r="R130" i="28"/>
  <c r="S130" i="28"/>
  <c r="T130" i="28"/>
  <c r="U130" i="28"/>
  <c r="V130" i="28"/>
  <c r="W130" i="28"/>
  <c r="X130" i="28"/>
  <c r="N131" i="28"/>
  <c r="R131" i="28"/>
  <c r="S131" i="28"/>
  <c r="T131" i="28"/>
  <c r="U131" i="28"/>
  <c r="V131" i="28"/>
  <c r="W131" i="28"/>
  <c r="X131" i="28"/>
  <c r="N132" i="28"/>
  <c r="R132" i="28"/>
  <c r="S132" i="28"/>
  <c r="T132" i="28"/>
  <c r="U132" i="28"/>
  <c r="V132" i="28"/>
  <c r="W132" i="28"/>
  <c r="X132" i="28"/>
  <c r="N133" i="28"/>
  <c r="R133" i="28"/>
  <c r="S133" i="28"/>
  <c r="T133" i="28"/>
  <c r="U133" i="28"/>
  <c r="V133" i="28"/>
  <c r="W133" i="28"/>
  <c r="X133" i="28"/>
  <c r="N134" i="28"/>
  <c r="R134" i="28"/>
  <c r="S134" i="28"/>
  <c r="T134" i="28"/>
  <c r="U134" i="28"/>
  <c r="V134" i="28"/>
  <c r="W134" i="28"/>
  <c r="X134" i="28"/>
  <c r="N135" i="28"/>
  <c r="R135" i="28"/>
  <c r="S135" i="28"/>
  <c r="T135" i="28"/>
  <c r="U135" i="28"/>
  <c r="V135" i="28"/>
  <c r="W135" i="28"/>
  <c r="X135" i="28"/>
  <c r="N136" i="28"/>
  <c r="R136" i="28"/>
  <c r="S136" i="28"/>
  <c r="T136" i="28"/>
  <c r="U136" i="28"/>
  <c r="V136" i="28"/>
  <c r="W136" i="28"/>
  <c r="X136" i="28"/>
  <c r="N137" i="28"/>
  <c r="R137" i="28"/>
  <c r="S137" i="28"/>
  <c r="T137" i="28"/>
  <c r="U137" i="28"/>
  <c r="V137" i="28"/>
  <c r="W137" i="28"/>
  <c r="X137" i="28"/>
  <c r="N138" i="28"/>
  <c r="R138" i="28"/>
  <c r="S138" i="28"/>
  <c r="T138" i="28"/>
  <c r="U138" i="28"/>
  <c r="V138" i="28"/>
  <c r="W138" i="28"/>
  <c r="X138" i="28"/>
  <c r="N139" i="28"/>
  <c r="R139" i="28"/>
  <c r="S139" i="28"/>
  <c r="T139" i="28"/>
  <c r="U139" i="28"/>
  <c r="V139" i="28"/>
  <c r="W139" i="28"/>
  <c r="X139" i="28"/>
  <c r="N140" i="28"/>
  <c r="R140" i="28"/>
  <c r="S140" i="28"/>
  <c r="T140" i="28"/>
  <c r="U140" i="28"/>
  <c r="V140" i="28"/>
  <c r="W140" i="28"/>
  <c r="X140" i="28"/>
  <c r="N141" i="28"/>
  <c r="R141" i="28"/>
  <c r="S141" i="28"/>
  <c r="T141" i="28"/>
  <c r="U141" i="28"/>
  <c r="V141" i="28"/>
  <c r="W141" i="28"/>
  <c r="X141" i="28"/>
  <c r="N142" i="28"/>
  <c r="R142" i="28"/>
  <c r="S142" i="28"/>
  <c r="T142" i="28"/>
  <c r="U142" i="28"/>
  <c r="V142" i="28"/>
  <c r="W142" i="28"/>
  <c r="X142" i="28"/>
  <c r="N143" i="28"/>
  <c r="R143" i="28"/>
  <c r="S143" i="28"/>
  <c r="T143" i="28"/>
  <c r="U143" i="28"/>
  <c r="V143" i="28"/>
  <c r="W143" i="28"/>
  <c r="X143" i="28"/>
  <c r="N144" i="28"/>
  <c r="R144" i="28"/>
  <c r="S144" i="28"/>
  <c r="T144" i="28"/>
  <c r="U144" i="28"/>
  <c r="V144" i="28"/>
  <c r="W144" i="28"/>
  <c r="X144" i="28"/>
  <c r="N145" i="28"/>
  <c r="R145" i="28"/>
  <c r="S145" i="28"/>
  <c r="T145" i="28"/>
  <c r="U145" i="28"/>
  <c r="V145" i="28"/>
  <c r="W145" i="28"/>
  <c r="X145" i="28"/>
  <c r="N146" i="28"/>
  <c r="R146" i="28"/>
  <c r="S146" i="28"/>
  <c r="T146" i="28"/>
  <c r="U146" i="28"/>
  <c r="V146" i="28"/>
  <c r="W146" i="28"/>
  <c r="X146" i="28"/>
  <c r="N147" i="28"/>
  <c r="R147" i="28"/>
  <c r="S147" i="28"/>
  <c r="T147" i="28"/>
  <c r="U147" i="28"/>
  <c r="V147" i="28"/>
  <c r="W147" i="28"/>
  <c r="X147" i="28"/>
  <c r="N148" i="28"/>
  <c r="R148" i="28"/>
  <c r="S148" i="28"/>
  <c r="T148" i="28"/>
  <c r="U148" i="28"/>
  <c r="V148" i="28"/>
  <c r="W148" i="28"/>
  <c r="X148" i="28"/>
  <c r="N149" i="28"/>
  <c r="R149" i="28"/>
  <c r="S149" i="28"/>
  <c r="T149" i="28"/>
  <c r="U149" i="28"/>
  <c r="V149" i="28"/>
  <c r="W149" i="28"/>
  <c r="X149" i="28"/>
  <c r="N150" i="28"/>
  <c r="R150" i="28"/>
  <c r="S150" i="28"/>
  <c r="T150" i="28"/>
  <c r="U150" i="28"/>
  <c r="V150" i="28"/>
  <c r="W150" i="28"/>
  <c r="X150" i="28"/>
  <c r="N151" i="28"/>
  <c r="R151" i="28"/>
  <c r="S151" i="28"/>
  <c r="T151" i="28"/>
  <c r="U151" i="28"/>
  <c r="V151" i="28"/>
  <c r="W151" i="28"/>
  <c r="X151" i="28"/>
  <c r="N152" i="28"/>
  <c r="R152" i="28"/>
  <c r="S152" i="28"/>
  <c r="T152" i="28"/>
  <c r="U152" i="28"/>
  <c r="V152" i="28"/>
  <c r="W152" i="28"/>
  <c r="X152" i="28"/>
  <c r="N153" i="28"/>
  <c r="R153" i="28"/>
  <c r="S153" i="28"/>
  <c r="T153" i="28"/>
  <c r="U153" i="28"/>
  <c r="V153" i="28"/>
  <c r="W153" i="28"/>
  <c r="X153" i="28"/>
  <c r="K31" i="18"/>
  <c r="K38" i="16"/>
  <c r="K39" i="16"/>
  <c r="K40" i="16"/>
  <c r="K37" i="14"/>
  <c r="K38" i="14"/>
  <c r="K39" i="14"/>
  <c r="K47" i="11"/>
  <c r="K48" i="11"/>
  <c r="K49" i="11"/>
  <c r="K55" i="9"/>
  <c r="K56" i="9"/>
  <c r="K57" i="9"/>
  <c r="K39" i="7"/>
  <c r="K36" i="16"/>
  <c r="K37" i="16"/>
  <c r="K35" i="14"/>
  <c r="K36" i="14"/>
  <c r="K45" i="11"/>
  <c r="K46" i="11"/>
  <c r="K53" i="9"/>
  <c r="K54" i="9"/>
  <c r="O52" i="14"/>
  <c r="P52" i="14"/>
  <c r="Q52" i="14"/>
  <c r="O53" i="14"/>
  <c r="P53" i="14"/>
  <c r="Q53" i="14"/>
  <c r="O54" i="14"/>
  <c r="P54" i="14"/>
  <c r="Q54" i="14"/>
  <c r="O55" i="14"/>
  <c r="P55" i="14"/>
  <c r="Q55" i="14"/>
  <c r="O56" i="14"/>
  <c r="P56" i="14"/>
  <c r="Q56" i="14"/>
  <c r="O57" i="14"/>
  <c r="P57" i="14"/>
  <c r="Q57" i="14"/>
  <c r="O58" i="14"/>
  <c r="P58" i="14"/>
  <c r="Q58" i="14"/>
  <c r="O59" i="14"/>
  <c r="P59" i="14"/>
  <c r="Q59" i="14"/>
  <c r="O60" i="14"/>
  <c r="P60" i="14"/>
  <c r="Q60" i="14"/>
  <c r="O61" i="14"/>
  <c r="P61" i="14"/>
  <c r="Q61" i="14"/>
  <c r="O62" i="14"/>
  <c r="P62" i="14"/>
  <c r="Q62" i="14"/>
  <c r="O63" i="14"/>
  <c r="P63" i="14"/>
  <c r="Q63" i="14"/>
  <c r="O64" i="14"/>
  <c r="P64" i="14"/>
  <c r="Q64" i="14"/>
  <c r="O65" i="14"/>
  <c r="P65" i="14"/>
  <c r="Q65" i="14"/>
  <c r="O66" i="14"/>
  <c r="P66" i="14"/>
  <c r="Q66" i="14"/>
  <c r="O67" i="14"/>
  <c r="P67" i="14"/>
  <c r="Q67" i="14"/>
  <c r="O68" i="14"/>
  <c r="P68" i="14"/>
  <c r="Q68" i="14"/>
  <c r="O69" i="14"/>
  <c r="P69" i="14"/>
  <c r="Q69" i="14"/>
  <c r="O70" i="14"/>
  <c r="P70" i="14"/>
  <c r="Q70" i="14"/>
  <c r="O71" i="14"/>
  <c r="P71" i="14"/>
  <c r="Q71" i="14"/>
  <c r="O72" i="14"/>
  <c r="P72" i="14"/>
  <c r="Q72" i="14"/>
  <c r="O73" i="14"/>
  <c r="P73" i="14"/>
  <c r="Q73" i="14"/>
  <c r="O74" i="14"/>
  <c r="P74" i="14"/>
  <c r="Q74" i="14"/>
  <c r="O75" i="14"/>
  <c r="P75" i="14"/>
  <c r="Q75" i="14"/>
  <c r="O76" i="14"/>
  <c r="P76" i="14"/>
  <c r="Q76" i="14"/>
  <c r="O77" i="14"/>
  <c r="P77" i="14"/>
  <c r="Q77" i="14"/>
  <c r="O78" i="14"/>
  <c r="P78" i="14"/>
  <c r="Q78" i="14"/>
  <c r="O79" i="14"/>
  <c r="P79" i="14"/>
  <c r="Q79" i="14"/>
  <c r="O80" i="14"/>
  <c r="P80" i="14"/>
  <c r="Q80" i="14"/>
  <c r="O81" i="14"/>
  <c r="P81" i="14"/>
  <c r="Q81" i="14"/>
  <c r="O82" i="14"/>
  <c r="P82" i="14"/>
  <c r="Q82" i="14"/>
  <c r="O83" i="14"/>
  <c r="P83" i="14"/>
  <c r="Q83" i="14"/>
  <c r="O84" i="14"/>
  <c r="P84" i="14"/>
  <c r="Q84" i="14"/>
  <c r="O85" i="14"/>
  <c r="P85" i="14"/>
  <c r="Q85" i="14"/>
  <c r="O86" i="14"/>
  <c r="P86" i="14"/>
  <c r="Q86" i="14"/>
  <c r="O87" i="14"/>
  <c r="P87" i="14"/>
  <c r="Q87" i="14"/>
  <c r="O88" i="14"/>
  <c r="P88" i="14"/>
  <c r="Q88" i="14"/>
  <c r="O89" i="14"/>
  <c r="P89" i="14"/>
  <c r="Q89" i="14"/>
  <c r="O90" i="14"/>
  <c r="P90" i="14"/>
  <c r="Q90" i="14"/>
  <c r="O91" i="14"/>
  <c r="P91" i="14"/>
  <c r="Q91" i="14"/>
  <c r="O92" i="14"/>
  <c r="P92" i="14"/>
  <c r="Q92" i="14"/>
  <c r="O93" i="14"/>
  <c r="P93" i="14"/>
  <c r="Q93" i="14"/>
  <c r="O94" i="14"/>
  <c r="P94" i="14"/>
  <c r="Q94" i="14"/>
  <c r="O95" i="14"/>
  <c r="P95" i="14"/>
  <c r="Q95" i="14"/>
  <c r="O96" i="14"/>
  <c r="P96" i="14"/>
  <c r="Q96" i="14"/>
  <c r="O97" i="14"/>
  <c r="P97" i="14"/>
  <c r="Q97" i="14"/>
  <c r="O98" i="14"/>
  <c r="P98" i="14"/>
  <c r="Q98" i="14"/>
  <c r="O99" i="14"/>
  <c r="P99" i="14"/>
  <c r="Q99" i="14"/>
  <c r="O100" i="14"/>
  <c r="P100" i="14"/>
  <c r="Q100" i="14"/>
  <c r="O101" i="14"/>
  <c r="P101" i="14"/>
  <c r="Q101" i="14"/>
  <c r="O102" i="14"/>
  <c r="P102" i="14"/>
  <c r="Q102" i="14"/>
  <c r="O103" i="14"/>
  <c r="P103" i="14"/>
  <c r="Q103" i="14"/>
  <c r="O104" i="14"/>
  <c r="P104" i="14"/>
  <c r="Q104" i="14"/>
  <c r="O105" i="14"/>
  <c r="P105" i="14"/>
  <c r="Q105" i="14"/>
  <c r="O106" i="14"/>
  <c r="P106" i="14"/>
  <c r="Q106" i="14"/>
  <c r="O107" i="14"/>
  <c r="P107" i="14"/>
  <c r="Q107" i="14"/>
  <c r="O108" i="14"/>
  <c r="P108" i="14"/>
  <c r="Q108" i="14"/>
  <c r="O109" i="14"/>
  <c r="P109" i="14"/>
  <c r="Q109" i="14"/>
  <c r="O110" i="14"/>
  <c r="P110" i="14"/>
  <c r="Q110" i="14"/>
  <c r="O111" i="14"/>
  <c r="P111" i="14"/>
  <c r="Q111" i="14"/>
  <c r="O112" i="14"/>
  <c r="P112" i="14"/>
  <c r="Q112" i="14"/>
  <c r="O113" i="14"/>
  <c r="P113" i="14"/>
  <c r="Q113" i="14"/>
  <c r="O114" i="14"/>
  <c r="P114" i="14"/>
  <c r="Q114" i="14"/>
  <c r="O115" i="14"/>
  <c r="P115" i="14"/>
  <c r="Q115" i="14"/>
  <c r="O116" i="14"/>
  <c r="P116" i="14"/>
  <c r="Q116" i="14"/>
  <c r="O117" i="14"/>
  <c r="P117" i="14"/>
  <c r="Q117" i="14"/>
  <c r="O118" i="14"/>
  <c r="P118" i="14"/>
  <c r="Q118" i="14"/>
  <c r="O119" i="14"/>
  <c r="P119" i="14"/>
  <c r="Q119" i="14"/>
  <c r="O120" i="14"/>
  <c r="P120" i="14"/>
  <c r="Q120" i="14"/>
  <c r="O121" i="14"/>
  <c r="P121" i="14"/>
  <c r="Q121" i="14"/>
  <c r="O122" i="14"/>
  <c r="P122" i="14"/>
  <c r="Q122" i="14"/>
  <c r="O123" i="14"/>
  <c r="P123" i="14"/>
  <c r="Q123" i="14"/>
  <c r="O124" i="14"/>
  <c r="P124" i="14"/>
  <c r="Q124" i="14"/>
  <c r="O125" i="14"/>
  <c r="P125" i="14"/>
  <c r="Q125" i="14"/>
  <c r="O126" i="14"/>
  <c r="P126" i="14"/>
  <c r="Q126" i="14"/>
  <c r="O127" i="14"/>
  <c r="P127" i="14"/>
  <c r="Q127" i="14"/>
  <c r="O128" i="14"/>
  <c r="P128" i="14"/>
  <c r="Q128" i="14"/>
  <c r="O129" i="14"/>
  <c r="P129" i="14"/>
  <c r="Q129" i="14"/>
  <c r="O130" i="14"/>
  <c r="P130" i="14"/>
  <c r="Q130" i="14"/>
  <c r="O131" i="14"/>
  <c r="P131" i="14"/>
  <c r="Q131" i="14"/>
  <c r="O132" i="14"/>
  <c r="P132" i="14"/>
  <c r="Q132" i="14"/>
  <c r="O133" i="14"/>
  <c r="P133" i="14"/>
  <c r="Q133" i="14"/>
  <c r="O134" i="14"/>
  <c r="P134" i="14"/>
  <c r="Q134" i="14"/>
  <c r="O135" i="14"/>
  <c r="P135" i="14"/>
  <c r="Q135" i="14"/>
  <c r="O136" i="14"/>
  <c r="P136" i="14"/>
  <c r="Q136" i="14"/>
  <c r="O137" i="14"/>
  <c r="P137" i="14"/>
  <c r="Q137" i="14"/>
  <c r="O138" i="14"/>
  <c r="P138" i="14"/>
  <c r="Q138" i="14"/>
  <c r="O139" i="14"/>
  <c r="P139" i="14"/>
  <c r="Q139" i="14"/>
  <c r="O140" i="14"/>
  <c r="P140" i="14"/>
  <c r="Q140" i="14"/>
  <c r="O141" i="14"/>
  <c r="P141" i="14"/>
  <c r="Q141" i="14"/>
  <c r="O142" i="14"/>
  <c r="P142" i="14"/>
  <c r="Q142" i="14"/>
  <c r="O143" i="14"/>
  <c r="P143" i="14"/>
  <c r="Q143" i="14"/>
  <c r="O144" i="14"/>
  <c r="P144" i="14"/>
  <c r="Q144" i="14"/>
  <c r="O145" i="14"/>
  <c r="P145" i="14"/>
  <c r="Q145" i="14"/>
  <c r="O146" i="14"/>
  <c r="P146" i="14"/>
  <c r="Q146" i="14"/>
  <c r="O147" i="14"/>
  <c r="P147" i="14"/>
  <c r="Q147" i="14"/>
  <c r="O148" i="14"/>
  <c r="P148" i="14"/>
  <c r="Q148" i="14"/>
  <c r="O149" i="14"/>
  <c r="P149" i="14"/>
  <c r="Q149" i="14"/>
  <c r="O150" i="14"/>
  <c r="P150" i="14"/>
  <c r="Q150" i="14"/>
  <c r="O151" i="14"/>
  <c r="P151" i="14"/>
  <c r="Q151" i="14"/>
  <c r="O152" i="14"/>
  <c r="P152" i="14"/>
  <c r="Q152" i="14"/>
  <c r="O153" i="14"/>
  <c r="P153" i="14"/>
  <c r="Q153" i="14"/>
  <c r="K24" i="24"/>
  <c r="K32" i="22"/>
  <c r="K38" i="20"/>
  <c r="K30" i="18"/>
  <c r="K35" i="16"/>
  <c r="K34" i="14"/>
  <c r="K44" i="11"/>
  <c r="K52" i="9"/>
  <c r="O62" i="11"/>
  <c r="P62" i="11"/>
  <c r="Q62" i="11"/>
  <c r="O63" i="11"/>
  <c r="P63" i="11"/>
  <c r="Q63" i="11"/>
  <c r="O64" i="11"/>
  <c r="P64" i="11"/>
  <c r="Q64" i="11"/>
  <c r="O65" i="11"/>
  <c r="P65" i="11"/>
  <c r="Q65" i="11"/>
  <c r="O66" i="11"/>
  <c r="P66" i="11"/>
  <c r="Q66" i="11"/>
  <c r="O67" i="11"/>
  <c r="P67" i="11"/>
  <c r="Q67" i="11"/>
  <c r="O68" i="11"/>
  <c r="P68" i="11"/>
  <c r="Q68" i="11"/>
  <c r="O69" i="11"/>
  <c r="P69" i="11"/>
  <c r="Q69" i="11"/>
  <c r="O70" i="11"/>
  <c r="P70" i="11"/>
  <c r="Q70" i="11"/>
  <c r="O71" i="11"/>
  <c r="P71" i="11"/>
  <c r="Q71" i="11"/>
  <c r="O72" i="11"/>
  <c r="P72" i="11"/>
  <c r="Q72" i="11"/>
  <c r="O73" i="11"/>
  <c r="P73" i="11"/>
  <c r="Q73" i="11"/>
  <c r="O74" i="11"/>
  <c r="P74" i="11"/>
  <c r="Q74" i="11"/>
  <c r="O75" i="11"/>
  <c r="P75" i="11"/>
  <c r="Q75" i="11"/>
  <c r="O76" i="11"/>
  <c r="P76" i="11"/>
  <c r="Q76" i="11"/>
  <c r="O77" i="11"/>
  <c r="P77" i="11"/>
  <c r="Q77" i="11"/>
  <c r="O78" i="11"/>
  <c r="P78" i="11"/>
  <c r="Q78" i="11"/>
  <c r="O79" i="11"/>
  <c r="P79" i="11"/>
  <c r="Q79" i="11"/>
  <c r="O80" i="11"/>
  <c r="P80" i="11"/>
  <c r="Q80" i="11"/>
  <c r="O81" i="11"/>
  <c r="P81" i="11"/>
  <c r="Q81" i="11"/>
  <c r="O82" i="11"/>
  <c r="P82" i="11"/>
  <c r="Q82" i="11"/>
  <c r="O83" i="11"/>
  <c r="P83" i="11"/>
  <c r="Q83" i="11"/>
  <c r="O84" i="11"/>
  <c r="P84" i="11"/>
  <c r="Q84" i="11"/>
  <c r="O85" i="11"/>
  <c r="P85" i="11"/>
  <c r="Q85" i="11"/>
  <c r="O86" i="11"/>
  <c r="P86" i="11"/>
  <c r="Q86" i="11"/>
  <c r="O87" i="11"/>
  <c r="P87" i="11"/>
  <c r="Q87" i="11"/>
  <c r="O88" i="11"/>
  <c r="P88" i="11"/>
  <c r="Q88" i="11"/>
  <c r="O89" i="11"/>
  <c r="P89" i="11"/>
  <c r="Q89" i="11"/>
  <c r="O90" i="11"/>
  <c r="P90" i="11"/>
  <c r="Q90" i="11"/>
  <c r="O91" i="11"/>
  <c r="P91" i="11"/>
  <c r="Q91" i="11"/>
  <c r="O92" i="11"/>
  <c r="P92" i="11"/>
  <c r="Q92" i="11"/>
  <c r="O93" i="11"/>
  <c r="P93" i="11"/>
  <c r="Q93" i="11"/>
  <c r="O94" i="11"/>
  <c r="P94" i="11"/>
  <c r="Q94" i="11"/>
  <c r="O95" i="11"/>
  <c r="P95" i="11"/>
  <c r="Q95" i="11"/>
  <c r="O96" i="11"/>
  <c r="P96" i="11"/>
  <c r="Q96" i="11"/>
  <c r="O97" i="11"/>
  <c r="P97" i="11"/>
  <c r="Q97" i="11"/>
  <c r="O98" i="11"/>
  <c r="P98" i="11"/>
  <c r="Q98" i="11"/>
  <c r="O99" i="11"/>
  <c r="P99" i="11"/>
  <c r="Q99" i="11"/>
  <c r="O100" i="11"/>
  <c r="P100" i="11"/>
  <c r="Q100" i="11"/>
  <c r="O101" i="11"/>
  <c r="P101" i="11"/>
  <c r="Q101" i="11"/>
  <c r="O102" i="11"/>
  <c r="P102" i="11"/>
  <c r="Q102" i="11"/>
  <c r="O103" i="11"/>
  <c r="P103" i="11"/>
  <c r="Q103" i="11"/>
  <c r="O104" i="11"/>
  <c r="P104" i="11"/>
  <c r="Q104" i="11"/>
  <c r="O105" i="11"/>
  <c r="P105" i="11"/>
  <c r="Q105" i="11"/>
  <c r="O106" i="11"/>
  <c r="P106" i="11"/>
  <c r="Q106" i="11"/>
  <c r="O107" i="11"/>
  <c r="P107" i="11"/>
  <c r="Q107" i="11"/>
  <c r="O108" i="11"/>
  <c r="P108" i="11"/>
  <c r="Q108" i="11"/>
  <c r="O109" i="11"/>
  <c r="P109" i="11"/>
  <c r="Q109" i="11"/>
  <c r="O110" i="11"/>
  <c r="P110" i="11"/>
  <c r="Q110" i="11"/>
  <c r="O111" i="11"/>
  <c r="P111" i="11"/>
  <c r="Q111" i="11"/>
  <c r="O112" i="11"/>
  <c r="P112" i="11"/>
  <c r="Q112" i="11"/>
  <c r="O113" i="11"/>
  <c r="P113" i="11"/>
  <c r="Q113" i="11"/>
  <c r="O114" i="11"/>
  <c r="P114" i="11"/>
  <c r="Q114" i="11"/>
  <c r="O115" i="11"/>
  <c r="P115" i="11"/>
  <c r="Q115" i="11"/>
  <c r="O116" i="11"/>
  <c r="P116" i="11"/>
  <c r="Q116" i="11"/>
  <c r="O117" i="11"/>
  <c r="P117" i="11"/>
  <c r="Q117" i="11"/>
  <c r="O118" i="11"/>
  <c r="P118" i="11"/>
  <c r="Q118" i="11"/>
  <c r="O119" i="11"/>
  <c r="P119" i="11"/>
  <c r="Q119" i="11"/>
  <c r="O120" i="11"/>
  <c r="P120" i="11"/>
  <c r="Q120" i="11"/>
  <c r="O121" i="11"/>
  <c r="P121" i="11"/>
  <c r="Q121" i="11"/>
  <c r="O122" i="11"/>
  <c r="P122" i="11"/>
  <c r="Q122" i="11"/>
  <c r="O123" i="11"/>
  <c r="P123" i="11"/>
  <c r="Q123" i="11"/>
  <c r="O124" i="11"/>
  <c r="P124" i="11"/>
  <c r="Q124" i="11"/>
  <c r="O125" i="11"/>
  <c r="P125" i="11"/>
  <c r="Q125" i="11"/>
  <c r="O126" i="11"/>
  <c r="P126" i="11"/>
  <c r="Q126" i="11"/>
  <c r="O127" i="11"/>
  <c r="P127" i="11"/>
  <c r="Q127" i="11"/>
  <c r="O128" i="11"/>
  <c r="P128" i="11"/>
  <c r="Q128" i="11"/>
  <c r="O129" i="11"/>
  <c r="P129" i="11"/>
  <c r="Q129" i="11"/>
  <c r="O130" i="11"/>
  <c r="P130" i="11"/>
  <c r="Q130" i="11"/>
  <c r="O131" i="11"/>
  <c r="P131" i="11"/>
  <c r="Q131" i="11"/>
  <c r="O132" i="11"/>
  <c r="P132" i="11"/>
  <c r="Q132" i="11"/>
  <c r="O133" i="11"/>
  <c r="P133" i="11"/>
  <c r="Q133" i="11"/>
  <c r="O134" i="11"/>
  <c r="P134" i="11"/>
  <c r="Q134" i="11"/>
  <c r="O135" i="11"/>
  <c r="P135" i="11"/>
  <c r="Q135" i="11"/>
  <c r="O136" i="11"/>
  <c r="P136" i="11"/>
  <c r="Q136" i="11"/>
  <c r="O137" i="11"/>
  <c r="P137" i="11"/>
  <c r="Q137" i="11"/>
  <c r="O138" i="11"/>
  <c r="P138" i="11"/>
  <c r="Q138" i="11"/>
  <c r="O139" i="11"/>
  <c r="P139" i="11"/>
  <c r="Q139" i="11"/>
  <c r="O140" i="11"/>
  <c r="P140" i="11"/>
  <c r="Q140" i="11"/>
  <c r="O141" i="11"/>
  <c r="P141" i="11"/>
  <c r="Q141" i="11"/>
  <c r="O142" i="11"/>
  <c r="P142" i="11"/>
  <c r="Q142" i="11"/>
  <c r="O143" i="11"/>
  <c r="P143" i="11"/>
  <c r="Q143" i="11"/>
  <c r="O144" i="11"/>
  <c r="P144" i="11"/>
  <c r="Q144" i="11"/>
  <c r="O145" i="11"/>
  <c r="P145" i="11"/>
  <c r="Q145" i="11"/>
  <c r="O146" i="11"/>
  <c r="P146" i="11"/>
  <c r="Q146" i="11"/>
  <c r="O147" i="11"/>
  <c r="P147" i="11"/>
  <c r="Q147" i="11"/>
  <c r="O148" i="11"/>
  <c r="P148" i="11"/>
  <c r="Q148" i="11"/>
  <c r="O149" i="11"/>
  <c r="P149" i="11"/>
  <c r="Q149" i="11"/>
  <c r="O150" i="11"/>
  <c r="P150" i="11"/>
  <c r="Q150" i="11"/>
  <c r="O151" i="11"/>
  <c r="P151" i="11"/>
  <c r="Q151" i="11"/>
  <c r="O152" i="11"/>
  <c r="P152" i="11"/>
  <c r="Q152" i="11"/>
  <c r="O153" i="11"/>
  <c r="P153" i="11"/>
  <c r="Q153" i="11"/>
  <c r="O70" i="9"/>
  <c r="P70" i="9"/>
  <c r="Q70" i="9"/>
  <c r="O71" i="9"/>
  <c r="P71" i="9"/>
  <c r="Q71" i="9"/>
  <c r="O72" i="9"/>
  <c r="P72" i="9"/>
  <c r="Q72" i="9"/>
  <c r="O73" i="9"/>
  <c r="P73" i="9"/>
  <c r="Q73" i="9"/>
  <c r="O74" i="9"/>
  <c r="P74" i="9"/>
  <c r="Q74" i="9"/>
  <c r="O75" i="9"/>
  <c r="P75" i="9"/>
  <c r="Q75" i="9"/>
  <c r="O76" i="9"/>
  <c r="P76" i="9"/>
  <c r="Q76" i="9"/>
  <c r="O77" i="9"/>
  <c r="P77" i="9"/>
  <c r="Q77" i="9"/>
  <c r="O78" i="9"/>
  <c r="P78" i="9"/>
  <c r="Q78" i="9"/>
  <c r="O79" i="9"/>
  <c r="P79" i="9"/>
  <c r="Q79" i="9"/>
  <c r="O80" i="9"/>
  <c r="P80" i="9"/>
  <c r="Q80" i="9"/>
  <c r="O81" i="9"/>
  <c r="P81" i="9"/>
  <c r="Q81" i="9"/>
  <c r="O82" i="9"/>
  <c r="P82" i="9"/>
  <c r="Q82" i="9"/>
  <c r="O83" i="9"/>
  <c r="P83" i="9"/>
  <c r="Q83" i="9"/>
  <c r="O84" i="9"/>
  <c r="P84" i="9"/>
  <c r="Q84" i="9"/>
  <c r="O85" i="9"/>
  <c r="P85" i="9"/>
  <c r="Q85" i="9"/>
  <c r="O86" i="9"/>
  <c r="P86" i="9"/>
  <c r="Q86" i="9"/>
  <c r="O87" i="9"/>
  <c r="P87" i="9"/>
  <c r="Q87" i="9"/>
  <c r="O88" i="9"/>
  <c r="P88" i="9"/>
  <c r="Q88" i="9"/>
  <c r="O89" i="9"/>
  <c r="P89" i="9"/>
  <c r="Q89" i="9"/>
  <c r="O90" i="9"/>
  <c r="P90" i="9"/>
  <c r="Q90" i="9"/>
  <c r="O91" i="9"/>
  <c r="P91" i="9"/>
  <c r="Q91" i="9"/>
  <c r="O92" i="9"/>
  <c r="P92" i="9"/>
  <c r="Q92" i="9"/>
  <c r="O93" i="9"/>
  <c r="P93" i="9"/>
  <c r="Q93" i="9"/>
  <c r="O94" i="9"/>
  <c r="P94" i="9"/>
  <c r="Q94" i="9"/>
  <c r="O95" i="9"/>
  <c r="P95" i="9"/>
  <c r="Q95" i="9"/>
  <c r="O96" i="9"/>
  <c r="P96" i="9"/>
  <c r="Q96" i="9"/>
  <c r="O97" i="9"/>
  <c r="P97" i="9"/>
  <c r="Q97" i="9"/>
  <c r="O98" i="9"/>
  <c r="P98" i="9"/>
  <c r="Q98" i="9"/>
  <c r="O99" i="9"/>
  <c r="P99" i="9"/>
  <c r="Q99" i="9"/>
  <c r="O100" i="9"/>
  <c r="P100" i="9"/>
  <c r="Q100" i="9"/>
  <c r="O101" i="9"/>
  <c r="P101" i="9"/>
  <c r="Q101" i="9"/>
  <c r="O102" i="9"/>
  <c r="P102" i="9"/>
  <c r="Q102" i="9"/>
  <c r="O103" i="9"/>
  <c r="P103" i="9"/>
  <c r="Q103" i="9"/>
  <c r="O104" i="9"/>
  <c r="P104" i="9"/>
  <c r="Q104" i="9"/>
  <c r="O105" i="9"/>
  <c r="P105" i="9"/>
  <c r="Q105" i="9"/>
  <c r="O106" i="9"/>
  <c r="P106" i="9"/>
  <c r="Q106" i="9"/>
  <c r="O107" i="9"/>
  <c r="P107" i="9"/>
  <c r="Q107" i="9"/>
  <c r="O108" i="9"/>
  <c r="P108" i="9"/>
  <c r="Q108" i="9"/>
  <c r="O109" i="9"/>
  <c r="P109" i="9"/>
  <c r="Q109" i="9"/>
  <c r="O110" i="9"/>
  <c r="P110" i="9"/>
  <c r="Q110" i="9"/>
  <c r="O111" i="9"/>
  <c r="P111" i="9"/>
  <c r="Q111" i="9"/>
  <c r="O112" i="9"/>
  <c r="P112" i="9"/>
  <c r="Q112" i="9"/>
  <c r="O113" i="9"/>
  <c r="P113" i="9"/>
  <c r="Q113" i="9"/>
  <c r="O114" i="9"/>
  <c r="P114" i="9"/>
  <c r="Q114" i="9"/>
  <c r="O115" i="9"/>
  <c r="P115" i="9"/>
  <c r="Q115" i="9"/>
  <c r="O116" i="9"/>
  <c r="P116" i="9"/>
  <c r="Q116" i="9"/>
  <c r="O117" i="9"/>
  <c r="P117" i="9"/>
  <c r="Q117" i="9"/>
  <c r="O118" i="9"/>
  <c r="P118" i="9"/>
  <c r="Q118" i="9"/>
  <c r="O119" i="9"/>
  <c r="P119" i="9"/>
  <c r="Q119" i="9"/>
  <c r="O120" i="9"/>
  <c r="P120" i="9"/>
  <c r="Q120" i="9"/>
  <c r="O121" i="9"/>
  <c r="P121" i="9"/>
  <c r="Q121" i="9"/>
  <c r="O122" i="9"/>
  <c r="P122" i="9"/>
  <c r="Q122" i="9"/>
  <c r="O123" i="9"/>
  <c r="P123" i="9"/>
  <c r="Q123" i="9"/>
  <c r="O124" i="9"/>
  <c r="P124" i="9"/>
  <c r="Q124" i="9"/>
  <c r="O125" i="9"/>
  <c r="P125" i="9"/>
  <c r="Q125" i="9"/>
  <c r="O126" i="9"/>
  <c r="P126" i="9"/>
  <c r="Q126" i="9"/>
  <c r="O127" i="9"/>
  <c r="P127" i="9"/>
  <c r="Q127" i="9"/>
  <c r="O128" i="9"/>
  <c r="P128" i="9"/>
  <c r="Q128" i="9"/>
  <c r="O129" i="9"/>
  <c r="P129" i="9"/>
  <c r="Q129" i="9"/>
  <c r="O130" i="9"/>
  <c r="P130" i="9"/>
  <c r="Q130" i="9"/>
  <c r="O131" i="9"/>
  <c r="P131" i="9"/>
  <c r="Q131" i="9"/>
  <c r="O132" i="9"/>
  <c r="P132" i="9"/>
  <c r="Q132" i="9"/>
  <c r="O133" i="9"/>
  <c r="P133" i="9"/>
  <c r="Q133" i="9"/>
  <c r="O134" i="9"/>
  <c r="P134" i="9"/>
  <c r="Q134" i="9"/>
  <c r="O135" i="9"/>
  <c r="P135" i="9"/>
  <c r="Q135" i="9"/>
  <c r="O136" i="9"/>
  <c r="P136" i="9"/>
  <c r="Q136" i="9"/>
  <c r="O137" i="9"/>
  <c r="P137" i="9"/>
  <c r="Q137" i="9"/>
  <c r="O138" i="9"/>
  <c r="P138" i="9"/>
  <c r="Q138" i="9"/>
  <c r="O139" i="9"/>
  <c r="P139" i="9"/>
  <c r="Q139" i="9"/>
  <c r="O140" i="9"/>
  <c r="P140" i="9"/>
  <c r="Q140" i="9"/>
  <c r="O141" i="9"/>
  <c r="P141" i="9"/>
  <c r="Q141" i="9"/>
  <c r="O142" i="9"/>
  <c r="P142" i="9"/>
  <c r="Q142" i="9"/>
  <c r="O143" i="9"/>
  <c r="P143" i="9"/>
  <c r="Q143" i="9"/>
  <c r="O144" i="9"/>
  <c r="P144" i="9"/>
  <c r="Q144" i="9"/>
  <c r="O145" i="9"/>
  <c r="P145" i="9"/>
  <c r="Q145" i="9"/>
  <c r="O146" i="9"/>
  <c r="P146" i="9"/>
  <c r="Q146" i="9"/>
  <c r="O147" i="9"/>
  <c r="P147" i="9"/>
  <c r="Q147" i="9"/>
  <c r="O148" i="9"/>
  <c r="P148" i="9"/>
  <c r="Q148" i="9"/>
  <c r="O149" i="9"/>
  <c r="P149" i="9"/>
  <c r="Q149" i="9"/>
  <c r="O150" i="9"/>
  <c r="P150" i="9"/>
  <c r="Q150" i="9"/>
  <c r="O151" i="9"/>
  <c r="P151" i="9"/>
  <c r="Q151" i="9"/>
  <c r="O152" i="9"/>
  <c r="P152" i="9"/>
  <c r="Q152" i="9"/>
  <c r="O153" i="9"/>
  <c r="P153" i="9"/>
  <c r="Q153" i="9"/>
  <c r="K51" i="9"/>
  <c r="K33" i="14"/>
  <c r="K43" i="11"/>
  <c r="K42" i="11"/>
  <c r="K38" i="7"/>
  <c r="K39" i="11"/>
  <c r="K40" i="11"/>
  <c r="K41" i="11"/>
  <c r="K48" i="9"/>
  <c r="K49" i="9"/>
  <c r="K50" i="9"/>
  <c r="K35" i="7"/>
  <c r="K36" i="7"/>
  <c r="K37" i="7"/>
  <c r="O50" i="7"/>
  <c r="P50" i="7"/>
  <c r="Q50" i="7"/>
  <c r="O51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O60" i="7"/>
  <c r="P60" i="7"/>
  <c r="Q60" i="7"/>
  <c r="O61" i="7"/>
  <c r="P61" i="7"/>
  <c r="Q61" i="7"/>
  <c r="O62" i="7"/>
  <c r="P62" i="7"/>
  <c r="Q62" i="7"/>
  <c r="O63" i="7"/>
  <c r="P63" i="7"/>
  <c r="Q63" i="7"/>
  <c r="O64" i="7"/>
  <c r="P64" i="7"/>
  <c r="Q64" i="7"/>
  <c r="O65" i="7"/>
  <c r="P65" i="7"/>
  <c r="Q65" i="7"/>
  <c r="O66" i="7"/>
  <c r="P66" i="7"/>
  <c r="Q66" i="7"/>
  <c r="O67" i="7"/>
  <c r="P67" i="7"/>
  <c r="Q67" i="7"/>
  <c r="O68" i="7"/>
  <c r="P68" i="7"/>
  <c r="Q68" i="7"/>
  <c r="O69" i="7"/>
  <c r="P69" i="7"/>
  <c r="Q69" i="7"/>
  <c r="O70" i="7"/>
  <c r="P70" i="7"/>
  <c r="Q70" i="7"/>
  <c r="O71" i="7"/>
  <c r="P71" i="7"/>
  <c r="Q71" i="7"/>
  <c r="O72" i="7"/>
  <c r="P72" i="7"/>
  <c r="Q72" i="7"/>
  <c r="O73" i="7"/>
  <c r="P73" i="7"/>
  <c r="Q73" i="7"/>
  <c r="O74" i="7"/>
  <c r="P74" i="7"/>
  <c r="Q74" i="7"/>
  <c r="O75" i="7"/>
  <c r="P75" i="7"/>
  <c r="Q75" i="7"/>
  <c r="O76" i="7"/>
  <c r="P76" i="7"/>
  <c r="Q76" i="7"/>
  <c r="O77" i="7"/>
  <c r="P77" i="7"/>
  <c r="Q77" i="7"/>
  <c r="O78" i="7"/>
  <c r="P78" i="7"/>
  <c r="Q78" i="7"/>
  <c r="O79" i="7"/>
  <c r="P79" i="7"/>
  <c r="Q79" i="7"/>
  <c r="O80" i="7"/>
  <c r="P80" i="7"/>
  <c r="Q80" i="7"/>
  <c r="O81" i="7"/>
  <c r="P81" i="7"/>
  <c r="Q81" i="7"/>
  <c r="O82" i="7"/>
  <c r="P82" i="7"/>
  <c r="Q82" i="7"/>
  <c r="O83" i="7"/>
  <c r="P83" i="7"/>
  <c r="Q83" i="7"/>
  <c r="O84" i="7"/>
  <c r="P84" i="7"/>
  <c r="Q84" i="7"/>
  <c r="O85" i="7"/>
  <c r="P85" i="7"/>
  <c r="Q85" i="7"/>
  <c r="O86" i="7"/>
  <c r="P86" i="7"/>
  <c r="Q86" i="7"/>
  <c r="O87" i="7"/>
  <c r="P87" i="7"/>
  <c r="Q87" i="7"/>
  <c r="O88" i="7"/>
  <c r="P88" i="7"/>
  <c r="Q88" i="7"/>
  <c r="O89" i="7"/>
  <c r="P89" i="7"/>
  <c r="Q89" i="7"/>
  <c r="O90" i="7"/>
  <c r="P90" i="7"/>
  <c r="Q90" i="7"/>
  <c r="O91" i="7"/>
  <c r="P91" i="7"/>
  <c r="Q91" i="7"/>
  <c r="O92" i="7"/>
  <c r="P92" i="7"/>
  <c r="Q92" i="7"/>
  <c r="O93" i="7"/>
  <c r="P93" i="7"/>
  <c r="Q93" i="7"/>
  <c r="O94" i="7"/>
  <c r="P94" i="7"/>
  <c r="Q94" i="7"/>
  <c r="O95" i="7"/>
  <c r="P95" i="7"/>
  <c r="Q95" i="7"/>
  <c r="O96" i="7"/>
  <c r="P96" i="7"/>
  <c r="Q96" i="7"/>
  <c r="O97" i="7"/>
  <c r="P97" i="7"/>
  <c r="Q97" i="7"/>
  <c r="O98" i="7"/>
  <c r="P98" i="7"/>
  <c r="Q98" i="7"/>
  <c r="O99" i="7"/>
  <c r="P99" i="7"/>
  <c r="Q99" i="7"/>
  <c r="O100" i="7"/>
  <c r="P100" i="7"/>
  <c r="Q100" i="7"/>
  <c r="O101" i="7"/>
  <c r="P101" i="7"/>
  <c r="Q101" i="7"/>
  <c r="O102" i="7"/>
  <c r="P102" i="7"/>
  <c r="Q102" i="7"/>
  <c r="O103" i="7"/>
  <c r="P103" i="7"/>
  <c r="Q103" i="7"/>
  <c r="O104" i="7"/>
  <c r="P104" i="7"/>
  <c r="Q104" i="7"/>
  <c r="O105" i="7"/>
  <c r="P105" i="7"/>
  <c r="Q105" i="7"/>
  <c r="O106" i="7"/>
  <c r="P106" i="7"/>
  <c r="Q106" i="7"/>
  <c r="O107" i="7"/>
  <c r="P107" i="7"/>
  <c r="Q107" i="7"/>
  <c r="O108" i="7"/>
  <c r="P108" i="7"/>
  <c r="Q108" i="7"/>
  <c r="O109" i="7"/>
  <c r="P109" i="7"/>
  <c r="Q109" i="7"/>
  <c r="O110" i="7"/>
  <c r="P110" i="7"/>
  <c r="Q110" i="7"/>
  <c r="O111" i="7"/>
  <c r="P111" i="7"/>
  <c r="Q111" i="7"/>
  <c r="O112" i="7"/>
  <c r="P112" i="7"/>
  <c r="Q112" i="7"/>
  <c r="O113" i="7"/>
  <c r="P113" i="7"/>
  <c r="Q113" i="7"/>
  <c r="O114" i="7"/>
  <c r="P114" i="7"/>
  <c r="Q114" i="7"/>
  <c r="O115" i="7"/>
  <c r="P115" i="7"/>
  <c r="Q115" i="7"/>
  <c r="O116" i="7"/>
  <c r="P116" i="7"/>
  <c r="Q116" i="7"/>
  <c r="O117" i="7"/>
  <c r="P117" i="7"/>
  <c r="Q117" i="7"/>
  <c r="O118" i="7"/>
  <c r="P118" i="7"/>
  <c r="Q118" i="7"/>
  <c r="O119" i="7"/>
  <c r="P119" i="7"/>
  <c r="Q119" i="7"/>
  <c r="O120" i="7"/>
  <c r="P120" i="7"/>
  <c r="Q120" i="7"/>
  <c r="O121" i="7"/>
  <c r="P121" i="7"/>
  <c r="Q121" i="7"/>
  <c r="O122" i="7"/>
  <c r="P122" i="7"/>
  <c r="Q122" i="7"/>
  <c r="O123" i="7"/>
  <c r="P123" i="7"/>
  <c r="Q123" i="7"/>
  <c r="O124" i="7"/>
  <c r="P124" i="7"/>
  <c r="Q124" i="7"/>
  <c r="O125" i="7"/>
  <c r="P125" i="7"/>
  <c r="Q125" i="7"/>
  <c r="O126" i="7"/>
  <c r="P126" i="7"/>
  <c r="Q126" i="7"/>
  <c r="O127" i="7"/>
  <c r="P127" i="7"/>
  <c r="Q127" i="7"/>
  <c r="O128" i="7"/>
  <c r="P128" i="7"/>
  <c r="Q128" i="7"/>
  <c r="O129" i="7"/>
  <c r="P129" i="7"/>
  <c r="Q129" i="7"/>
  <c r="O130" i="7"/>
  <c r="P130" i="7"/>
  <c r="Q130" i="7"/>
  <c r="O131" i="7"/>
  <c r="P131" i="7"/>
  <c r="Q131" i="7"/>
  <c r="O132" i="7"/>
  <c r="P132" i="7"/>
  <c r="Q132" i="7"/>
  <c r="O133" i="7"/>
  <c r="P133" i="7"/>
  <c r="Q133" i="7"/>
  <c r="O134" i="7"/>
  <c r="P134" i="7"/>
  <c r="Q134" i="7"/>
  <c r="O135" i="7"/>
  <c r="P135" i="7"/>
  <c r="Q135" i="7"/>
  <c r="O136" i="7"/>
  <c r="P136" i="7"/>
  <c r="Q136" i="7"/>
  <c r="O137" i="7"/>
  <c r="P137" i="7"/>
  <c r="Q137" i="7"/>
  <c r="O138" i="7"/>
  <c r="P138" i="7"/>
  <c r="Q138" i="7"/>
  <c r="O139" i="7"/>
  <c r="P139" i="7"/>
  <c r="Q139" i="7"/>
  <c r="O140" i="7"/>
  <c r="P140" i="7"/>
  <c r="Q140" i="7"/>
  <c r="O141" i="7"/>
  <c r="P141" i="7"/>
  <c r="Q141" i="7"/>
  <c r="O142" i="7"/>
  <c r="P142" i="7"/>
  <c r="Q142" i="7"/>
  <c r="O143" i="7"/>
  <c r="P143" i="7"/>
  <c r="Q143" i="7"/>
  <c r="O144" i="7"/>
  <c r="P144" i="7"/>
  <c r="Q144" i="7"/>
  <c r="O145" i="7"/>
  <c r="P145" i="7"/>
  <c r="Q145" i="7"/>
  <c r="O146" i="7"/>
  <c r="P146" i="7"/>
  <c r="Q146" i="7"/>
  <c r="O147" i="7"/>
  <c r="P147" i="7"/>
  <c r="Q147" i="7"/>
  <c r="O148" i="7"/>
  <c r="P148" i="7"/>
  <c r="Q148" i="7"/>
  <c r="O149" i="7"/>
  <c r="P149" i="7"/>
  <c r="Q149" i="7"/>
  <c r="O150" i="7"/>
  <c r="P150" i="7"/>
  <c r="Q150" i="7"/>
  <c r="O151" i="7"/>
  <c r="P151" i="7"/>
  <c r="Q151" i="7"/>
  <c r="O152" i="7"/>
  <c r="P152" i="7"/>
  <c r="Q152" i="7"/>
  <c r="O153" i="7"/>
  <c r="P153" i="7"/>
  <c r="Q153" i="7"/>
  <c r="K47" i="9"/>
  <c r="K34" i="7"/>
  <c r="K46" i="9"/>
  <c r="K33" i="7"/>
  <c r="R32" i="7"/>
  <c r="K23" i="24"/>
  <c r="K31" i="22"/>
  <c r="K37" i="20"/>
  <c r="K29" i="18"/>
  <c r="K34" i="16"/>
  <c r="K32" i="14"/>
  <c r="K38" i="11"/>
  <c r="K45" i="9"/>
  <c r="K32" i="7"/>
  <c r="K19" i="24"/>
  <c r="K20" i="24"/>
  <c r="K21" i="24"/>
  <c r="K22" i="24"/>
  <c r="K27" i="22"/>
  <c r="K28" i="22"/>
  <c r="K29" i="22"/>
  <c r="K30" i="22"/>
  <c r="K33" i="20"/>
  <c r="K34" i="20"/>
  <c r="K35" i="20"/>
  <c r="K36" i="20"/>
  <c r="K27" i="18"/>
  <c r="K28" i="18"/>
  <c r="K32" i="16"/>
  <c r="K33" i="16"/>
  <c r="K30" i="14"/>
  <c r="K31" i="14"/>
  <c r="K36" i="11"/>
  <c r="K37" i="11"/>
  <c r="K43" i="9"/>
  <c r="K44" i="9"/>
  <c r="K31" i="7"/>
  <c r="X153" i="24"/>
  <c r="W153" i="24"/>
  <c r="V153" i="24"/>
  <c r="U153" i="24"/>
  <c r="T153" i="24"/>
  <c r="S153" i="24"/>
  <c r="N153" i="24"/>
  <c r="M153" i="24"/>
  <c r="L153" i="24"/>
  <c r="K153" i="24"/>
  <c r="X152" i="24"/>
  <c r="W152" i="24"/>
  <c r="V152" i="24"/>
  <c r="U152" i="24"/>
  <c r="T152" i="24"/>
  <c r="S152" i="24"/>
  <c r="N152" i="24"/>
  <c r="M152" i="24"/>
  <c r="L152" i="24"/>
  <c r="K152" i="24"/>
  <c r="X151" i="24"/>
  <c r="W151" i="24"/>
  <c r="V151" i="24"/>
  <c r="U151" i="24"/>
  <c r="T151" i="24"/>
  <c r="S151" i="24"/>
  <c r="N151" i="24"/>
  <c r="M151" i="24"/>
  <c r="L151" i="24"/>
  <c r="K151" i="24"/>
  <c r="X150" i="24"/>
  <c r="W150" i="24"/>
  <c r="V150" i="24"/>
  <c r="U150" i="24"/>
  <c r="T150" i="24"/>
  <c r="S150" i="24"/>
  <c r="N150" i="24"/>
  <c r="M150" i="24"/>
  <c r="L150" i="24"/>
  <c r="K150" i="24"/>
  <c r="X149" i="24"/>
  <c r="W149" i="24"/>
  <c r="V149" i="24"/>
  <c r="U149" i="24"/>
  <c r="T149" i="24"/>
  <c r="S149" i="24"/>
  <c r="N149" i="24"/>
  <c r="M149" i="24"/>
  <c r="L149" i="24"/>
  <c r="K149" i="24"/>
  <c r="X148" i="24"/>
  <c r="W148" i="24"/>
  <c r="V148" i="24"/>
  <c r="U148" i="24"/>
  <c r="T148" i="24"/>
  <c r="S148" i="24"/>
  <c r="N148" i="24"/>
  <c r="M148" i="24"/>
  <c r="L148" i="24"/>
  <c r="K148" i="24"/>
  <c r="X147" i="24"/>
  <c r="W147" i="24"/>
  <c r="V147" i="24"/>
  <c r="U147" i="24"/>
  <c r="T147" i="24"/>
  <c r="S147" i="24"/>
  <c r="N147" i="24"/>
  <c r="M147" i="24"/>
  <c r="L147" i="24"/>
  <c r="K147" i="24"/>
  <c r="X146" i="24"/>
  <c r="W146" i="24"/>
  <c r="V146" i="24"/>
  <c r="U146" i="24"/>
  <c r="T146" i="24"/>
  <c r="S146" i="24"/>
  <c r="N146" i="24"/>
  <c r="M146" i="24"/>
  <c r="L146" i="24"/>
  <c r="K146" i="24"/>
  <c r="X145" i="24"/>
  <c r="W145" i="24"/>
  <c r="V145" i="24"/>
  <c r="U145" i="24"/>
  <c r="T145" i="24"/>
  <c r="S145" i="24"/>
  <c r="N145" i="24"/>
  <c r="M145" i="24"/>
  <c r="L145" i="24"/>
  <c r="K145" i="24"/>
  <c r="X144" i="24"/>
  <c r="W144" i="24"/>
  <c r="V144" i="24"/>
  <c r="U144" i="24"/>
  <c r="T144" i="24"/>
  <c r="S144" i="24"/>
  <c r="N144" i="24"/>
  <c r="M144" i="24"/>
  <c r="L144" i="24"/>
  <c r="K144" i="24"/>
  <c r="X143" i="24"/>
  <c r="W143" i="24"/>
  <c r="V143" i="24"/>
  <c r="U143" i="24"/>
  <c r="T143" i="24"/>
  <c r="S143" i="24"/>
  <c r="N143" i="24"/>
  <c r="M143" i="24"/>
  <c r="L143" i="24"/>
  <c r="K143" i="24"/>
  <c r="X142" i="24"/>
  <c r="W142" i="24"/>
  <c r="V142" i="24"/>
  <c r="U142" i="24"/>
  <c r="T142" i="24"/>
  <c r="S142" i="24"/>
  <c r="N142" i="24"/>
  <c r="M142" i="24"/>
  <c r="L142" i="24"/>
  <c r="K142" i="24"/>
  <c r="X141" i="24"/>
  <c r="W141" i="24"/>
  <c r="V141" i="24"/>
  <c r="U141" i="24"/>
  <c r="T141" i="24"/>
  <c r="S141" i="24"/>
  <c r="N141" i="24"/>
  <c r="M141" i="24"/>
  <c r="L141" i="24"/>
  <c r="K141" i="24"/>
  <c r="X140" i="24"/>
  <c r="W140" i="24"/>
  <c r="V140" i="24"/>
  <c r="U140" i="24"/>
  <c r="T140" i="24"/>
  <c r="S140" i="24"/>
  <c r="N140" i="24"/>
  <c r="M140" i="24"/>
  <c r="L140" i="24"/>
  <c r="K140" i="24"/>
  <c r="X139" i="24"/>
  <c r="W139" i="24"/>
  <c r="V139" i="24"/>
  <c r="U139" i="24"/>
  <c r="T139" i="24"/>
  <c r="S139" i="24"/>
  <c r="N139" i="24"/>
  <c r="M139" i="24"/>
  <c r="L139" i="24"/>
  <c r="K139" i="24"/>
  <c r="X138" i="24"/>
  <c r="W138" i="24"/>
  <c r="V138" i="24"/>
  <c r="U138" i="24"/>
  <c r="T138" i="24"/>
  <c r="S138" i="24"/>
  <c r="N138" i="24"/>
  <c r="M138" i="24"/>
  <c r="L138" i="24"/>
  <c r="K138" i="24"/>
  <c r="X137" i="24"/>
  <c r="W137" i="24"/>
  <c r="V137" i="24"/>
  <c r="U137" i="24"/>
  <c r="T137" i="24"/>
  <c r="S137" i="24"/>
  <c r="N137" i="24"/>
  <c r="M137" i="24"/>
  <c r="L137" i="24"/>
  <c r="K137" i="24"/>
  <c r="X136" i="24"/>
  <c r="W136" i="24"/>
  <c r="V136" i="24"/>
  <c r="U136" i="24"/>
  <c r="T136" i="24"/>
  <c r="S136" i="24"/>
  <c r="N136" i="24"/>
  <c r="M136" i="24"/>
  <c r="L136" i="24"/>
  <c r="K136" i="24"/>
  <c r="X135" i="24"/>
  <c r="W135" i="24"/>
  <c r="V135" i="24"/>
  <c r="U135" i="24"/>
  <c r="T135" i="24"/>
  <c r="S135" i="24"/>
  <c r="N135" i="24"/>
  <c r="M135" i="24"/>
  <c r="L135" i="24"/>
  <c r="K135" i="24"/>
  <c r="X134" i="24"/>
  <c r="W134" i="24"/>
  <c r="V134" i="24"/>
  <c r="U134" i="24"/>
  <c r="T134" i="24"/>
  <c r="S134" i="24"/>
  <c r="N134" i="24"/>
  <c r="M134" i="24"/>
  <c r="L134" i="24"/>
  <c r="K134" i="24"/>
  <c r="X133" i="24"/>
  <c r="W133" i="24"/>
  <c r="V133" i="24"/>
  <c r="U133" i="24"/>
  <c r="T133" i="24"/>
  <c r="S133" i="24"/>
  <c r="N133" i="24"/>
  <c r="M133" i="24"/>
  <c r="L133" i="24"/>
  <c r="K133" i="24"/>
  <c r="X132" i="24"/>
  <c r="W132" i="24"/>
  <c r="V132" i="24"/>
  <c r="U132" i="24"/>
  <c r="T132" i="24"/>
  <c r="S132" i="24"/>
  <c r="N132" i="24"/>
  <c r="M132" i="24"/>
  <c r="L132" i="24"/>
  <c r="K132" i="24"/>
  <c r="X131" i="24"/>
  <c r="W131" i="24"/>
  <c r="V131" i="24"/>
  <c r="U131" i="24"/>
  <c r="T131" i="24"/>
  <c r="S131" i="24"/>
  <c r="N131" i="24"/>
  <c r="M131" i="24"/>
  <c r="L131" i="24"/>
  <c r="K131" i="24"/>
  <c r="X130" i="24"/>
  <c r="W130" i="24"/>
  <c r="V130" i="24"/>
  <c r="U130" i="24"/>
  <c r="T130" i="24"/>
  <c r="S130" i="24"/>
  <c r="N130" i="24"/>
  <c r="M130" i="24"/>
  <c r="L130" i="24"/>
  <c r="K130" i="24"/>
  <c r="X129" i="24"/>
  <c r="W129" i="24"/>
  <c r="V129" i="24"/>
  <c r="U129" i="24"/>
  <c r="T129" i="24"/>
  <c r="S129" i="24"/>
  <c r="N129" i="24"/>
  <c r="M129" i="24"/>
  <c r="L129" i="24"/>
  <c r="K129" i="24"/>
  <c r="X128" i="24"/>
  <c r="W128" i="24"/>
  <c r="V128" i="24"/>
  <c r="U128" i="24"/>
  <c r="T128" i="24"/>
  <c r="S128" i="24"/>
  <c r="N128" i="24"/>
  <c r="M128" i="24"/>
  <c r="L128" i="24"/>
  <c r="K128" i="24"/>
  <c r="X127" i="24"/>
  <c r="W127" i="24"/>
  <c r="V127" i="24"/>
  <c r="U127" i="24"/>
  <c r="T127" i="24"/>
  <c r="S127" i="24"/>
  <c r="N127" i="24"/>
  <c r="M127" i="24"/>
  <c r="L127" i="24"/>
  <c r="K127" i="24"/>
  <c r="X126" i="24"/>
  <c r="W126" i="24"/>
  <c r="V126" i="24"/>
  <c r="U126" i="24"/>
  <c r="T126" i="24"/>
  <c r="S126" i="24"/>
  <c r="N126" i="24"/>
  <c r="M126" i="24"/>
  <c r="L126" i="24"/>
  <c r="K126" i="24"/>
  <c r="X125" i="24"/>
  <c r="W125" i="24"/>
  <c r="V125" i="24"/>
  <c r="U125" i="24"/>
  <c r="T125" i="24"/>
  <c r="S125" i="24"/>
  <c r="N125" i="24"/>
  <c r="M125" i="24"/>
  <c r="L125" i="24"/>
  <c r="K125" i="24"/>
  <c r="X124" i="24"/>
  <c r="W124" i="24"/>
  <c r="V124" i="24"/>
  <c r="U124" i="24"/>
  <c r="T124" i="24"/>
  <c r="S124" i="24"/>
  <c r="N124" i="24"/>
  <c r="M124" i="24"/>
  <c r="L124" i="24"/>
  <c r="K124" i="24"/>
  <c r="X123" i="24"/>
  <c r="W123" i="24"/>
  <c r="V123" i="24"/>
  <c r="U123" i="24"/>
  <c r="T123" i="24"/>
  <c r="S123" i="24"/>
  <c r="N123" i="24"/>
  <c r="M123" i="24"/>
  <c r="L123" i="24"/>
  <c r="K123" i="24"/>
  <c r="X122" i="24"/>
  <c r="W122" i="24"/>
  <c r="V122" i="24"/>
  <c r="U122" i="24"/>
  <c r="T122" i="24"/>
  <c r="S122" i="24"/>
  <c r="N122" i="24"/>
  <c r="M122" i="24"/>
  <c r="L122" i="24"/>
  <c r="K122" i="24"/>
  <c r="X121" i="24"/>
  <c r="W121" i="24"/>
  <c r="V121" i="24"/>
  <c r="U121" i="24"/>
  <c r="T121" i="24"/>
  <c r="S121" i="24"/>
  <c r="N121" i="24"/>
  <c r="M121" i="24"/>
  <c r="L121" i="24"/>
  <c r="K121" i="24"/>
  <c r="X120" i="24"/>
  <c r="W120" i="24"/>
  <c r="V120" i="24"/>
  <c r="U120" i="24"/>
  <c r="T120" i="24"/>
  <c r="S120" i="24"/>
  <c r="N120" i="24"/>
  <c r="M120" i="24"/>
  <c r="L120" i="24"/>
  <c r="K120" i="24"/>
  <c r="X119" i="24"/>
  <c r="W119" i="24"/>
  <c r="V119" i="24"/>
  <c r="U119" i="24"/>
  <c r="T119" i="24"/>
  <c r="S119" i="24"/>
  <c r="N119" i="24"/>
  <c r="M119" i="24"/>
  <c r="L119" i="24"/>
  <c r="K119" i="24"/>
  <c r="X118" i="24"/>
  <c r="W118" i="24"/>
  <c r="V118" i="24"/>
  <c r="U118" i="24"/>
  <c r="T118" i="24"/>
  <c r="S118" i="24"/>
  <c r="N118" i="24"/>
  <c r="M118" i="24"/>
  <c r="L118" i="24"/>
  <c r="K118" i="24"/>
  <c r="X117" i="24"/>
  <c r="W117" i="24"/>
  <c r="V117" i="24"/>
  <c r="U117" i="24"/>
  <c r="T117" i="24"/>
  <c r="S117" i="24"/>
  <c r="N117" i="24"/>
  <c r="M117" i="24"/>
  <c r="L117" i="24"/>
  <c r="K117" i="24"/>
  <c r="X116" i="24"/>
  <c r="W116" i="24"/>
  <c r="V116" i="24"/>
  <c r="U116" i="24"/>
  <c r="T116" i="24"/>
  <c r="S116" i="24"/>
  <c r="N116" i="24"/>
  <c r="M116" i="24"/>
  <c r="L116" i="24"/>
  <c r="K116" i="24"/>
  <c r="X115" i="24"/>
  <c r="W115" i="24"/>
  <c r="V115" i="24"/>
  <c r="U115" i="24"/>
  <c r="T115" i="24"/>
  <c r="S115" i="24"/>
  <c r="N115" i="24"/>
  <c r="M115" i="24"/>
  <c r="L115" i="24"/>
  <c r="K115" i="24"/>
  <c r="X114" i="24"/>
  <c r="W114" i="24"/>
  <c r="V114" i="24"/>
  <c r="U114" i="24"/>
  <c r="T114" i="24"/>
  <c r="S114" i="24"/>
  <c r="N114" i="24"/>
  <c r="M114" i="24"/>
  <c r="L114" i="24"/>
  <c r="K114" i="24"/>
  <c r="X113" i="24"/>
  <c r="W113" i="24"/>
  <c r="V113" i="24"/>
  <c r="U113" i="24"/>
  <c r="T113" i="24"/>
  <c r="S113" i="24"/>
  <c r="N113" i="24"/>
  <c r="M113" i="24"/>
  <c r="L113" i="24"/>
  <c r="K113" i="24"/>
  <c r="X112" i="24"/>
  <c r="W112" i="24"/>
  <c r="V112" i="24"/>
  <c r="U112" i="24"/>
  <c r="T112" i="24"/>
  <c r="S112" i="24"/>
  <c r="N112" i="24"/>
  <c r="M112" i="24"/>
  <c r="L112" i="24"/>
  <c r="K112" i="24"/>
  <c r="X111" i="24"/>
  <c r="W111" i="24"/>
  <c r="V111" i="24"/>
  <c r="U111" i="24"/>
  <c r="T111" i="24"/>
  <c r="S111" i="24"/>
  <c r="N111" i="24"/>
  <c r="M111" i="24"/>
  <c r="L111" i="24"/>
  <c r="K111" i="24"/>
  <c r="X110" i="24"/>
  <c r="W110" i="24"/>
  <c r="V110" i="24"/>
  <c r="U110" i="24"/>
  <c r="T110" i="24"/>
  <c r="S110" i="24"/>
  <c r="N110" i="24"/>
  <c r="M110" i="24"/>
  <c r="L110" i="24"/>
  <c r="K110" i="24"/>
  <c r="X109" i="24"/>
  <c r="W109" i="24"/>
  <c r="V109" i="24"/>
  <c r="U109" i="24"/>
  <c r="T109" i="24"/>
  <c r="S109" i="24"/>
  <c r="N109" i="24"/>
  <c r="M109" i="24"/>
  <c r="L109" i="24"/>
  <c r="K109" i="24"/>
  <c r="X108" i="24"/>
  <c r="W108" i="24"/>
  <c r="V108" i="24"/>
  <c r="U108" i="24"/>
  <c r="T108" i="24"/>
  <c r="S108" i="24"/>
  <c r="N108" i="24"/>
  <c r="M108" i="24"/>
  <c r="L108" i="24"/>
  <c r="K108" i="24"/>
  <c r="X107" i="24"/>
  <c r="W107" i="24"/>
  <c r="V107" i="24"/>
  <c r="U107" i="24"/>
  <c r="T107" i="24"/>
  <c r="S107" i="24"/>
  <c r="N107" i="24"/>
  <c r="M107" i="24"/>
  <c r="L107" i="24"/>
  <c r="K107" i="24"/>
  <c r="X106" i="24"/>
  <c r="W106" i="24"/>
  <c r="V106" i="24"/>
  <c r="U106" i="24"/>
  <c r="T106" i="24"/>
  <c r="S106" i="24"/>
  <c r="N106" i="24"/>
  <c r="M106" i="24"/>
  <c r="L106" i="24"/>
  <c r="K106" i="24"/>
  <c r="X105" i="24"/>
  <c r="W105" i="24"/>
  <c r="V105" i="24"/>
  <c r="U105" i="24"/>
  <c r="T105" i="24"/>
  <c r="S105" i="24"/>
  <c r="N105" i="24"/>
  <c r="M105" i="24"/>
  <c r="L105" i="24"/>
  <c r="K105" i="24"/>
  <c r="X104" i="24"/>
  <c r="W104" i="24"/>
  <c r="V104" i="24"/>
  <c r="U104" i="24"/>
  <c r="T104" i="24"/>
  <c r="S104" i="24"/>
  <c r="N104" i="24"/>
  <c r="M104" i="24"/>
  <c r="L104" i="24"/>
  <c r="K104" i="24"/>
  <c r="X103" i="24"/>
  <c r="W103" i="24"/>
  <c r="V103" i="24"/>
  <c r="U103" i="24"/>
  <c r="T103" i="24"/>
  <c r="S103" i="24"/>
  <c r="N103" i="24"/>
  <c r="M103" i="24"/>
  <c r="L103" i="24"/>
  <c r="K103" i="24"/>
  <c r="X102" i="24"/>
  <c r="W102" i="24"/>
  <c r="V102" i="24"/>
  <c r="U102" i="24"/>
  <c r="T102" i="24"/>
  <c r="S102" i="24"/>
  <c r="N102" i="24"/>
  <c r="M102" i="24"/>
  <c r="L102" i="24"/>
  <c r="K102" i="24"/>
  <c r="X101" i="24"/>
  <c r="W101" i="24"/>
  <c r="V101" i="24"/>
  <c r="U101" i="24"/>
  <c r="T101" i="24"/>
  <c r="S101" i="24"/>
  <c r="N101" i="24"/>
  <c r="M101" i="24"/>
  <c r="L101" i="24"/>
  <c r="K101" i="24"/>
  <c r="X100" i="24"/>
  <c r="W100" i="24"/>
  <c r="V100" i="24"/>
  <c r="U100" i="24"/>
  <c r="T100" i="24"/>
  <c r="S100" i="24"/>
  <c r="N100" i="24"/>
  <c r="M100" i="24"/>
  <c r="L100" i="24"/>
  <c r="K100" i="24"/>
  <c r="X99" i="24"/>
  <c r="W99" i="24"/>
  <c r="V99" i="24"/>
  <c r="U99" i="24"/>
  <c r="T99" i="24"/>
  <c r="S99" i="24"/>
  <c r="N99" i="24"/>
  <c r="M99" i="24"/>
  <c r="L99" i="24"/>
  <c r="K99" i="24"/>
  <c r="X98" i="24"/>
  <c r="W98" i="24"/>
  <c r="V98" i="24"/>
  <c r="U98" i="24"/>
  <c r="T98" i="24"/>
  <c r="S98" i="24"/>
  <c r="N98" i="24"/>
  <c r="M98" i="24"/>
  <c r="L98" i="24"/>
  <c r="K98" i="24"/>
  <c r="X97" i="24"/>
  <c r="W97" i="24"/>
  <c r="V97" i="24"/>
  <c r="U97" i="24"/>
  <c r="T97" i="24"/>
  <c r="S97" i="24"/>
  <c r="N97" i="24"/>
  <c r="M97" i="24"/>
  <c r="L97" i="24"/>
  <c r="K97" i="24"/>
  <c r="X96" i="24"/>
  <c r="W96" i="24"/>
  <c r="V96" i="24"/>
  <c r="U96" i="24"/>
  <c r="T96" i="24"/>
  <c r="S96" i="24"/>
  <c r="N96" i="24"/>
  <c r="M96" i="24"/>
  <c r="L96" i="24"/>
  <c r="K96" i="24"/>
  <c r="X95" i="24"/>
  <c r="W95" i="24"/>
  <c r="V95" i="24"/>
  <c r="U95" i="24"/>
  <c r="T95" i="24"/>
  <c r="S95" i="24"/>
  <c r="N95" i="24"/>
  <c r="M95" i="24"/>
  <c r="L95" i="24"/>
  <c r="K95" i="24"/>
  <c r="X94" i="24"/>
  <c r="W94" i="24"/>
  <c r="V94" i="24"/>
  <c r="U94" i="24"/>
  <c r="T94" i="24"/>
  <c r="S94" i="24"/>
  <c r="N94" i="24"/>
  <c r="M94" i="24"/>
  <c r="L94" i="24"/>
  <c r="K94" i="24"/>
  <c r="X93" i="24"/>
  <c r="W93" i="24"/>
  <c r="V93" i="24"/>
  <c r="U93" i="24"/>
  <c r="T93" i="24"/>
  <c r="S93" i="24"/>
  <c r="N93" i="24"/>
  <c r="M93" i="24"/>
  <c r="L93" i="24"/>
  <c r="K93" i="24"/>
  <c r="X92" i="24"/>
  <c r="W92" i="24"/>
  <c r="V92" i="24"/>
  <c r="U92" i="24"/>
  <c r="T92" i="24"/>
  <c r="S92" i="24"/>
  <c r="N92" i="24"/>
  <c r="M92" i="24"/>
  <c r="L92" i="24"/>
  <c r="K92" i="24"/>
  <c r="X91" i="24"/>
  <c r="W91" i="24"/>
  <c r="V91" i="24"/>
  <c r="U91" i="24"/>
  <c r="T91" i="24"/>
  <c r="S91" i="24"/>
  <c r="N91" i="24"/>
  <c r="M91" i="24"/>
  <c r="L91" i="24"/>
  <c r="K91" i="24"/>
  <c r="X90" i="24"/>
  <c r="W90" i="24"/>
  <c r="V90" i="24"/>
  <c r="U90" i="24"/>
  <c r="T90" i="24"/>
  <c r="S90" i="24"/>
  <c r="N90" i="24"/>
  <c r="M90" i="24"/>
  <c r="L90" i="24"/>
  <c r="K90" i="24"/>
  <c r="X89" i="24"/>
  <c r="W89" i="24"/>
  <c r="V89" i="24"/>
  <c r="U89" i="24"/>
  <c r="T89" i="24"/>
  <c r="S89" i="24"/>
  <c r="N89" i="24"/>
  <c r="M89" i="24"/>
  <c r="L89" i="24"/>
  <c r="K89" i="24"/>
  <c r="X88" i="24"/>
  <c r="W88" i="24"/>
  <c r="V88" i="24"/>
  <c r="U88" i="24"/>
  <c r="T88" i="24"/>
  <c r="S88" i="24"/>
  <c r="N88" i="24"/>
  <c r="M88" i="24"/>
  <c r="L88" i="24"/>
  <c r="K88" i="24"/>
  <c r="X87" i="24"/>
  <c r="W87" i="24"/>
  <c r="V87" i="24"/>
  <c r="U87" i="24"/>
  <c r="T87" i="24"/>
  <c r="S87" i="24"/>
  <c r="N87" i="24"/>
  <c r="M87" i="24"/>
  <c r="L87" i="24"/>
  <c r="K87" i="24"/>
  <c r="X86" i="24"/>
  <c r="W86" i="24"/>
  <c r="V86" i="24"/>
  <c r="U86" i="24"/>
  <c r="T86" i="24"/>
  <c r="S86" i="24"/>
  <c r="N86" i="24"/>
  <c r="M86" i="24"/>
  <c r="L86" i="24"/>
  <c r="K86" i="24"/>
  <c r="X85" i="24"/>
  <c r="W85" i="24"/>
  <c r="V85" i="24"/>
  <c r="U85" i="24"/>
  <c r="T85" i="24"/>
  <c r="S85" i="24"/>
  <c r="N85" i="24"/>
  <c r="M85" i="24"/>
  <c r="L85" i="24"/>
  <c r="K85" i="24"/>
  <c r="X84" i="24"/>
  <c r="W84" i="24"/>
  <c r="V84" i="24"/>
  <c r="U84" i="24"/>
  <c r="T84" i="24"/>
  <c r="S84" i="24"/>
  <c r="N84" i="24"/>
  <c r="M84" i="24"/>
  <c r="L84" i="24"/>
  <c r="K84" i="24"/>
  <c r="X83" i="24"/>
  <c r="W83" i="24"/>
  <c r="V83" i="24"/>
  <c r="U83" i="24"/>
  <c r="T83" i="24"/>
  <c r="S83" i="24"/>
  <c r="N83" i="24"/>
  <c r="M83" i="24"/>
  <c r="L83" i="24"/>
  <c r="K83" i="24"/>
  <c r="X82" i="24"/>
  <c r="W82" i="24"/>
  <c r="V82" i="24"/>
  <c r="U82" i="24"/>
  <c r="T82" i="24"/>
  <c r="S82" i="24"/>
  <c r="N82" i="24"/>
  <c r="M82" i="24"/>
  <c r="L82" i="24"/>
  <c r="K82" i="24"/>
  <c r="X81" i="24"/>
  <c r="W81" i="24"/>
  <c r="V81" i="24"/>
  <c r="U81" i="24"/>
  <c r="T81" i="24"/>
  <c r="S81" i="24"/>
  <c r="N81" i="24"/>
  <c r="M81" i="24"/>
  <c r="L81" i="24"/>
  <c r="K81" i="24"/>
  <c r="X80" i="24"/>
  <c r="W80" i="24"/>
  <c r="V80" i="24"/>
  <c r="U80" i="24"/>
  <c r="T80" i="24"/>
  <c r="S80" i="24"/>
  <c r="N80" i="24"/>
  <c r="M80" i="24"/>
  <c r="L80" i="24"/>
  <c r="K80" i="24"/>
  <c r="X79" i="24"/>
  <c r="W79" i="24"/>
  <c r="V79" i="24"/>
  <c r="U79" i="24"/>
  <c r="T79" i="24"/>
  <c r="S79" i="24"/>
  <c r="N79" i="24"/>
  <c r="M79" i="24"/>
  <c r="L79" i="24"/>
  <c r="K79" i="24"/>
  <c r="X78" i="24"/>
  <c r="W78" i="24"/>
  <c r="V78" i="24"/>
  <c r="U78" i="24"/>
  <c r="T78" i="24"/>
  <c r="S78" i="24"/>
  <c r="N78" i="24"/>
  <c r="M78" i="24"/>
  <c r="L78" i="24"/>
  <c r="K78" i="24"/>
  <c r="X77" i="24"/>
  <c r="W77" i="24"/>
  <c r="V77" i="24"/>
  <c r="U77" i="24"/>
  <c r="T77" i="24"/>
  <c r="S77" i="24"/>
  <c r="N77" i="24"/>
  <c r="M77" i="24"/>
  <c r="L77" i="24"/>
  <c r="K77" i="24"/>
  <c r="X76" i="24"/>
  <c r="W76" i="24"/>
  <c r="V76" i="24"/>
  <c r="U76" i="24"/>
  <c r="T76" i="24"/>
  <c r="S76" i="24"/>
  <c r="N76" i="24"/>
  <c r="M76" i="24"/>
  <c r="L76" i="24"/>
  <c r="K76" i="24"/>
  <c r="X75" i="24"/>
  <c r="W75" i="24"/>
  <c r="V75" i="24"/>
  <c r="U75" i="24"/>
  <c r="T75" i="24"/>
  <c r="S75" i="24"/>
  <c r="N75" i="24"/>
  <c r="M75" i="24"/>
  <c r="L75" i="24"/>
  <c r="K75" i="24"/>
  <c r="X74" i="24"/>
  <c r="W74" i="24"/>
  <c r="V74" i="24"/>
  <c r="U74" i="24"/>
  <c r="T74" i="24"/>
  <c r="S74" i="24"/>
  <c r="N74" i="24"/>
  <c r="M74" i="24"/>
  <c r="L74" i="24"/>
  <c r="K74" i="24"/>
  <c r="X73" i="24"/>
  <c r="W73" i="24"/>
  <c r="V73" i="24"/>
  <c r="U73" i="24"/>
  <c r="T73" i="24"/>
  <c r="S73" i="24"/>
  <c r="N73" i="24"/>
  <c r="M73" i="24"/>
  <c r="L73" i="24"/>
  <c r="K73" i="24"/>
  <c r="X72" i="24"/>
  <c r="W72" i="24"/>
  <c r="V72" i="24"/>
  <c r="U72" i="24"/>
  <c r="T72" i="24"/>
  <c r="S72" i="24"/>
  <c r="N72" i="24"/>
  <c r="M72" i="24"/>
  <c r="L72" i="24"/>
  <c r="K72" i="24"/>
  <c r="X71" i="24"/>
  <c r="W71" i="24"/>
  <c r="V71" i="24"/>
  <c r="U71" i="24"/>
  <c r="T71" i="24"/>
  <c r="S71" i="24"/>
  <c r="N71" i="24"/>
  <c r="M71" i="24"/>
  <c r="L71" i="24"/>
  <c r="K71" i="24"/>
  <c r="X70" i="24"/>
  <c r="W70" i="24"/>
  <c r="V70" i="24"/>
  <c r="U70" i="24"/>
  <c r="T70" i="24"/>
  <c r="S70" i="24"/>
  <c r="N70" i="24"/>
  <c r="M70" i="24"/>
  <c r="L70" i="24"/>
  <c r="K70" i="24"/>
  <c r="X69" i="24"/>
  <c r="W69" i="24"/>
  <c r="V69" i="24"/>
  <c r="U69" i="24"/>
  <c r="T69" i="24"/>
  <c r="S69" i="24"/>
  <c r="N69" i="24"/>
  <c r="M69" i="24"/>
  <c r="L69" i="24"/>
  <c r="K69" i="24"/>
  <c r="X68" i="24"/>
  <c r="W68" i="24"/>
  <c r="V68" i="24"/>
  <c r="U68" i="24"/>
  <c r="T68" i="24"/>
  <c r="S68" i="24"/>
  <c r="N68" i="24"/>
  <c r="M68" i="24"/>
  <c r="L68" i="24"/>
  <c r="K68" i="24"/>
  <c r="X67" i="24"/>
  <c r="W67" i="24"/>
  <c r="V67" i="24"/>
  <c r="U67" i="24"/>
  <c r="T67" i="24"/>
  <c r="S67" i="24"/>
  <c r="N67" i="24"/>
  <c r="M67" i="24"/>
  <c r="L67" i="24"/>
  <c r="K67" i="24"/>
  <c r="X66" i="24"/>
  <c r="W66" i="24"/>
  <c r="V66" i="24"/>
  <c r="U66" i="24"/>
  <c r="T66" i="24"/>
  <c r="S66" i="24"/>
  <c r="N66" i="24"/>
  <c r="M66" i="24"/>
  <c r="L66" i="24"/>
  <c r="K66" i="24"/>
  <c r="X65" i="24"/>
  <c r="W65" i="24"/>
  <c r="V65" i="24"/>
  <c r="U65" i="24"/>
  <c r="T65" i="24"/>
  <c r="S65" i="24"/>
  <c r="N65" i="24"/>
  <c r="M65" i="24"/>
  <c r="L65" i="24"/>
  <c r="K65" i="24"/>
  <c r="X64" i="24"/>
  <c r="W64" i="24"/>
  <c r="V64" i="24"/>
  <c r="U64" i="24"/>
  <c r="T64" i="24"/>
  <c r="S64" i="24"/>
  <c r="N64" i="24"/>
  <c r="M64" i="24"/>
  <c r="L64" i="24"/>
  <c r="K64" i="24"/>
  <c r="X63" i="24"/>
  <c r="W63" i="24"/>
  <c r="V63" i="24"/>
  <c r="U63" i="24"/>
  <c r="T63" i="24"/>
  <c r="S63" i="24"/>
  <c r="N63" i="24"/>
  <c r="M63" i="24"/>
  <c r="L63" i="24"/>
  <c r="K63" i="24"/>
  <c r="X62" i="24"/>
  <c r="W62" i="24"/>
  <c r="V62" i="24"/>
  <c r="U62" i="24"/>
  <c r="T62" i="24"/>
  <c r="S62" i="24"/>
  <c r="N62" i="24"/>
  <c r="M62" i="24"/>
  <c r="L62" i="24"/>
  <c r="K62" i="24"/>
  <c r="X61" i="24"/>
  <c r="W61" i="24"/>
  <c r="V61" i="24"/>
  <c r="U61" i="24"/>
  <c r="T61" i="24"/>
  <c r="S61" i="24"/>
  <c r="N61" i="24"/>
  <c r="M61" i="24"/>
  <c r="L61" i="24"/>
  <c r="K61" i="24"/>
  <c r="X60" i="24"/>
  <c r="W60" i="24"/>
  <c r="V60" i="24"/>
  <c r="U60" i="24"/>
  <c r="T60" i="24"/>
  <c r="S60" i="24"/>
  <c r="N60" i="24"/>
  <c r="M60" i="24"/>
  <c r="L60" i="24"/>
  <c r="K60" i="24"/>
  <c r="X59" i="24"/>
  <c r="W59" i="24"/>
  <c r="V59" i="24"/>
  <c r="U59" i="24"/>
  <c r="T59" i="24"/>
  <c r="S59" i="24"/>
  <c r="N59" i="24"/>
  <c r="M59" i="24"/>
  <c r="L59" i="24"/>
  <c r="K59" i="24"/>
  <c r="X58" i="24"/>
  <c r="W58" i="24"/>
  <c r="V58" i="24"/>
  <c r="U58" i="24"/>
  <c r="T58" i="24"/>
  <c r="S58" i="24"/>
  <c r="N58" i="24"/>
  <c r="M58" i="24"/>
  <c r="L58" i="24"/>
  <c r="K58" i="24"/>
  <c r="X57" i="24"/>
  <c r="W57" i="24"/>
  <c r="V57" i="24"/>
  <c r="U57" i="24"/>
  <c r="T57" i="24"/>
  <c r="S57" i="24"/>
  <c r="N57" i="24"/>
  <c r="M57" i="24"/>
  <c r="L57" i="24"/>
  <c r="K57" i="24"/>
  <c r="X56" i="24"/>
  <c r="W56" i="24"/>
  <c r="V56" i="24"/>
  <c r="U56" i="24"/>
  <c r="T56" i="24"/>
  <c r="S56" i="24"/>
  <c r="N56" i="24"/>
  <c r="M56" i="24"/>
  <c r="L56" i="24"/>
  <c r="K56" i="24"/>
  <c r="X55" i="24"/>
  <c r="W55" i="24"/>
  <c r="V55" i="24"/>
  <c r="U55" i="24"/>
  <c r="T55" i="24"/>
  <c r="S55" i="24"/>
  <c r="N55" i="24"/>
  <c r="M55" i="24"/>
  <c r="L55" i="24"/>
  <c r="X54" i="24"/>
  <c r="W54" i="24"/>
  <c r="V54" i="24"/>
  <c r="X53" i="24"/>
  <c r="W53" i="24"/>
  <c r="V53" i="24"/>
  <c r="U53" i="24"/>
  <c r="T53" i="24"/>
  <c r="S53" i="24"/>
  <c r="N53" i="24"/>
  <c r="M53" i="24"/>
  <c r="L53" i="24"/>
  <c r="X52" i="24"/>
  <c r="W52" i="24"/>
  <c r="V52" i="24"/>
  <c r="U52" i="24"/>
  <c r="T52" i="24"/>
  <c r="S52" i="24"/>
  <c r="N52" i="24"/>
  <c r="M52" i="24"/>
  <c r="L52" i="24"/>
  <c r="K52" i="24"/>
  <c r="X51" i="24"/>
  <c r="W51" i="24"/>
  <c r="V51" i="24"/>
  <c r="U51" i="24"/>
  <c r="T51" i="24"/>
  <c r="S51" i="24"/>
  <c r="N51" i="24"/>
  <c r="M51" i="24"/>
  <c r="L51" i="24"/>
  <c r="X50" i="24"/>
  <c r="W50" i="24"/>
  <c r="V50" i="24"/>
  <c r="U50" i="24"/>
  <c r="T50" i="24"/>
  <c r="S50" i="24"/>
  <c r="N50" i="24"/>
  <c r="M50" i="24"/>
  <c r="L50" i="24"/>
  <c r="X49" i="24"/>
  <c r="W49" i="24"/>
  <c r="V49" i="24"/>
  <c r="U49" i="24"/>
  <c r="T49" i="24"/>
  <c r="S49" i="24"/>
  <c r="N49" i="24"/>
  <c r="M49" i="24"/>
  <c r="L49" i="24"/>
  <c r="X48" i="24"/>
  <c r="W48" i="24"/>
  <c r="V48" i="24"/>
  <c r="U48" i="24"/>
  <c r="T48" i="24"/>
  <c r="S48" i="24"/>
  <c r="N48" i="24"/>
  <c r="M48" i="24"/>
  <c r="L48" i="24"/>
  <c r="X47" i="24"/>
  <c r="W47" i="24"/>
  <c r="V47" i="24"/>
  <c r="U47" i="24"/>
  <c r="T47" i="24"/>
  <c r="S47" i="24"/>
  <c r="N47" i="24"/>
  <c r="M47" i="24"/>
  <c r="L47" i="24"/>
  <c r="X46" i="24"/>
  <c r="W46" i="24"/>
  <c r="V46" i="24"/>
  <c r="U46" i="24"/>
  <c r="T46" i="24"/>
  <c r="S46" i="24"/>
  <c r="N46" i="24"/>
  <c r="M46" i="24"/>
  <c r="L46" i="24"/>
  <c r="X45" i="24"/>
  <c r="W45" i="24"/>
  <c r="V45" i="24"/>
  <c r="U45" i="24"/>
  <c r="T45" i="24"/>
  <c r="S45" i="24"/>
  <c r="N45" i="24"/>
  <c r="M45" i="24"/>
  <c r="L45" i="24"/>
  <c r="X44" i="24"/>
  <c r="W44" i="24"/>
  <c r="V44" i="24"/>
  <c r="U44" i="24"/>
  <c r="T44" i="24"/>
  <c r="S44" i="24"/>
  <c r="N44" i="24"/>
  <c r="M44" i="24"/>
  <c r="L44" i="24"/>
  <c r="X43" i="24"/>
  <c r="W43" i="24"/>
  <c r="V43" i="24"/>
  <c r="U43" i="24"/>
  <c r="T43" i="24"/>
  <c r="S43" i="24"/>
  <c r="N43" i="24"/>
  <c r="M43" i="24"/>
  <c r="L43" i="24"/>
  <c r="X42" i="24"/>
  <c r="W42" i="24"/>
  <c r="V42" i="24"/>
  <c r="U42" i="24"/>
  <c r="T42" i="24"/>
  <c r="S42" i="24"/>
  <c r="N42" i="24"/>
  <c r="M42" i="24"/>
  <c r="L42" i="24"/>
  <c r="U41" i="24"/>
  <c r="T41" i="24"/>
  <c r="S41" i="24"/>
  <c r="N41" i="24"/>
  <c r="Q42" i="24" s="1"/>
  <c r="M41" i="24"/>
  <c r="P54" i="24" s="1"/>
  <c r="L41" i="24"/>
  <c r="O41" i="24" s="1"/>
  <c r="X40" i="24"/>
  <c r="W40" i="24"/>
  <c r="V40" i="24"/>
  <c r="U40" i="24"/>
  <c r="T40" i="24"/>
  <c r="S40" i="24"/>
  <c r="Q40" i="24"/>
  <c r="P40" i="24"/>
  <c r="O40" i="24"/>
  <c r="N40" i="24"/>
  <c r="M40" i="24"/>
  <c r="L40" i="24"/>
  <c r="X39" i="24"/>
  <c r="W39" i="24"/>
  <c r="V39" i="24"/>
  <c r="U39" i="24"/>
  <c r="T39" i="24"/>
  <c r="S39" i="24"/>
  <c r="Q39" i="24"/>
  <c r="P39" i="24"/>
  <c r="O39" i="24"/>
  <c r="N39" i="24"/>
  <c r="M39" i="24"/>
  <c r="L39" i="24"/>
  <c r="X38" i="24"/>
  <c r="W38" i="24"/>
  <c r="V38" i="24"/>
  <c r="U38" i="24"/>
  <c r="T38" i="24"/>
  <c r="S38" i="24"/>
  <c r="Q38" i="24"/>
  <c r="P38" i="24"/>
  <c r="O38" i="24"/>
  <c r="N38" i="24"/>
  <c r="M38" i="24"/>
  <c r="L38" i="24"/>
  <c r="X37" i="24"/>
  <c r="W37" i="24"/>
  <c r="V37" i="24"/>
  <c r="U37" i="24"/>
  <c r="T37" i="24"/>
  <c r="S37" i="24"/>
  <c r="Q37" i="24"/>
  <c r="P37" i="24"/>
  <c r="O37" i="24"/>
  <c r="N37" i="24"/>
  <c r="M37" i="24"/>
  <c r="L37" i="24"/>
  <c r="X36" i="24"/>
  <c r="W36" i="24"/>
  <c r="V36" i="24"/>
  <c r="U36" i="24"/>
  <c r="T36" i="24"/>
  <c r="S36" i="24"/>
  <c r="Q36" i="24"/>
  <c r="P36" i="24"/>
  <c r="O36" i="24"/>
  <c r="N36" i="24"/>
  <c r="M36" i="24"/>
  <c r="L36" i="24"/>
  <c r="X35" i="24"/>
  <c r="W35" i="24"/>
  <c r="V35" i="24"/>
  <c r="U35" i="24"/>
  <c r="T35" i="24"/>
  <c r="S35" i="24"/>
  <c r="Q35" i="24"/>
  <c r="P35" i="24"/>
  <c r="O35" i="24"/>
  <c r="N35" i="24"/>
  <c r="M35" i="24"/>
  <c r="L35" i="24"/>
  <c r="X34" i="24"/>
  <c r="W34" i="24"/>
  <c r="V34" i="24"/>
  <c r="U34" i="24"/>
  <c r="T34" i="24"/>
  <c r="S34" i="24"/>
  <c r="Q34" i="24"/>
  <c r="P34" i="24"/>
  <c r="O34" i="24"/>
  <c r="N34" i="24"/>
  <c r="M34" i="24"/>
  <c r="L34" i="24"/>
  <c r="X33" i="24"/>
  <c r="W33" i="24"/>
  <c r="V33" i="24"/>
  <c r="U33" i="24"/>
  <c r="T33" i="24"/>
  <c r="S33" i="24"/>
  <c r="Q33" i="24"/>
  <c r="P33" i="24"/>
  <c r="O33" i="24"/>
  <c r="N33" i="24"/>
  <c r="M33" i="24"/>
  <c r="L33" i="24"/>
  <c r="X32" i="24"/>
  <c r="W32" i="24"/>
  <c r="V32" i="24"/>
  <c r="U32" i="24"/>
  <c r="T32" i="24"/>
  <c r="S32" i="24"/>
  <c r="Q32" i="24"/>
  <c r="P32" i="24"/>
  <c r="O32" i="24"/>
  <c r="N32" i="24"/>
  <c r="M32" i="24"/>
  <c r="L32" i="24"/>
  <c r="X31" i="24"/>
  <c r="W31" i="24"/>
  <c r="V31" i="24"/>
  <c r="U31" i="24"/>
  <c r="T31" i="24"/>
  <c r="S31" i="24"/>
  <c r="Q31" i="24"/>
  <c r="P31" i="24"/>
  <c r="O31" i="24"/>
  <c r="N31" i="24"/>
  <c r="M31" i="24"/>
  <c r="L31" i="24"/>
  <c r="X30" i="24"/>
  <c r="W30" i="24"/>
  <c r="V30" i="24"/>
  <c r="U30" i="24"/>
  <c r="T30" i="24"/>
  <c r="S30" i="24"/>
  <c r="Q30" i="24"/>
  <c r="P30" i="24"/>
  <c r="O30" i="24"/>
  <c r="N30" i="24"/>
  <c r="M30" i="24"/>
  <c r="L30" i="24"/>
  <c r="X29" i="24"/>
  <c r="W29" i="24"/>
  <c r="V29" i="24"/>
  <c r="U29" i="24"/>
  <c r="T29" i="24"/>
  <c r="S29" i="24"/>
  <c r="Q29" i="24"/>
  <c r="P29" i="24"/>
  <c r="O29" i="24"/>
  <c r="N29" i="24"/>
  <c r="M29" i="24"/>
  <c r="L29" i="24"/>
  <c r="X28" i="24"/>
  <c r="W28" i="24"/>
  <c r="V28" i="24"/>
  <c r="U28" i="24"/>
  <c r="T28" i="24"/>
  <c r="S28" i="24"/>
  <c r="Q28" i="24"/>
  <c r="P28" i="24"/>
  <c r="O28" i="24"/>
  <c r="N28" i="24"/>
  <c r="M28" i="24"/>
  <c r="L28" i="24"/>
  <c r="X27" i="24"/>
  <c r="W27" i="24"/>
  <c r="V27" i="24"/>
  <c r="U27" i="24"/>
  <c r="T27" i="24"/>
  <c r="S27" i="24"/>
  <c r="Q27" i="24"/>
  <c r="P27" i="24"/>
  <c r="O27" i="24"/>
  <c r="N27" i="24"/>
  <c r="M27" i="24"/>
  <c r="L27" i="24"/>
  <c r="X26" i="24"/>
  <c r="W26" i="24"/>
  <c r="V26" i="24"/>
  <c r="U26" i="24"/>
  <c r="T26" i="24"/>
  <c r="S26" i="24"/>
  <c r="Q26" i="24"/>
  <c r="P26" i="24"/>
  <c r="O26" i="24"/>
  <c r="N26" i="24"/>
  <c r="M26" i="24"/>
  <c r="L26" i="24"/>
  <c r="X25" i="24"/>
  <c r="W25" i="24"/>
  <c r="V25" i="24"/>
  <c r="U25" i="24"/>
  <c r="T25" i="24"/>
  <c r="S25" i="24"/>
  <c r="Q25" i="24"/>
  <c r="P25" i="24"/>
  <c r="O25" i="24"/>
  <c r="N25" i="24"/>
  <c r="M25" i="24"/>
  <c r="L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R16" i="24"/>
  <c r="N16" i="24"/>
  <c r="M16" i="24"/>
  <c r="L16" i="24"/>
  <c r="K16" i="24"/>
  <c r="W7" i="24"/>
  <c r="Y2" i="24"/>
  <c r="X153" i="22"/>
  <c r="W153" i="22"/>
  <c r="V153" i="22"/>
  <c r="U153" i="22"/>
  <c r="T153" i="22"/>
  <c r="S153" i="22"/>
  <c r="R153" i="22"/>
  <c r="N153" i="22"/>
  <c r="M153" i="22"/>
  <c r="L153" i="22"/>
  <c r="K153" i="22"/>
  <c r="X152" i="22"/>
  <c r="W152" i="22"/>
  <c r="V152" i="22"/>
  <c r="U152" i="22"/>
  <c r="T152" i="22"/>
  <c r="S152" i="22"/>
  <c r="R152" i="22"/>
  <c r="N152" i="22"/>
  <c r="M152" i="22"/>
  <c r="L152" i="22"/>
  <c r="K152" i="22"/>
  <c r="X151" i="22"/>
  <c r="W151" i="22"/>
  <c r="V151" i="22"/>
  <c r="U151" i="22"/>
  <c r="T151" i="22"/>
  <c r="S151" i="22"/>
  <c r="R151" i="22"/>
  <c r="N151" i="22"/>
  <c r="M151" i="22"/>
  <c r="L151" i="22"/>
  <c r="K151" i="22"/>
  <c r="X150" i="22"/>
  <c r="W150" i="22"/>
  <c r="V150" i="22"/>
  <c r="U150" i="22"/>
  <c r="T150" i="22"/>
  <c r="S150" i="22"/>
  <c r="R150" i="22"/>
  <c r="N150" i="22"/>
  <c r="M150" i="22"/>
  <c r="L150" i="22"/>
  <c r="K150" i="22"/>
  <c r="X149" i="22"/>
  <c r="W149" i="22"/>
  <c r="V149" i="22"/>
  <c r="U149" i="22"/>
  <c r="T149" i="22"/>
  <c r="S149" i="22"/>
  <c r="R149" i="22"/>
  <c r="N149" i="22"/>
  <c r="M149" i="22"/>
  <c r="L149" i="22"/>
  <c r="K149" i="22"/>
  <c r="X148" i="22"/>
  <c r="W148" i="22"/>
  <c r="V148" i="22"/>
  <c r="U148" i="22"/>
  <c r="T148" i="22"/>
  <c r="S148" i="22"/>
  <c r="R148" i="22"/>
  <c r="N148" i="22"/>
  <c r="M148" i="22"/>
  <c r="L148" i="22"/>
  <c r="K148" i="22"/>
  <c r="X147" i="22"/>
  <c r="W147" i="22"/>
  <c r="V147" i="22"/>
  <c r="U147" i="22"/>
  <c r="T147" i="22"/>
  <c r="S147" i="22"/>
  <c r="R147" i="22"/>
  <c r="N147" i="22"/>
  <c r="M147" i="22"/>
  <c r="L147" i="22"/>
  <c r="K147" i="22"/>
  <c r="X146" i="22"/>
  <c r="W146" i="22"/>
  <c r="V146" i="22"/>
  <c r="U146" i="22"/>
  <c r="T146" i="22"/>
  <c r="S146" i="22"/>
  <c r="R146" i="22"/>
  <c r="N146" i="22"/>
  <c r="M146" i="22"/>
  <c r="L146" i="22"/>
  <c r="K146" i="22"/>
  <c r="X145" i="22"/>
  <c r="W145" i="22"/>
  <c r="V145" i="22"/>
  <c r="U145" i="22"/>
  <c r="T145" i="22"/>
  <c r="S145" i="22"/>
  <c r="R145" i="22"/>
  <c r="N145" i="22"/>
  <c r="M145" i="22"/>
  <c r="L145" i="22"/>
  <c r="K145" i="22"/>
  <c r="X144" i="22"/>
  <c r="W144" i="22"/>
  <c r="V144" i="22"/>
  <c r="U144" i="22"/>
  <c r="T144" i="22"/>
  <c r="S144" i="22"/>
  <c r="R144" i="22"/>
  <c r="N144" i="22"/>
  <c r="M144" i="22"/>
  <c r="L144" i="22"/>
  <c r="K144" i="22"/>
  <c r="X143" i="22"/>
  <c r="W143" i="22"/>
  <c r="V143" i="22"/>
  <c r="U143" i="22"/>
  <c r="T143" i="22"/>
  <c r="S143" i="22"/>
  <c r="R143" i="22"/>
  <c r="N143" i="22"/>
  <c r="M143" i="22"/>
  <c r="L143" i="22"/>
  <c r="K143" i="22"/>
  <c r="X142" i="22"/>
  <c r="W142" i="22"/>
  <c r="V142" i="22"/>
  <c r="U142" i="22"/>
  <c r="T142" i="22"/>
  <c r="S142" i="22"/>
  <c r="R142" i="22"/>
  <c r="N142" i="22"/>
  <c r="M142" i="22"/>
  <c r="L142" i="22"/>
  <c r="K142" i="22"/>
  <c r="X141" i="22"/>
  <c r="W141" i="22"/>
  <c r="V141" i="22"/>
  <c r="U141" i="22"/>
  <c r="T141" i="22"/>
  <c r="S141" i="22"/>
  <c r="R141" i="22"/>
  <c r="N141" i="22"/>
  <c r="M141" i="22"/>
  <c r="L141" i="22"/>
  <c r="K141" i="22"/>
  <c r="X140" i="22"/>
  <c r="W140" i="22"/>
  <c r="V140" i="22"/>
  <c r="U140" i="22"/>
  <c r="T140" i="22"/>
  <c r="S140" i="22"/>
  <c r="R140" i="22"/>
  <c r="N140" i="22"/>
  <c r="M140" i="22"/>
  <c r="L140" i="22"/>
  <c r="K140" i="22"/>
  <c r="X139" i="22"/>
  <c r="W139" i="22"/>
  <c r="V139" i="22"/>
  <c r="U139" i="22"/>
  <c r="T139" i="22"/>
  <c r="S139" i="22"/>
  <c r="R139" i="22"/>
  <c r="N139" i="22"/>
  <c r="M139" i="22"/>
  <c r="L139" i="22"/>
  <c r="K139" i="22"/>
  <c r="X138" i="22"/>
  <c r="W138" i="22"/>
  <c r="V138" i="22"/>
  <c r="U138" i="22"/>
  <c r="T138" i="22"/>
  <c r="S138" i="22"/>
  <c r="R138" i="22"/>
  <c r="N138" i="22"/>
  <c r="M138" i="22"/>
  <c r="L138" i="22"/>
  <c r="K138" i="22"/>
  <c r="X137" i="22"/>
  <c r="W137" i="22"/>
  <c r="V137" i="22"/>
  <c r="U137" i="22"/>
  <c r="T137" i="22"/>
  <c r="S137" i="22"/>
  <c r="R137" i="22"/>
  <c r="N137" i="22"/>
  <c r="M137" i="22"/>
  <c r="L137" i="22"/>
  <c r="K137" i="22"/>
  <c r="X136" i="22"/>
  <c r="W136" i="22"/>
  <c r="V136" i="22"/>
  <c r="U136" i="22"/>
  <c r="T136" i="22"/>
  <c r="S136" i="22"/>
  <c r="R136" i="22"/>
  <c r="N136" i="22"/>
  <c r="M136" i="22"/>
  <c r="L136" i="22"/>
  <c r="K136" i="22"/>
  <c r="X135" i="22"/>
  <c r="W135" i="22"/>
  <c r="V135" i="22"/>
  <c r="U135" i="22"/>
  <c r="T135" i="22"/>
  <c r="S135" i="22"/>
  <c r="R135" i="22"/>
  <c r="N135" i="22"/>
  <c r="M135" i="22"/>
  <c r="L135" i="22"/>
  <c r="K135" i="22"/>
  <c r="X134" i="22"/>
  <c r="W134" i="22"/>
  <c r="V134" i="22"/>
  <c r="U134" i="22"/>
  <c r="T134" i="22"/>
  <c r="S134" i="22"/>
  <c r="R134" i="22"/>
  <c r="N134" i="22"/>
  <c r="M134" i="22"/>
  <c r="L134" i="22"/>
  <c r="K134" i="22"/>
  <c r="X133" i="22"/>
  <c r="W133" i="22"/>
  <c r="V133" i="22"/>
  <c r="U133" i="22"/>
  <c r="T133" i="22"/>
  <c r="S133" i="22"/>
  <c r="R133" i="22"/>
  <c r="N133" i="22"/>
  <c r="M133" i="22"/>
  <c r="L133" i="22"/>
  <c r="K133" i="22"/>
  <c r="X132" i="22"/>
  <c r="W132" i="22"/>
  <c r="V132" i="22"/>
  <c r="U132" i="22"/>
  <c r="T132" i="22"/>
  <c r="S132" i="22"/>
  <c r="R132" i="22"/>
  <c r="N132" i="22"/>
  <c r="M132" i="22"/>
  <c r="L132" i="22"/>
  <c r="K132" i="22"/>
  <c r="X131" i="22"/>
  <c r="W131" i="22"/>
  <c r="V131" i="22"/>
  <c r="U131" i="22"/>
  <c r="T131" i="22"/>
  <c r="S131" i="22"/>
  <c r="R131" i="22"/>
  <c r="N131" i="22"/>
  <c r="M131" i="22"/>
  <c r="L131" i="22"/>
  <c r="K131" i="22"/>
  <c r="X130" i="22"/>
  <c r="W130" i="22"/>
  <c r="V130" i="22"/>
  <c r="U130" i="22"/>
  <c r="T130" i="22"/>
  <c r="S130" i="22"/>
  <c r="R130" i="22"/>
  <c r="N130" i="22"/>
  <c r="M130" i="22"/>
  <c r="L130" i="22"/>
  <c r="K130" i="22"/>
  <c r="X129" i="22"/>
  <c r="W129" i="22"/>
  <c r="V129" i="22"/>
  <c r="U129" i="22"/>
  <c r="T129" i="22"/>
  <c r="S129" i="22"/>
  <c r="R129" i="22"/>
  <c r="N129" i="22"/>
  <c r="M129" i="22"/>
  <c r="L129" i="22"/>
  <c r="K129" i="22"/>
  <c r="X128" i="22"/>
  <c r="W128" i="22"/>
  <c r="V128" i="22"/>
  <c r="U128" i="22"/>
  <c r="T128" i="22"/>
  <c r="S128" i="22"/>
  <c r="R128" i="22"/>
  <c r="N128" i="22"/>
  <c r="M128" i="22"/>
  <c r="L128" i="22"/>
  <c r="K128" i="22"/>
  <c r="X127" i="22"/>
  <c r="W127" i="22"/>
  <c r="V127" i="22"/>
  <c r="U127" i="22"/>
  <c r="T127" i="22"/>
  <c r="S127" i="22"/>
  <c r="R127" i="22"/>
  <c r="N127" i="22"/>
  <c r="M127" i="22"/>
  <c r="L127" i="22"/>
  <c r="K127" i="22"/>
  <c r="X126" i="22"/>
  <c r="W126" i="22"/>
  <c r="V126" i="22"/>
  <c r="U126" i="22"/>
  <c r="T126" i="22"/>
  <c r="S126" i="22"/>
  <c r="R126" i="22"/>
  <c r="N126" i="22"/>
  <c r="M126" i="22"/>
  <c r="L126" i="22"/>
  <c r="K126" i="22"/>
  <c r="X125" i="22"/>
  <c r="W125" i="22"/>
  <c r="V125" i="22"/>
  <c r="U125" i="22"/>
  <c r="T125" i="22"/>
  <c r="S125" i="22"/>
  <c r="R125" i="22"/>
  <c r="N125" i="22"/>
  <c r="M125" i="22"/>
  <c r="L125" i="22"/>
  <c r="K125" i="22"/>
  <c r="X124" i="22"/>
  <c r="W124" i="22"/>
  <c r="V124" i="22"/>
  <c r="U124" i="22"/>
  <c r="T124" i="22"/>
  <c r="S124" i="22"/>
  <c r="R124" i="22"/>
  <c r="N124" i="22"/>
  <c r="M124" i="22"/>
  <c r="L124" i="22"/>
  <c r="K124" i="22"/>
  <c r="X123" i="22"/>
  <c r="W123" i="22"/>
  <c r="V123" i="22"/>
  <c r="U123" i="22"/>
  <c r="T123" i="22"/>
  <c r="S123" i="22"/>
  <c r="R123" i="22"/>
  <c r="N123" i="22"/>
  <c r="M123" i="22"/>
  <c r="L123" i="22"/>
  <c r="K123" i="22"/>
  <c r="X122" i="22"/>
  <c r="W122" i="22"/>
  <c r="V122" i="22"/>
  <c r="U122" i="22"/>
  <c r="T122" i="22"/>
  <c r="S122" i="22"/>
  <c r="R122" i="22"/>
  <c r="N122" i="22"/>
  <c r="M122" i="22"/>
  <c r="L122" i="22"/>
  <c r="K122" i="22"/>
  <c r="X121" i="22"/>
  <c r="W121" i="22"/>
  <c r="V121" i="22"/>
  <c r="U121" i="22"/>
  <c r="T121" i="22"/>
  <c r="S121" i="22"/>
  <c r="R121" i="22"/>
  <c r="N121" i="22"/>
  <c r="M121" i="22"/>
  <c r="L121" i="22"/>
  <c r="K121" i="22"/>
  <c r="X120" i="22"/>
  <c r="W120" i="22"/>
  <c r="V120" i="22"/>
  <c r="U120" i="22"/>
  <c r="T120" i="22"/>
  <c r="S120" i="22"/>
  <c r="R120" i="22"/>
  <c r="N120" i="22"/>
  <c r="M120" i="22"/>
  <c r="L120" i="22"/>
  <c r="K120" i="22"/>
  <c r="X119" i="22"/>
  <c r="W119" i="22"/>
  <c r="V119" i="22"/>
  <c r="U119" i="22"/>
  <c r="T119" i="22"/>
  <c r="S119" i="22"/>
  <c r="R119" i="22"/>
  <c r="N119" i="22"/>
  <c r="M119" i="22"/>
  <c r="L119" i="22"/>
  <c r="K119" i="22"/>
  <c r="X118" i="22"/>
  <c r="W118" i="22"/>
  <c r="V118" i="22"/>
  <c r="U118" i="22"/>
  <c r="T118" i="22"/>
  <c r="S118" i="22"/>
  <c r="R118" i="22"/>
  <c r="N118" i="22"/>
  <c r="M118" i="22"/>
  <c r="L118" i="22"/>
  <c r="K118" i="22"/>
  <c r="X117" i="22"/>
  <c r="W117" i="22"/>
  <c r="V117" i="22"/>
  <c r="U117" i="22"/>
  <c r="T117" i="22"/>
  <c r="S117" i="22"/>
  <c r="R117" i="22"/>
  <c r="N117" i="22"/>
  <c r="M117" i="22"/>
  <c r="L117" i="22"/>
  <c r="K117" i="22"/>
  <c r="X116" i="22"/>
  <c r="W116" i="22"/>
  <c r="V116" i="22"/>
  <c r="U116" i="22"/>
  <c r="T116" i="22"/>
  <c r="S116" i="22"/>
  <c r="R116" i="22"/>
  <c r="N116" i="22"/>
  <c r="M116" i="22"/>
  <c r="L116" i="22"/>
  <c r="K116" i="22"/>
  <c r="X115" i="22"/>
  <c r="W115" i="22"/>
  <c r="V115" i="22"/>
  <c r="U115" i="22"/>
  <c r="T115" i="22"/>
  <c r="S115" i="22"/>
  <c r="R115" i="22"/>
  <c r="N115" i="22"/>
  <c r="M115" i="22"/>
  <c r="L115" i="22"/>
  <c r="K115" i="22"/>
  <c r="X114" i="22"/>
  <c r="W114" i="22"/>
  <c r="V114" i="22"/>
  <c r="U114" i="22"/>
  <c r="T114" i="22"/>
  <c r="S114" i="22"/>
  <c r="R114" i="22"/>
  <c r="N114" i="22"/>
  <c r="M114" i="22"/>
  <c r="L114" i="22"/>
  <c r="K114" i="22"/>
  <c r="X113" i="22"/>
  <c r="W113" i="22"/>
  <c r="V113" i="22"/>
  <c r="U113" i="22"/>
  <c r="T113" i="22"/>
  <c r="S113" i="22"/>
  <c r="R113" i="22"/>
  <c r="N113" i="22"/>
  <c r="M113" i="22"/>
  <c r="L113" i="22"/>
  <c r="K113" i="22"/>
  <c r="X112" i="22"/>
  <c r="W112" i="22"/>
  <c r="V112" i="22"/>
  <c r="U112" i="22"/>
  <c r="T112" i="22"/>
  <c r="S112" i="22"/>
  <c r="R112" i="22"/>
  <c r="N112" i="22"/>
  <c r="M112" i="22"/>
  <c r="L112" i="22"/>
  <c r="K112" i="22"/>
  <c r="X111" i="22"/>
  <c r="W111" i="22"/>
  <c r="V111" i="22"/>
  <c r="U111" i="22"/>
  <c r="T111" i="22"/>
  <c r="S111" i="22"/>
  <c r="R111" i="22"/>
  <c r="N111" i="22"/>
  <c r="M111" i="22"/>
  <c r="L111" i="22"/>
  <c r="K111" i="22"/>
  <c r="X110" i="22"/>
  <c r="W110" i="22"/>
  <c r="V110" i="22"/>
  <c r="U110" i="22"/>
  <c r="T110" i="22"/>
  <c r="S110" i="22"/>
  <c r="R110" i="22"/>
  <c r="N110" i="22"/>
  <c r="M110" i="22"/>
  <c r="L110" i="22"/>
  <c r="K110" i="22"/>
  <c r="X109" i="22"/>
  <c r="W109" i="22"/>
  <c r="V109" i="22"/>
  <c r="U109" i="22"/>
  <c r="T109" i="22"/>
  <c r="S109" i="22"/>
  <c r="R109" i="22"/>
  <c r="N109" i="22"/>
  <c r="M109" i="22"/>
  <c r="L109" i="22"/>
  <c r="K109" i="22"/>
  <c r="X108" i="22"/>
  <c r="W108" i="22"/>
  <c r="V108" i="22"/>
  <c r="U108" i="22"/>
  <c r="T108" i="22"/>
  <c r="S108" i="22"/>
  <c r="R108" i="22"/>
  <c r="N108" i="22"/>
  <c r="M108" i="22"/>
  <c r="L108" i="22"/>
  <c r="K108" i="22"/>
  <c r="X107" i="22"/>
  <c r="W107" i="22"/>
  <c r="V107" i="22"/>
  <c r="U107" i="22"/>
  <c r="T107" i="22"/>
  <c r="S107" i="22"/>
  <c r="R107" i="22"/>
  <c r="N107" i="22"/>
  <c r="M107" i="22"/>
  <c r="L107" i="22"/>
  <c r="K107" i="22"/>
  <c r="X106" i="22"/>
  <c r="W106" i="22"/>
  <c r="V106" i="22"/>
  <c r="U106" i="22"/>
  <c r="T106" i="22"/>
  <c r="S106" i="22"/>
  <c r="R106" i="22"/>
  <c r="N106" i="22"/>
  <c r="M106" i="22"/>
  <c r="L106" i="22"/>
  <c r="K106" i="22"/>
  <c r="X105" i="22"/>
  <c r="W105" i="22"/>
  <c r="V105" i="22"/>
  <c r="U105" i="22"/>
  <c r="T105" i="22"/>
  <c r="S105" i="22"/>
  <c r="R105" i="22"/>
  <c r="N105" i="22"/>
  <c r="M105" i="22"/>
  <c r="L105" i="22"/>
  <c r="K105" i="22"/>
  <c r="X104" i="22"/>
  <c r="W104" i="22"/>
  <c r="V104" i="22"/>
  <c r="U104" i="22"/>
  <c r="T104" i="22"/>
  <c r="S104" i="22"/>
  <c r="R104" i="22"/>
  <c r="N104" i="22"/>
  <c r="M104" i="22"/>
  <c r="L104" i="22"/>
  <c r="K104" i="22"/>
  <c r="X103" i="22"/>
  <c r="W103" i="22"/>
  <c r="V103" i="22"/>
  <c r="U103" i="22"/>
  <c r="T103" i="22"/>
  <c r="S103" i="22"/>
  <c r="R103" i="22"/>
  <c r="N103" i="22"/>
  <c r="M103" i="22"/>
  <c r="L103" i="22"/>
  <c r="K103" i="22"/>
  <c r="X102" i="22"/>
  <c r="W102" i="22"/>
  <c r="V102" i="22"/>
  <c r="U102" i="22"/>
  <c r="T102" i="22"/>
  <c r="S102" i="22"/>
  <c r="R102" i="22"/>
  <c r="N102" i="22"/>
  <c r="M102" i="22"/>
  <c r="L102" i="22"/>
  <c r="K102" i="22"/>
  <c r="X101" i="22"/>
  <c r="W101" i="22"/>
  <c r="V101" i="22"/>
  <c r="U101" i="22"/>
  <c r="T101" i="22"/>
  <c r="S101" i="22"/>
  <c r="R101" i="22"/>
  <c r="N101" i="22"/>
  <c r="M101" i="22"/>
  <c r="L101" i="22"/>
  <c r="K101" i="22"/>
  <c r="X100" i="22"/>
  <c r="W100" i="22"/>
  <c r="V100" i="22"/>
  <c r="U100" i="22"/>
  <c r="T100" i="22"/>
  <c r="S100" i="22"/>
  <c r="R100" i="22"/>
  <c r="N100" i="22"/>
  <c r="M100" i="22"/>
  <c r="L100" i="22"/>
  <c r="K100" i="22"/>
  <c r="X99" i="22"/>
  <c r="W99" i="22"/>
  <c r="V99" i="22"/>
  <c r="U99" i="22"/>
  <c r="T99" i="22"/>
  <c r="S99" i="22"/>
  <c r="R99" i="22"/>
  <c r="N99" i="22"/>
  <c r="M99" i="22"/>
  <c r="L99" i="22"/>
  <c r="K99" i="22"/>
  <c r="X98" i="22"/>
  <c r="W98" i="22"/>
  <c r="V98" i="22"/>
  <c r="U98" i="22"/>
  <c r="T98" i="22"/>
  <c r="S98" i="22"/>
  <c r="R98" i="22"/>
  <c r="N98" i="22"/>
  <c r="M98" i="22"/>
  <c r="L98" i="22"/>
  <c r="K98" i="22"/>
  <c r="X97" i="22"/>
  <c r="W97" i="22"/>
  <c r="V97" i="22"/>
  <c r="U97" i="22"/>
  <c r="T97" i="22"/>
  <c r="S97" i="22"/>
  <c r="R97" i="22"/>
  <c r="N97" i="22"/>
  <c r="M97" i="22"/>
  <c r="L97" i="22"/>
  <c r="K97" i="22"/>
  <c r="X96" i="22"/>
  <c r="W96" i="22"/>
  <c r="V96" i="22"/>
  <c r="U96" i="22"/>
  <c r="T96" i="22"/>
  <c r="S96" i="22"/>
  <c r="R96" i="22"/>
  <c r="N96" i="22"/>
  <c r="M96" i="22"/>
  <c r="L96" i="22"/>
  <c r="K96" i="22"/>
  <c r="X95" i="22"/>
  <c r="W95" i="22"/>
  <c r="V95" i="22"/>
  <c r="U95" i="22"/>
  <c r="T95" i="22"/>
  <c r="S95" i="22"/>
  <c r="R95" i="22"/>
  <c r="N95" i="22"/>
  <c r="M95" i="22"/>
  <c r="L95" i="22"/>
  <c r="K95" i="22"/>
  <c r="X94" i="22"/>
  <c r="W94" i="22"/>
  <c r="V94" i="22"/>
  <c r="U94" i="22"/>
  <c r="T94" i="22"/>
  <c r="S94" i="22"/>
  <c r="R94" i="22"/>
  <c r="N94" i="22"/>
  <c r="M94" i="22"/>
  <c r="L94" i="22"/>
  <c r="K94" i="22"/>
  <c r="X93" i="22"/>
  <c r="W93" i="22"/>
  <c r="V93" i="22"/>
  <c r="U93" i="22"/>
  <c r="T93" i="22"/>
  <c r="S93" i="22"/>
  <c r="R93" i="22"/>
  <c r="N93" i="22"/>
  <c r="M93" i="22"/>
  <c r="L93" i="22"/>
  <c r="K93" i="22"/>
  <c r="X92" i="22"/>
  <c r="W92" i="22"/>
  <c r="V92" i="22"/>
  <c r="U92" i="22"/>
  <c r="T92" i="22"/>
  <c r="S92" i="22"/>
  <c r="R92" i="22"/>
  <c r="N92" i="22"/>
  <c r="M92" i="22"/>
  <c r="L92" i="22"/>
  <c r="K92" i="22"/>
  <c r="X91" i="22"/>
  <c r="W91" i="22"/>
  <c r="V91" i="22"/>
  <c r="U91" i="22"/>
  <c r="T91" i="22"/>
  <c r="S91" i="22"/>
  <c r="R91" i="22"/>
  <c r="N91" i="22"/>
  <c r="M91" i="22"/>
  <c r="L91" i="22"/>
  <c r="K91" i="22"/>
  <c r="X90" i="22"/>
  <c r="W90" i="22"/>
  <c r="V90" i="22"/>
  <c r="U90" i="22"/>
  <c r="T90" i="22"/>
  <c r="S90" i="22"/>
  <c r="R90" i="22"/>
  <c r="N90" i="22"/>
  <c r="M90" i="22"/>
  <c r="L90" i="22"/>
  <c r="K90" i="22"/>
  <c r="X89" i="22"/>
  <c r="W89" i="22"/>
  <c r="V89" i="22"/>
  <c r="U89" i="22"/>
  <c r="T89" i="22"/>
  <c r="S89" i="22"/>
  <c r="R89" i="22"/>
  <c r="N89" i="22"/>
  <c r="M89" i="22"/>
  <c r="L89" i="22"/>
  <c r="K89" i="22"/>
  <c r="X88" i="22"/>
  <c r="W88" i="22"/>
  <c r="V88" i="22"/>
  <c r="U88" i="22"/>
  <c r="T88" i="22"/>
  <c r="S88" i="22"/>
  <c r="R88" i="22"/>
  <c r="N88" i="22"/>
  <c r="M88" i="22"/>
  <c r="L88" i="22"/>
  <c r="K88" i="22"/>
  <c r="X87" i="22"/>
  <c r="W87" i="22"/>
  <c r="V87" i="22"/>
  <c r="U87" i="22"/>
  <c r="T87" i="22"/>
  <c r="S87" i="22"/>
  <c r="R87" i="22"/>
  <c r="N87" i="22"/>
  <c r="M87" i="22"/>
  <c r="L87" i="22"/>
  <c r="K87" i="22"/>
  <c r="X86" i="22"/>
  <c r="W86" i="22"/>
  <c r="V86" i="22"/>
  <c r="U86" i="22"/>
  <c r="T86" i="22"/>
  <c r="S86" i="22"/>
  <c r="R86" i="22"/>
  <c r="N86" i="22"/>
  <c r="M86" i="22"/>
  <c r="L86" i="22"/>
  <c r="K86" i="22"/>
  <c r="X85" i="22"/>
  <c r="W85" i="22"/>
  <c r="V85" i="22"/>
  <c r="U85" i="22"/>
  <c r="T85" i="22"/>
  <c r="S85" i="22"/>
  <c r="R85" i="22"/>
  <c r="N85" i="22"/>
  <c r="M85" i="22"/>
  <c r="L85" i="22"/>
  <c r="K85" i="22"/>
  <c r="X84" i="22"/>
  <c r="W84" i="22"/>
  <c r="V84" i="22"/>
  <c r="U84" i="22"/>
  <c r="T84" i="22"/>
  <c r="S84" i="22"/>
  <c r="R84" i="22"/>
  <c r="N84" i="22"/>
  <c r="M84" i="22"/>
  <c r="L84" i="22"/>
  <c r="K84" i="22"/>
  <c r="X83" i="22"/>
  <c r="W83" i="22"/>
  <c r="V83" i="22"/>
  <c r="U83" i="22"/>
  <c r="T83" i="22"/>
  <c r="S83" i="22"/>
  <c r="R83" i="22"/>
  <c r="N83" i="22"/>
  <c r="M83" i="22"/>
  <c r="L83" i="22"/>
  <c r="K83" i="22"/>
  <c r="X82" i="22"/>
  <c r="W82" i="22"/>
  <c r="V82" i="22"/>
  <c r="U82" i="22"/>
  <c r="T82" i="22"/>
  <c r="S82" i="22"/>
  <c r="R82" i="22"/>
  <c r="N82" i="22"/>
  <c r="M82" i="22"/>
  <c r="L82" i="22"/>
  <c r="K82" i="22"/>
  <c r="X81" i="22"/>
  <c r="W81" i="22"/>
  <c r="V81" i="22"/>
  <c r="U81" i="22"/>
  <c r="T81" i="22"/>
  <c r="S81" i="22"/>
  <c r="R81" i="22"/>
  <c r="N81" i="22"/>
  <c r="M81" i="22"/>
  <c r="L81" i="22"/>
  <c r="K81" i="22"/>
  <c r="X80" i="22"/>
  <c r="W80" i="22"/>
  <c r="V80" i="22"/>
  <c r="U80" i="22"/>
  <c r="T80" i="22"/>
  <c r="S80" i="22"/>
  <c r="R80" i="22"/>
  <c r="N80" i="22"/>
  <c r="M80" i="22"/>
  <c r="L80" i="22"/>
  <c r="K80" i="22"/>
  <c r="X79" i="22"/>
  <c r="W79" i="22"/>
  <c r="V79" i="22"/>
  <c r="U79" i="22"/>
  <c r="T79" i="22"/>
  <c r="S79" i="22"/>
  <c r="R79" i="22"/>
  <c r="N79" i="22"/>
  <c r="M79" i="22"/>
  <c r="L79" i="22"/>
  <c r="K79" i="22"/>
  <c r="X78" i="22"/>
  <c r="W78" i="22"/>
  <c r="V78" i="22"/>
  <c r="U78" i="22"/>
  <c r="T78" i="22"/>
  <c r="S78" i="22"/>
  <c r="R78" i="22"/>
  <c r="N78" i="22"/>
  <c r="M78" i="22"/>
  <c r="L78" i="22"/>
  <c r="K78" i="22"/>
  <c r="X77" i="22"/>
  <c r="W77" i="22"/>
  <c r="V77" i="22"/>
  <c r="U77" i="22"/>
  <c r="T77" i="22"/>
  <c r="S77" i="22"/>
  <c r="R77" i="22"/>
  <c r="N77" i="22"/>
  <c r="M77" i="22"/>
  <c r="L77" i="22"/>
  <c r="K77" i="22"/>
  <c r="X76" i="22"/>
  <c r="W76" i="22"/>
  <c r="V76" i="22"/>
  <c r="U76" i="22"/>
  <c r="T76" i="22"/>
  <c r="S76" i="22"/>
  <c r="R76" i="22"/>
  <c r="N76" i="22"/>
  <c r="M76" i="22"/>
  <c r="L76" i="22"/>
  <c r="K76" i="22"/>
  <c r="X75" i="22"/>
  <c r="W75" i="22"/>
  <c r="V75" i="22"/>
  <c r="U75" i="22"/>
  <c r="T75" i="22"/>
  <c r="S75" i="22"/>
  <c r="R75" i="22"/>
  <c r="N75" i="22"/>
  <c r="M75" i="22"/>
  <c r="L75" i="22"/>
  <c r="K75" i="22"/>
  <c r="X74" i="22"/>
  <c r="W74" i="22"/>
  <c r="V74" i="22"/>
  <c r="U74" i="22"/>
  <c r="T74" i="22"/>
  <c r="S74" i="22"/>
  <c r="R74" i="22"/>
  <c r="N74" i="22"/>
  <c r="M74" i="22"/>
  <c r="L74" i="22"/>
  <c r="K74" i="22"/>
  <c r="X73" i="22"/>
  <c r="W73" i="22"/>
  <c r="V73" i="22"/>
  <c r="U73" i="22"/>
  <c r="T73" i="22"/>
  <c r="S73" i="22"/>
  <c r="R73" i="22"/>
  <c r="N73" i="22"/>
  <c r="M73" i="22"/>
  <c r="L73" i="22"/>
  <c r="K73" i="22"/>
  <c r="X72" i="22"/>
  <c r="W72" i="22"/>
  <c r="V72" i="22"/>
  <c r="U72" i="22"/>
  <c r="T72" i="22"/>
  <c r="S72" i="22"/>
  <c r="R72" i="22"/>
  <c r="N72" i="22"/>
  <c r="M72" i="22"/>
  <c r="L72" i="22"/>
  <c r="K72" i="22"/>
  <c r="X71" i="22"/>
  <c r="W71" i="22"/>
  <c r="V71" i="22"/>
  <c r="U71" i="22"/>
  <c r="T71" i="22"/>
  <c r="S71" i="22"/>
  <c r="R71" i="22"/>
  <c r="N71" i="22"/>
  <c r="M71" i="22"/>
  <c r="L71" i="22"/>
  <c r="K71" i="22"/>
  <c r="X70" i="22"/>
  <c r="W70" i="22"/>
  <c r="V70" i="22"/>
  <c r="U70" i="22"/>
  <c r="T70" i="22"/>
  <c r="S70" i="22"/>
  <c r="R70" i="22"/>
  <c r="N70" i="22"/>
  <c r="M70" i="22"/>
  <c r="L70" i="22"/>
  <c r="K70" i="22"/>
  <c r="X69" i="22"/>
  <c r="W69" i="22"/>
  <c r="V69" i="22"/>
  <c r="U69" i="22"/>
  <c r="T69" i="22"/>
  <c r="S69" i="22"/>
  <c r="R69" i="22"/>
  <c r="N69" i="22"/>
  <c r="M69" i="22"/>
  <c r="L69" i="22"/>
  <c r="K69" i="22"/>
  <c r="X68" i="22"/>
  <c r="W68" i="22"/>
  <c r="V68" i="22"/>
  <c r="U68" i="22"/>
  <c r="T68" i="22"/>
  <c r="S68" i="22"/>
  <c r="R68" i="22"/>
  <c r="N68" i="22"/>
  <c r="M68" i="22"/>
  <c r="L68" i="22"/>
  <c r="K68" i="22"/>
  <c r="X67" i="22"/>
  <c r="W67" i="22"/>
  <c r="V67" i="22"/>
  <c r="U67" i="22"/>
  <c r="T67" i="22"/>
  <c r="S67" i="22"/>
  <c r="R67" i="22"/>
  <c r="N67" i="22"/>
  <c r="M67" i="22"/>
  <c r="L67" i="22"/>
  <c r="K67" i="22"/>
  <c r="X66" i="22"/>
  <c r="W66" i="22"/>
  <c r="V66" i="22"/>
  <c r="U66" i="22"/>
  <c r="T66" i="22"/>
  <c r="S66" i="22"/>
  <c r="R66" i="22"/>
  <c r="N66" i="22"/>
  <c r="M66" i="22"/>
  <c r="L66" i="22"/>
  <c r="K66" i="22"/>
  <c r="X65" i="22"/>
  <c r="W65" i="22"/>
  <c r="V65" i="22"/>
  <c r="U65" i="22"/>
  <c r="T65" i="22"/>
  <c r="S65" i="22"/>
  <c r="R65" i="22"/>
  <c r="N65" i="22"/>
  <c r="M65" i="22"/>
  <c r="L65" i="22"/>
  <c r="K65" i="22"/>
  <c r="X64" i="22"/>
  <c r="W64" i="22"/>
  <c r="V64" i="22"/>
  <c r="U64" i="22"/>
  <c r="T64" i="22"/>
  <c r="S64" i="22"/>
  <c r="R64" i="22"/>
  <c r="N64" i="22"/>
  <c r="M64" i="22"/>
  <c r="L64" i="22"/>
  <c r="K64" i="22"/>
  <c r="X63" i="22"/>
  <c r="W63" i="22"/>
  <c r="V63" i="22"/>
  <c r="U63" i="22"/>
  <c r="T63" i="22"/>
  <c r="S63" i="22"/>
  <c r="R63" i="22"/>
  <c r="N63" i="22"/>
  <c r="M63" i="22"/>
  <c r="L63" i="22"/>
  <c r="K63" i="22"/>
  <c r="X62" i="22"/>
  <c r="W62" i="22"/>
  <c r="V62" i="22"/>
  <c r="U62" i="22"/>
  <c r="T62" i="22"/>
  <c r="S62" i="22"/>
  <c r="R62" i="22"/>
  <c r="N62" i="22"/>
  <c r="M62" i="22"/>
  <c r="L62" i="22"/>
  <c r="K62" i="22"/>
  <c r="X61" i="22"/>
  <c r="W61" i="22"/>
  <c r="V61" i="22"/>
  <c r="U61" i="22"/>
  <c r="T61" i="22"/>
  <c r="S61" i="22"/>
  <c r="R61" i="22"/>
  <c r="N61" i="22"/>
  <c r="M61" i="22"/>
  <c r="L61" i="22"/>
  <c r="K61" i="22"/>
  <c r="X60" i="22"/>
  <c r="W60" i="22"/>
  <c r="V60" i="22"/>
  <c r="U60" i="22"/>
  <c r="T60" i="22"/>
  <c r="S60" i="22"/>
  <c r="R60" i="22"/>
  <c r="N60" i="22"/>
  <c r="M60" i="22"/>
  <c r="L60" i="22"/>
  <c r="K60" i="22"/>
  <c r="X59" i="22"/>
  <c r="W59" i="22"/>
  <c r="V59" i="22"/>
  <c r="U59" i="22"/>
  <c r="T59" i="22"/>
  <c r="S59" i="22"/>
  <c r="R59" i="22"/>
  <c r="N59" i="22"/>
  <c r="M59" i="22"/>
  <c r="L59" i="22"/>
  <c r="X58" i="22"/>
  <c r="W58" i="22"/>
  <c r="V58" i="22"/>
  <c r="U58" i="22"/>
  <c r="T58" i="22"/>
  <c r="S58" i="22"/>
  <c r="R58" i="22"/>
  <c r="N58" i="22"/>
  <c r="M58" i="22"/>
  <c r="L58" i="22"/>
  <c r="X57" i="22"/>
  <c r="W57" i="22"/>
  <c r="V57" i="22"/>
  <c r="U57" i="22"/>
  <c r="T57" i="22"/>
  <c r="S57" i="22"/>
  <c r="R57" i="22"/>
  <c r="N57" i="22"/>
  <c r="M57" i="22"/>
  <c r="L57" i="22"/>
  <c r="X56" i="22"/>
  <c r="W56" i="22"/>
  <c r="V56" i="22"/>
  <c r="U56" i="22"/>
  <c r="T56" i="22"/>
  <c r="S56" i="22"/>
  <c r="R56" i="22"/>
  <c r="N56" i="22"/>
  <c r="M56" i="22"/>
  <c r="L56" i="22"/>
  <c r="K56" i="22"/>
  <c r="X55" i="22"/>
  <c r="W55" i="22"/>
  <c r="V55" i="22"/>
  <c r="U55" i="22"/>
  <c r="T55" i="22"/>
  <c r="S55" i="22"/>
  <c r="R55" i="22"/>
  <c r="N55" i="22"/>
  <c r="M55" i="22"/>
  <c r="L55" i="22"/>
  <c r="X54" i="22"/>
  <c r="W54" i="22"/>
  <c r="V54" i="22"/>
  <c r="U54" i="22"/>
  <c r="T54" i="22"/>
  <c r="S54" i="22"/>
  <c r="R54" i="22"/>
  <c r="N54" i="22"/>
  <c r="M54" i="22"/>
  <c r="L54" i="22"/>
  <c r="X53" i="22"/>
  <c r="W53" i="22"/>
  <c r="V53" i="22"/>
  <c r="U53" i="22"/>
  <c r="T53" i="22"/>
  <c r="S53" i="22"/>
  <c r="R53" i="22"/>
  <c r="N53" i="22"/>
  <c r="M53" i="22"/>
  <c r="L53" i="22"/>
  <c r="X52" i="22"/>
  <c r="W52" i="22"/>
  <c r="V52" i="22"/>
  <c r="U52" i="22"/>
  <c r="T52" i="22"/>
  <c r="S52" i="22"/>
  <c r="R52" i="22"/>
  <c r="N52" i="22"/>
  <c r="M52" i="22"/>
  <c r="L52" i="22"/>
  <c r="X51" i="22"/>
  <c r="W51" i="22"/>
  <c r="V51" i="22"/>
  <c r="U51" i="22"/>
  <c r="T51" i="22"/>
  <c r="S51" i="22"/>
  <c r="R51" i="22"/>
  <c r="N51" i="22"/>
  <c r="M51" i="22"/>
  <c r="L51" i="22"/>
  <c r="X50" i="22"/>
  <c r="W50" i="22"/>
  <c r="V50" i="22"/>
  <c r="U50" i="22"/>
  <c r="T50" i="22"/>
  <c r="S50" i="22"/>
  <c r="R50" i="22"/>
  <c r="N50" i="22"/>
  <c r="M50" i="22"/>
  <c r="L50" i="22"/>
  <c r="X49" i="22"/>
  <c r="W49" i="22"/>
  <c r="V49" i="22"/>
  <c r="U49" i="22"/>
  <c r="T49" i="22"/>
  <c r="S49" i="22"/>
  <c r="R49" i="22"/>
  <c r="N49" i="22"/>
  <c r="M49" i="22"/>
  <c r="L49" i="22"/>
  <c r="X48" i="22"/>
  <c r="W48" i="22"/>
  <c r="V48" i="22"/>
  <c r="U48" i="22"/>
  <c r="T48" i="22"/>
  <c r="S48" i="22"/>
  <c r="R48" i="22"/>
  <c r="N48" i="22"/>
  <c r="M48" i="22"/>
  <c r="L48" i="22"/>
  <c r="X47" i="22"/>
  <c r="W47" i="22"/>
  <c r="V47" i="22"/>
  <c r="U47" i="22"/>
  <c r="T47" i="22"/>
  <c r="S47" i="22"/>
  <c r="R47" i="22"/>
  <c r="N47" i="22"/>
  <c r="M47" i="22"/>
  <c r="L47" i="22"/>
  <c r="X46" i="22"/>
  <c r="W46" i="22"/>
  <c r="V46" i="22"/>
  <c r="U46" i="22"/>
  <c r="T46" i="22"/>
  <c r="S46" i="22"/>
  <c r="R46" i="22"/>
  <c r="N46" i="22"/>
  <c r="M46" i="22"/>
  <c r="L46" i="22"/>
  <c r="X45" i="22"/>
  <c r="W45" i="22"/>
  <c r="V45" i="22"/>
  <c r="U45" i="22"/>
  <c r="T45" i="22"/>
  <c r="S45" i="22"/>
  <c r="R45" i="22"/>
  <c r="N45" i="22"/>
  <c r="M45" i="22"/>
  <c r="L45" i="22"/>
  <c r="X44" i="22"/>
  <c r="W44" i="22"/>
  <c r="V44" i="22"/>
  <c r="U44" i="22"/>
  <c r="T44" i="22"/>
  <c r="S44" i="22"/>
  <c r="R44" i="22"/>
  <c r="N44" i="22"/>
  <c r="M44" i="22"/>
  <c r="L44" i="22"/>
  <c r="X43" i="22"/>
  <c r="W43" i="22"/>
  <c r="V43" i="22"/>
  <c r="U43" i="22"/>
  <c r="T43" i="22"/>
  <c r="S43" i="22"/>
  <c r="R43" i="22"/>
  <c r="N43" i="22"/>
  <c r="M43" i="22"/>
  <c r="L43" i="22"/>
  <c r="X42" i="22"/>
  <c r="W42" i="22"/>
  <c r="V42" i="22"/>
  <c r="R42" i="22"/>
  <c r="N42" i="22"/>
  <c r="M42" i="22"/>
  <c r="L42" i="22"/>
  <c r="X41" i="22"/>
  <c r="W41" i="22"/>
  <c r="V41" i="22"/>
  <c r="U41" i="22"/>
  <c r="T41" i="22"/>
  <c r="S41" i="22"/>
  <c r="R41" i="22"/>
  <c r="N41" i="22"/>
  <c r="M41" i="22"/>
  <c r="L41" i="22"/>
  <c r="X40" i="22"/>
  <c r="W40" i="22"/>
  <c r="V40" i="22"/>
  <c r="U40" i="22"/>
  <c r="T40" i="22"/>
  <c r="S40" i="22"/>
  <c r="R40" i="22"/>
  <c r="N40" i="22"/>
  <c r="M40" i="22"/>
  <c r="L40" i="22"/>
  <c r="X39" i="22"/>
  <c r="W39" i="22"/>
  <c r="V39" i="22"/>
  <c r="U39" i="22"/>
  <c r="T39" i="22"/>
  <c r="S39" i="22"/>
  <c r="R39" i="22"/>
  <c r="N39" i="22"/>
  <c r="M39" i="22"/>
  <c r="L39" i="22"/>
  <c r="X38" i="22"/>
  <c r="W38" i="22"/>
  <c r="V38" i="22"/>
  <c r="U38" i="22"/>
  <c r="T38" i="22"/>
  <c r="S38" i="22"/>
  <c r="R38" i="22"/>
  <c r="N38" i="22"/>
  <c r="M38" i="22"/>
  <c r="L38" i="22"/>
  <c r="X37" i="22"/>
  <c r="W37" i="22"/>
  <c r="V37" i="22"/>
  <c r="U37" i="22"/>
  <c r="T37" i="22"/>
  <c r="S37" i="22"/>
  <c r="R37" i="22"/>
  <c r="N37" i="22"/>
  <c r="M37" i="22"/>
  <c r="L37" i="22"/>
  <c r="X36" i="22"/>
  <c r="W36" i="22"/>
  <c r="V36" i="22"/>
  <c r="U36" i="22"/>
  <c r="T36" i="22"/>
  <c r="S36" i="22"/>
  <c r="R36" i="22"/>
  <c r="N36" i="22"/>
  <c r="M36" i="22"/>
  <c r="L36" i="22"/>
  <c r="X35" i="22"/>
  <c r="W35" i="22"/>
  <c r="V35" i="22"/>
  <c r="U35" i="22"/>
  <c r="T35" i="22"/>
  <c r="S35" i="22"/>
  <c r="R35" i="22"/>
  <c r="N35" i="22"/>
  <c r="M35" i="22"/>
  <c r="L35" i="22"/>
  <c r="X34" i="22"/>
  <c r="W34" i="22"/>
  <c r="V34" i="22"/>
  <c r="U34" i="22"/>
  <c r="T34" i="22"/>
  <c r="S34" i="22"/>
  <c r="R34" i="22"/>
  <c r="N34" i="22"/>
  <c r="M34" i="22"/>
  <c r="L34" i="22"/>
  <c r="U33" i="22"/>
  <c r="T33" i="22"/>
  <c r="S33" i="22"/>
  <c r="R33" i="22"/>
  <c r="N33" i="22"/>
  <c r="M33" i="22"/>
  <c r="L33" i="22"/>
  <c r="X32" i="22"/>
  <c r="W32" i="22"/>
  <c r="V32" i="22"/>
  <c r="U32" i="22"/>
  <c r="T32" i="22"/>
  <c r="S32" i="22"/>
  <c r="R32" i="22"/>
  <c r="Q32" i="22"/>
  <c r="P32" i="22"/>
  <c r="O32" i="22"/>
  <c r="N32" i="22"/>
  <c r="Q59" i="22" s="1"/>
  <c r="M32" i="22"/>
  <c r="L32" i="22"/>
  <c r="O37" i="22" s="1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R16" i="22"/>
  <c r="N16" i="22"/>
  <c r="M16" i="22"/>
  <c r="L16" i="22"/>
  <c r="K16" i="22"/>
  <c r="W7" i="22"/>
  <c r="Y2" i="22"/>
  <c r="X153" i="20"/>
  <c r="W153" i="20"/>
  <c r="V153" i="20"/>
  <c r="U153" i="20"/>
  <c r="T153" i="20"/>
  <c r="S153" i="20"/>
  <c r="R153" i="20"/>
  <c r="N153" i="20"/>
  <c r="M153" i="20"/>
  <c r="L153" i="20"/>
  <c r="X152" i="20"/>
  <c r="W152" i="20"/>
  <c r="V152" i="20"/>
  <c r="U152" i="20"/>
  <c r="T152" i="20"/>
  <c r="S152" i="20"/>
  <c r="R152" i="20"/>
  <c r="N152" i="20"/>
  <c r="M152" i="20"/>
  <c r="L152" i="20"/>
  <c r="X151" i="20"/>
  <c r="W151" i="20"/>
  <c r="V151" i="20"/>
  <c r="U151" i="20"/>
  <c r="T151" i="20"/>
  <c r="S151" i="20"/>
  <c r="R151" i="20"/>
  <c r="N151" i="20"/>
  <c r="M151" i="20"/>
  <c r="L151" i="20"/>
  <c r="X150" i="20"/>
  <c r="W150" i="20"/>
  <c r="V150" i="20"/>
  <c r="U150" i="20"/>
  <c r="T150" i="20"/>
  <c r="S150" i="20"/>
  <c r="R150" i="20"/>
  <c r="N150" i="20"/>
  <c r="M150" i="20"/>
  <c r="L150" i="20"/>
  <c r="X149" i="20"/>
  <c r="W149" i="20"/>
  <c r="V149" i="20"/>
  <c r="U149" i="20"/>
  <c r="T149" i="20"/>
  <c r="S149" i="20"/>
  <c r="R149" i="20"/>
  <c r="N149" i="20"/>
  <c r="M149" i="20"/>
  <c r="L149" i="20"/>
  <c r="X148" i="20"/>
  <c r="W148" i="20"/>
  <c r="V148" i="20"/>
  <c r="U148" i="20"/>
  <c r="T148" i="20"/>
  <c r="S148" i="20"/>
  <c r="R148" i="20"/>
  <c r="N148" i="20"/>
  <c r="M148" i="20"/>
  <c r="L148" i="20"/>
  <c r="X147" i="20"/>
  <c r="W147" i="20"/>
  <c r="V147" i="20"/>
  <c r="U147" i="20"/>
  <c r="T147" i="20"/>
  <c r="S147" i="20"/>
  <c r="R147" i="20"/>
  <c r="N147" i="20"/>
  <c r="M147" i="20"/>
  <c r="L147" i="20"/>
  <c r="X146" i="20"/>
  <c r="W146" i="20"/>
  <c r="V146" i="20"/>
  <c r="U146" i="20"/>
  <c r="T146" i="20"/>
  <c r="S146" i="20"/>
  <c r="R146" i="20"/>
  <c r="N146" i="20"/>
  <c r="M146" i="20"/>
  <c r="L146" i="20"/>
  <c r="X145" i="20"/>
  <c r="W145" i="20"/>
  <c r="V145" i="20"/>
  <c r="U145" i="20"/>
  <c r="T145" i="20"/>
  <c r="S145" i="20"/>
  <c r="R145" i="20"/>
  <c r="N145" i="20"/>
  <c r="M145" i="20"/>
  <c r="L145" i="20"/>
  <c r="X144" i="20"/>
  <c r="W144" i="20"/>
  <c r="V144" i="20"/>
  <c r="U144" i="20"/>
  <c r="T144" i="20"/>
  <c r="S144" i="20"/>
  <c r="R144" i="20"/>
  <c r="N144" i="20"/>
  <c r="M144" i="20"/>
  <c r="L144" i="20"/>
  <c r="X143" i="20"/>
  <c r="W143" i="20"/>
  <c r="V143" i="20"/>
  <c r="U143" i="20"/>
  <c r="T143" i="20"/>
  <c r="S143" i="20"/>
  <c r="R143" i="20"/>
  <c r="N143" i="20"/>
  <c r="M143" i="20"/>
  <c r="L143" i="20"/>
  <c r="X142" i="20"/>
  <c r="W142" i="20"/>
  <c r="V142" i="20"/>
  <c r="U142" i="20"/>
  <c r="T142" i="20"/>
  <c r="S142" i="20"/>
  <c r="R142" i="20"/>
  <c r="N142" i="20"/>
  <c r="M142" i="20"/>
  <c r="L142" i="20"/>
  <c r="X141" i="20"/>
  <c r="W141" i="20"/>
  <c r="V141" i="20"/>
  <c r="U141" i="20"/>
  <c r="T141" i="20"/>
  <c r="S141" i="20"/>
  <c r="R141" i="20"/>
  <c r="N141" i="20"/>
  <c r="M141" i="20"/>
  <c r="L141" i="20"/>
  <c r="X140" i="20"/>
  <c r="W140" i="20"/>
  <c r="V140" i="20"/>
  <c r="U140" i="20"/>
  <c r="T140" i="20"/>
  <c r="S140" i="20"/>
  <c r="R140" i="20"/>
  <c r="N140" i="20"/>
  <c r="M140" i="20"/>
  <c r="L140" i="20"/>
  <c r="X139" i="20"/>
  <c r="W139" i="20"/>
  <c r="V139" i="20"/>
  <c r="U139" i="20"/>
  <c r="T139" i="20"/>
  <c r="S139" i="20"/>
  <c r="R139" i="20"/>
  <c r="N139" i="20"/>
  <c r="M139" i="20"/>
  <c r="L139" i="20"/>
  <c r="X138" i="20"/>
  <c r="W138" i="20"/>
  <c r="V138" i="20"/>
  <c r="U138" i="20"/>
  <c r="T138" i="20"/>
  <c r="S138" i="20"/>
  <c r="R138" i="20"/>
  <c r="N138" i="20"/>
  <c r="M138" i="20"/>
  <c r="L138" i="20"/>
  <c r="X137" i="20"/>
  <c r="W137" i="20"/>
  <c r="V137" i="20"/>
  <c r="U137" i="20"/>
  <c r="T137" i="20"/>
  <c r="S137" i="20"/>
  <c r="R137" i="20"/>
  <c r="N137" i="20"/>
  <c r="M137" i="20"/>
  <c r="L137" i="20"/>
  <c r="X136" i="20"/>
  <c r="W136" i="20"/>
  <c r="V136" i="20"/>
  <c r="U136" i="20"/>
  <c r="T136" i="20"/>
  <c r="S136" i="20"/>
  <c r="R136" i="20"/>
  <c r="N136" i="20"/>
  <c r="M136" i="20"/>
  <c r="L136" i="20"/>
  <c r="X135" i="20"/>
  <c r="W135" i="20"/>
  <c r="V135" i="20"/>
  <c r="U135" i="20"/>
  <c r="T135" i="20"/>
  <c r="S135" i="20"/>
  <c r="R135" i="20"/>
  <c r="N135" i="20"/>
  <c r="M135" i="20"/>
  <c r="L135" i="20"/>
  <c r="X134" i="20"/>
  <c r="W134" i="20"/>
  <c r="V134" i="20"/>
  <c r="U134" i="20"/>
  <c r="T134" i="20"/>
  <c r="S134" i="20"/>
  <c r="R134" i="20"/>
  <c r="N134" i="20"/>
  <c r="M134" i="20"/>
  <c r="L134" i="20"/>
  <c r="X133" i="20"/>
  <c r="W133" i="20"/>
  <c r="V133" i="20"/>
  <c r="U133" i="20"/>
  <c r="T133" i="20"/>
  <c r="S133" i="20"/>
  <c r="R133" i="20"/>
  <c r="N133" i="20"/>
  <c r="M133" i="20"/>
  <c r="L133" i="20"/>
  <c r="X132" i="20"/>
  <c r="W132" i="20"/>
  <c r="V132" i="20"/>
  <c r="U132" i="20"/>
  <c r="T132" i="20"/>
  <c r="S132" i="20"/>
  <c r="R132" i="20"/>
  <c r="N132" i="20"/>
  <c r="M132" i="20"/>
  <c r="L132" i="20"/>
  <c r="X131" i="20"/>
  <c r="W131" i="20"/>
  <c r="V131" i="20"/>
  <c r="U131" i="20"/>
  <c r="T131" i="20"/>
  <c r="S131" i="20"/>
  <c r="R131" i="20"/>
  <c r="N131" i="20"/>
  <c r="M131" i="20"/>
  <c r="L131" i="20"/>
  <c r="X130" i="20"/>
  <c r="W130" i="20"/>
  <c r="V130" i="20"/>
  <c r="U130" i="20"/>
  <c r="T130" i="20"/>
  <c r="S130" i="20"/>
  <c r="R130" i="20"/>
  <c r="N130" i="20"/>
  <c r="M130" i="20"/>
  <c r="L130" i="20"/>
  <c r="X129" i="20"/>
  <c r="W129" i="20"/>
  <c r="V129" i="20"/>
  <c r="U129" i="20"/>
  <c r="T129" i="20"/>
  <c r="S129" i="20"/>
  <c r="R129" i="20"/>
  <c r="N129" i="20"/>
  <c r="M129" i="20"/>
  <c r="L129" i="20"/>
  <c r="X128" i="20"/>
  <c r="W128" i="20"/>
  <c r="V128" i="20"/>
  <c r="U128" i="20"/>
  <c r="T128" i="20"/>
  <c r="S128" i="20"/>
  <c r="R128" i="20"/>
  <c r="N128" i="20"/>
  <c r="M128" i="20"/>
  <c r="L128" i="20"/>
  <c r="X127" i="20"/>
  <c r="W127" i="20"/>
  <c r="V127" i="20"/>
  <c r="U127" i="20"/>
  <c r="T127" i="20"/>
  <c r="S127" i="20"/>
  <c r="R127" i="20"/>
  <c r="N127" i="20"/>
  <c r="M127" i="20"/>
  <c r="L127" i="20"/>
  <c r="X126" i="20"/>
  <c r="W126" i="20"/>
  <c r="V126" i="20"/>
  <c r="U126" i="20"/>
  <c r="T126" i="20"/>
  <c r="S126" i="20"/>
  <c r="R126" i="20"/>
  <c r="N126" i="20"/>
  <c r="M126" i="20"/>
  <c r="L126" i="20"/>
  <c r="X125" i="20"/>
  <c r="W125" i="20"/>
  <c r="V125" i="20"/>
  <c r="U125" i="20"/>
  <c r="T125" i="20"/>
  <c r="S125" i="20"/>
  <c r="R125" i="20"/>
  <c r="N125" i="20"/>
  <c r="M125" i="20"/>
  <c r="L125" i="20"/>
  <c r="X124" i="20"/>
  <c r="W124" i="20"/>
  <c r="V124" i="20"/>
  <c r="U124" i="20"/>
  <c r="T124" i="20"/>
  <c r="S124" i="20"/>
  <c r="R124" i="20"/>
  <c r="N124" i="20"/>
  <c r="M124" i="20"/>
  <c r="L124" i="20"/>
  <c r="X123" i="20"/>
  <c r="W123" i="20"/>
  <c r="V123" i="20"/>
  <c r="U123" i="20"/>
  <c r="T123" i="20"/>
  <c r="S123" i="20"/>
  <c r="R123" i="20"/>
  <c r="N123" i="20"/>
  <c r="M123" i="20"/>
  <c r="L123" i="20"/>
  <c r="X122" i="20"/>
  <c r="W122" i="20"/>
  <c r="V122" i="20"/>
  <c r="U122" i="20"/>
  <c r="T122" i="20"/>
  <c r="S122" i="20"/>
  <c r="R122" i="20"/>
  <c r="N122" i="20"/>
  <c r="M122" i="20"/>
  <c r="L122" i="20"/>
  <c r="X121" i="20"/>
  <c r="W121" i="20"/>
  <c r="V121" i="20"/>
  <c r="U121" i="20"/>
  <c r="T121" i="20"/>
  <c r="S121" i="20"/>
  <c r="R121" i="20"/>
  <c r="N121" i="20"/>
  <c r="M121" i="20"/>
  <c r="L121" i="20"/>
  <c r="X120" i="20"/>
  <c r="W120" i="20"/>
  <c r="V120" i="20"/>
  <c r="U120" i="20"/>
  <c r="T120" i="20"/>
  <c r="S120" i="20"/>
  <c r="R120" i="20"/>
  <c r="N120" i="20"/>
  <c r="M120" i="20"/>
  <c r="L120" i="20"/>
  <c r="X119" i="20"/>
  <c r="W119" i="20"/>
  <c r="V119" i="20"/>
  <c r="U119" i="20"/>
  <c r="T119" i="20"/>
  <c r="S119" i="20"/>
  <c r="R119" i="20"/>
  <c r="N119" i="20"/>
  <c r="M119" i="20"/>
  <c r="L119" i="20"/>
  <c r="X118" i="20"/>
  <c r="W118" i="20"/>
  <c r="V118" i="20"/>
  <c r="U118" i="20"/>
  <c r="T118" i="20"/>
  <c r="S118" i="20"/>
  <c r="R118" i="20"/>
  <c r="N118" i="20"/>
  <c r="M118" i="20"/>
  <c r="L118" i="20"/>
  <c r="X117" i="20"/>
  <c r="W117" i="20"/>
  <c r="V117" i="20"/>
  <c r="U117" i="20"/>
  <c r="T117" i="20"/>
  <c r="S117" i="20"/>
  <c r="R117" i="20"/>
  <c r="N117" i="20"/>
  <c r="M117" i="20"/>
  <c r="L117" i="20"/>
  <c r="X116" i="20"/>
  <c r="W116" i="20"/>
  <c r="V116" i="20"/>
  <c r="U116" i="20"/>
  <c r="T116" i="20"/>
  <c r="S116" i="20"/>
  <c r="R116" i="20"/>
  <c r="N116" i="20"/>
  <c r="M116" i="20"/>
  <c r="L116" i="20"/>
  <c r="X115" i="20"/>
  <c r="W115" i="20"/>
  <c r="V115" i="20"/>
  <c r="U115" i="20"/>
  <c r="T115" i="20"/>
  <c r="S115" i="20"/>
  <c r="R115" i="20"/>
  <c r="N115" i="20"/>
  <c r="M115" i="20"/>
  <c r="L115" i="20"/>
  <c r="X114" i="20"/>
  <c r="W114" i="20"/>
  <c r="V114" i="20"/>
  <c r="U114" i="20"/>
  <c r="T114" i="20"/>
  <c r="S114" i="20"/>
  <c r="R114" i="20"/>
  <c r="N114" i="20"/>
  <c r="M114" i="20"/>
  <c r="L114" i="20"/>
  <c r="X113" i="20"/>
  <c r="W113" i="20"/>
  <c r="V113" i="20"/>
  <c r="U113" i="20"/>
  <c r="T113" i="20"/>
  <c r="S113" i="20"/>
  <c r="R113" i="20"/>
  <c r="N113" i="20"/>
  <c r="M113" i="20"/>
  <c r="L113" i="20"/>
  <c r="X112" i="20"/>
  <c r="W112" i="20"/>
  <c r="V112" i="20"/>
  <c r="U112" i="20"/>
  <c r="T112" i="20"/>
  <c r="S112" i="20"/>
  <c r="R112" i="20"/>
  <c r="N112" i="20"/>
  <c r="M112" i="20"/>
  <c r="L112" i="20"/>
  <c r="X111" i="20"/>
  <c r="W111" i="20"/>
  <c r="V111" i="20"/>
  <c r="U111" i="20"/>
  <c r="T111" i="20"/>
  <c r="S111" i="20"/>
  <c r="R111" i="20"/>
  <c r="N111" i="20"/>
  <c r="M111" i="20"/>
  <c r="L111" i="20"/>
  <c r="X110" i="20"/>
  <c r="W110" i="20"/>
  <c r="V110" i="20"/>
  <c r="U110" i="20"/>
  <c r="T110" i="20"/>
  <c r="S110" i="20"/>
  <c r="R110" i="20"/>
  <c r="N110" i="20"/>
  <c r="M110" i="20"/>
  <c r="L110" i="20"/>
  <c r="X109" i="20"/>
  <c r="W109" i="20"/>
  <c r="V109" i="20"/>
  <c r="U109" i="20"/>
  <c r="T109" i="20"/>
  <c r="S109" i="20"/>
  <c r="R109" i="20"/>
  <c r="N109" i="20"/>
  <c r="M109" i="20"/>
  <c r="L109" i="20"/>
  <c r="X108" i="20"/>
  <c r="W108" i="20"/>
  <c r="V108" i="20"/>
  <c r="U108" i="20"/>
  <c r="T108" i="20"/>
  <c r="S108" i="20"/>
  <c r="R108" i="20"/>
  <c r="N108" i="20"/>
  <c r="M108" i="20"/>
  <c r="L108" i="20"/>
  <c r="X107" i="20"/>
  <c r="W107" i="20"/>
  <c r="V107" i="20"/>
  <c r="U107" i="20"/>
  <c r="T107" i="20"/>
  <c r="S107" i="20"/>
  <c r="R107" i="20"/>
  <c r="N107" i="20"/>
  <c r="M107" i="20"/>
  <c r="L107" i="20"/>
  <c r="X106" i="20"/>
  <c r="W106" i="20"/>
  <c r="V106" i="20"/>
  <c r="U106" i="20"/>
  <c r="T106" i="20"/>
  <c r="S106" i="20"/>
  <c r="R106" i="20"/>
  <c r="N106" i="20"/>
  <c r="M106" i="20"/>
  <c r="L106" i="20"/>
  <c r="X105" i="20"/>
  <c r="W105" i="20"/>
  <c r="V105" i="20"/>
  <c r="U105" i="20"/>
  <c r="T105" i="20"/>
  <c r="S105" i="20"/>
  <c r="R105" i="20"/>
  <c r="N105" i="20"/>
  <c r="M105" i="20"/>
  <c r="L105" i="20"/>
  <c r="X104" i="20"/>
  <c r="W104" i="20"/>
  <c r="V104" i="20"/>
  <c r="U104" i="20"/>
  <c r="T104" i="20"/>
  <c r="S104" i="20"/>
  <c r="R104" i="20"/>
  <c r="N104" i="20"/>
  <c r="M104" i="20"/>
  <c r="L104" i="20"/>
  <c r="X103" i="20"/>
  <c r="W103" i="20"/>
  <c r="V103" i="20"/>
  <c r="U103" i="20"/>
  <c r="T103" i="20"/>
  <c r="S103" i="20"/>
  <c r="R103" i="20"/>
  <c r="N103" i="20"/>
  <c r="M103" i="20"/>
  <c r="L103" i="20"/>
  <c r="X102" i="20"/>
  <c r="W102" i="20"/>
  <c r="V102" i="20"/>
  <c r="U102" i="20"/>
  <c r="T102" i="20"/>
  <c r="S102" i="20"/>
  <c r="R102" i="20"/>
  <c r="N102" i="20"/>
  <c r="M102" i="20"/>
  <c r="L102" i="20"/>
  <c r="X101" i="20"/>
  <c r="W101" i="20"/>
  <c r="V101" i="20"/>
  <c r="U101" i="20"/>
  <c r="T101" i="20"/>
  <c r="S101" i="20"/>
  <c r="R101" i="20"/>
  <c r="N101" i="20"/>
  <c r="M101" i="20"/>
  <c r="L101" i="20"/>
  <c r="X100" i="20"/>
  <c r="W100" i="20"/>
  <c r="V100" i="20"/>
  <c r="U100" i="20"/>
  <c r="T100" i="20"/>
  <c r="S100" i="20"/>
  <c r="R100" i="20"/>
  <c r="N100" i="20"/>
  <c r="M100" i="20"/>
  <c r="L100" i="20"/>
  <c r="X99" i="20"/>
  <c r="W99" i="20"/>
  <c r="V99" i="20"/>
  <c r="U99" i="20"/>
  <c r="T99" i="20"/>
  <c r="S99" i="20"/>
  <c r="R99" i="20"/>
  <c r="N99" i="20"/>
  <c r="M99" i="20"/>
  <c r="L99" i="20"/>
  <c r="X98" i="20"/>
  <c r="W98" i="20"/>
  <c r="V98" i="20"/>
  <c r="U98" i="20"/>
  <c r="T98" i="20"/>
  <c r="S98" i="20"/>
  <c r="R98" i="20"/>
  <c r="N98" i="20"/>
  <c r="M98" i="20"/>
  <c r="L98" i="20"/>
  <c r="X97" i="20"/>
  <c r="W97" i="20"/>
  <c r="V97" i="20"/>
  <c r="U97" i="20"/>
  <c r="T97" i="20"/>
  <c r="S97" i="20"/>
  <c r="R97" i="20"/>
  <c r="N97" i="20"/>
  <c r="M97" i="20"/>
  <c r="L97" i="20"/>
  <c r="X96" i="20"/>
  <c r="W96" i="20"/>
  <c r="V96" i="20"/>
  <c r="U96" i="20"/>
  <c r="T96" i="20"/>
  <c r="S96" i="20"/>
  <c r="R96" i="20"/>
  <c r="N96" i="20"/>
  <c r="M96" i="20"/>
  <c r="L96" i="20"/>
  <c r="X95" i="20"/>
  <c r="W95" i="20"/>
  <c r="V95" i="20"/>
  <c r="U95" i="20"/>
  <c r="T95" i="20"/>
  <c r="S95" i="20"/>
  <c r="R95" i="20"/>
  <c r="N95" i="20"/>
  <c r="M95" i="20"/>
  <c r="L95" i="20"/>
  <c r="X94" i="20"/>
  <c r="W94" i="20"/>
  <c r="V94" i="20"/>
  <c r="U94" i="20"/>
  <c r="T94" i="20"/>
  <c r="S94" i="20"/>
  <c r="R94" i="20"/>
  <c r="N94" i="20"/>
  <c r="M94" i="20"/>
  <c r="L94" i="20"/>
  <c r="X93" i="20"/>
  <c r="W93" i="20"/>
  <c r="V93" i="20"/>
  <c r="U93" i="20"/>
  <c r="T93" i="20"/>
  <c r="S93" i="20"/>
  <c r="R93" i="20"/>
  <c r="N93" i="20"/>
  <c r="M93" i="20"/>
  <c r="L93" i="20"/>
  <c r="X92" i="20"/>
  <c r="W92" i="20"/>
  <c r="V92" i="20"/>
  <c r="U92" i="20"/>
  <c r="T92" i="20"/>
  <c r="S92" i="20"/>
  <c r="R92" i="20"/>
  <c r="N92" i="20"/>
  <c r="M92" i="20"/>
  <c r="L92" i="20"/>
  <c r="X91" i="20"/>
  <c r="W91" i="20"/>
  <c r="V91" i="20"/>
  <c r="U91" i="20"/>
  <c r="T91" i="20"/>
  <c r="S91" i="20"/>
  <c r="R91" i="20"/>
  <c r="N91" i="20"/>
  <c r="M91" i="20"/>
  <c r="L91" i="20"/>
  <c r="X90" i="20"/>
  <c r="W90" i="20"/>
  <c r="V90" i="20"/>
  <c r="U90" i="20"/>
  <c r="T90" i="20"/>
  <c r="S90" i="20"/>
  <c r="R90" i="20"/>
  <c r="N90" i="20"/>
  <c r="M90" i="20"/>
  <c r="L90" i="20"/>
  <c r="X89" i="20"/>
  <c r="W89" i="20"/>
  <c r="V89" i="20"/>
  <c r="U89" i="20"/>
  <c r="T89" i="20"/>
  <c r="S89" i="20"/>
  <c r="R89" i="20"/>
  <c r="N89" i="20"/>
  <c r="M89" i="20"/>
  <c r="L89" i="20"/>
  <c r="X88" i="20"/>
  <c r="W88" i="20"/>
  <c r="V88" i="20"/>
  <c r="U88" i="20"/>
  <c r="T88" i="20"/>
  <c r="S88" i="20"/>
  <c r="R88" i="20"/>
  <c r="N88" i="20"/>
  <c r="M88" i="20"/>
  <c r="L88" i="20"/>
  <c r="X87" i="20"/>
  <c r="W87" i="20"/>
  <c r="V87" i="20"/>
  <c r="U87" i="20"/>
  <c r="T87" i="20"/>
  <c r="S87" i="20"/>
  <c r="R87" i="20"/>
  <c r="N87" i="20"/>
  <c r="M87" i="20"/>
  <c r="L87" i="20"/>
  <c r="X86" i="20"/>
  <c r="W86" i="20"/>
  <c r="V86" i="20"/>
  <c r="U86" i="20"/>
  <c r="T86" i="20"/>
  <c r="S86" i="20"/>
  <c r="R86" i="20"/>
  <c r="N86" i="20"/>
  <c r="M86" i="20"/>
  <c r="L86" i="20"/>
  <c r="X85" i="20"/>
  <c r="W85" i="20"/>
  <c r="V85" i="20"/>
  <c r="U85" i="20"/>
  <c r="T85" i="20"/>
  <c r="S85" i="20"/>
  <c r="R85" i="20"/>
  <c r="N85" i="20"/>
  <c r="M85" i="20"/>
  <c r="L85" i="20"/>
  <c r="X84" i="20"/>
  <c r="W84" i="20"/>
  <c r="V84" i="20"/>
  <c r="U84" i="20"/>
  <c r="T84" i="20"/>
  <c r="S84" i="20"/>
  <c r="R84" i="20"/>
  <c r="N84" i="20"/>
  <c r="M84" i="20"/>
  <c r="L84" i="20"/>
  <c r="X83" i="20"/>
  <c r="W83" i="20"/>
  <c r="V83" i="20"/>
  <c r="U83" i="20"/>
  <c r="T83" i="20"/>
  <c r="S83" i="20"/>
  <c r="R83" i="20"/>
  <c r="N83" i="20"/>
  <c r="M83" i="20"/>
  <c r="L83" i="20"/>
  <c r="X82" i="20"/>
  <c r="W82" i="20"/>
  <c r="V82" i="20"/>
  <c r="U82" i="20"/>
  <c r="T82" i="20"/>
  <c r="S82" i="20"/>
  <c r="R82" i="20"/>
  <c r="N82" i="20"/>
  <c r="M82" i="20"/>
  <c r="L82" i="20"/>
  <c r="X81" i="20"/>
  <c r="W81" i="20"/>
  <c r="V81" i="20"/>
  <c r="U81" i="20"/>
  <c r="T81" i="20"/>
  <c r="S81" i="20"/>
  <c r="R81" i="20"/>
  <c r="N81" i="20"/>
  <c r="M81" i="20"/>
  <c r="L81" i="20"/>
  <c r="X80" i="20"/>
  <c r="W80" i="20"/>
  <c r="V80" i="20"/>
  <c r="U80" i="20"/>
  <c r="T80" i="20"/>
  <c r="S80" i="20"/>
  <c r="R80" i="20"/>
  <c r="N80" i="20"/>
  <c r="M80" i="20"/>
  <c r="L80" i="20"/>
  <c r="X79" i="20"/>
  <c r="W79" i="20"/>
  <c r="V79" i="20"/>
  <c r="U79" i="20"/>
  <c r="T79" i="20"/>
  <c r="S79" i="20"/>
  <c r="R79" i="20"/>
  <c r="N79" i="20"/>
  <c r="M79" i="20"/>
  <c r="L79" i="20"/>
  <c r="X78" i="20"/>
  <c r="W78" i="20"/>
  <c r="V78" i="20"/>
  <c r="U78" i="20"/>
  <c r="T78" i="20"/>
  <c r="S78" i="20"/>
  <c r="R78" i="20"/>
  <c r="N78" i="20"/>
  <c r="M78" i="20"/>
  <c r="L78" i="20"/>
  <c r="X77" i="20"/>
  <c r="W77" i="20"/>
  <c r="V77" i="20"/>
  <c r="U77" i="20"/>
  <c r="T77" i="20"/>
  <c r="S77" i="20"/>
  <c r="R77" i="20"/>
  <c r="N77" i="20"/>
  <c r="M77" i="20"/>
  <c r="L77" i="20"/>
  <c r="X76" i="20"/>
  <c r="W76" i="20"/>
  <c r="V76" i="20"/>
  <c r="U76" i="20"/>
  <c r="T76" i="20"/>
  <c r="S76" i="20"/>
  <c r="R76" i="20"/>
  <c r="N76" i="20"/>
  <c r="M76" i="20"/>
  <c r="L76" i="20"/>
  <c r="X75" i="20"/>
  <c r="W75" i="20"/>
  <c r="V75" i="20"/>
  <c r="U75" i="20"/>
  <c r="T75" i="20"/>
  <c r="S75" i="20"/>
  <c r="R75" i="20"/>
  <c r="N75" i="20"/>
  <c r="M75" i="20"/>
  <c r="L75" i="20"/>
  <c r="X74" i="20"/>
  <c r="W74" i="20"/>
  <c r="V74" i="20"/>
  <c r="U74" i="20"/>
  <c r="T74" i="20"/>
  <c r="S74" i="20"/>
  <c r="R74" i="20"/>
  <c r="N74" i="20"/>
  <c r="M74" i="20"/>
  <c r="L74" i="20"/>
  <c r="X73" i="20"/>
  <c r="W73" i="20"/>
  <c r="V73" i="20"/>
  <c r="U73" i="20"/>
  <c r="T73" i="20"/>
  <c r="S73" i="20"/>
  <c r="R73" i="20"/>
  <c r="N73" i="20"/>
  <c r="M73" i="20"/>
  <c r="L73" i="20"/>
  <c r="X72" i="20"/>
  <c r="W72" i="20"/>
  <c r="V72" i="20"/>
  <c r="U72" i="20"/>
  <c r="T72" i="20"/>
  <c r="S72" i="20"/>
  <c r="R72" i="20"/>
  <c r="N72" i="20"/>
  <c r="M72" i="20"/>
  <c r="L72" i="20"/>
  <c r="X71" i="20"/>
  <c r="W71" i="20"/>
  <c r="V71" i="20"/>
  <c r="U71" i="20"/>
  <c r="T71" i="20"/>
  <c r="S71" i="20"/>
  <c r="R71" i="20"/>
  <c r="N71" i="20"/>
  <c r="M71" i="20"/>
  <c r="L71" i="20"/>
  <c r="X70" i="20"/>
  <c r="W70" i="20"/>
  <c r="V70" i="20"/>
  <c r="U70" i="20"/>
  <c r="T70" i="20"/>
  <c r="S70" i="20"/>
  <c r="R70" i="20"/>
  <c r="N70" i="20"/>
  <c r="M70" i="20"/>
  <c r="L70" i="20"/>
  <c r="X69" i="20"/>
  <c r="W69" i="20"/>
  <c r="V69" i="20"/>
  <c r="U69" i="20"/>
  <c r="T69" i="20"/>
  <c r="S69" i="20"/>
  <c r="R69" i="20"/>
  <c r="N69" i="20"/>
  <c r="M69" i="20"/>
  <c r="L69" i="20"/>
  <c r="X68" i="20"/>
  <c r="W68" i="20"/>
  <c r="V68" i="20"/>
  <c r="U68" i="20"/>
  <c r="T68" i="20"/>
  <c r="S68" i="20"/>
  <c r="R68" i="20"/>
  <c r="X67" i="20"/>
  <c r="W67" i="20"/>
  <c r="V67" i="20"/>
  <c r="R67" i="20"/>
  <c r="X66" i="20"/>
  <c r="W66" i="20"/>
  <c r="V66" i="20"/>
  <c r="R66" i="20"/>
  <c r="X65" i="20"/>
  <c r="W65" i="20"/>
  <c r="V65" i="20"/>
  <c r="R65" i="20"/>
  <c r="X64" i="20"/>
  <c r="W64" i="20"/>
  <c r="V64" i="20"/>
  <c r="R64" i="20"/>
  <c r="X63" i="20"/>
  <c r="W63" i="20"/>
  <c r="V63" i="20"/>
  <c r="R63" i="20"/>
  <c r="X62" i="20"/>
  <c r="W62" i="20"/>
  <c r="V62" i="20"/>
  <c r="R62" i="20"/>
  <c r="X61" i="20"/>
  <c r="W61" i="20"/>
  <c r="V61" i="20"/>
  <c r="U61" i="20"/>
  <c r="T61" i="20"/>
  <c r="S61" i="20"/>
  <c r="R61" i="20"/>
  <c r="X60" i="20"/>
  <c r="W60" i="20"/>
  <c r="V60" i="20"/>
  <c r="U60" i="20"/>
  <c r="T60" i="20"/>
  <c r="S60" i="20"/>
  <c r="R60" i="20"/>
  <c r="X59" i="20"/>
  <c r="W59" i="20"/>
  <c r="V59" i="20"/>
  <c r="U59" i="20"/>
  <c r="T59" i="20"/>
  <c r="S59" i="20"/>
  <c r="R59" i="20"/>
  <c r="N59" i="20"/>
  <c r="M59" i="20"/>
  <c r="L59" i="20"/>
  <c r="X58" i="20"/>
  <c r="W58" i="20"/>
  <c r="V58" i="20"/>
  <c r="U58" i="20"/>
  <c r="T58" i="20"/>
  <c r="S58" i="20"/>
  <c r="R58" i="20"/>
  <c r="N58" i="20"/>
  <c r="M58" i="20"/>
  <c r="L58" i="20"/>
  <c r="X57" i="20"/>
  <c r="W57" i="20"/>
  <c r="V57" i="20"/>
  <c r="U57" i="20"/>
  <c r="T57" i="20"/>
  <c r="S57" i="20"/>
  <c r="R57" i="20"/>
  <c r="N57" i="20"/>
  <c r="M57" i="20"/>
  <c r="L57" i="20"/>
  <c r="X56" i="20"/>
  <c r="W56" i="20"/>
  <c r="V56" i="20"/>
  <c r="U56" i="20"/>
  <c r="T56" i="20"/>
  <c r="S56" i="20"/>
  <c r="R56" i="20"/>
  <c r="N56" i="20"/>
  <c r="M56" i="20"/>
  <c r="L56" i="20"/>
  <c r="X55" i="20"/>
  <c r="W55" i="20"/>
  <c r="V55" i="20"/>
  <c r="U55" i="20"/>
  <c r="T55" i="20"/>
  <c r="S55" i="20"/>
  <c r="R55" i="20"/>
  <c r="N55" i="20"/>
  <c r="M55" i="20"/>
  <c r="L55" i="20"/>
  <c r="X54" i="20"/>
  <c r="W54" i="20"/>
  <c r="V54" i="20"/>
  <c r="U54" i="20"/>
  <c r="T54" i="20"/>
  <c r="S54" i="20"/>
  <c r="R54" i="20"/>
  <c r="N54" i="20"/>
  <c r="M54" i="20"/>
  <c r="L54" i="20"/>
  <c r="X53" i="20"/>
  <c r="W53" i="20"/>
  <c r="V53" i="20"/>
  <c r="U53" i="20"/>
  <c r="T53" i="20"/>
  <c r="S53" i="20"/>
  <c r="R53" i="20"/>
  <c r="N53" i="20"/>
  <c r="M53" i="20"/>
  <c r="L53" i="20"/>
  <c r="X52" i="20"/>
  <c r="W52" i="20"/>
  <c r="V52" i="20"/>
  <c r="U52" i="20"/>
  <c r="T52" i="20"/>
  <c r="S52" i="20"/>
  <c r="R52" i="20"/>
  <c r="N52" i="20"/>
  <c r="M52" i="20"/>
  <c r="L52" i="20"/>
  <c r="X51" i="20"/>
  <c r="W51" i="20"/>
  <c r="V51" i="20"/>
  <c r="R51" i="20"/>
  <c r="N51" i="20"/>
  <c r="M51" i="20"/>
  <c r="L51" i="20"/>
  <c r="X50" i="20"/>
  <c r="W50" i="20"/>
  <c r="V50" i="20"/>
  <c r="U50" i="20"/>
  <c r="T50" i="20"/>
  <c r="S50" i="20"/>
  <c r="R50" i="20"/>
  <c r="N50" i="20"/>
  <c r="M50" i="20"/>
  <c r="L50" i="20"/>
  <c r="X49" i="20"/>
  <c r="W49" i="20"/>
  <c r="V49" i="20"/>
  <c r="U49" i="20"/>
  <c r="T49" i="20"/>
  <c r="S49" i="20"/>
  <c r="R49" i="20"/>
  <c r="N49" i="20"/>
  <c r="M49" i="20"/>
  <c r="L49" i="20"/>
  <c r="X48" i="20"/>
  <c r="W48" i="20"/>
  <c r="V48" i="20"/>
  <c r="U48" i="20"/>
  <c r="T48" i="20"/>
  <c r="S48" i="20"/>
  <c r="R48" i="20"/>
  <c r="N48" i="20"/>
  <c r="M48" i="20"/>
  <c r="L48" i="20"/>
  <c r="X47" i="20"/>
  <c r="W47" i="20"/>
  <c r="V47" i="20"/>
  <c r="U47" i="20"/>
  <c r="T47" i="20"/>
  <c r="S47" i="20"/>
  <c r="R47" i="20"/>
  <c r="N47" i="20"/>
  <c r="M47" i="20"/>
  <c r="L47" i="20"/>
  <c r="X46" i="20"/>
  <c r="W46" i="20"/>
  <c r="V46" i="20"/>
  <c r="U46" i="20"/>
  <c r="T46" i="20"/>
  <c r="S46" i="20"/>
  <c r="R46" i="20"/>
  <c r="N46" i="20"/>
  <c r="M46" i="20"/>
  <c r="L46" i="20"/>
  <c r="X45" i="20"/>
  <c r="W45" i="20"/>
  <c r="V45" i="20"/>
  <c r="U45" i="20"/>
  <c r="T45" i="20"/>
  <c r="S45" i="20"/>
  <c r="R45" i="20"/>
  <c r="N45" i="20"/>
  <c r="M45" i="20"/>
  <c r="L45" i="20"/>
  <c r="X44" i="20"/>
  <c r="W44" i="20"/>
  <c r="V44" i="20"/>
  <c r="U44" i="20"/>
  <c r="T44" i="20"/>
  <c r="S44" i="20"/>
  <c r="R44" i="20"/>
  <c r="N44" i="20"/>
  <c r="M44" i="20"/>
  <c r="L44" i="20"/>
  <c r="X43" i="20"/>
  <c r="W43" i="20"/>
  <c r="V43" i="20"/>
  <c r="U43" i="20"/>
  <c r="T43" i="20"/>
  <c r="S43" i="20"/>
  <c r="R43" i="20"/>
  <c r="N43" i="20"/>
  <c r="M43" i="20"/>
  <c r="L43" i="20"/>
  <c r="X42" i="20"/>
  <c r="W42" i="20"/>
  <c r="V42" i="20"/>
  <c r="U42" i="20"/>
  <c r="T42" i="20"/>
  <c r="S42" i="20"/>
  <c r="R42" i="20"/>
  <c r="N42" i="20"/>
  <c r="M42" i="20"/>
  <c r="L42" i="20"/>
  <c r="X41" i="20"/>
  <c r="W41" i="20"/>
  <c r="V41" i="20"/>
  <c r="U41" i="20"/>
  <c r="T41" i="20"/>
  <c r="S41" i="20"/>
  <c r="R41" i="20"/>
  <c r="N41" i="20"/>
  <c r="M41" i="20"/>
  <c r="L41" i="20"/>
  <c r="X40" i="20"/>
  <c r="W40" i="20"/>
  <c r="V40" i="20"/>
  <c r="U40" i="20"/>
  <c r="T40" i="20"/>
  <c r="S40" i="20"/>
  <c r="R40" i="20"/>
  <c r="N40" i="20"/>
  <c r="M40" i="20"/>
  <c r="L40" i="20"/>
  <c r="U39" i="20"/>
  <c r="T39" i="20"/>
  <c r="S39" i="20"/>
  <c r="R39" i="20"/>
  <c r="N39" i="20"/>
  <c r="Q66" i="20" s="1"/>
  <c r="M39" i="20"/>
  <c r="P60" i="20" s="1"/>
  <c r="L39" i="20"/>
  <c r="O62" i="20" s="1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R16" i="20"/>
  <c r="N16" i="20"/>
  <c r="M16" i="20"/>
  <c r="L16" i="20"/>
  <c r="K16" i="20"/>
  <c r="W7" i="20"/>
  <c r="Y2" i="20"/>
  <c r="X153" i="18"/>
  <c r="W153" i="18"/>
  <c r="V153" i="18"/>
  <c r="U153" i="18"/>
  <c r="T153" i="18"/>
  <c r="S153" i="18"/>
  <c r="R153" i="18"/>
  <c r="N153" i="18"/>
  <c r="M153" i="18"/>
  <c r="L153" i="18"/>
  <c r="X152" i="18"/>
  <c r="W152" i="18"/>
  <c r="V152" i="18"/>
  <c r="U152" i="18"/>
  <c r="T152" i="18"/>
  <c r="S152" i="18"/>
  <c r="R152" i="18"/>
  <c r="N152" i="18"/>
  <c r="M152" i="18"/>
  <c r="L152" i="18"/>
  <c r="X151" i="18"/>
  <c r="W151" i="18"/>
  <c r="V151" i="18"/>
  <c r="U151" i="18"/>
  <c r="T151" i="18"/>
  <c r="S151" i="18"/>
  <c r="R151" i="18"/>
  <c r="N151" i="18"/>
  <c r="M151" i="18"/>
  <c r="L151" i="18"/>
  <c r="X150" i="18"/>
  <c r="W150" i="18"/>
  <c r="V150" i="18"/>
  <c r="U150" i="18"/>
  <c r="T150" i="18"/>
  <c r="S150" i="18"/>
  <c r="R150" i="18"/>
  <c r="N150" i="18"/>
  <c r="M150" i="18"/>
  <c r="L150" i="18"/>
  <c r="X149" i="18"/>
  <c r="W149" i="18"/>
  <c r="V149" i="18"/>
  <c r="U149" i="18"/>
  <c r="T149" i="18"/>
  <c r="S149" i="18"/>
  <c r="R149" i="18"/>
  <c r="N149" i="18"/>
  <c r="M149" i="18"/>
  <c r="L149" i="18"/>
  <c r="X148" i="18"/>
  <c r="W148" i="18"/>
  <c r="V148" i="18"/>
  <c r="U148" i="18"/>
  <c r="T148" i="18"/>
  <c r="S148" i="18"/>
  <c r="R148" i="18"/>
  <c r="N148" i="18"/>
  <c r="M148" i="18"/>
  <c r="L148" i="18"/>
  <c r="X147" i="18"/>
  <c r="W147" i="18"/>
  <c r="V147" i="18"/>
  <c r="U147" i="18"/>
  <c r="T147" i="18"/>
  <c r="S147" i="18"/>
  <c r="R147" i="18"/>
  <c r="N147" i="18"/>
  <c r="M147" i="18"/>
  <c r="L147" i="18"/>
  <c r="X146" i="18"/>
  <c r="W146" i="18"/>
  <c r="V146" i="18"/>
  <c r="U146" i="18"/>
  <c r="T146" i="18"/>
  <c r="S146" i="18"/>
  <c r="R146" i="18"/>
  <c r="N146" i="18"/>
  <c r="M146" i="18"/>
  <c r="L146" i="18"/>
  <c r="X145" i="18"/>
  <c r="W145" i="18"/>
  <c r="V145" i="18"/>
  <c r="U145" i="18"/>
  <c r="T145" i="18"/>
  <c r="S145" i="18"/>
  <c r="R145" i="18"/>
  <c r="N145" i="18"/>
  <c r="M145" i="18"/>
  <c r="L145" i="18"/>
  <c r="X144" i="18"/>
  <c r="W144" i="18"/>
  <c r="V144" i="18"/>
  <c r="U144" i="18"/>
  <c r="T144" i="18"/>
  <c r="S144" i="18"/>
  <c r="R144" i="18"/>
  <c r="N144" i="18"/>
  <c r="M144" i="18"/>
  <c r="L144" i="18"/>
  <c r="X143" i="18"/>
  <c r="W143" i="18"/>
  <c r="V143" i="18"/>
  <c r="U143" i="18"/>
  <c r="T143" i="18"/>
  <c r="S143" i="18"/>
  <c r="R143" i="18"/>
  <c r="N143" i="18"/>
  <c r="M143" i="18"/>
  <c r="L143" i="18"/>
  <c r="X142" i="18"/>
  <c r="W142" i="18"/>
  <c r="V142" i="18"/>
  <c r="U142" i="18"/>
  <c r="T142" i="18"/>
  <c r="S142" i="18"/>
  <c r="R142" i="18"/>
  <c r="N142" i="18"/>
  <c r="M142" i="18"/>
  <c r="L142" i="18"/>
  <c r="X141" i="18"/>
  <c r="W141" i="18"/>
  <c r="V141" i="18"/>
  <c r="U141" i="18"/>
  <c r="T141" i="18"/>
  <c r="S141" i="18"/>
  <c r="R141" i="18"/>
  <c r="N141" i="18"/>
  <c r="M141" i="18"/>
  <c r="L141" i="18"/>
  <c r="X140" i="18"/>
  <c r="W140" i="18"/>
  <c r="V140" i="18"/>
  <c r="U140" i="18"/>
  <c r="T140" i="18"/>
  <c r="S140" i="18"/>
  <c r="R140" i="18"/>
  <c r="N140" i="18"/>
  <c r="M140" i="18"/>
  <c r="L140" i="18"/>
  <c r="X139" i="18"/>
  <c r="W139" i="18"/>
  <c r="V139" i="18"/>
  <c r="U139" i="18"/>
  <c r="T139" i="18"/>
  <c r="S139" i="18"/>
  <c r="R139" i="18"/>
  <c r="N139" i="18"/>
  <c r="M139" i="18"/>
  <c r="L139" i="18"/>
  <c r="X138" i="18"/>
  <c r="W138" i="18"/>
  <c r="V138" i="18"/>
  <c r="U138" i="18"/>
  <c r="T138" i="18"/>
  <c r="S138" i="18"/>
  <c r="R138" i="18"/>
  <c r="N138" i="18"/>
  <c r="M138" i="18"/>
  <c r="L138" i="18"/>
  <c r="X137" i="18"/>
  <c r="W137" i="18"/>
  <c r="V137" i="18"/>
  <c r="U137" i="18"/>
  <c r="T137" i="18"/>
  <c r="S137" i="18"/>
  <c r="R137" i="18"/>
  <c r="N137" i="18"/>
  <c r="M137" i="18"/>
  <c r="L137" i="18"/>
  <c r="X136" i="18"/>
  <c r="W136" i="18"/>
  <c r="V136" i="18"/>
  <c r="U136" i="18"/>
  <c r="T136" i="18"/>
  <c r="S136" i="18"/>
  <c r="R136" i="18"/>
  <c r="N136" i="18"/>
  <c r="M136" i="18"/>
  <c r="L136" i="18"/>
  <c r="X135" i="18"/>
  <c r="W135" i="18"/>
  <c r="V135" i="18"/>
  <c r="U135" i="18"/>
  <c r="T135" i="18"/>
  <c r="S135" i="18"/>
  <c r="R135" i="18"/>
  <c r="N135" i="18"/>
  <c r="M135" i="18"/>
  <c r="L135" i="18"/>
  <c r="X134" i="18"/>
  <c r="W134" i="18"/>
  <c r="V134" i="18"/>
  <c r="U134" i="18"/>
  <c r="T134" i="18"/>
  <c r="S134" i="18"/>
  <c r="R134" i="18"/>
  <c r="N134" i="18"/>
  <c r="M134" i="18"/>
  <c r="L134" i="18"/>
  <c r="X133" i="18"/>
  <c r="W133" i="18"/>
  <c r="V133" i="18"/>
  <c r="U133" i="18"/>
  <c r="T133" i="18"/>
  <c r="S133" i="18"/>
  <c r="R133" i="18"/>
  <c r="N133" i="18"/>
  <c r="M133" i="18"/>
  <c r="L133" i="18"/>
  <c r="X132" i="18"/>
  <c r="W132" i="18"/>
  <c r="V132" i="18"/>
  <c r="U132" i="18"/>
  <c r="T132" i="18"/>
  <c r="S132" i="18"/>
  <c r="R132" i="18"/>
  <c r="N132" i="18"/>
  <c r="M132" i="18"/>
  <c r="L132" i="18"/>
  <c r="X131" i="18"/>
  <c r="W131" i="18"/>
  <c r="V131" i="18"/>
  <c r="U131" i="18"/>
  <c r="T131" i="18"/>
  <c r="S131" i="18"/>
  <c r="R131" i="18"/>
  <c r="N131" i="18"/>
  <c r="M131" i="18"/>
  <c r="L131" i="18"/>
  <c r="X130" i="18"/>
  <c r="W130" i="18"/>
  <c r="V130" i="18"/>
  <c r="U130" i="18"/>
  <c r="T130" i="18"/>
  <c r="S130" i="18"/>
  <c r="R130" i="18"/>
  <c r="N130" i="18"/>
  <c r="M130" i="18"/>
  <c r="L130" i="18"/>
  <c r="X129" i="18"/>
  <c r="W129" i="18"/>
  <c r="V129" i="18"/>
  <c r="U129" i="18"/>
  <c r="T129" i="18"/>
  <c r="S129" i="18"/>
  <c r="R129" i="18"/>
  <c r="N129" i="18"/>
  <c r="M129" i="18"/>
  <c r="L129" i="18"/>
  <c r="X128" i="18"/>
  <c r="W128" i="18"/>
  <c r="V128" i="18"/>
  <c r="U128" i="18"/>
  <c r="T128" i="18"/>
  <c r="S128" i="18"/>
  <c r="R128" i="18"/>
  <c r="N128" i="18"/>
  <c r="M128" i="18"/>
  <c r="L128" i="18"/>
  <c r="X127" i="18"/>
  <c r="W127" i="18"/>
  <c r="V127" i="18"/>
  <c r="U127" i="18"/>
  <c r="T127" i="18"/>
  <c r="S127" i="18"/>
  <c r="R127" i="18"/>
  <c r="N127" i="18"/>
  <c r="M127" i="18"/>
  <c r="L127" i="18"/>
  <c r="X126" i="18"/>
  <c r="W126" i="18"/>
  <c r="V126" i="18"/>
  <c r="U126" i="18"/>
  <c r="T126" i="18"/>
  <c r="S126" i="18"/>
  <c r="R126" i="18"/>
  <c r="N126" i="18"/>
  <c r="M126" i="18"/>
  <c r="L126" i="18"/>
  <c r="X125" i="18"/>
  <c r="W125" i="18"/>
  <c r="V125" i="18"/>
  <c r="U125" i="18"/>
  <c r="T125" i="18"/>
  <c r="S125" i="18"/>
  <c r="R125" i="18"/>
  <c r="N125" i="18"/>
  <c r="M125" i="18"/>
  <c r="L125" i="18"/>
  <c r="X124" i="18"/>
  <c r="W124" i="18"/>
  <c r="V124" i="18"/>
  <c r="U124" i="18"/>
  <c r="T124" i="18"/>
  <c r="S124" i="18"/>
  <c r="R124" i="18"/>
  <c r="N124" i="18"/>
  <c r="M124" i="18"/>
  <c r="L124" i="18"/>
  <c r="X123" i="18"/>
  <c r="W123" i="18"/>
  <c r="V123" i="18"/>
  <c r="U123" i="18"/>
  <c r="T123" i="18"/>
  <c r="S123" i="18"/>
  <c r="R123" i="18"/>
  <c r="N123" i="18"/>
  <c r="M123" i="18"/>
  <c r="L123" i="18"/>
  <c r="X122" i="18"/>
  <c r="W122" i="18"/>
  <c r="V122" i="18"/>
  <c r="U122" i="18"/>
  <c r="T122" i="18"/>
  <c r="S122" i="18"/>
  <c r="R122" i="18"/>
  <c r="N122" i="18"/>
  <c r="M122" i="18"/>
  <c r="L122" i="18"/>
  <c r="X121" i="18"/>
  <c r="W121" i="18"/>
  <c r="V121" i="18"/>
  <c r="U121" i="18"/>
  <c r="T121" i="18"/>
  <c r="S121" i="18"/>
  <c r="R121" i="18"/>
  <c r="N121" i="18"/>
  <c r="M121" i="18"/>
  <c r="L121" i="18"/>
  <c r="X120" i="18"/>
  <c r="W120" i="18"/>
  <c r="V120" i="18"/>
  <c r="U120" i="18"/>
  <c r="T120" i="18"/>
  <c r="S120" i="18"/>
  <c r="R120" i="18"/>
  <c r="N120" i="18"/>
  <c r="M120" i="18"/>
  <c r="L120" i="18"/>
  <c r="X119" i="18"/>
  <c r="W119" i="18"/>
  <c r="V119" i="18"/>
  <c r="U119" i="18"/>
  <c r="T119" i="18"/>
  <c r="S119" i="18"/>
  <c r="R119" i="18"/>
  <c r="N119" i="18"/>
  <c r="M119" i="18"/>
  <c r="L119" i="18"/>
  <c r="X118" i="18"/>
  <c r="W118" i="18"/>
  <c r="V118" i="18"/>
  <c r="U118" i="18"/>
  <c r="T118" i="18"/>
  <c r="S118" i="18"/>
  <c r="R118" i="18"/>
  <c r="N118" i="18"/>
  <c r="M118" i="18"/>
  <c r="L118" i="18"/>
  <c r="X117" i="18"/>
  <c r="W117" i="18"/>
  <c r="V117" i="18"/>
  <c r="U117" i="18"/>
  <c r="T117" i="18"/>
  <c r="S117" i="18"/>
  <c r="R117" i="18"/>
  <c r="N117" i="18"/>
  <c r="M117" i="18"/>
  <c r="L117" i="18"/>
  <c r="X116" i="18"/>
  <c r="W116" i="18"/>
  <c r="V116" i="18"/>
  <c r="U116" i="18"/>
  <c r="T116" i="18"/>
  <c r="S116" i="18"/>
  <c r="R116" i="18"/>
  <c r="N116" i="18"/>
  <c r="M116" i="18"/>
  <c r="L116" i="18"/>
  <c r="X115" i="18"/>
  <c r="W115" i="18"/>
  <c r="V115" i="18"/>
  <c r="U115" i="18"/>
  <c r="T115" i="18"/>
  <c r="S115" i="18"/>
  <c r="R115" i="18"/>
  <c r="N115" i="18"/>
  <c r="M115" i="18"/>
  <c r="L115" i="18"/>
  <c r="X114" i="18"/>
  <c r="W114" i="18"/>
  <c r="V114" i="18"/>
  <c r="U114" i="18"/>
  <c r="T114" i="18"/>
  <c r="S114" i="18"/>
  <c r="R114" i="18"/>
  <c r="N114" i="18"/>
  <c r="M114" i="18"/>
  <c r="L114" i="18"/>
  <c r="X113" i="18"/>
  <c r="W113" i="18"/>
  <c r="V113" i="18"/>
  <c r="U113" i="18"/>
  <c r="T113" i="18"/>
  <c r="S113" i="18"/>
  <c r="R113" i="18"/>
  <c r="N113" i="18"/>
  <c r="M113" i="18"/>
  <c r="L113" i="18"/>
  <c r="X112" i="18"/>
  <c r="W112" i="18"/>
  <c r="V112" i="18"/>
  <c r="U112" i="18"/>
  <c r="T112" i="18"/>
  <c r="S112" i="18"/>
  <c r="R112" i="18"/>
  <c r="N112" i="18"/>
  <c r="M112" i="18"/>
  <c r="L112" i="18"/>
  <c r="X111" i="18"/>
  <c r="W111" i="18"/>
  <c r="V111" i="18"/>
  <c r="U111" i="18"/>
  <c r="T111" i="18"/>
  <c r="S111" i="18"/>
  <c r="R111" i="18"/>
  <c r="N111" i="18"/>
  <c r="M111" i="18"/>
  <c r="L111" i="18"/>
  <c r="X110" i="18"/>
  <c r="W110" i="18"/>
  <c r="V110" i="18"/>
  <c r="U110" i="18"/>
  <c r="T110" i="18"/>
  <c r="S110" i="18"/>
  <c r="R110" i="18"/>
  <c r="N110" i="18"/>
  <c r="M110" i="18"/>
  <c r="L110" i="18"/>
  <c r="X109" i="18"/>
  <c r="W109" i="18"/>
  <c r="V109" i="18"/>
  <c r="U109" i="18"/>
  <c r="T109" i="18"/>
  <c r="S109" i="18"/>
  <c r="R109" i="18"/>
  <c r="N109" i="18"/>
  <c r="M109" i="18"/>
  <c r="L109" i="18"/>
  <c r="X108" i="18"/>
  <c r="W108" i="18"/>
  <c r="V108" i="18"/>
  <c r="U108" i="18"/>
  <c r="T108" i="18"/>
  <c r="S108" i="18"/>
  <c r="R108" i="18"/>
  <c r="N108" i="18"/>
  <c r="M108" i="18"/>
  <c r="L108" i="18"/>
  <c r="X107" i="18"/>
  <c r="W107" i="18"/>
  <c r="V107" i="18"/>
  <c r="U107" i="18"/>
  <c r="T107" i="18"/>
  <c r="S107" i="18"/>
  <c r="R107" i="18"/>
  <c r="N107" i="18"/>
  <c r="M107" i="18"/>
  <c r="L107" i="18"/>
  <c r="X106" i="18"/>
  <c r="W106" i="18"/>
  <c r="V106" i="18"/>
  <c r="U106" i="18"/>
  <c r="T106" i="18"/>
  <c r="S106" i="18"/>
  <c r="R106" i="18"/>
  <c r="N106" i="18"/>
  <c r="M106" i="18"/>
  <c r="L106" i="18"/>
  <c r="X105" i="18"/>
  <c r="W105" i="18"/>
  <c r="V105" i="18"/>
  <c r="U105" i="18"/>
  <c r="T105" i="18"/>
  <c r="S105" i="18"/>
  <c r="R105" i="18"/>
  <c r="N105" i="18"/>
  <c r="M105" i="18"/>
  <c r="L105" i="18"/>
  <c r="X104" i="18"/>
  <c r="W104" i="18"/>
  <c r="V104" i="18"/>
  <c r="U104" i="18"/>
  <c r="T104" i="18"/>
  <c r="S104" i="18"/>
  <c r="R104" i="18"/>
  <c r="N104" i="18"/>
  <c r="M104" i="18"/>
  <c r="L104" i="18"/>
  <c r="X103" i="18"/>
  <c r="W103" i="18"/>
  <c r="V103" i="18"/>
  <c r="U103" i="18"/>
  <c r="T103" i="18"/>
  <c r="S103" i="18"/>
  <c r="R103" i="18"/>
  <c r="N103" i="18"/>
  <c r="M103" i="18"/>
  <c r="L103" i="18"/>
  <c r="X102" i="18"/>
  <c r="W102" i="18"/>
  <c r="V102" i="18"/>
  <c r="U102" i="18"/>
  <c r="T102" i="18"/>
  <c r="S102" i="18"/>
  <c r="R102" i="18"/>
  <c r="N102" i="18"/>
  <c r="M102" i="18"/>
  <c r="L102" i="18"/>
  <c r="X101" i="18"/>
  <c r="W101" i="18"/>
  <c r="V101" i="18"/>
  <c r="U101" i="18"/>
  <c r="T101" i="18"/>
  <c r="S101" i="18"/>
  <c r="R101" i="18"/>
  <c r="N101" i="18"/>
  <c r="M101" i="18"/>
  <c r="L101" i="18"/>
  <c r="X100" i="18"/>
  <c r="W100" i="18"/>
  <c r="V100" i="18"/>
  <c r="U100" i="18"/>
  <c r="T100" i="18"/>
  <c r="S100" i="18"/>
  <c r="R100" i="18"/>
  <c r="N100" i="18"/>
  <c r="M100" i="18"/>
  <c r="L100" i="18"/>
  <c r="X99" i="18"/>
  <c r="W99" i="18"/>
  <c r="V99" i="18"/>
  <c r="U99" i="18"/>
  <c r="T99" i="18"/>
  <c r="S99" i="18"/>
  <c r="R99" i="18"/>
  <c r="N99" i="18"/>
  <c r="M99" i="18"/>
  <c r="L99" i="18"/>
  <c r="X98" i="18"/>
  <c r="W98" i="18"/>
  <c r="V98" i="18"/>
  <c r="U98" i="18"/>
  <c r="T98" i="18"/>
  <c r="S98" i="18"/>
  <c r="R98" i="18"/>
  <c r="N98" i="18"/>
  <c r="M98" i="18"/>
  <c r="L98" i="18"/>
  <c r="X97" i="18"/>
  <c r="W97" i="18"/>
  <c r="V97" i="18"/>
  <c r="U97" i="18"/>
  <c r="T97" i="18"/>
  <c r="S97" i="18"/>
  <c r="R97" i="18"/>
  <c r="N97" i="18"/>
  <c r="M97" i="18"/>
  <c r="L97" i="18"/>
  <c r="X96" i="18"/>
  <c r="W96" i="18"/>
  <c r="V96" i="18"/>
  <c r="U96" i="18"/>
  <c r="T96" i="18"/>
  <c r="S96" i="18"/>
  <c r="R96" i="18"/>
  <c r="N96" i="18"/>
  <c r="M96" i="18"/>
  <c r="L96" i="18"/>
  <c r="X95" i="18"/>
  <c r="W95" i="18"/>
  <c r="V95" i="18"/>
  <c r="U95" i="18"/>
  <c r="T95" i="18"/>
  <c r="S95" i="18"/>
  <c r="R95" i="18"/>
  <c r="N95" i="18"/>
  <c r="M95" i="18"/>
  <c r="L95" i="18"/>
  <c r="X94" i="18"/>
  <c r="W94" i="18"/>
  <c r="V94" i="18"/>
  <c r="U94" i="18"/>
  <c r="T94" i="18"/>
  <c r="S94" i="18"/>
  <c r="R94" i="18"/>
  <c r="N94" i="18"/>
  <c r="M94" i="18"/>
  <c r="L94" i="18"/>
  <c r="X93" i="18"/>
  <c r="W93" i="18"/>
  <c r="V93" i="18"/>
  <c r="U93" i="18"/>
  <c r="T93" i="18"/>
  <c r="S93" i="18"/>
  <c r="R93" i="18"/>
  <c r="N93" i="18"/>
  <c r="M93" i="18"/>
  <c r="L93" i="18"/>
  <c r="X92" i="18"/>
  <c r="W92" i="18"/>
  <c r="V92" i="18"/>
  <c r="U92" i="18"/>
  <c r="T92" i="18"/>
  <c r="S92" i="18"/>
  <c r="R92" i="18"/>
  <c r="N92" i="18"/>
  <c r="M92" i="18"/>
  <c r="L92" i="18"/>
  <c r="X91" i="18"/>
  <c r="W91" i="18"/>
  <c r="V91" i="18"/>
  <c r="U91" i="18"/>
  <c r="T91" i="18"/>
  <c r="S91" i="18"/>
  <c r="R91" i="18"/>
  <c r="N91" i="18"/>
  <c r="M91" i="18"/>
  <c r="L91" i="18"/>
  <c r="X90" i="18"/>
  <c r="W90" i="18"/>
  <c r="V90" i="18"/>
  <c r="U90" i="18"/>
  <c r="T90" i="18"/>
  <c r="S90" i="18"/>
  <c r="R90" i="18"/>
  <c r="N90" i="18"/>
  <c r="M90" i="18"/>
  <c r="L90" i="18"/>
  <c r="X89" i="18"/>
  <c r="W89" i="18"/>
  <c r="V89" i="18"/>
  <c r="U89" i="18"/>
  <c r="T89" i="18"/>
  <c r="S89" i="18"/>
  <c r="R89" i="18"/>
  <c r="N89" i="18"/>
  <c r="M89" i="18"/>
  <c r="L89" i="18"/>
  <c r="X88" i="18"/>
  <c r="W88" i="18"/>
  <c r="V88" i="18"/>
  <c r="U88" i="18"/>
  <c r="T88" i="18"/>
  <c r="S88" i="18"/>
  <c r="R88" i="18"/>
  <c r="N88" i="18"/>
  <c r="M88" i="18"/>
  <c r="L88" i="18"/>
  <c r="X87" i="18"/>
  <c r="W87" i="18"/>
  <c r="V87" i="18"/>
  <c r="U87" i="18"/>
  <c r="T87" i="18"/>
  <c r="S87" i="18"/>
  <c r="R87" i="18"/>
  <c r="N87" i="18"/>
  <c r="M87" i="18"/>
  <c r="L87" i="18"/>
  <c r="X86" i="18"/>
  <c r="W86" i="18"/>
  <c r="V86" i="18"/>
  <c r="U86" i="18"/>
  <c r="T86" i="18"/>
  <c r="S86" i="18"/>
  <c r="R86" i="18"/>
  <c r="N86" i="18"/>
  <c r="M86" i="18"/>
  <c r="L86" i="18"/>
  <c r="X85" i="18"/>
  <c r="W85" i="18"/>
  <c r="V85" i="18"/>
  <c r="U85" i="18"/>
  <c r="T85" i="18"/>
  <c r="S85" i="18"/>
  <c r="R85" i="18"/>
  <c r="N85" i="18"/>
  <c r="M85" i="18"/>
  <c r="L85" i="18"/>
  <c r="X84" i="18"/>
  <c r="W84" i="18"/>
  <c r="V84" i="18"/>
  <c r="U84" i="18"/>
  <c r="T84" i="18"/>
  <c r="S84" i="18"/>
  <c r="R84" i="18"/>
  <c r="N84" i="18"/>
  <c r="M84" i="18"/>
  <c r="L84" i="18"/>
  <c r="X83" i="18"/>
  <c r="W83" i="18"/>
  <c r="V83" i="18"/>
  <c r="U83" i="18"/>
  <c r="T83" i="18"/>
  <c r="S83" i="18"/>
  <c r="R83" i="18"/>
  <c r="N83" i="18"/>
  <c r="M83" i="18"/>
  <c r="L83" i="18"/>
  <c r="X82" i="18"/>
  <c r="W82" i="18"/>
  <c r="V82" i="18"/>
  <c r="U82" i="18"/>
  <c r="T82" i="18"/>
  <c r="S82" i="18"/>
  <c r="R82" i="18"/>
  <c r="N82" i="18"/>
  <c r="M82" i="18"/>
  <c r="L82" i="18"/>
  <c r="X81" i="18"/>
  <c r="W81" i="18"/>
  <c r="V81" i="18"/>
  <c r="U81" i="18"/>
  <c r="T81" i="18"/>
  <c r="S81" i="18"/>
  <c r="R81" i="18"/>
  <c r="N81" i="18"/>
  <c r="M81" i="18"/>
  <c r="L81" i="18"/>
  <c r="X80" i="18"/>
  <c r="W80" i="18"/>
  <c r="V80" i="18"/>
  <c r="U80" i="18"/>
  <c r="T80" i="18"/>
  <c r="S80" i="18"/>
  <c r="R80" i="18"/>
  <c r="N80" i="18"/>
  <c r="M80" i="18"/>
  <c r="L80" i="18"/>
  <c r="X79" i="18"/>
  <c r="W79" i="18"/>
  <c r="V79" i="18"/>
  <c r="U79" i="18"/>
  <c r="T79" i="18"/>
  <c r="S79" i="18"/>
  <c r="R79" i="18"/>
  <c r="N79" i="18"/>
  <c r="M79" i="18"/>
  <c r="L79" i="18"/>
  <c r="X78" i="18"/>
  <c r="W78" i="18"/>
  <c r="V78" i="18"/>
  <c r="U78" i="18"/>
  <c r="T78" i="18"/>
  <c r="S78" i="18"/>
  <c r="R78" i="18"/>
  <c r="N78" i="18"/>
  <c r="M78" i="18"/>
  <c r="L78" i="18"/>
  <c r="X77" i="18"/>
  <c r="W77" i="18"/>
  <c r="V77" i="18"/>
  <c r="U77" i="18"/>
  <c r="T77" i="18"/>
  <c r="S77" i="18"/>
  <c r="R77" i="18"/>
  <c r="N77" i="18"/>
  <c r="M77" i="18"/>
  <c r="L77" i="18"/>
  <c r="X76" i="18"/>
  <c r="W76" i="18"/>
  <c r="V76" i="18"/>
  <c r="U76" i="18"/>
  <c r="T76" i="18"/>
  <c r="S76" i="18"/>
  <c r="R76" i="18"/>
  <c r="N76" i="18"/>
  <c r="M76" i="18"/>
  <c r="L76" i="18"/>
  <c r="X75" i="18"/>
  <c r="W75" i="18"/>
  <c r="V75" i="18"/>
  <c r="U75" i="18"/>
  <c r="T75" i="18"/>
  <c r="S75" i="18"/>
  <c r="R75" i="18"/>
  <c r="N75" i="18"/>
  <c r="M75" i="18"/>
  <c r="L75" i="18"/>
  <c r="X74" i="18"/>
  <c r="W74" i="18"/>
  <c r="V74" i="18"/>
  <c r="U74" i="18"/>
  <c r="T74" i="18"/>
  <c r="S74" i="18"/>
  <c r="R74" i="18"/>
  <c r="N74" i="18"/>
  <c r="M74" i="18"/>
  <c r="L74" i="18"/>
  <c r="X73" i="18"/>
  <c r="W73" i="18"/>
  <c r="V73" i="18"/>
  <c r="U73" i="18"/>
  <c r="T73" i="18"/>
  <c r="S73" i="18"/>
  <c r="R73" i="18"/>
  <c r="N73" i="18"/>
  <c r="M73" i="18"/>
  <c r="L73" i="18"/>
  <c r="X72" i="18"/>
  <c r="W72" i="18"/>
  <c r="V72" i="18"/>
  <c r="U72" i="18"/>
  <c r="T72" i="18"/>
  <c r="S72" i="18"/>
  <c r="R72" i="18"/>
  <c r="N72" i="18"/>
  <c r="M72" i="18"/>
  <c r="L72" i="18"/>
  <c r="X71" i="18"/>
  <c r="W71" i="18"/>
  <c r="V71" i="18"/>
  <c r="U71" i="18"/>
  <c r="T71" i="18"/>
  <c r="S71" i="18"/>
  <c r="R71" i="18"/>
  <c r="N71" i="18"/>
  <c r="M71" i="18"/>
  <c r="L71" i="18"/>
  <c r="X70" i="18"/>
  <c r="W70" i="18"/>
  <c r="V70" i="18"/>
  <c r="U70" i="18"/>
  <c r="T70" i="18"/>
  <c r="S70" i="18"/>
  <c r="R70" i="18"/>
  <c r="N70" i="18"/>
  <c r="M70" i="18"/>
  <c r="L70" i="18"/>
  <c r="X69" i="18"/>
  <c r="W69" i="18"/>
  <c r="V69" i="18"/>
  <c r="U69" i="18"/>
  <c r="T69" i="18"/>
  <c r="S69" i="18"/>
  <c r="R69" i="18"/>
  <c r="N69" i="18"/>
  <c r="M69" i="18"/>
  <c r="L69" i="18"/>
  <c r="X68" i="18"/>
  <c r="W68" i="18"/>
  <c r="V68" i="18"/>
  <c r="U68" i="18"/>
  <c r="T68" i="18"/>
  <c r="S68" i="18"/>
  <c r="R68" i="18"/>
  <c r="N68" i="18"/>
  <c r="M68" i="18"/>
  <c r="L68" i="18"/>
  <c r="X67" i="18"/>
  <c r="W67" i="18"/>
  <c r="V67" i="18"/>
  <c r="U67" i="18"/>
  <c r="T67" i="18"/>
  <c r="S67" i="18"/>
  <c r="R67" i="18"/>
  <c r="N67" i="18"/>
  <c r="M67" i="18"/>
  <c r="L67" i="18"/>
  <c r="X66" i="18"/>
  <c r="W66" i="18"/>
  <c r="V66" i="18"/>
  <c r="U66" i="18"/>
  <c r="T66" i="18"/>
  <c r="S66" i="18"/>
  <c r="R66" i="18"/>
  <c r="N66" i="18"/>
  <c r="M66" i="18"/>
  <c r="L66" i="18"/>
  <c r="X65" i="18"/>
  <c r="W65" i="18"/>
  <c r="V65" i="18"/>
  <c r="U65" i="18"/>
  <c r="T65" i="18"/>
  <c r="S65" i="18"/>
  <c r="R65" i="18"/>
  <c r="N65" i="18"/>
  <c r="M65" i="18"/>
  <c r="L65" i="18"/>
  <c r="X64" i="18"/>
  <c r="W64" i="18"/>
  <c r="V64" i="18"/>
  <c r="U64" i="18"/>
  <c r="T64" i="18"/>
  <c r="S64" i="18"/>
  <c r="R64" i="18"/>
  <c r="N64" i="18"/>
  <c r="M64" i="18"/>
  <c r="L64" i="18"/>
  <c r="X63" i="18"/>
  <c r="W63" i="18"/>
  <c r="V63" i="18"/>
  <c r="U63" i="18"/>
  <c r="T63" i="18"/>
  <c r="S63" i="18"/>
  <c r="R63" i="18"/>
  <c r="N63" i="18"/>
  <c r="M63" i="18"/>
  <c r="L63" i="18"/>
  <c r="X62" i="18"/>
  <c r="W62" i="18"/>
  <c r="V62" i="18"/>
  <c r="U62" i="18"/>
  <c r="T62" i="18"/>
  <c r="S62" i="18"/>
  <c r="R62" i="18"/>
  <c r="N62" i="18"/>
  <c r="M62" i="18"/>
  <c r="L62" i="18"/>
  <c r="X61" i="18"/>
  <c r="W61" i="18"/>
  <c r="V61" i="18"/>
  <c r="U61" i="18"/>
  <c r="T61" i="18"/>
  <c r="S61" i="18"/>
  <c r="R61" i="18"/>
  <c r="N61" i="18"/>
  <c r="M61" i="18"/>
  <c r="L61" i="18"/>
  <c r="X60" i="18"/>
  <c r="W60" i="18"/>
  <c r="V60" i="18"/>
  <c r="U60" i="18"/>
  <c r="T60" i="18"/>
  <c r="S60" i="18"/>
  <c r="R60" i="18"/>
  <c r="N60" i="18"/>
  <c r="M60" i="18"/>
  <c r="L60" i="18"/>
  <c r="X59" i="18"/>
  <c r="W59" i="18"/>
  <c r="V59" i="18"/>
  <c r="U59" i="18"/>
  <c r="T59" i="18"/>
  <c r="S59" i="18"/>
  <c r="R59" i="18"/>
  <c r="N59" i="18"/>
  <c r="M59" i="18"/>
  <c r="L59" i="18"/>
  <c r="X58" i="18"/>
  <c r="W58" i="18"/>
  <c r="V58" i="18"/>
  <c r="U58" i="18"/>
  <c r="T58" i="18"/>
  <c r="S58" i="18"/>
  <c r="R58" i="18"/>
  <c r="N58" i="18"/>
  <c r="M58" i="18"/>
  <c r="L58" i="18"/>
  <c r="X57" i="18"/>
  <c r="W57" i="18"/>
  <c r="V57" i="18"/>
  <c r="U57" i="18"/>
  <c r="T57" i="18"/>
  <c r="S57" i="18"/>
  <c r="R57" i="18"/>
  <c r="N57" i="18"/>
  <c r="M57" i="18"/>
  <c r="L57" i="18"/>
  <c r="X56" i="18"/>
  <c r="W56" i="18"/>
  <c r="V56" i="18"/>
  <c r="U56" i="18"/>
  <c r="T56" i="18"/>
  <c r="S56" i="18"/>
  <c r="R56" i="18"/>
  <c r="N56" i="18"/>
  <c r="M56" i="18"/>
  <c r="L56" i="18"/>
  <c r="X55" i="18"/>
  <c r="W55" i="18"/>
  <c r="V55" i="18"/>
  <c r="U55" i="18"/>
  <c r="T55" i="18"/>
  <c r="S55" i="18"/>
  <c r="R55" i="18"/>
  <c r="N55" i="18"/>
  <c r="M55" i="18"/>
  <c r="L55" i="18"/>
  <c r="X54" i="18"/>
  <c r="W54" i="18"/>
  <c r="V54" i="18"/>
  <c r="U54" i="18"/>
  <c r="T54" i="18"/>
  <c r="S54" i="18"/>
  <c r="R54" i="18"/>
  <c r="N54" i="18"/>
  <c r="M54" i="18"/>
  <c r="L54" i="18"/>
  <c r="X53" i="18"/>
  <c r="W53" i="18"/>
  <c r="V53" i="18"/>
  <c r="U53" i="18"/>
  <c r="T53" i="18"/>
  <c r="S53" i="18"/>
  <c r="R53" i="18"/>
  <c r="N53" i="18"/>
  <c r="M53" i="18"/>
  <c r="L53" i="18"/>
  <c r="X52" i="18"/>
  <c r="W52" i="18"/>
  <c r="V52" i="18"/>
  <c r="U52" i="18"/>
  <c r="T52" i="18"/>
  <c r="S52" i="18"/>
  <c r="R52" i="18"/>
  <c r="N52" i="18"/>
  <c r="M52" i="18"/>
  <c r="L52" i="18"/>
  <c r="X51" i="18"/>
  <c r="W51" i="18"/>
  <c r="V51" i="18"/>
  <c r="U51" i="18"/>
  <c r="T51" i="18"/>
  <c r="S51" i="18"/>
  <c r="N51" i="18"/>
  <c r="M51" i="18"/>
  <c r="L51" i="18"/>
  <c r="X50" i="18"/>
  <c r="W50" i="18"/>
  <c r="V50" i="18"/>
  <c r="L50" i="18"/>
  <c r="X49" i="18"/>
  <c r="W49" i="18"/>
  <c r="V49" i="18"/>
  <c r="U49" i="18"/>
  <c r="T49" i="18"/>
  <c r="S49" i="18"/>
  <c r="N49" i="18"/>
  <c r="M49" i="18"/>
  <c r="L49" i="18"/>
  <c r="X48" i="18"/>
  <c r="W48" i="18"/>
  <c r="V48" i="18"/>
  <c r="U48" i="18"/>
  <c r="T48" i="18"/>
  <c r="S48" i="18"/>
  <c r="N48" i="18"/>
  <c r="M48" i="18"/>
  <c r="L48" i="18"/>
  <c r="X47" i="18"/>
  <c r="W47" i="18"/>
  <c r="V47" i="18"/>
  <c r="U47" i="18"/>
  <c r="T47" i="18"/>
  <c r="S47" i="18"/>
  <c r="N47" i="18"/>
  <c r="M47" i="18"/>
  <c r="L47" i="18"/>
  <c r="X46" i="18"/>
  <c r="W46" i="18"/>
  <c r="V46" i="18"/>
  <c r="U46" i="18"/>
  <c r="T46" i="18"/>
  <c r="S46" i="18"/>
  <c r="L46" i="18"/>
  <c r="X45" i="18"/>
  <c r="W45" i="18"/>
  <c r="V45" i="18"/>
  <c r="L45" i="18"/>
  <c r="X44" i="18"/>
  <c r="W44" i="18"/>
  <c r="V44" i="18"/>
  <c r="U44" i="18"/>
  <c r="T44" i="18"/>
  <c r="S44" i="18"/>
  <c r="N44" i="18"/>
  <c r="M44" i="18"/>
  <c r="L44" i="18"/>
  <c r="X43" i="18"/>
  <c r="W43" i="18"/>
  <c r="V43" i="18"/>
  <c r="U43" i="18"/>
  <c r="T43" i="18"/>
  <c r="S43" i="18"/>
  <c r="N43" i="18"/>
  <c r="M43" i="18"/>
  <c r="L43" i="18"/>
  <c r="X42" i="18"/>
  <c r="W42" i="18"/>
  <c r="V42" i="18"/>
  <c r="U42" i="18"/>
  <c r="T42" i="18"/>
  <c r="S42" i="18"/>
  <c r="N42" i="18"/>
  <c r="M42" i="18"/>
  <c r="L42" i="18"/>
  <c r="X41" i="18"/>
  <c r="W41" i="18"/>
  <c r="V41" i="18"/>
  <c r="U41" i="18"/>
  <c r="T41" i="18"/>
  <c r="S41" i="18"/>
  <c r="N41" i="18"/>
  <c r="M41" i="18"/>
  <c r="L41" i="18"/>
  <c r="X40" i="18"/>
  <c r="W40" i="18"/>
  <c r="V40" i="18"/>
  <c r="U40" i="18"/>
  <c r="T40" i="18"/>
  <c r="S40" i="18"/>
  <c r="N40" i="18"/>
  <c r="M40" i="18"/>
  <c r="L40" i="18"/>
  <c r="X39" i="18"/>
  <c r="W39" i="18"/>
  <c r="V39" i="18"/>
  <c r="U39" i="18"/>
  <c r="T39" i="18"/>
  <c r="S39" i="18"/>
  <c r="N39" i="18"/>
  <c r="M39" i="18"/>
  <c r="L39" i="18"/>
  <c r="X38" i="18"/>
  <c r="W38" i="18"/>
  <c r="V38" i="18"/>
  <c r="U38" i="18"/>
  <c r="T38" i="18"/>
  <c r="S38" i="18"/>
  <c r="N38" i="18"/>
  <c r="M38" i="18"/>
  <c r="L38" i="18"/>
  <c r="X37" i="18"/>
  <c r="W37" i="18"/>
  <c r="V37" i="18"/>
  <c r="U37" i="18"/>
  <c r="T37" i="18"/>
  <c r="S37" i="18"/>
  <c r="N37" i="18"/>
  <c r="M37" i="18"/>
  <c r="L37" i="18"/>
  <c r="X36" i="18"/>
  <c r="W36" i="18"/>
  <c r="V36" i="18"/>
  <c r="U36" i="18"/>
  <c r="T36" i="18"/>
  <c r="S36" i="18"/>
  <c r="N36" i="18"/>
  <c r="M36" i="18"/>
  <c r="L36" i="18"/>
  <c r="X35" i="18"/>
  <c r="W35" i="18"/>
  <c r="V35" i="18"/>
  <c r="U35" i="18"/>
  <c r="T35" i="18"/>
  <c r="S35" i="18"/>
  <c r="L35" i="18"/>
  <c r="X33" i="18"/>
  <c r="W33" i="18"/>
  <c r="V33" i="18"/>
  <c r="U33" i="18"/>
  <c r="T33" i="18"/>
  <c r="S33" i="18"/>
  <c r="Q33" i="18"/>
  <c r="P33" i="18"/>
  <c r="O33" i="18"/>
  <c r="L33" i="18"/>
  <c r="X32" i="18"/>
  <c r="W32" i="18"/>
  <c r="V32" i="18"/>
  <c r="U32" i="18"/>
  <c r="T32" i="18"/>
  <c r="S32" i="18"/>
  <c r="Q32" i="18"/>
  <c r="P32" i="18"/>
  <c r="O32" i="18"/>
  <c r="L32" i="18"/>
  <c r="X31" i="18"/>
  <c r="W31" i="18"/>
  <c r="V31" i="18"/>
  <c r="U31" i="18"/>
  <c r="T31" i="18"/>
  <c r="S31" i="18"/>
  <c r="Q31" i="18"/>
  <c r="P31" i="18"/>
  <c r="O31" i="18"/>
  <c r="L31" i="18"/>
  <c r="X30" i="18"/>
  <c r="W30" i="18"/>
  <c r="V30" i="18"/>
  <c r="U30" i="18"/>
  <c r="T30" i="18"/>
  <c r="S30" i="18"/>
  <c r="Q30" i="18"/>
  <c r="P30" i="18"/>
  <c r="O30" i="18"/>
  <c r="L30" i="18"/>
  <c r="X29" i="18"/>
  <c r="W29" i="18"/>
  <c r="V29" i="18"/>
  <c r="U29" i="18"/>
  <c r="T29" i="18"/>
  <c r="S29" i="18"/>
  <c r="Q29" i="18"/>
  <c r="P29" i="18"/>
  <c r="O29" i="18"/>
  <c r="L29" i="18"/>
  <c r="X28" i="18"/>
  <c r="W28" i="18"/>
  <c r="V28" i="18"/>
  <c r="U28" i="18"/>
  <c r="T28" i="18"/>
  <c r="S28" i="18"/>
  <c r="Q28" i="18"/>
  <c r="P28" i="18"/>
  <c r="O28" i="18"/>
  <c r="L28" i="18"/>
  <c r="X27" i="18"/>
  <c r="W27" i="18"/>
  <c r="V27" i="18"/>
  <c r="U27" i="18"/>
  <c r="T27" i="18"/>
  <c r="S27" i="18"/>
  <c r="Q27" i="18"/>
  <c r="P27" i="18"/>
  <c r="O27" i="18"/>
  <c r="N24" i="18"/>
  <c r="N50" i="18" s="1"/>
  <c r="L27" i="18"/>
  <c r="X26" i="18"/>
  <c r="W26" i="18"/>
  <c r="V26" i="18"/>
  <c r="U26" i="18"/>
  <c r="T26" i="18"/>
  <c r="S26" i="18"/>
  <c r="Q26" i="18"/>
  <c r="P26" i="18"/>
  <c r="O26" i="18"/>
  <c r="L26" i="18"/>
  <c r="K26" i="18"/>
  <c r="X25" i="18"/>
  <c r="W25" i="18"/>
  <c r="V25" i="18"/>
  <c r="U25" i="18"/>
  <c r="T25" i="18"/>
  <c r="S25" i="18"/>
  <c r="Q25" i="18"/>
  <c r="P25" i="18"/>
  <c r="O25" i="18"/>
  <c r="L25" i="18"/>
  <c r="K25" i="18"/>
  <c r="X24" i="18"/>
  <c r="W24" i="18"/>
  <c r="V24" i="18"/>
  <c r="U24" i="18"/>
  <c r="T24" i="18"/>
  <c r="S24" i="18"/>
  <c r="Q24" i="18"/>
  <c r="P24" i="18"/>
  <c r="O24" i="18"/>
  <c r="M24" i="18"/>
  <c r="M26" i="18" s="1"/>
  <c r="L24" i="18"/>
  <c r="K24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R16" i="18"/>
  <c r="N16" i="18"/>
  <c r="M16" i="18"/>
  <c r="L16" i="18"/>
  <c r="K16" i="18"/>
  <c r="W7" i="18"/>
  <c r="Y2" i="18"/>
  <c r="X153" i="16"/>
  <c r="W153" i="16"/>
  <c r="V153" i="16"/>
  <c r="U153" i="16"/>
  <c r="T153" i="16"/>
  <c r="S153" i="16"/>
  <c r="R153" i="16"/>
  <c r="N153" i="16"/>
  <c r="M153" i="16"/>
  <c r="L153" i="16"/>
  <c r="X152" i="16"/>
  <c r="W152" i="16"/>
  <c r="V152" i="16"/>
  <c r="U152" i="16"/>
  <c r="T152" i="16"/>
  <c r="S152" i="16"/>
  <c r="R152" i="16"/>
  <c r="N152" i="16"/>
  <c r="M152" i="16"/>
  <c r="L152" i="16"/>
  <c r="X151" i="16"/>
  <c r="W151" i="16"/>
  <c r="V151" i="16"/>
  <c r="U151" i="16"/>
  <c r="T151" i="16"/>
  <c r="S151" i="16"/>
  <c r="R151" i="16"/>
  <c r="N151" i="16"/>
  <c r="M151" i="16"/>
  <c r="L151" i="16"/>
  <c r="X150" i="16"/>
  <c r="W150" i="16"/>
  <c r="V150" i="16"/>
  <c r="U150" i="16"/>
  <c r="T150" i="16"/>
  <c r="S150" i="16"/>
  <c r="R150" i="16"/>
  <c r="N150" i="16"/>
  <c r="M150" i="16"/>
  <c r="L150" i="16"/>
  <c r="X149" i="16"/>
  <c r="W149" i="16"/>
  <c r="V149" i="16"/>
  <c r="U149" i="16"/>
  <c r="T149" i="16"/>
  <c r="S149" i="16"/>
  <c r="R149" i="16"/>
  <c r="N149" i="16"/>
  <c r="M149" i="16"/>
  <c r="L149" i="16"/>
  <c r="X148" i="16"/>
  <c r="W148" i="16"/>
  <c r="V148" i="16"/>
  <c r="U148" i="16"/>
  <c r="T148" i="16"/>
  <c r="S148" i="16"/>
  <c r="R148" i="16"/>
  <c r="N148" i="16"/>
  <c r="M148" i="16"/>
  <c r="L148" i="16"/>
  <c r="X147" i="16"/>
  <c r="W147" i="16"/>
  <c r="V147" i="16"/>
  <c r="U147" i="16"/>
  <c r="T147" i="16"/>
  <c r="S147" i="16"/>
  <c r="R147" i="16"/>
  <c r="N147" i="16"/>
  <c r="M147" i="16"/>
  <c r="L147" i="16"/>
  <c r="X146" i="16"/>
  <c r="W146" i="16"/>
  <c r="V146" i="16"/>
  <c r="U146" i="16"/>
  <c r="T146" i="16"/>
  <c r="S146" i="16"/>
  <c r="R146" i="16"/>
  <c r="N146" i="16"/>
  <c r="M146" i="16"/>
  <c r="L146" i="16"/>
  <c r="X145" i="16"/>
  <c r="W145" i="16"/>
  <c r="V145" i="16"/>
  <c r="U145" i="16"/>
  <c r="T145" i="16"/>
  <c r="S145" i="16"/>
  <c r="R145" i="16"/>
  <c r="N145" i="16"/>
  <c r="M145" i="16"/>
  <c r="L145" i="16"/>
  <c r="X144" i="16"/>
  <c r="W144" i="16"/>
  <c r="V144" i="16"/>
  <c r="U144" i="16"/>
  <c r="T144" i="16"/>
  <c r="S144" i="16"/>
  <c r="R144" i="16"/>
  <c r="N144" i="16"/>
  <c r="M144" i="16"/>
  <c r="L144" i="16"/>
  <c r="X143" i="16"/>
  <c r="W143" i="16"/>
  <c r="V143" i="16"/>
  <c r="U143" i="16"/>
  <c r="T143" i="16"/>
  <c r="S143" i="16"/>
  <c r="R143" i="16"/>
  <c r="N143" i="16"/>
  <c r="M143" i="16"/>
  <c r="L143" i="16"/>
  <c r="X142" i="16"/>
  <c r="W142" i="16"/>
  <c r="V142" i="16"/>
  <c r="U142" i="16"/>
  <c r="T142" i="16"/>
  <c r="S142" i="16"/>
  <c r="R142" i="16"/>
  <c r="N142" i="16"/>
  <c r="M142" i="16"/>
  <c r="L142" i="16"/>
  <c r="X141" i="16"/>
  <c r="W141" i="16"/>
  <c r="V141" i="16"/>
  <c r="U141" i="16"/>
  <c r="T141" i="16"/>
  <c r="S141" i="16"/>
  <c r="R141" i="16"/>
  <c r="N141" i="16"/>
  <c r="M141" i="16"/>
  <c r="L141" i="16"/>
  <c r="X140" i="16"/>
  <c r="W140" i="16"/>
  <c r="V140" i="16"/>
  <c r="U140" i="16"/>
  <c r="T140" i="16"/>
  <c r="S140" i="16"/>
  <c r="R140" i="16"/>
  <c r="N140" i="16"/>
  <c r="M140" i="16"/>
  <c r="L140" i="16"/>
  <c r="X139" i="16"/>
  <c r="W139" i="16"/>
  <c r="V139" i="16"/>
  <c r="U139" i="16"/>
  <c r="T139" i="16"/>
  <c r="S139" i="16"/>
  <c r="R139" i="16"/>
  <c r="N139" i="16"/>
  <c r="M139" i="16"/>
  <c r="L139" i="16"/>
  <c r="X138" i="16"/>
  <c r="W138" i="16"/>
  <c r="V138" i="16"/>
  <c r="U138" i="16"/>
  <c r="T138" i="16"/>
  <c r="S138" i="16"/>
  <c r="R138" i="16"/>
  <c r="N138" i="16"/>
  <c r="M138" i="16"/>
  <c r="L138" i="16"/>
  <c r="X137" i="16"/>
  <c r="W137" i="16"/>
  <c r="V137" i="16"/>
  <c r="U137" i="16"/>
  <c r="T137" i="16"/>
  <c r="S137" i="16"/>
  <c r="R137" i="16"/>
  <c r="N137" i="16"/>
  <c r="M137" i="16"/>
  <c r="L137" i="16"/>
  <c r="X136" i="16"/>
  <c r="W136" i="16"/>
  <c r="V136" i="16"/>
  <c r="U136" i="16"/>
  <c r="T136" i="16"/>
  <c r="S136" i="16"/>
  <c r="R136" i="16"/>
  <c r="N136" i="16"/>
  <c r="M136" i="16"/>
  <c r="L136" i="16"/>
  <c r="X135" i="16"/>
  <c r="W135" i="16"/>
  <c r="V135" i="16"/>
  <c r="U135" i="16"/>
  <c r="T135" i="16"/>
  <c r="S135" i="16"/>
  <c r="R135" i="16"/>
  <c r="N135" i="16"/>
  <c r="M135" i="16"/>
  <c r="L135" i="16"/>
  <c r="X134" i="16"/>
  <c r="W134" i="16"/>
  <c r="V134" i="16"/>
  <c r="U134" i="16"/>
  <c r="T134" i="16"/>
  <c r="S134" i="16"/>
  <c r="R134" i="16"/>
  <c r="N134" i="16"/>
  <c r="M134" i="16"/>
  <c r="L134" i="16"/>
  <c r="X133" i="16"/>
  <c r="W133" i="16"/>
  <c r="V133" i="16"/>
  <c r="U133" i="16"/>
  <c r="T133" i="16"/>
  <c r="S133" i="16"/>
  <c r="R133" i="16"/>
  <c r="N133" i="16"/>
  <c r="M133" i="16"/>
  <c r="L133" i="16"/>
  <c r="X132" i="16"/>
  <c r="W132" i="16"/>
  <c r="V132" i="16"/>
  <c r="U132" i="16"/>
  <c r="T132" i="16"/>
  <c r="S132" i="16"/>
  <c r="R132" i="16"/>
  <c r="N132" i="16"/>
  <c r="M132" i="16"/>
  <c r="L132" i="16"/>
  <c r="X131" i="16"/>
  <c r="W131" i="16"/>
  <c r="V131" i="16"/>
  <c r="U131" i="16"/>
  <c r="T131" i="16"/>
  <c r="S131" i="16"/>
  <c r="R131" i="16"/>
  <c r="N131" i="16"/>
  <c r="M131" i="16"/>
  <c r="L131" i="16"/>
  <c r="X130" i="16"/>
  <c r="W130" i="16"/>
  <c r="V130" i="16"/>
  <c r="U130" i="16"/>
  <c r="T130" i="16"/>
  <c r="S130" i="16"/>
  <c r="R130" i="16"/>
  <c r="N130" i="16"/>
  <c r="M130" i="16"/>
  <c r="L130" i="16"/>
  <c r="X129" i="16"/>
  <c r="W129" i="16"/>
  <c r="V129" i="16"/>
  <c r="U129" i="16"/>
  <c r="T129" i="16"/>
  <c r="S129" i="16"/>
  <c r="R129" i="16"/>
  <c r="N129" i="16"/>
  <c r="M129" i="16"/>
  <c r="L129" i="16"/>
  <c r="X128" i="16"/>
  <c r="W128" i="16"/>
  <c r="V128" i="16"/>
  <c r="U128" i="16"/>
  <c r="T128" i="16"/>
  <c r="S128" i="16"/>
  <c r="R128" i="16"/>
  <c r="N128" i="16"/>
  <c r="M128" i="16"/>
  <c r="L128" i="16"/>
  <c r="X127" i="16"/>
  <c r="W127" i="16"/>
  <c r="V127" i="16"/>
  <c r="U127" i="16"/>
  <c r="T127" i="16"/>
  <c r="S127" i="16"/>
  <c r="R127" i="16"/>
  <c r="N127" i="16"/>
  <c r="M127" i="16"/>
  <c r="L127" i="16"/>
  <c r="X126" i="16"/>
  <c r="W126" i="16"/>
  <c r="V126" i="16"/>
  <c r="U126" i="16"/>
  <c r="T126" i="16"/>
  <c r="S126" i="16"/>
  <c r="R126" i="16"/>
  <c r="N126" i="16"/>
  <c r="M126" i="16"/>
  <c r="L126" i="16"/>
  <c r="X125" i="16"/>
  <c r="W125" i="16"/>
  <c r="V125" i="16"/>
  <c r="U125" i="16"/>
  <c r="T125" i="16"/>
  <c r="S125" i="16"/>
  <c r="R125" i="16"/>
  <c r="N125" i="16"/>
  <c r="M125" i="16"/>
  <c r="L125" i="16"/>
  <c r="X124" i="16"/>
  <c r="W124" i="16"/>
  <c r="V124" i="16"/>
  <c r="U124" i="16"/>
  <c r="T124" i="16"/>
  <c r="S124" i="16"/>
  <c r="R124" i="16"/>
  <c r="N124" i="16"/>
  <c r="M124" i="16"/>
  <c r="L124" i="16"/>
  <c r="X123" i="16"/>
  <c r="W123" i="16"/>
  <c r="V123" i="16"/>
  <c r="U123" i="16"/>
  <c r="T123" i="16"/>
  <c r="S123" i="16"/>
  <c r="R123" i="16"/>
  <c r="N123" i="16"/>
  <c r="M123" i="16"/>
  <c r="L123" i="16"/>
  <c r="X122" i="16"/>
  <c r="W122" i="16"/>
  <c r="V122" i="16"/>
  <c r="U122" i="16"/>
  <c r="T122" i="16"/>
  <c r="S122" i="16"/>
  <c r="R122" i="16"/>
  <c r="N122" i="16"/>
  <c r="M122" i="16"/>
  <c r="L122" i="16"/>
  <c r="X121" i="16"/>
  <c r="W121" i="16"/>
  <c r="V121" i="16"/>
  <c r="U121" i="16"/>
  <c r="T121" i="16"/>
  <c r="S121" i="16"/>
  <c r="R121" i="16"/>
  <c r="N121" i="16"/>
  <c r="M121" i="16"/>
  <c r="L121" i="16"/>
  <c r="X120" i="16"/>
  <c r="W120" i="16"/>
  <c r="V120" i="16"/>
  <c r="U120" i="16"/>
  <c r="T120" i="16"/>
  <c r="S120" i="16"/>
  <c r="R120" i="16"/>
  <c r="N120" i="16"/>
  <c r="M120" i="16"/>
  <c r="L120" i="16"/>
  <c r="X119" i="16"/>
  <c r="W119" i="16"/>
  <c r="V119" i="16"/>
  <c r="U119" i="16"/>
  <c r="T119" i="16"/>
  <c r="S119" i="16"/>
  <c r="R119" i="16"/>
  <c r="N119" i="16"/>
  <c r="M119" i="16"/>
  <c r="L119" i="16"/>
  <c r="X118" i="16"/>
  <c r="W118" i="16"/>
  <c r="V118" i="16"/>
  <c r="U118" i="16"/>
  <c r="T118" i="16"/>
  <c r="S118" i="16"/>
  <c r="R118" i="16"/>
  <c r="N118" i="16"/>
  <c r="M118" i="16"/>
  <c r="L118" i="16"/>
  <c r="X117" i="16"/>
  <c r="W117" i="16"/>
  <c r="V117" i="16"/>
  <c r="U117" i="16"/>
  <c r="T117" i="16"/>
  <c r="S117" i="16"/>
  <c r="R117" i="16"/>
  <c r="N117" i="16"/>
  <c r="M117" i="16"/>
  <c r="L117" i="16"/>
  <c r="X116" i="16"/>
  <c r="W116" i="16"/>
  <c r="V116" i="16"/>
  <c r="U116" i="16"/>
  <c r="T116" i="16"/>
  <c r="S116" i="16"/>
  <c r="R116" i="16"/>
  <c r="N116" i="16"/>
  <c r="M116" i="16"/>
  <c r="L116" i="16"/>
  <c r="X115" i="16"/>
  <c r="W115" i="16"/>
  <c r="V115" i="16"/>
  <c r="U115" i="16"/>
  <c r="T115" i="16"/>
  <c r="S115" i="16"/>
  <c r="R115" i="16"/>
  <c r="N115" i="16"/>
  <c r="M115" i="16"/>
  <c r="L115" i="16"/>
  <c r="X114" i="16"/>
  <c r="W114" i="16"/>
  <c r="V114" i="16"/>
  <c r="U114" i="16"/>
  <c r="T114" i="16"/>
  <c r="S114" i="16"/>
  <c r="R114" i="16"/>
  <c r="N114" i="16"/>
  <c r="M114" i="16"/>
  <c r="L114" i="16"/>
  <c r="X113" i="16"/>
  <c r="W113" i="16"/>
  <c r="V113" i="16"/>
  <c r="U113" i="16"/>
  <c r="T113" i="16"/>
  <c r="S113" i="16"/>
  <c r="R113" i="16"/>
  <c r="N113" i="16"/>
  <c r="M113" i="16"/>
  <c r="L113" i="16"/>
  <c r="X112" i="16"/>
  <c r="W112" i="16"/>
  <c r="V112" i="16"/>
  <c r="U112" i="16"/>
  <c r="T112" i="16"/>
  <c r="S112" i="16"/>
  <c r="R112" i="16"/>
  <c r="N112" i="16"/>
  <c r="M112" i="16"/>
  <c r="L112" i="16"/>
  <c r="X111" i="16"/>
  <c r="W111" i="16"/>
  <c r="V111" i="16"/>
  <c r="U111" i="16"/>
  <c r="T111" i="16"/>
  <c r="S111" i="16"/>
  <c r="R111" i="16"/>
  <c r="N111" i="16"/>
  <c r="M111" i="16"/>
  <c r="L111" i="16"/>
  <c r="X110" i="16"/>
  <c r="W110" i="16"/>
  <c r="V110" i="16"/>
  <c r="U110" i="16"/>
  <c r="T110" i="16"/>
  <c r="S110" i="16"/>
  <c r="R110" i="16"/>
  <c r="N110" i="16"/>
  <c r="M110" i="16"/>
  <c r="L110" i="16"/>
  <c r="X109" i="16"/>
  <c r="W109" i="16"/>
  <c r="V109" i="16"/>
  <c r="U109" i="16"/>
  <c r="T109" i="16"/>
  <c r="S109" i="16"/>
  <c r="R109" i="16"/>
  <c r="N109" i="16"/>
  <c r="M109" i="16"/>
  <c r="L109" i="16"/>
  <c r="X108" i="16"/>
  <c r="W108" i="16"/>
  <c r="V108" i="16"/>
  <c r="U108" i="16"/>
  <c r="T108" i="16"/>
  <c r="S108" i="16"/>
  <c r="R108" i="16"/>
  <c r="N108" i="16"/>
  <c r="M108" i="16"/>
  <c r="L108" i="16"/>
  <c r="X107" i="16"/>
  <c r="W107" i="16"/>
  <c r="V107" i="16"/>
  <c r="U107" i="16"/>
  <c r="T107" i="16"/>
  <c r="S107" i="16"/>
  <c r="R107" i="16"/>
  <c r="N107" i="16"/>
  <c r="M107" i="16"/>
  <c r="L107" i="16"/>
  <c r="X106" i="16"/>
  <c r="W106" i="16"/>
  <c r="V106" i="16"/>
  <c r="U106" i="16"/>
  <c r="T106" i="16"/>
  <c r="S106" i="16"/>
  <c r="R106" i="16"/>
  <c r="N106" i="16"/>
  <c r="M106" i="16"/>
  <c r="L106" i="16"/>
  <c r="X105" i="16"/>
  <c r="W105" i="16"/>
  <c r="V105" i="16"/>
  <c r="U105" i="16"/>
  <c r="T105" i="16"/>
  <c r="S105" i="16"/>
  <c r="R105" i="16"/>
  <c r="N105" i="16"/>
  <c r="M105" i="16"/>
  <c r="L105" i="16"/>
  <c r="X104" i="16"/>
  <c r="W104" i="16"/>
  <c r="V104" i="16"/>
  <c r="U104" i="16"/>
  <c r="T104" i="16"/>
  <c r="S104" i="16"/>
  <c r="R104" i="16"/>
  <c r="N104" i="16"/>
  <c r="M104" i="16"/>
  <c r="L104" i="16"/>
  <c r="X103" i="16"/>
  <c r="W103" i="16"/>
  <c r="V103" i="16"/>
  <c r="U103" i="16"/>
  <c r="T103" i="16"/>
  <c r="S103" i="16"/>
  <c r="R103" i="16"/>
  <c r="N103" i="16"/>
  <c r="M103" i="16"/>
  <c r="L103" i="16"/>
  <c r="X102" i="16"/>
  <c r="W102" i="16"/>
  <c r="V102" i="16"/>
  <c r="U102" i="16"/>
  <c r="T102" i="16"/>
  <c r="S102" i="16"/>
  <c r="R102" i="16"/>
  <c r="N102" i="16"/>
  <c r="M102" i="16"/>
  <c r="L102" i="16"/>
  <c r="X101" i="16"/>
  <c r="W101" i="16"/>
  <c r="V101" i="16"/>
  <c r="U101" i="16"/>
  <c r="T101" i="16"/>
  <c r="S101" i="16"/>
  <c r="R101" i="16"/>
  <c r="N101" i="16"/>
  <c r="M101" i="16"/>
  <c r="L101" i="16"/>
  <c r="X100" i="16"/>
  <c r="W100" i="16"/>
  <c r="V100" i="16"/>
  <c r="U100" i="16"/>
  <c r="T100" i="16"/>
  <c r="S100" i="16"/>
  <c r="R100" i="16"/>
  <c r="N100" i="16"/>
  <c r="M100" i="16"/>
  <c r="L100" i="16"/>
  <c r="X99" i="16"/>
  <c r="W99" i="16"/>
  <c r="V99" i="16"/>
  <c r="U99" i="16"/>
  <c r="T99" i="16"/>
  <c r="S99" i="16"/>
  <c r="R99" i="16"/>
  <c r="N99" i="16"/>
  <c r="M99" i="16"/>
  <c r="L99" i="16"/>
  <c r="X98" i="16"/>
  <c r="W98" i="16"/>
  <c r="V98" i="16"/>
  <c r="U98" i="16"/>
  <c r="T98" i="16"/>
  <c r="S98" i="16"/>
  <c r="R98" i="16"/>
  <c r="N98" i="16"/>
  <c r="M98" i="16"/>
  <c r="L98" i="16"/>
  <c r="X97" i="16"/>
  <c r="W97" i="16"/>
  <c r="V97" i="16"/>
  <c r="U97" i="16"/>
  <c r="T97" i="16"/>
  <c r="S97" i="16"/>
  <c r="R97" i="16"/>
  <c r="N97" i="16"/>
  <c r="M97" i="16"/>
  <c r="L97" i="16"/>
  <c r="X96" i="16"/>
  <c r="W96" i="16"/>
  <c r="V96" i="16"/>
  <c r="U96" i="16"/>
  <c r="T96" i="16"/>
  <c r="S96" i="16"/>
  <c r="R96" i="16"/>
  <c r="N96" i="16"/>
  <c r="M96" i="16"/>
  <c r="L96" i="16"/>
  <c r="X95" i="16"/>
  <c r="W95" i="16"/>
  <c r="V95" i="16"/>
  <c r="U95" i="16"/>
  <c r="T95" i="16"/>
  <c r="S95" i="16"/>
  <c r="R95" i="16"/>
  <c r="N95" i="16"/>
  <c r="M95" i="16"/>
  <c r="L95" i="16"/>
  <c r="X94" i="16"/>
  <c r="W94" i="16"/>
  <c r="V94" i="16"/>
  <c r="U94" i="16"/>
  <c r="T94" i="16"/>
  <c r="S94" i="16"/>
  <c r="R94" i="16"/>
  <c r="N94" i="16"/>
  <c r="M94" i="16"/>
  <c r="L94" i="16"/>
  <c r="X93" i="16"/>
  <c r="W93" i="16"/>
  <c r="V93" i="16"/>
  <c r="U93" i="16"/>
  <c r="T93" i="16"/>
  <c r="S93" i="16"/>
  <c r="R93" i="16"/>
  <c r="N93" i="16"/>
  <c r="M93" i="16"/>
  <c r="L93" i="16"/>
  <c r="X92" i="16"/>
  <c r="W92" i="16"/>
  <c r="V92" i="16"/>
  <c r="U92" i="16"/>
  <c r="T92" i="16"/>
  <c r="S92" i="16"/>
  <c r="R92" i="16"/>
  <c r="N92" i="16"/>
  <c r="M92" i="16"/>
  <c r="L92" i="16"/>
  <c r="X91" i="16"/>
  <c r="W91" i="16"/>
  <c r="V91" i="16"/>
  <c r="U91" i="16"/>
  <c r="T91" i="16"/>
  <c r="S91" i="16"/>
  <c r="R91" i="16"/>
  <c r="N91" i="16"/>
  <c r="M91" i="16"/>
  <c r="L91" i="16"/>
  <c r="X90" i="16"/>
  <c r="W90" i="16"/>
  <c r="V90" i="16"/>
  <c r="U90" i="16"/>
  <c r="T90" i="16"/>
  <c r="S90" i="16"/>
  <c r="R90" i="16"/>
  <c r="N90" i="16"/>
  <c r="M90" i="16"/>
  <c r="L90" i="16"/>
  <c r="X89" i="16"/>
  <c r="W89" i="16"/>
  <c r="V89" i="16"/>
  <c r="U89" i="16"/>
  <c r="T89" i="16"/>
  <c r="S89" i="16"/>
  <c r="R89" i="16"/>
  <c r="N89" i="16"/>
  <c r="M89" i="16"/>
  <c r="L89" i="16"/>
  <c r="X88" i="16"/>
  <c r="W88" i="16"/>
  <c r="V88" i="16"/>
  <c r="U88" i="16"/>
  <c r="T88" i="16"/>
  <c r="S88" i="16"/>
  <c r="R88" i="16"/>
  <c r="N88" i="16"/>
  <c r="M88" i="16"/>
  <c r="L88" i="16"/>
  <c r="X87" i="16"/>
  <c r="W87" i="16"/>
  <c r="V87" i="16"/>
  <c r="U87" i="16"/>
  <c r="T87" i="16"/>
  <c r="S87" i="16"/>
  <c r="R87" i="16"/>
  <c r="N87" i="16"/>
  <c r="M87" i="16"/>
  <c r="L87" i="16"/>
  <c r="X86" i="16"/>
  <c r="W86" i="16"/>
  <c r="V86" i="16"/>
  <c r="U86" i="16"/>
  <c r="T86" i="16"/>
  <c r="S86" i="16"/>
  <c r="R86" i="16"/>
  <c r="N86" i="16"/>
  <c r="M86" i="16"/>
  <c r="L86" i="16"/>
  <c r="X85" i="16"/>
  <c r="W85" i="16"/>
  <c r="V85" i="16"/>
  <c r="U85" i="16"/>
  <c r="T85" i="16"/>
  <c r="S85" i="16"/>
  <c r="R85" i="16"/>
  <c r="N85" i="16"/>
  <c r="M85" i="16"/>
  <c r="L85" i="16"/>
  <c r="X84" i="16"/>
  <c r="W84" i="16"/>
  <c r="V84" i="16"/>
  <c r="U84" i="16"/>
  <c r="T84" i="16"/>
  <c r="S84" i="16"/>
  <c r="R84" i="16"/>
  <c r="N84" i="16"/>
  <c r="M84" i="16"/>
  <c r="L84" i="16"/>
  <c r="X83" i="16"/>
  <c r="W83" i="16"/>
  <c r="V83" i="16"/>
  <c r="U83" i="16"/>
  <c r="T83" i="16"/>
  <c r="S83" i="16"/>
  <c r="R83" i="16"/>
  <c r="N83" i="16"/>
  <c r="M83" i="16"/>
  <c r="L83" i="16"/>
  <c r="X82" i="16"/>
  <c r="W82" i="16"/>
  <c r="V82" i="16"/>
  <c r="U82" i="16"/>
  <c r="T82" i="16"/>
  <c r="S82" i="16"/>
  <c r="R82" i="16"/>
  <c r="N82" i="16"/>
  <c r="M82" i="16"/>
  <c r="L82" i="16"/>
  <c r="X81" i="16"/>
  <c r="W81" i="16"/>
  <c r="V81" i="16"/>
  <c r="U81" i="16"/>
  <c r="T81" i="16"/>
  <c r="S81" i="16"/>
  <c r="R81" i="16"/>
  <c r="N81" i="16"/>
  <c r="M81" i="16"/>
  <c r="L81" i="16"/>
  <c r="X80" i="16"/>
  <c r="W80" i="16"/>
  <c r="V80" i="16"/>
  <c r="U80" i="16"/>
  <c r="T80" i="16"/>
  <c r="S80" i="16"/>
  <c r="R80" i="16"/>
  <c r="N80" i="16"/>
  <c r="M80" i="16"/>
  <c r="L80" i="16"/>
  <c r="X79" i="16"/>
  <c r="W79" i="16"/>
  <c r="V79" i="16"/>
  <c r="U79" i="16"/>
  <c r="T79" i="16"/>
  <c r="S79" i="16"/>
  <c r="R79" i="16"/>
  <c r="N79" i="16"/>
  <c r="M79" i="16"/>
  <c r="L79" i="16"/>
  <c r="X78" i="16"/>
  <c r="W78" i="16"/>
  <c r="V78" i="16"/>
  <c r="U78" i="16"/>
  <c r="T78" i="16"/>
  <c r="S78" i="16"/>
  <c r="R78" i="16"/>
  <c r="N78" i="16"/>
  <c r="M78" i="16"/>
  <c r="L78" i="16"/>
  <c r="X77" i="16"/>
  <c r="W77" i="16"/>
  <c r="V77" i="16"/>
  <c r="U77" i="16"/>
  <c r="T77" i="16"/>
  <c r="S77" i="16"/>
  <c r="R77" i="16"/>
  <c r="N77" i="16"/>
  <c r="M77" i="16"/>
  <c r="L77" i="16"/>
  <c r="X76" i="16"/>
  <c r="W76" i="16"/>
  <c r="V76" i="16"/>
  <c r="U76" i="16"/>
  <c r="T76" i="16"/>
  <c r="S76" i="16"/>
  <c r="R76" i="16"/>
  <c r="N76" i="16"/>
  <c r="M76" i="16"/>
  <c r="L76" i="16"/>
  <c r="X75" i="16"/>
  <c r="W75" i="16"/>
  <c r="V75" i="16"/>
  <c r="U75" i="16"/>
  <c r="T75" i="16"/>
  <c r="S75" i="16"/>
  <c r="R75" i="16"/>
  <c r="N75" i="16"/>
  <c r="M75" i="16"/>
  <c r="L75" i="16"/>
  <c r="X74" i="16"/>
  <c r="W74" i="16"/>
  <c r="V74" i="16"/>
  <c r="U74" i="16"/>
  <c r="T74" i="16"/>
  <c r="S74" i="16"/>
  <c r="R74" i="16"/>
  <c r="N74" i="16"/>
  <c r="M74" i="16"/>
  <c r="L74" i="16"/>
  <c r="X73" i="16"/>
  <c r="W73" i="16"/>
  <c r="V73" i="16"/>
  <c r="U73" i="16"/>
  <c r="T73" i="16"/>
  <c r="S73" i="16"/>
  <c r="R73" i="16"/>
  <c r="N73" i="16"/>
  <c r="M73" i="16"/>
  <c r="L73" i="16"/>
  <c r="X72" i="16"/>
  <c r="W72" i="16"/>
  <c r="V72" i="16"/>
  <c r="U72" i="16"/>
  <c r="T72" i="16"/>
  <c r="S72" i="16"/>
  <c r="R72" i="16"/>
  <c r="N72" i="16"/>
  <c r="M72" i="16"/>
  <c r="L72" i="16"/>
  <c r="X71" i="16"/>
  <c r="W71" i="16"/>
  <c r="V71" i="16"/>
  <c r="U71" i="16"/>
  <c r="T71" i="16"/>
  <c r="S71" i="16"/>
  <c r="R71" i="16"/>
  <c r="N71" i="16"/>
  <c r="M71" i="16"/>
  <c r="L71" i="16"/>
  <c r="X70" i="16"/>
  <c r="W70" i="16"/>
  <c r="V70" i="16"/>
  <c r="U70" i="16"/>
  <c r="T70" i="16"/>
  <c r="S70" i="16"/>
  <c r="R70" i="16"/>
  <c r="N70" i="16"/>
  <c r="M70" i="16"/>
  <c r="L70" i="16"/>
  <c r="X69" i="16"/>
  <c r="W69" i="16"/>
  <c r="V69" i="16"/>
  <c r="U69" i="16"/>
  <c r="T69" i="16"/>
  <c r="S69" i="16"/>
  <c r="R69" i="16"/>
  <c r="N69" i="16"/>
  <c r="M69" i="16"/>
  <c r="L69" i="16"/>
  <c r="X68" i="16"/>
  <c r="W68" i="16"/>
  <c r="V68" i="16"/>
  <c r="U68" i="16"/>
  <c r="T68" i="16"/>
  <c r="S68" i="16"/>
  <c r="R68" i="16"/>
  <c r="N68" i="16"/>
  <c r="M68" i="16"/>
  <c r="L68" i="16"/>
  <c r="X67" i="16"/>
  <c r="W67" i="16"/>
  <c r="V67" i="16"/>
  <c r="U67" i="16"/>
  <c r="T67" i="16"/>
  <c r="S67" i="16"/>
  <c r="R67" i="16"/>
  <c r="N67" i="16"/>
  <c r="M67" i="16"/>
  <c r="L67" i="16"/>
  <c r="X66" i="16"/>
  <c r="W66" i="16"/>
  <c r="V66" i="16"/>
  <c r="U66" i="16"/>
  <c r="T66" i="16"/>
  <c r="S66" i="16"/>
  <c r="R66" i="16"/>
  <c r="N66" i="16"/>
  <c r="M66" i="16"/>
  <c r="L66" i="16"/>
  <c r="X65" i="16"/>
  <c r="W65" i="16"/>
  <c r="V65" i="16"/>
  <c r="U65" i="16"/>
  <c r="T65" i="16"/>
  <c r="S65" i="16"/>
  <c r="R65" i="16"/>
  <c r="N65" i="16"/>
  <c r="M65" i="16"/>
  <c r="L65" i="16"/>
  <c r="X64" i="16"/>
  <c r="W64" i="16"/>
  <c r="V64" i="16"/>
  <c r="U64" i="16"/>
  <c r="T64" i="16"/>
  <c r="S64" i="16"/>
  <c r="R64" i="16"/>
  <c r="N64" i="16"/>
  <c r="M64" i="16"/>
  <c r="L64" i="16"/>
  <c r="X63" i="16"/>
  <c r="W63" i="16"/>
  <c r="V63" i="16"/>
  <c r="U63" i="16"/>
  <c r="T63" i="16"/>
  <c r="S63" i="16"/>
  <c r="R63" i="16"/>
  <c r="N63" i="16"/>
  <c r="M63" i="16"/>
  <c r="L63" i="16"/>
  <c r="X62" i="16"/>
  <c r="W62" i="16"/>
  <c r="V62" i="16"/>
  <c r="U62" i="16"/>
  <c r="T62" i="16"/>
  <c r="S62" i="16"/>
  <c r="R62" i="16"/>
  <c r="N62" i="16"/>
  <c r="M62" i="16"/>
  <c r="L62" i="16"/>
  <c r="X61" i="16"/>
  <c r="W61" i="16"/>
  <c r="V61" i="16"/>
  <c r="U61" i="16"/>
  <c r="T61" i="16"/>
  <c r="S61" i="16"/>
  <c r="R61" i="16"/>
  <c r="N61" i="16"/>
  <c r="M61" i="16"/>
  <c r="L61" i="16"/>
  <c r="X60" i="16"/>
  <c r="W60" i="16"/>
  <c r="V60" i="16"/>
  <c r="U60" i="16"/>
  <c r="T60" i="16"/>
  <c r="S60" i="16"/>
  <c r="R60" i="16"/>
  <c r="N60" i="16"/>
  <c r="M60" i="16"/>
  <c r="L60" i="16"/>
  <c r="X59" i="16"/>
  <c r="W59" i="16"/>
  <c r="V59" i="16"/>
  <c r="U59" i="16"/>
  <c r="S59" i="16"/>
  <c r="R59" i="16"/>
  <c r="N59" i="16"/>
  <c r="M59" i="16"/>
  <c r="L59" i="16"/>
  <c r="X58" i="16"/>
  <c r="W58" i="16"/>
  <c r="V58" i="16"/>
  <c r="U58" i="16"/>
  <c r="T58" i="16"/>
  <c r="S58" i="16"/>
  <c r="R58" i="16"/>
  <c r="N58" i="16"/>
  <c r="M58" i="16"/>
  <c r="L58" i="16"/>
  <c r="X57" i="16"/>
  <c r="W57" i="16"/>
  <c r="V57" i="16"/>
  <c r="U57" i="16"/>
  <c r="T57" i="16"/>
  <c r="S57" i="16"/>
  <c r="R57" i="16"/>
  <c r="N57" i="16"/>
  <c r="M57" i="16"/>
  <c r="L57" i="16"/>
  <c r="X56" i="16"/>
  <c r="W56" i="16"/>
  <c r="V56" i="16"/>
  <c r="U56" i="16"/>
  <c r="T56" i="16"/>
  <c r="S56" i="16"/>
  <c r="R56" i="16"/>
  <c r="N56" i="16"/>
  <c r="M56" i="16"/>
  <c r="L56" i="16"/>
  <c r="X55" i="16"/>
  <c r="W55" i="16"/>
  <c r="V55" i="16"/>
  <c r="U55" i="16"/>
  <c r="T55" i="16"/>
  <c r="S55" i="16"/>
  <c r="R55" i="16"/>
  <c r="N55" i="16"/>
  <c r="M55" i="16"/>
  <c r="L55" i="16"/>
  <c r="X54" i="16"/>
  <c r="W54" i="16"/>
  <c r="V54" i="16"/>
  <c r="U54" i="16"/>
  <c r="T54" i="16"/>
  <c r="S54" i="16"/>
  <c r="R54" i="16"/>
  <c r="N54" i="16"/>
  <c r="M54" i="16"/>
  <c r="L54" i="16"/>
  <c r="X53" i="16"/>
  <c r="W53" i="16"/>
  <c r="V53" i="16"/>
  <c r="U53" i="16"/>
  <c r="T53" i="16"/>
  <c r="S53" i="16"/>
  <c r="R53" i="16"/>
  <c r="N53" i="16"/>
  <c r="M53" i="16"/>
  <c r="L53" i="16"/>
  <c r="X52" i="16"/>
  <c r="W52" i="16"/>
  <c r="V52" i="16"/>
  <c r="U52" i="16"/>
  <c r="T52" i="16"/>
  <c r="S52" i="16"/>
  <c r="R52" i="16"/>
  <c r="N52" i="16"/>
  <c r="M52" i="16"/>
  <c r="L52" i="16"/>
  <c r="X51" i="16"/>
  <c r="W51" i="16"/>
  <c r="V51" i="16"/>
  <c r="U51" i="16"/>
  <c r="T51" i="16"/>
  <c r="S51" i="16"/>
  <c r="R51" i="16"/>
  <c r="N51" i="16"/>
  <c r="M51" i="16"/>
  <c r="L51" i="16"/>
  <c r="X50" i="16"/>
  <c r="W50" i="16"/>
  <c r="V50" i="16"/>
  <c r="U50" i="16"/>
  <c r="T50" i="16"/>
  <c r="S50" i="16"/>
  <c r="R50" i="16"/>
  <c r="N50" i="16"/>
  <c r="M50" i="16"/>
  <c r="L50" i="16"/>
  <c r="X49" i="16"/>
  <c r="W49" i="16"/>
  <c r="V49" i="16"/>
  <c r="U49" i="16"/>
  <c r="T49" i="16"/>
  <c r="S49" i="16"/>
  <c r="R49" i="16"/>
  <c r="N49" i="16"/>
  <c r="M49" i="16"/>
  <c r="L49" i="16"/>
  <c r="X48" i="16"/>
  <c r="W48" i="16"/>
  <c r="V48" i="16"/>
  <c r="U48" i="16"/>
  <c r="T48" i="16"/>
  <c r="S48" i="16"/>
  <c r="R48" i="16"/>
  <c r="N48" i="16"/>
  <c r="M48" i="16"/>
  <c r="L48" i="16"/>
  <c r="X47" i="16"/>
  <c r="W47" i="16"/>
  <c r="V47" i="16"/>
  <c r="U47" i="16"/>
  <c r="T47" i="16"/>
  <c r="S47" i="16"/>
  <c r="R47" i="16"/>
  <c r="N47" i="16"/>
  <c r="M47" i="16"/>
  <c r="L47" i="16"/>
  <c r="X46" i="16"/>
  <c r="W46" i="16"/>
  <c r="V46" i="16"/>
  <c r="U46" i="16"/>
  <c r="T46" i="16"/>
  <c r="S46" i="16"/>
  <c r="R46" i="16"/>
  <c r="N46" i="16"/>
  <c r="M46" i="16"/>
  <c r="L46" i="16"/>
  <c r="X45" i="16"/>
  <c r="W45" i="16"/>
  <c r="V45" i="16"/>
  <c r="U45" i="16"/>
  <c r="T45" i="16"/>
  <c r="S45" i="16"/>
  <c r="R45" i="16"/>
  <c r="N45" i="16"/>
  <c r="M45" i="16"/>
  <c r="L45" i="16"/>
  <c r="X44" i="16"/>
  <c r="W44" i="16"/>
  <c r="V44" i="16"/>
  <c r="U44" i="16"/>
  <c r="T44" i="16"/>
  <c r="S44" i="16"/>
  <c r="R44" i="16"/>
  <c r="N44" i="16"/>
  <c r="M44" i="16"/>
  <c r="L44" i="16"/>
  <c r="X43" i="16"/>
  <c r="W43" i="16"/>
  <c r="V43" i="16"/>
  <c r="U43" i="16"/>
  <c r="T43" i="16"/>
  <c r="S43" i="16"/>
  <c r="R43" i="16"/>
  <c r="N43" i="16"/>
  <c r="M43" i="16"/>
  <c r="L43" i="16"/>
  <c r="X42" i="16"/>
  <c r="W42" i="16"/>
  <c r="V42" i="16"/>
  <c r="U42" i="16"/>
  <c r="T42" i="16"/>
  <c r="S42" i="16"/>
  <c r="R42" i="16"/>
  <c r="N42" i="16"/>
  <c r="M42" i="16"/>
  <c r="L42" i="16"/>
  <c r="X41" i="16"/>
  <c r="W41" i="16"/>
  <c r="V41" i="16"/>
  <c r="U41" i="16"/>
  <c r="T41" i="16"/>
  <c r="S41" i="16"/>
  <c r="R41" i="16"/>
  <c r="N41" i="16"/>
  <c r="M41" i="16"/>
  <c r="L41" i="16"/>
  <c r="X40" i="16"/>
  <c r="W40" i="16"/>
  <c r="V40" i="16"/>
  <c r="U40" i="16"/>
  <c r="T40" i="16"/>
  <c r="S40" i="16"/>
  <c r="R40" i="16"/>
  <c r="N40" i="16"/>
  <c r="M40" i="16"/>
  <c r="L40" i="16"/>
  <c r="X39" i="16"/>
  <c r="W39" i="16"/>
  <c r="V39" i="16"/>
  <c r="U39" i="16"/>
  <c r="T39" i="16"/>
  <c r="S39" i="16"/>
  <c r="R39" i="16"/>
  <c r="N39" i="16"/>
  <c r="M39" i="16"/>
  <c r="L39" i="16"/>
  <c r="U38" i="16"/>
  <c r="T38" i="16"/>
  <c r="S38" i="16"/>
  <c r="R38" i="16"/>
  <c r="N38" i="16"/>
  <c r="Q48" i="16" s="1"/>
  <c r="M38" i="16"/>
  <c r="P43" i="16" s="1"/>
  <c r="L38" i="16"/>
  <c r="O38" i="16" s="1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R16" i="16"/>
  <c r="N16" i="16"/>
  <c r="M16" i="16"/>
  <c r="L16" i="16"/>
  <c r="K16" i="16"/>
  <c r="W7" i="16"/>
  <c r="Y2" i="16"/>
  <c r="X153" i="14"/>
  <c r="W153" i="14"/>
  <c r="V153" i="14"/>
  <c r="U153" i="14"/>
  <c r="T153" i="14"/>
  <c r="S153" i="14"/>
  <c r="R153" i="14"/>
  <c r="N153" i="14"/>
  <c r="M153" i="14"/>
  <c r="L153" i="14"/>
  <c r="X152" i="14"/>
  <c r="W152" i="14"/>
  <c r="V152" i="14"/>
  <c r="U152" i="14"/>
  <c r="T152" i="14"/>
  <c r="S152" i="14"/>
  <c r="R152" i="14"/>
  <c r="N152" i="14"/>
  <c r="M152" i="14"/>
  <c r="L152" i="14"/>
  <c r="X151" i="14"/>
  <c r="W151" i="14"/>
  <c r="V151" i="14"/>
  <c r="U151" i="14"/>
  <c r="T151" i="14"/>
  <c r="S151" i="14"/>
  <c r="R151" i="14"/>
  <c r="N151" i="14"/>
  <c r="M151" i="14"/>
  <c r="L151" i="14"/>
  <c r="X150" i="14"/>
  <c r="W150" i="14"/>
  <c r="V150" i="14"/>
  <c r="U150" i="14"/>
  <c r="T150" i="14"/>
  <c r="S150" i="14"/>
  <c r="R150" i="14"/>
  <c r="N150" i="14"/>
  <c r="M150" i="14"/>
  <c r="L150" i="14"/>
  <c r="X149" i="14"/>
  <c r="W149" i="14"/>
  <c r="V149" i="14"/>
  <c r="U149" i="14"/>
  <c r="T149" i="14"/>
  <c r="S149" i="14"/>
  <c r="R149" i="14"/>
  <c r="N149" i="14"/>
  <c r="M149" i="14"/>
  <c r="L149" i="14"/>
  <c r="X148" i="14"/>
  <c r="W148" i="14"/>
  <c r="V148" i="14"/>
  <c r="U148" i="14"/>
  <c r="T148" i="14"/>
  <c r="S148" i="14"/>
  <c r="R148" i="14"/>
  <c r="N148" i="14"/>
  <c r="M148" i="14"/>
  <c r="L148" i="14"/>
  <c r="X147" i="14"/>
  <c r="W147" i="14"/>
  <c r="V147" i="14"/>
  <c r="U147" i="14"/>
  <c r="T147" i="14"/>
  <c r="S147" i="14"/>
  <c r="R147" i="14"/>
  <c r="N147" i="14"/>
  <c r="M147" i="14"/>
  <c r="L147" i="14"/>
  <c r="X146" i="14"/>
  <c r="W146" i="14"/>
  <c r="V146" i="14"/>
  <c r="U146" i="14"/>
  <c r="T146" i="14"/>
  <c r="S146" i="14"/>
  <c r="R146" i="14"/>
  <c r="N146" i="14"/>
  <c r="M146" i="14"/>
  <c r="L146" i="14"/>
  <c r="X145" i="14"/>
  <c r="W145" i="14"/>
  <c r="V145" i="14"/>
  <c r="U145" i="14"/>
  <c r="T145" i="14"/>
  <c r="S145" i="14"/>
  <c r="R145" i="14"/>
  <c r="N145" i="14"/>
  <c r="M145" i="14"/>
  <c r="L145" i="14"/>
  <c r="X144" i="14"/>
  <c r="W144" i="14"/>
  <c r="V144" i="14"/>
  <c r="U144" i="14"/>
  <c r="T144" i="14"/>
  <c r="S144" i="14"/>
  <c r="R144" i="14"/>
  <c r="N144" i="14"/>
  <c r="M144" i="14"/>
  <c r="L144" i="14"/>
  <c r="X143" i="14"/>
  <c r="W143" i="14"/>
  <c r="V143" i="14"/>
  <c r="U143" i="14"/>
  <c r="T143" i="14"/>
  <c r="S143" i="14"/>
  <c r="R143" i="14"/>
  <c r="N143" i="14"/>
  <c r="M143" i="14"/>
  <c r="L143" i="14"/>
  <c r="X142" i="14"/>
  <c r="W142" i="14"/>
  <c r="V142" i="14"/>
  <c r="U142" i="14"/>
  <c r="T142" i="14"/>
  <c r="S142" i="14"/>
  <c r="R142" i="14"/>
  <c r="N142" i="14"/>
  <c r="M142" i="14"/>
  <c r="L142" i="14"/>
  <c r="X141" i="14"/>
  <c r="W141" i="14"/>
  <c r="V141" i="14"/>
  <c r="U141" i="14"/>
  <c r="T141" i="14"/>
  <c r="S141" i="14"/>
  <c r="R141" i="14"/>
  <c r="N141" i="14"/>
  <c r="M141" i="14"/>
  <c r="L141" i="14"/>
  <c r="X140" i="14"/>
  <c r="W140" i="14"/>
  <c r="V140" i="14"/>
  <c r="U140" i="14"/>
  <c r="T140" i="14"/>
  <c r="S140" i="14"/>
  <c r="R140" i="14"/>
  <c r="N140" i="14"/>
  <c r="M140" i="14"/>
  <c r="L140" i="14"/>
  <c r="X139" i="14"/>
  <c r="W139" i="14"/>
  <c r="V139" i="14"/>
  <c r="U139" i="14"/>
  <c r="T139" i="14"/>
  <c r="S139" i="14"/>
  <c r="R139" i="14"/>
  <c r="N139" i="14"/>
  <c r="M139" i="14"/>
  <c r="L139" i="14"/>
  <c r="X138" i="14"/>
  <c r="W138" i="14"/>
  <c r="V138" i="14"/>
  <c r="U138" i="14"/>
  <c r="T138" i="14"/>
  <c r="S138" i="14"/>
  <c r="R138" i="14"/>
  <c r="N138" i="14"/>
  <c r="M138" i="14"/>
  <c r="L138" i="14"/>
  <c r="X137" i="14"/>
  <c r="W137" i="14"/>
  <c r="V137" i="14"/>
  <c r="U137" i="14"/>
  <c r="T137" i="14"/>
  <c r="S137" i="14"/>
  <c r="R137" i="14"/>
  <c r="N137" i="14"/>
  <c r="M137" i="14"/>
  <c r="L137" i="14"/>
  <c r="X136" i="14"/>
  <c r="W136" i="14"/>
  <c r="V136" i="14"/>
  <c r="U136" i="14"/>
  <c r="T136" i="14"/>
  <c r="S136" i="14"/>
  <c r="R136" i="14"/>
  <c r="N136" i="14"/>
  <c r="M136" i="14"/>
  <c r="L136" i="14"/>
  <c r="X135" i="14"/>
  <c r="W135" i="14"/>
  <c r="V135" i="14"/>
  <c r="U135" i="14"/>
  <c r="T135" i="14"/>
  <c r="S135" i="14"/>
  <c r="R135" i="14"/>
  <c r="N135" i="14"/>
  <c r="M135" i="14"/>
  <c r="L135" i="14"/>
  <c r="X134" i="14"/>
  <c r="W134" i="14"/>
  <c r="V134" i="14"/>
  <c r="U134" i="14"/>
  <c r="T134" i="14"/>
  <c r="S134" i="14"/>
  <c r="R134" i="14"/>
  <c r="N134" i="14"/>
  <c r="M134" i="14"/>
  <c r="L134" i="14"/>
  <c r="X133" i="14"/>
  <c r="W133" i="14"/>
  <c r="V133" i="14"/>
  <c r="U133" i="14"/>
  <c r="T133" i="14"/>
  <c r="S133" i="14"/>
  <c r="R133" i="14"/>
  <c r="N133" i="14"/>
  <c r="M133" i="14"/>
  <c r="L133" i="14"/>
  <c r="X132" i="14"/>
  <c r="W132" i="14"/>
  <c r="V132" i="14"/>
  <c r="U132" i="14"/>
  <c r="T132" i="14"/>
  <c r="S132" i="14"/>
  <c r="R132" i="14"/>
  <c r="N132" i="14"/>
  <c r="M132" i="14"/>
  <c r="L132" i="14"/>
  <c r="X131" i="14"/>
  <c r="W131" i="14"/>
  <c r="V131" i="14"/>
  <c r="U131" i="14"/>
  <c r="T131" i="14"/>
  <c r="S131" i="14"/>
  <c r="R131" i="14"/>
  <c r="N131" i="14"/>
  <c r="M131" i="14"/>
  <c r="L131" i="14"/>
  <c r="X130" i="14"/>
  <c r="W130" i="14"/>
  <c r="V130" i="14"/>
  <c r="U130" i="14"/>
  <c r="T130" i="14"/>
  <c r="S130" i="14"/>
  <c r="R130" i="14"/>
  <c r="N130" i="14"/>
  <c r="M130" i="14"/>
  <c r="L130" i="14"/>
  <c r="X129" i="14"/>
  <c r="W129" i="14"/>
  <c r="V129" i="14"/>
  <c r="U129" i="14"/>
  <c r="T129" i="14"/>
  <c r="S129" i="14"/>
  <c r="R129" i="14"/>
  <c r="N129" i="14"/>
  <c r="M129" i="14"/>
  <c r="L129" i="14"/>
  <c r="X128" i="14"/>
  <c r="W128" i="14"/>
  <c r="V128" i="14"/>
  <c r="U128" i="14"/>
  <c r="T128" i="14"/>
  <c r="S128" i="14"/>
  <c r="R128" i="14"/>
  <c r="N128" i="14"/>
  <c r="M128" i="14"/>
  <c r="L128" i="14"/>
  <c r="X127" i="14"/>
  <c r="W127" i="14"/>
  <c r="V127" i="14"/>
  <c r="U127" i="14"/>
  <c r="T127" i="14"/>
  <c r="S127" i="14"/>
  <c r="R127" i="14"/>
  <c r="N127" i="14"/>
  <c r="M127" i="14"/>
  <c r="L127" i="14"/>
  <c r="X126" i="14"/>
  <c r="W126" i="14"/>
  <c r="V126" i="14"/>
  <c r="U126" i="14"/>
  <c r="T126" i="14"/>
  <c r="S126" i="14"/>
  <c r="R126" i="14"/>
  <c r="N126" i="14"/>
  <c r="M126" i="14"/>
  <c r="L126" i="14"/>
  <c r="X125" i="14"/>
  <c r="W125" i="14"/>
  <c r="V125" i="14"/>
  <c r="U125" i="14"/>
  <c r="T125" i="14"/>
  <c r="S125" i="14"/>
  <c r="R125" i="14"/>
  <c r="N125" i="14"/>
  <c r="M125" i="14"/>
  <c r="L125" i="14"/>
  <c r="X124" i="14"/>
  <c r="W124" i="14"/>
  <c r="V124" i="14"/>
  <c r="U124" i="14"/>
  <c r="T124" i="14"/>
  <c r="S124" i="14"/>
  <c r="R124" i="14"/>
  <c r="N124" i="14"/>
  <c r="M124" i="14"/>
  <c r="L124" i="14"/>
  <c r="X123" i="14"/>
  <c r="W123" i="14"/>
  <c r="V123" i="14"/>
  <c r="U123" i="14"/>
  <c r="T123" i="14"/>
  <c r="S123" i="14"/>
  <c r="R123" i="14"/>
  <c r="N123" i="14"/>
  <c r="M123" i="14"/>
  <c r="L123" i="14"/>
  <c r="X122" i="14"/>
  <c r="W122" i="14"/>
  <c r="V122" i="14"/>
  <c r="U122" i="14"/>
  <c r="T122" i="14"/>
  <c r="S122" i="14"/>
  <c r="R122" i="14"/>
  <c r="N122" i="14"/>
  <c r="M122" i="14"/>
  <c r="L122" i="14"/>
  <c r="X121" i="14"/>
  <c r="W121" i="14"/>
  <c r="V121" i="14"/>
  <c r="U121" i="14"/>
  <c r="T121" i="14"/>
  <c r="S121" i="14"/>
  <c r="R121" i="14"/>
  <c r="N121" i="14"/>
  <c r="M121" i="14"/>
  <c r="L121" i="14"/>
  <c r="X120" i="14"/>
  <c r="W120" i="14"/>
  <c r="V120" i="14"/>
  <c r="U120" i="14"/>
  <c r="T120" i="14"/>
  <c r="S120" i="14"/>
  <c r="R120" i="14"/>
  <c r="N120" i="14"/>
  <c r="M120" i="14"/>
  <c r="L120" i="14"/>
  <c r="X119" i="14"/>
  <c r="W119" i="14"/>
  <c r="V119" i="14"/>
  <c r="U119" i="14"/>
  <c r="T119" i="14"/>
  <c r="S119" i="14"/>
  <c r="R119" i="14"/>
  <c r="N119" i="14"/>
  <c r="M119" i="14"/>
  <c r="L119" i="14"/>
  <c r="X118" i="14"/>
  <c r="W118" i="14"/>
  <c r="V118" i="14"/>
  <c r="U118" i="14"/>
  <c r="T118" i="14"/>
  <c r="S118" i="14"/>
  <c r="R118" i="14"/>
  <c r="N118" i="14"/>
  <c r="M118" i="14"/>
  <c r="L118" i="14"/>
  <c r="X117" i="14"/>
  <c r="W117" i="14"/>
  <c r="V117" i="14"/>
  <c r="U117" i="14"/>
  <c r="T117" i="14"/>
  <c r="S117" i="14"/>
  <c r="R117" i="14"/>
  <c r="N117" i="14"/>
  <c r="M117" i="14"/>
  <c r="L117" i="14"/>
  <c r="X116" i="14"/>
  <c r="W116" i="14"/>
  <c r="V116" i="14"/>
  <c r="U116" i="14"/>
  <c r="T116" i="14"/>
  <c r="S116" i="14"/>
  <c r="R116" i="14"/>
  <c r="N116" i="14"/>
  <c r="M116" i="14"/>
  <c r="L116" i="14"/>
  <c r="X115" i="14"/>
  <c r="W115" i="14"/>
  <c r="V115" i="14"/>
  <c r="U115" i="14"/>
  <c r="T115" i="14"/>
  <c r="S115" i="14"/>
  <c r="R115" i="14"/>
  <c r="N115" i="14"/>
  <c r="M115" i="14"/>
  <c r="L115" i="14"/>
  <c r="X114" i="14"/>
  <c r="W114" i="14"/>
  <c r="V114" i="14"/>
  <c r="U114" i="14"/>
  <c r="T114" i="14"/>
  <c r="S114" i="14"/>
  <c r="R114" i="14"/>
  <c r="N114" i="14"/>
  <c r="M114" i="14"/>
  <c r="L114" i="14"/>
  <c r="X113" i="14"/>
  <c r="W113" i="14"/>
  <c r="V113" i="14"/>
  <c r="U113" i="14"/>
  <c r="T113" i="14"/>
  <c r="S113" i="14"/>
  <c r="R113" i="14"/>
  <c r="N113" i="14"/>
  <c r="M113" i="14"/>
  <c r="L113" i="14"/>
  <c r="X112" i="14"/>
  <c r="W112" i="14"/>
  <c r="V112" i="14"/>
  <c r="U112" i="14"/>
  <c r="T112" i="14"/>
  <c r="S112" i="14"/>
  <c r="R112" i="14"/>
  <c r="N112" i="14"/>
  <c r="M112" i="14"/>
  <c r="L112" i="14"/>
  <c r="X111" i="14"/>
  <c r="W111" i="14"/>
  <c r="V111" i="14"/>
  <c r="U111" i="14"/>
  <c r="T111" i="14"/>
  <c r="S111" i="14"/>
  <c r="R111" i="14"/>
  <c r="N111" i="14"/>
  <c r="M111" i="14"/>
  <c r="L111" i="14"/>
  <c r="X110" i="14"/>
  <c r="W110" i="14"/>
  <c r="V110" i="14"/>
  <c r="U110" i="14"/>
  <c r="T110" i="14"/>
  <c r="S110" i="14"/>
  <c r="R110" i="14"/>
  <c r="N110" i="14"/>
  <c r="M110" i="14"/>
  <c r="L110" i="14"/>
  <c r="X109" i="14"/>
  <c r="W109" i="14"/>
  <c r="V109" i="14"/>
  <c r="U109" i="14"/>
  <c r="T109" i="14"/>
  <c r="S109" i="14"/>
  <c r="R109" i="14"/>
  <c r="N109" i="14"/>
  <c r="M109" i="14"/>
  <c r="L109" i="14"/>
  <c r="X108" i="14"/>
  <c r="W108" i="14"/>
  <c r="V108" i="14"/>
  <c r="U108" i="14"/>
  <c r="T108" i="14"/>
  <c r="S108" i="14"/>
  <c r="R108" i="14"/>
  <c r="N108" i="14"/>
  <c r="M108" i="14"/>
  <c r="L108" i="14"/>
  <c r="X107" i="14"/>
  <c r="W107" i="14"/>
  <c r="V107" i="14"/>
  <c r="U107" i="14"/>
  <c r="T107" i="14"/>
  <c r="S107" i="14"/>
  <c r="R107" i="14"/>
  <c r="N107" i="14"/>
  <c r="M107" i="14"/>
  <c r="L107" i="14"/>
  <c r="X106" i="14"/>
  <c r="W106" i="14"/>
  <c r="V106" i="14"/>
  <c r="U106" i="14"/>
  <c r="T106" i="14"/>
  <c r="S106" i="14"/>
  <c r="R106" i="14"/>
  <c r="N106" i="14"/>
  <c r="M106" i="14"/>
  <c r="L106" i="14"/>
  <c r="X105" i="14"/>
  <c r="W105" i="14"/>
  <c r="V105" i="14"/>
  <c r="U105" i="14"/>
  <c r="T105" i="14"/>
  <c r="S105" i="14"/>
  <c r="R105" i="14"/>
  <c r="N105" i="14"/>
  <c r="M105" i="14"/>
  <c r="L105" i="14"/>
  <c r="X104" i="14"/>
  <c r="W104" i="14"/>
  <c r="V104" i="14"/>
  <c r="U104" i="14"/>
  <c r="T104" i="14"/>
  <c r="S104" i="14"/>
  <c r="R104" i="14"/>
  <c r="N104" i="14"/>
  <c r="M104" i="14"/>
  <c r="L104" i="14"/>
  <c r="X103" i="14"/>
  <c r="W103" i="14"/>
  <c r="V103" i="14"/>
  <c r="U103" i="14"/>
  <c r="T103" i="14"/>
  <c r="S103" i="14"/>
  <c r="R103" i="14"/>
  <c r="N103" i="14"/>
  <c r="M103" i="14"/>
  <c r="L103" i="14"/>
  <c r="X102" i="14"/>
  <c r="W102" i="14"/>
  <c r="V102" i="14"/>
  <c r="U102" i="14"/>
  <c r="T102" i="14"/>
  <c r="S102" i="14"/>
  <c r="R102" i="14"/>
  <c r="N102" i="14"/>
  <c r="M102" i="14"/>
  <c r="L102" i="14"/>
  <c r="X101" i="14"/>
  <c r="W101" i="14"/>
  <c r="V101" i="14"/>
  <c r="U101" i="14"/>
  <c r="T101" i="14"/>
  <c r="S101" i="14"/>
  <c r="R101" i="14"/>
  <c r="N101" i="14"/>
  <c r="M101" i="14"/>
  <c r="L101" i="14"/>
  <c r="X100" i="14"/>
  <c r="W100" i="14"/>
  <c r="V100" i="14"/>
  <c r="U100" i="14"/>
  <c r="T100" i="14"/>
  <c r="S100" i="14"/>
  <c r="R100" i="14"/>
  <c r="N100" i="14"/>
  <c r="M100" i="14"/>
  <c r="L100" i="14"/>
  <c r="X99" i="14"/>
  <c r="W99" i="14"/>
  <c r="V99" i="14"/>
  <c r="U99" i="14"/>
  <c r="T99" i="14"/>
  <c r="S99" i="14"/>
  <c r="R99" i="14"/>
  <c r="N99" i="14"/>
  <c r="M99" i="14"/>
  <c r="L99" i="14"/>
  <c r="X98" i="14"/>
  <c r="W98" i="14"/>
  <c r="V98" i="14"/>
  <c r="U98" i="14"/>
  <c r="T98" i="14"/>
  <c r="S98" i="14"/>
  <c r="R98" i="14"/>
  <c r="N98" i="14"/>
  <c r="M98" i="14"/>
  <c r="L98" i="14"/>
  <c r="X97" i="14"/>
  <c r="W97" i="14"/>
  <c r="V97" i="14"/>
  <c r="U97" i="14"/>
  <c r="T97" i="14"/>
  <c r="S97" i="14"/>
  <c r="R97" i="14"/>
  <c r="N97" i="14"/>
  <c r="M97" i="14"/>
  <c r="L97" i="14"/>
  <c r="X96" i="14"/>
  <c r="W96" i="14"/>
  <c r="V96" i="14"/>
  <c r="U96" i="14"/>
  <c r="T96" i="14"/>
  <c r="S96" i="14"/>
  <c r="R96" i="14"/>
  <c r="N96" i="14"/>
  <c r="M96" i="14"/>
  <c r="L96" i="14"/>
  <c r="X95" i="14"/>
  <c r="W95" i="14"/>
  <c r="V95" i="14"/>
  <c r="U95" i="14"/>
  <c r="T95" i="14"/>
  <c r="S95" i="14"/>
  <c r="R95" i="14"/>
  <c r="N95" i="14"/>
  <c r="M95" i="14"/>
  <c r="L95" i="14"/>
  <c r="X94" i="14"/>
  <c r="W94" i="14"/>
  <c r="V94" i="14"/>
  <c r="U94" i="14"/>
  <c r="T94" i="14"/>
  <c r="S94" i="14"/>
  <c r="R94" i="14"/>
  <c r="N94" i="14"/>
  <c r="M94" i="14"/>
  <c r="L94" i="14"/>
  <c r="X93" i="14"/>
  <c r="W93" i="14"/>
  <c r="V93" i="14"/>
  <c r="U93" i="14"/>
  <c r="T93" i="14"/>
  <c r="S93" i="14"/>
  <c r="R93" i="14"/>
  <c r="N93" i="14"/>
  <c r="M93" i="14"/>
  <c r="L93" i="14"/>
  <c r="X92" i="14"/>
  <c r="W92" i="14"/>
  <c r="V92" i="14"/>
  <c r="U92" i="14"/>
  <c r="T92" i="14"/>
  <c r="S92" i="14"/>
  <c r="R92" i="14"/>
  <c r="N92" i="14"/>
  <c r="M92" i="14"/>
  <c r="L92" i="14"/>
  <c r="X91" i="14"/>
  <c r="W91" i="14"/>
  <c r="V91" i="14"/>
  <c r="U91" i="14"/>
  <c r="T91" i="14"/>
  <c r="S91" i="14"/>
  <c r="R91" i="14"/>
  <c r="N91" i="14"/>
  <c r="M91" i="14"/>
  <c r="L91" i="14"/>
  <c r="X90" i="14"/>
  <c r="W90" i="14"/>
  <c r="V90" i="14"/>
  <c r="U90" i="14"/>
  <c r="T90" i="14"/>
  <c r="S90" i="14"/>
  <c r="R90" i="14"/>
  <c r="N90" i="14"/>
  <c r="M90" i="14"/>
  <c r="L90" i="14"/>
  <c r="X89" i="14"/>
  <c r="W89" i="14"/>
  <c r="V89" i="14"/>
  <c r="U89" i="14"/>
  <c r="T89" i="14"/>
  <c r="S89" i="14"/>
  <c r="R89" i="14"/>
  <c r="N89" i="14"/>
  <c r="M89" i="14"/>
  <c r="L89" i="14"/>
  <c r="X88" i="14"/>
  <c r="W88" i="14"/>
  <c r="V88" i="14"/>
  <c r="U88" i="14"/>
  <c r="T88" i="14"/>
  <c r="S88" i="14"/>
  <c r="R88" i="14"/>
  <c r="N88" i="14"/>
  <c r="M88" i="14"/>
  <c r="L88" i="14"/>
  <c r="X87" i="14"/>
  <c r="W87" i="14"/>
  <c r="V87" i="14"/>
  <c r="U87" i="14"/>
  <c r="T87" i="14"/>
  <c r="S87" i="14"/>
  <c r="R87" i="14"/>
  <c r="N87" i="14"/>
  <c r="M87" i="14"/>
  <c r="L87" i="14"/>
  <c r="X86" i="14"/>
  <c r="W86" i="14"/>
  <c r="V86" i="14"/>
  <c r="U86" i="14"/>
  <c r="T86" i="14"/>
  <c r="S86" i="14"/>
  <c r="R86" i="14"/>
  <c r="N86" i="14"/>
  <c r="M86" i="14"/>
  <c r="L86" i="14"/>
  <c r="X85" i="14"/>
  <c r="W85" i="14"/>
  <c r="V85" i="14"/>
  <c r="U85" i="14"/>
  <c r="T85" i="14"/>
  <c r="S85" i="14"/>
  <c r="R85" i="14"/>
  <c r="N85" i="14"/>
  <c r="M85" i="14"/>
  <c r="L85" i="14"/>
  <c r="X84" i="14"/>
  <c r="W84" i="14"/>
  <c r="V84" i="14"/>
  <c r="U84" i="14"/>
  <c r="T84" i="14"/>
  <c r="S84" i="14"/>
  <c r="R84" i="14"/>
  <c r="N84" i="14"/>
  <c r="M84" i="14"/>
  <c r="L84" i="14"/>
  <c r="X83" i="14"/>
  <c r="W83" i="14"/>
  <c r="V83" i="14"/>
  <c r="U83" i="14"/>
  <c r="T83" i="14"/>
  <c r="S83" i="14"/>
  <c r="R83" i="14"/>
  <c r="N83" i="14"/>
  <c r="M83" i="14"/>
  <c r="L83" i="14"/>
  <c r="X82" i="14"/>
  <c r="W82" i="14"/>
  <c r="V82" i="14"/>
  <c r="U82" i="14"/>
  <c r="T82" i="14"/>
  <c r="S82" i="14"/>
  <c r="R82" i="14"/>
  <c r="N82" i="14"/>
  <c r="M82" i="14"/>
  <c r="L82" i="14"/>
  <c r="X81" i="14"/>
  <c r="W81" i="14"/>
  <c r="V81" i="14"/>
  <c r="U81" i="14"/>
  <c r="T81" i="14"/>
  <c r="S81" i="14"/>
  <c r="R81" i="14"/>
  <c r="N81" i="14"/>
  <c r="M81" i="14"/>
  <c r="L81" i="14"/>
  <c r="X80" i="14"/>
  <c r="W80" i="14"/>
  <c r="V80" i="14"/>
  <c r="U80" i="14"/>
  <c r="T80" i="14"/>
  <c r="S80" i="14"/>
  <c r="R80" i="14"/>
  <c r="N80" i="14"/>
  <c r="M80" i="14"/>
  <c r="L80" i="14"/>
  <c r="X79" i="14"/>
  <c r="W79" i="14"/>
  <c r="V79" i="14"/>
  <c r="U79" i="14"/>
  <c r="T79" i="14"/>
  <c r="S79" i="14"/>
  <c r="R79" i="14"/>
  <c r="N79" i="14"/>
  <c r="M79" i="14"/>
  <c r="L79" i="14"/>
  <c r="X78" i="14"/>
  <c r="W78" i="14"/>
  <c r="V78" i="14"/>
  <c r="U78" i="14"/>
  <c r="T78" i="14"/>
  <c r="S78" i="14"/>
  <c r="R78" i="14"/>
  <c r="N78" i="14"/>
  <c r="M78" i="14"/>
  <c r="L78" i="14"/>
  <c r="X77" i="14"/>
  <c r="W77" i="14"/>
  <c r="V77" i="14"/>
  <c r="U77" i="14"/>
  <c r="T77" i="14"/>
  <c r="S77" i="14"/>
  <c r="R77" i="14"/>
  <c r="N77" i="14"/>
  <c r="M77" i="14"/>
  <c r="L77" i="14"/>
  <c r="X76" i="14"/>
  <c r="W76" i="14"/>
  <c r="V76" i="14"/>
  <c r="U76" i="14"/>
  <c r="T76" i="14"/>
  <c r="S76" i="14"/>
  <c r="R76" i="14"/>
  <c r="N76" i="14"/>
  <c r="M76" i="14"/>
  <c r="L76" i="14"/>
  <c r="X75" i="14"/>
  <c r="W75" i="14"/>
  <c r="V75" i="14"/>
  <c r="U75" i="14"/>
  <c r="T75" i="14"/>
  <c r="S75" i="14"/>
  <c r="R75" i="14"/>
  <c r="N75" i="14"/>
  <c r="M75" i="14"/>
  <c r="L75" i="14"/>
  <c r="X74" i="14"/>
  <c r="W74" i="14"/>
  <c r="V74" i="14"/>
  <c r="U74" i="14"/>
  <c r="T74" i="14"/>
  <c r="S74" i="14"/>
  <c r="R74" i="14"/>
  <c r="N74" i="14"/>
  <c r="M74" i="14"/>
  <c r="L74" i="14"/>
  <c r="X73" i="14"/>
  <c r="W73" i="14"/>
  <c r="V73" i="14"/>
  <c r="U73" i="14"/>
  <c r="T73" i="14"/>
  <c r="S73" i="14"/>
  <c r="R73" i="14"/>
  <c r="N73" i="14"/>
  <c r="M73" i="14"/>
  <c r="L73" i="14"/>
  <c r="X72" i="14"/>
  <c r="W72" i="14"/>
  <c r="V72" i="14"/>
  <c r="U72" i="14"/>
  <c r="T72" i="14"/>
  <c r="S72" i="14"/>
  <c r="R72" i="14"/>
  <c r="N72" i="14"/>
  <c r="M72" i="14"/>
  <c r="L72" i="14"/>
  <c r="X71" i="14"/>
  <c r="W71" i="14"/>
  <c r="V71" i="14"/>
  <c r="U71" i="14"/>
  <c r="T71" i="14"/>
  <c r="S71" i="14"/>
  <c r="R71" i="14"/>
  <c r="N71" i="14"/>
  <c r="M71" i="14"/>
  <c r="L71" i="14"/>
  <c r="X70" i="14"/>
  <c r="W70" i="14"/>
  <c r="V70" i="14"/>
  <c r="U70" i="14"/>
  <c r="T70" i="14"/>
  <c r="S70" i="14"/>
  <c r="R70" i="14"/>
  <c r="N70" i="14"/>
  <c r="M70" i="14"/>
  <c r="L70" i="14"/>
  <c r="X69" i="14"/>
  <c r="W69" i="14"/>
  <c r="V69" i="14"/>
  <c r="U69" i="14"/>
  <c r="T69" i="14"/>
  <c r="S69" i="14"/>
  <c r="R69" i="14"/>
  <c r="N69" i="14"/>
  <c r="M69" i="14"/>
  <c r="L69" i="14"/>
  <c r="X68" i="14"/>
  <c r="W68" i="14"/>
  <c r="V68" i="14"/>
  <c r="U68" i="14"/>
  <c r="T68" i="14"/>
  <c r="S68" i="14"/>
  <c r="R68" i="14"/>
  <c r="N68" i="14"/>
  <c r="M68" i="14"/>
  <c r="L68" i="14"/>
  <c r="X67" i="14"/>
  <c r="W67" i="14"/>
  <c r="V67" i="14"/>
  <c r="U67" i="14"/>
  <c r="T67" i="14"/>
  <c r="S67" i="14"/>
  <c r="R67" i="14"/>
  <c r="N67" i="14"/>
  <c r="M67" i="14"/>
  <c r="L67" i="14"/>
  <c r="X66" i="14"/>
  <c r="W66" i="14"/>
  <c r="V66" i="14"/>
  <c r="U66" i="14"/>
  <c r="T66" i="14"/>
  <c r="S66" i="14"/>
  <c r="R66" i="14"/>
  <c r="N66" i="14"/>
  <c r="M66" i="14"/>
  <c r="L66" i="14"/>
  <c r="X65" i="14"/>
  <c r="W65" i="14"/>
  <c r="V65" i="14"/>
  <c r="U65" i="14"/>
  <c r="T65" i="14"/>
  <c r="S65" i="14"/>
  <c r="R65" i="14"/>
  <c r="N65" i="14"/>
  <c r="M65" i="14"/>
  <c r="L65" i="14"/>
  <c r="X64" i="14"/>
  <c r="W64" i="14"/>
  <c r="V64" i="14"/>
  <c r="U64" i="14"/>
  <c r="T64" i="14"/>
  <c r="S64" i="14"/>
  <c r="R64" i="14"/>
  <c r="N64" i="14"/>
  <c r="M64" i="14"/>
  <c r="L64" i="14"/>
  <c r="X63" i="14"/>
  <c r="W63" i="14"/>
  <c r="V63" i="14"/>
  <c r="U63" i="14"/>
  <c r="T63" i="14"/>
  <c r="S63" i="14"/>
  <c r="R63" i="14"/>
  <c r="N63" i="14"/>
  <c r="M63" i="14"/>
  <c r="L63" i="14"/>
  <c r="X62" i="14"/>
  <c r="W62" i="14"/>
  <c r="V62" i="14"/>
  <c r="U62" i="14"/>
  <c r="T62" i="14"/>
  <c r="S62" i="14"/>
  <c r="R62" i="14"/>
  <c r="N62" i="14"/>
  <c r="M62" i="14"/>
  <c r="L62" i="14"/>
  <c r="X61" i="14"/>
  <c r="W61" i="14"/>
  <c r="V61" i="14"/>
  <c r="U61" i="14"/>
  <c r="T61" i="14"/>
  <c r="S61" i="14"/>
  <c r="R61" i="14"/>
  <c r="N61" i="14"/>
  <c r="M61" i="14"/>
  <c r="L61" i="14"/>
  <c r="X60" i="14"/>
  <c r="W60" i="14"/>
  <c r="V60" i="14"/>
  <c r="U60" i="14"/>
  <c r="T60" i="14"/>
  <c r="S60" i="14"/>
  <c r="R60" i="14"/>
  <c r="N60" i="14"/>
  <c r="M60" i="14"/>
  <c r="L60" i="14"/>
  <c r="X59" i="14"/>
  <c r="W59" i="14"/>
  <c r="V59" i="14"/>
  <c r="U59" i="14"/>
  <c r="T59" i="14"/>
  <c r="S59" i="14"/>
  <c r="R59" i="14"/>
  <c r="N59" i="14"/>
  <c r="M59" i="14"/>
  <c r="L59" i="14"/>
  <c r="X58" i="14"/>
  <c r="W58" i="14"/>
  <c r="V58" i="14"/>
  <c r="U58" i="14"/>
  <c r="T58" i="14"/>
  <c r="S58" i="14"/>
  <c r="R58" i="14"/>
  <c r="N58" i="14"/>
  <c r="M58" i="14"/>
  <c r="L58" i="14"/>
  <c r="X57" i="14"/>
  <c r="W57" i="14"/>
  <c r="V57" i="14"/>
  <c r="U57" i="14"/>
  <c r="T57" i="14"/>
  <c r="S57" i="14"/>
  <c r="R57" i="14"/>
  <c r="N57" i="14"/>
  <c r="M57" i="14"/>
  <c r="L57" i="14"/>
  <c r="X56" i="14"/>
  <c r="W56" i="14"/>
  <c r="V56" i="14"/>
  <c r="U56" i="14"/>
  <c r="T56" i="14"/>
  <c r="S56" i="14"/>
  <c r="R56" i="14"/>
  <c r="N56" i="14"/>
  <c r="M56" i="14"/>
  <c r="L56" i="14"/>
  <c r="X55" i="14"/>
  <c r="W55" i="14"/>
  <c r="V55" i="14"/>
  <c r="U55" i="14"/>
  <c r="T55" i="14"/>
  <c r="S55" i="14"/>
  <c r="R55" i="14"/>
  <c r="N55" i="14"/>
  <c r="M55" i="14"/>
  <c r="L55" i="14"/>
  <c r="X54" i="14"/>
  <c r="W54" i="14"/>
  <c r="V54" i="14"/>
  <c r="U54" i="14"/>
  <c r="T54" i="14"/>
  <c r="S54" i="14"/>
  <c r="R54" i="14"/>
  <c r="N54" i="14"/>
  <c r="M54" i="14"/>
  <c r="L54" i="14"/>
  <c r="X53" i="14"/>
  <c r="W53" i="14"/>
  <c r="V53" i="14"/>
  <c r="U53" i="14"/>
  <c r="T53" i="14"/>
  <c r="S53" i="14"/>
  <c r="R53" i="14"/>
  <c r="N53" i="14"/>
  <c r="M53" i="14"/>
  <c r="L53" i="14"/>
  <c r="X52" i="14"/>
  <c r="W52" i="14"/>
  <c r="V52" i="14"/>
  <c r="U52" i="14"/>
  <c r="T52" i="14"/>
  <c r="S52" i="14"/>
  <c r="R52" i="14"/>
  <c r="N52" i="14"/>
  <c r="M52" i="14"/>
  <c r="L52" i="14"/>
  <c r="X51" i="14"/>
  <c r="W51" i="14"/>
  <c r="V51" i="14"/>
  <c r="U51" i="14"/>
  <c r="T51" i="14"/>
  <c r="S51" i="14"/>
  <c r="R51" i="14"/>
  <c r="N51" i="14"/>
  <c r="M51" i="14"/>
  <c r="L51" i="14"/>
  <c r="X50" i="14"/>
  <c r="W50" i="14"/>
  <c r="V50" i="14"/>
  <c r="R50" i="14"/>
  <c r="N50" i="14"/>
  <c r="M50" i="14"/>
  <c r="L50" i="14"/>
  <c r="X49" i="14"/>
  <c r="W49" i="14"/>
  <c r="V49" i="14"/>
  <c r="U49" i="14"/>
  <c r="T49" i="14"/>
  <c r="S49" i="14"/>
  <c r="R49" i="14"/>
  <c r="N49" i="14"/>
  <c r="M49" i="14"/>
  <c r="L49" i="14"/>
  <c r="X48" i="14"/>
  <c r="W48" i="14"/>
  <c r="V48" i="14"/>
  <c r="U48" i="14"/>
  <c r="T48" i="14"/>
  <c r="S48" i="14"/>
  <c r="R48" i="14"/>
  <c r="N48" i="14"/>
  <c r="M48" i="14"/>
  <c r="L48" i="14"/>
  <c r="X47" i="14"/>
  <c r="W47" i="14"/>
  <c r="V47" i="14"/>
  <c r="U47" i="14"/>
  <c r="T47" i="14"/>
  <c r="S47" i="14"/>
  <c r="R47" i="14"/>
  <c r="N47" i="14"/>
  <c r="M47" i="14"/>
  <c r="L47" i="14"/>
  <c r="X46" i="14"/>
  <c r="W46" i="14"/>
  <c r="V46" i="14"/>
  <c r="U46" i="14"/>
  <c r="T46" i="14"/>
  <c r="S46" i="14"/>
  <c r="R46" i="14"/>
  <c r="N46" i="14"/>
  <c r="M46" i="14"/>
  <c r="L46" i="14"/>
  <c r="X45" i="14"/>
  <c r="W45" i="14"/>
  <c r="V45" i="14"/>
  <c r="R45" i="14"/>
  <c r="N45" i="14"/>
  <c r="M45" i="14"/>
  <c r="L45" i="14"/>
  <c r="X44" i="14"/>
  <c r="W44" i="14"/>
  <c r="V44" i="14"/>
  <c r="U44" i="14"/>
  <c r="T44" i="14"/>
  <c r="S44" i="14"/>
  <c r="R44" i="14"/>
  <c r="N44" i="14"/>
  <c r="M44" i="14"/>
  <c r="L44" i="14"/>
  <c r="X43" i="14"/>
  <c r="W43" i="14"/>
  <c r="V43" i="14"/>
  <c r="U43" i="14"/>
  <c r="T43" i="14"/>
  <c r="S43" i="14"/>
  <c r="R43" i="14"/>
  <c r="N43" i="14"/>
  <c r="M43" i="14"/>
  <c r="L43" i="14"/>
  <c r="X42" i="14"/>
  <c r="W42" i="14"/>
  <c r="V42" i="14"/>
  <c r="U42" i="14"/>
  <c r="T42" i="14"/>
  <c r="S42" i="14"/>
  <c r="R42" i="14"/>
  <c r="N42" i="14"/>
  <c r="M42" i="14"/>
  <c r="L42" i="14"/>
  <c r="X41" i="14"/>
  <c r="W41" i="14"/>
  <c r="V41" i="14"/>
  <c r="U41" i="14"/>
  <c r="T41" i="14"/>
  <c r="S41" i="14"/>
  <c r="R41" i="14"/>
  <c r="N41" i="14"/>
  <c r="M41" i="14"/>
  <c r="L41" i="14"/>
  <c r="X40" i="14"/>
  <c r="W40" i="14"/>
  <c r="V40" i="14"/>
  <c r="U40" i="14"/>
  <c r="T40" i="14"/>
  <c r="S40" i="14"/>
  <c r="R40" i="14"/>
  <c r="N40" i="14"/>
  <c r="M40" i="14"/>
  <c r="L40" i="14"/>
  <c r="X39" i="14"/>
  <c r="W39" i="14"/>
  <c r="V39" i="14"/>
  <c r="U39" i="14"/>
  <c r="T39" i="14"/>
  <c r="S39" i="14"/>
  <c r="R39" i="14"/>
  <c r="N39" i="14"/>
  <c r="M39" i="14"/>
  <c r="L39" i="14"/>
  <c r="X38" i="14"/>
  <c r="W38" i="14"/>
  <c r="V38" i="14"/>
  <c r="U38" i="14"/>
  <c r="T38" i="14"/>
  <c r="S38" i="14"/>
  <c r="R38" i="14"/>
  <c r="N38" i="14"/>
  <c r="M38" i="14"/>
  <c r="L38" i="14"/>
  <c r="X37" i="14"/>
  <c r="W37" i="14"/>
  <c r="V37" i="14"/>
  <c r="U37" i="14"/>
  <c r="T37" i="14"/>
  <c r="S37" i="14"/>
  <c r="R37" i="14"/>
  <c r="N37" i="14"/>
  <c r="M37" i="14"/>
  <c r="L37" i="14"/>
  <c r="X36" i="14"/>
  <c r="W36" i="14"/>
  <c r="V36" i="14"/>
  <c r="U36" i="14"/>
  <c r="T36" i="14"/>
  <c r="S36" i="14"/>
  <c r="R36" i="14"/>
  <c r="N36" i="14"/>
  <c r="M36" i="14"/>
  <c r="L36" i="14"/>
  <c r="X35" i="14"/>
  <c r="W35" i="14"/>
  <c r="V35" i="14"/>
  <c r="U35" i="14"/>
  <c r="T35" i="14"/>
  <c r="S35" i="14"/>
  <c r="R35" i="14"/>
  <c r="N35" i="14"/>
  <c r="M35" i="14"/>
  <c r="L35" i="14"/>
  <c r="U34" i="14"/>
  <c r="T34" i="14"/>
  <c r="S34" i="14"/>
  <c r="R34" i="14"/>
  <c r="N34" i="14"/>
  <c r="Q46" i="14" s="1"/>
  <c r="M34" i="14"/>
  <c r="L34" i="14"/>
  <c r="O36" i="14" s="1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R16" i="14"/>
  <c r="N16" i="14"/>
  <c r="M16" i="14"/>
  <c r="L16" i="14"/>
  <c r="K16" i="14"/>
  <c r="W7" i="14"/>
  <c r="Y2" i="14"/>
  <c r="X153" i="11"/>
  <c r="W153" i="11"/>
  <c r="V153" i="11"/>
  <c r="U153" i="11"/>
  <c r="T153" i="11"/>
  <c r="S153" i="11"/>
  <c r="R153" i="11"/>
  <c r="N153" i="11"/>
  <c r="M153" i="11"/>
  <c r="L153" i="11"/>
  <c r="X152" i="11"/>
  <c r="W152" i="11"/>
  <c r="V152" i="11"/>
  <c r="U152" i="11"/>
  <c r="T152" i="11"/>
  <c r="S152" i="11"/>
  <c r="R152" i="11"/>
  <c r="N152" i="11"/>
  <c r="M152" i="11"/>
  <c r="L152" i="11"/>
  <c r="X151" i="11"/>
  <c r="W151" i="11"/>
  <c r="V151" i="11"/>
  <c r="U151" i="11"/>
  <c r="T151" i="11"/>
  <c r="S151" i="11"/>
  <c r="R151" i="11"/>
  <c r="N151" i="11"/>
  <c r="M151" i="11"/>
  <c r="L151" i="11"/>
  <c r="X150" i="11"/>
  <c r="W150" i="11"/>
  <c r="V150" i="11"/>
  <c r="U150" i="11"/>
  <c r="T150" i="11"/>
  <c r="S150" i="11"/>
  <c r="R150" i="11"/>
  <c r="N150" i="11"/>
  <c r="M150" i="11"/>
  <c r="L150" i="11"/>
  <c r="X149" i="11"/>
  <c r="W149" i="11"/>
  <c r="V149" i="11"/>
  <c r="U149" i="11"/>
  <c r="T149" i="11"/>
  <c r="S149" i="11"/>
  <c r="R149" i="11"/>
  <c r="N149" i="11"/>
  <c r="M149" i="11"/>
  <c r="L149" i="11"/>
  <c r="X148" i="11"/>
  <c r="W148" i="11"/>
  <c r="V148" i="11"/>
  <c r="U148" i="11"/>
  <c r="T148" i="11"/>
  <c r="S148" i="11"/>
  <c r="R148" i="11"/>
  <c r="N148" i="11"/>
  <c r="M148" i="11"/>
  <c r="L148" i="11"/>
  <c r="X147" i="11"/>
  <c r="W147" i="11"/>
  <c r="V147" i="11"/>
  <c r="U147" i="11"/>
  <c r="T147" i="11"/>
  <c r="S147" i="11"/>
  <c r="R147" i="11"/>
  <c r="N147" i="11"/>
  <c r="M147" i="11"/>
  <c r="L147" i="11"/>
  <c r="X146" i="11"/>
  <c r="W146" i="11"/>
  <c r="V146" i="11"/>
  <c r="U146" i="11"/>
  <c r="T146" i="11"/>
  <c r="S146" i="11"/>
  <c r="R146" i="11"/>
  <c r="N146" i="11"/>
  <c r="M146" i="11"/>
  <c r="L146" i="11"/>
  <c r="X145" i="11"/>
  <c r="W145" i="11"/>
  <c r="V145" i="11"/>
  <c r="U145" i="11"/>
  <c r="T145" i="11"/>
  <c r="S145" i="11"/>
  <c r="R145" i="11"/>
  <c r="N145" i="11"/>
  <c r="M145" i="11"/>
  <c r="L145" i="11"/>
  <c r="X144" i="11"/>
  <c r="W144" i="11"/>
  <c r="V144" i="11"/>
  <c r="U144" i="11"/>
  <c r="T144" i="11"/>
  <c r="S144" i="11"/>
  <c r="R144" i="11"/>
  <c r="N144" i="11"/>
  <c r="M144" i="11"/>
  <c r="L144" i="11"/>
  <c r="X143" i="11"/>
  <c r="W143" i="11"/>
  <c r="V143" i="11"/>
  <c r="U143" i="11"/>
  <c r="T143" i="11"/>
  <c r="S143" i="11"/>
  <c r="R143" i="11"/>
  <c r="N143" i="11"/>
  <c r="M143" i="11"/>
  <c r="L143" i="11"/>
  <c r="X142" i="11"/>
  <c r="W142" i="11"/>
  <c r="V142" i="11"/>
  <c r="U142" i="11"/>
  <c r="T142" i="11"/>
  <c r="S142" i="11"/>
  <c r="R142" i="11"/>
  <c r="N142" i="11"/>
  <c r="M142" i="11"/>
  <c r="L142" i="11"/>
  <c r="X141" i="11"/>
  <c r="W141" i="11"/>
  <c r="V141" i="11"/>
  <c r="U141" i="11"/>
  <c r="T141" i="11"/>
  <c r="S141" i="11"/>
  <c r="R141" i="11"/>
  <c r="N141" i="11"/>
  <c r="M141" i="11"/>
  <c r="L141" i="11"/>
  <c r="X140" i="11"/>
  <c r="W140" i="11"/>
  <c r="V140" i="11"/>
  <c r="U140" i="11"/>
  <c r="T140" i="11"/>
  <c r="S140" i="11"/>
  <c r="R140" i="11"/>
  <c r="N140" i="11"/>
  <c r="M140" i="11"/>
  <c r="L140" i="11"/>
  <c r="X139" i="11"/>
  <c r="W139" i="11"/>
  <c r="V139" i="11"/>
  <c r="U139" i="11"/>
  <c r="T139" i="11"/>
  <c r="S139" i="11"/>
  <c r="R139" i="11"/>
  <c r="N139" i="11"/>
  <c r="M139" i="11"/>
  <c r="L139" i="11"/>
  <c r="X138" i="11"/>
  <c r="W138" i="11"/>
  <c r="V138" i="11"/>
  <c r="U138" i="11"/>
  <c r="T138" i="11"/>
  <c r="S138" i="11"/>
  <c r="R138" i="11"/>
  <c r="N138" i="11"/>
  <c r="M138" i="11"/>
  <c r="L138" i="11"/>
  <c r="X137" i="11"/>
  <c r="W137" i="11"/>
  <c r="V137" i="11"/>
  <c r="U137" i="11"/>
  <c r="T137" i="11"/>
  <c r="S137" i="11"/>
  <c r="R137" i="11"/>
  <c r="N137" i="11"/>
  <c r="M137" i="11"/>
  <c r="L137" i="11"/>
  <c r="X136" i="11"/>
  <c r="W136" i="11"/>
  <c r="V136" i="11"/>
  <c r="U136" i="11"/>
  <c r="T136" i="11"/>
  <c r="S136" i="11"/>
  <c r="R136" i="11"/>
  <c r="N136" i="11"/>
  <c r="M136" i="11"/>
  <c r="L136" i="11"/>
  <c r="X135" i="11"/>
  <c r="W135" i="11"/>
  <c r="V135" i="11"/>
  <c r="U135" i="11"/>
  <c r="T135" i="11"/>
  <c r="S135" i="11"/>
  <c r="R135" i="11"/>
  <c r="N135" i="11"/>
  <c r="M135" i="11"/>
  <c r="L135" i="11"/>
  <c r="X134" i="11"/>
  <c r="W134" i="11"/>
  <c r="V134" i="11"/>
  <c r="U134" i="11"/>
  <c r="T134" i="11"/>
  <c r="S134" i="11"/>
  <c r="R134" i="11"/>
  <c r="N134" i="11"/>
  <c r="M134" i="11"/>
  <c r="L134" i="11"/>
  <c r="X133" i="11"/>
  <c r="W133" i="11"/>
  <c r="V133" i="11"/>
  <c r="U133" i="11"/>
  <c r="T133" i="11"/>
  <c r="S133" i="11"/>
  <c r="R133" i="11"/>
  <c r="N133" i="11"/>
  <c r="M133" i="11"/>
  <c r="L133" i="11"/>
  <c r="X132" i="11"/>
  <c r="W132" i="11"/>
  <c r="V132" i="11"/>
  <c r="U132" i="11"/>
  <c r="T132" i="11"/>
  <c r="S132" i="11"/>
  <c r="R132" i="11"/>
  <c r="N132" i="11"/>
  <c r="M132" i="11"/>
  <c r="L132" i="11"/>
  <c r="X131" i="11"/>
  <c r="W131" i="11"/>
  <c r="V131" i="11"/>
  <c r="U131" i="11"/>
  <c r="T131" i="11"/>
  <c r="S131" i="11"/>
  <c r="R131" i="11"/>
  <c r="N131" i="11"/>
  <c r="M131" i="11"/>
  <c r="L131" i="11"/>
  <c r="X130" i="11"/>
  <c r="W130" i="11"/>
  <c r="V130" i="11"/>
  <c r="U130" i="11"/>
  <c r="T130" i="11"/>
  <c r="S130" i="11"/>
  <c r="R130" i="11"/>
  <c r="N130" i="11"/>
  <c r="M130" i="11"/>
  <c r="L130" i="11"/>
  <c r="X129" i="11"/>
  <c r="W129" i="11"/>
  <c r="V129" i="11"/>
  <c r="U129" i="11"/>
  <c r="T129" i="11"/>
  <c r="S129" i="11"/>
  <c r="R129" i="11"/>
  <c r="N129" i="11"/>
  <c r="M129" i="11"/>
  <c r="L129" i="11"/>
  <c r="X128" i="11"/>
  <c r="W128" i="11"/>
  <c r="V128" i="11"/>
  <c r="U128" i="11"/>
  <c r="T128" i="11"/>
  <c r="S128" i="11"/>
  <c r="R128" i="11"/>
  <c r="N128" i="11"/>
  <c r="M128" i="11"/>
  <c r="L128" i="11"/>
  <c r="X127" i="11"/>
  <c r="W127" i="11"/>
  <c r="V127" i="11"/>
  <c r="U127" i="11"/>
  <c r="T127" i="11"/>
  <c r="S127" i="11"/>
  <c r="R127" i="11"/>
  <c r="N127" i="11"/>
  <c r="M127" i="11"/>
  <c r="L127" i="11"/>
  <c r="X126" i="11"/>
  <c r="W126" i="11"/>
  <c r="V126" i="11"/>
  <c r="U126" i="11"/>
  <c r="T126" i="11"/>
  <c r="S126" i="11"/>
  <c r="R126" i="11"/>
  <c r="N126" i="11"/>
  <c r="M126" i="11"/>
  <c r="L126" i="11"/>
  <c r="X125" i="11"/>
  <c r="W125" i="11"/>
  <c r="V125" i="11"/>
  <c r="U125" i="11"/>
  <c r="T125" i="11"/>
  <c r="S125" i="11"/>
  <c r="R125" i="11"/>
  <c r="N125" i="11"/>
  <c r="M125" i="11"/>
  <c r="L125" i="11"/>
  <c r="X124" i="11"/>
  <c r="W124" i="11"/>
  <c r="V124" i="11"/>
  <c r="U124" i="11"/>
  <c r="T124" i="11"/>
  <c r="S124" i="11"/>
  <c r="R124" i="11"/>
  <c r="N124" i="11"/>
  <c r="M124" i="11"/>
  <c r="L124" i="11"/>
  <c r="X123" i="11"/>
  <c r="W123" i="11"/>
  <c r="V123" i="11"/>
  <c r="U123" i="11"/>
  <c r="T123" i="11"/>
  <c r="S123" i="11"/>
  <c r="R123" i="11"/>
  <c r="N123" i="11"/>
  <c r="M123" i="11"/>
  <c r="L123" i="11"/>
  <c r="X122" i="11"/>
  <c r="W122" i="11"/>
  <c r="V122" i="11"/>
  <c r="U122" i="11"/>
  <c r="T122" i="11"/>
  <c r="S122" i="11"/>
  <c r="R122" i="11"/>
  <c r="N122" i="11"/>
  <c r="M122" i="11"/>
  <c r="L122" i="11"/>
  <c r="X121" i="11"/>
  <c r="W121" i="11"/>
  <c r="V121" i="11"/>
  <c r="U121" i="11"/>
  <c r="T121" i="11"/>
  <c r="S121" i="11"/>
  <c r="R121" i="11"/>
  <c r="N121" i="11"/>
  <c r="M121" i="11"/>
  <c r="L121" i="11"/>
  <c r="X120" i="11"/>
  <c r="W120" i="11"/>
  <c r="V120" i="11"/>
  <c r="U120" i="11"/>
  <c r="T120" i="11"/>
  <c r="S120" i="11"/>
  <c r="R120" i="11"/>
  <c r="N120" i="11"/>
  <c r="M120" i="11"/>
  <c r="L120" i="11"/>
  <c r="X119" i="11"/>
  <c r="W119" i="11"/>
  <c r="V119" i="11"/>
  <c r="U119" i="11"/>
  <c r="T119" i="11"/>
  <c r="S119" i="11"/>
  <c r="R119" i="11"/>
  <c r="N119" i="11"/>
  <c r="M119" i="11"/>
  <c r="L119" i="11"/>
  <c r="X118" i="11"/>
  <c r="W118" i="11"/>
  <c r="V118" i="11"/>
  <c r="U118" i="11"/>
  <c r="T118" i="11"/>
  <c r="S118" i="11"/>
  <c r="R118" i="11"/>
  <c r="N118" i="11"/>
  <c r="M118" i="11"/>
  <c r="L118" i="11"/>
  <c r="X117" i="11"/>
  <c r="W117" i="11"/>
  <c r="V117" i="11"/>
  <c r="U117" i="11"/>
  <c r="T117" i="11"/>
  <c r="S117" i="11"/>
  <c r="R117" i="11"/>
  <c r="N117" i="11"/>
  <c r="M117" i="11"/>
  <c r="L117" i="11"/>
  <c r="X116" i="11"/>
  <c r="W116" i="11"/>
  <c r="V116" i="11"/>
  <c r="U116" i="11"/>
  <c r="T116" i="11"/>
  <c r="S116" i="11"/>
  <c r="R116" i="11"/>
  <c r="N116" i="11"/>
  <c r="M116" i="11"/>
  <c r="L116" i="11"/>
  <c r="X115" i="11"/>
  <c r="W115" i="11"/>
  <c r="V115" i="11"/>
  <c r="U115" i="11"/>
  <c r="T115" i="11"/>
  <c r="S115" i="11"/>
  <c r="R115" i="11"/>
  <c r="N115" i="11"/>
  <c r="M115" i="11"/>
  <c r="L115" i="11"/>
  <c r="X114" i="11"/>
  <c r="W114" i="11"/>
  <c r="V114" i="11"/>
  <c r="U114" i="11"/>
  <c r="T114" i="11"/>
  <c r="S114" i="11"/>
  <c r="R114" i="11"/>
  <c r="N114" i="11"/>
  <c r="M114" i="11"/>
  <c r="L114" i="11"/>
  <c r="X113" i="11"/>
  <c r="W113" i="11"/>
  <c r="V113" i="11"/>
  <c r="U113" i="11"/>
  <c r="T113" i="11"/>
  <c r="S113" i="11"/>
  <c r="R113" i="11"/>
  <c r="N113" i="11"/>
  <c r="M113" i="11"/>
  <c r="L113" i="11"/>
  <c r="X112" i="11"/>
  <c r="W112" i="11"/>
  <c r="V112" i="11"/>
  <c r="U112" i="11"/>
  <c r="T112" i="11"/>
  <c r="S112" i="11"/>
  <c r="R112" i="11"/>
  <c r="N112" i="11"/>
  <c r="M112" i="11"/>
  <c r="L112" i="11"/>
  <c r="X111" i="11"/>
  <c r="W111" i="11"/>
  <c r="V111" i="11"/>
  <c r="U111" i="11"/>
  <c r="T111" i="11"/>
  <c r="S111" i="11"/>
  <c r="R111" i="11"/>
  <c r="N111" i="11"/>
  <c r="M111" i="11"/>
  <c r="L111" i="11"/>
  <c r="X110" i="11"/>
  <c r="W110" i="11"/>
  <c r="V110" i="11"/>
  <c r="U110" i="11"/>
  <c r="T110" i="11"/>
  <c r="S110" i="11"/>
  <c r="R110" i="11"/>
  <c r="N110" i="11"/>
  <c r="M110" i="11"/>
  <c r="L110" i="11"/>
  <c r="X109" i="11"/>
  <c r="W109" i="11"/>
  <c r="V109" i="11"/>
  <c r="U109" i="11"/>
  <c r="T109" i="11"/>
  <c r="S109" i="11"/>
  <c r="R109" i="11"/>
  <c r="N109" i="11"/>
  <c r="M109" i="11"/>
  <c r="L109" i="11"/>
  <c r="X108" i="11"/>
  <c r="W108" i="11"/>
  <c r="V108" i="11"/>
  <c r="U108" i="11"/>
  <c r="T108" i="11"/>
  <c r="S108" i="11"/>
  <c r="R108" i="11"/>
  <c r="N108" i="11"/>
  <c r="M108" i="11"/>
  <c r="L108" i="11"/>
  <c r="X107" i="11"/>
  <c r="W107" i="11"/>
  <c r="V107" i="11"/>
  <c r="U107" i="11"/>
  <c r="T107" i="11"/>
  <c r="S107" i="11"/>
  <c r="R107" i="11"/>
  <c r="N107" i="11"/>
  <c r="M107" i="11"/>
  <c r="L107" i="11"/>
  <c r="X106" i="11"/>
  <c r="W106" i="11"/>
  <c r="V106" i="11"/>
  <c r="U106" i="11"/>
  <c r="T106" i="11"/>
  <c r="S106" i="11"/>
  <c r="R106" i="11"/>
  <c r="N106" i="11"/>
  <c r="M106" i="11"/>
  <c r="L106" i="11"/>
  <c r="X105" i="11"/>
  <c r="W105" i="11"/>
  <c r="V105" i="11"/>
  <c r="U105" i="11"/>
  <c r="T105" i="11"/>
  <c r="S105" i="11"/>
  <c r="R105" i="11"/>
  <c r="N105" i="11"/>
  <c r="M105" i="11"/>
  <c r="L105" i="11"/>
  <c r="X104" i="11"/>
  <c r="W104" i="11"/>
  <c r="V104" i="11"/>
  <c r="U104" i="11"/>
  <c r="T104" i="11"/>
  <c r="S104" i="11"/>
  <c r="R104" i="11"/>
  <c r="N104" i="11"/>
  <c r="M104" i="11"/>
  <c r="L104" i="11"/>
  <c r="X103" i="11"/>
  <c r="W103" i="11"/>
  <c r="V103" i="11"/>
  <c r="U103" i="11"/>
  <c r="T103" i="11"/>
  <c r="S103" i="11"/>
  <c r="R103" i="11"/>
  <c r="N103" i="11"/>
  <c r="M103" i="11"/>
  <c r="L103" i="11"/>
  <c r="X102" i="11"/>
  <c r="W102" i="11"/>
  <c r="V102" i="11"/>
  <c r="U102" i="11"/>
  <c r="T102" i="11"/>
  <c r="S102" i="11"/>
  <c r="R102" i="11"/>
  <c r="N102" i="11"/>
  <c r="M102" i="11"/>
  <c r="L102" i="11"/>
  <c r="X101" i="11"/>
  <c r="W101" i="11"/>
  <c r="V101" i="11"/>
  <c r="U101" i="11"/>
  <c r="T101" i="11"/>
  <c r="S101" i="11"/>
  <c r="R101" i="11"/>
  <c r="N101" i="11"/>
  <c r="M101" i="11"/>
  <c r="L101" i="11"/>
  <c r="X100" i="11"/>
  <c r="W100" i="11"/>
  <c r="V100" i="11"/>
  <c r="U100" i="11"/>
  <c r="T100" i="11"/>
  <c r="S100" i="11"/>
  <c r="R100" i="11"/>
  <c r="N100" i="11"/>
  <c r="M100" i="11"/>
  <c r="L100" i="11"/>
  <c r="X99" i="11"/>
  <c r="W99" i="11"/>
  <c r="V99" i="11"/>
  <c r="U99" i="11"/>
  <c r="T99" i="11"/>
  <c r="S99" i="11"/>
  <c r="R99" i="11"/>
  <c r="N99" i="11"/>
  <c r="M99" i="11"/>
  <c r="L99" i="11"/>
  <c r="X98" i="11"/>
  <c r="W98" i="11"/>
  <c r="V98" i="11"/>
  <c r="U98" i="11"/>
  <c r="T98" i="11"/>
  <c r="S98" i="11"/>
  <c r="R98" i="11"/>
  <c r="N98" i="11"/>
  <c r="M98" i="11"/>
  <c r="L98" i="11"/>
  <c r="X97" i="11"/>
  <c r="W97" i="11"/>
  <c r="V97" i="11"/>
  <c r="U97" i="11"/>
  <c r="T97" i="11"/>
  <c r="S97" i="11"/>
  <c r="R97" i="11"/>
  <c r="N97" i="11"/>
  <c r="M97" i="11"/>
  <c r="L97" i="11"/>
  <c r="X96" i="11"/>
  <c r="W96" i="11"/>
  <c r="V96" i="11"/>
  <c r="U96" i="11"/>
  <c r="T96" i="11"/>
  <c r="S96" i="11"/>
  <c r="R96" i="11"/>
  <c r="N96" i="11"/>
  <c r="M96" i="11"/>
  <c r="L96" i="11"/>
  <c r="X95" i="11"/>
  <c r="W95" i="11"/>
  <c r="V95" i="11"/>
  <c r="U95" i="11"/>
  <c r="T95" i="11"/>
  <c r="S95" i="11"/>
  <c r="R95" i="11"/>
  <c r="N95" i="11"/>
  <c r="M95" i="11"/>
  <c r="L95" i="11"/>
  <c r="X94" i="11"/>
  <c r="W94" i="11"/>
  <c r="V94" i="11"/>
  <c r="U94" i="11"/>
  <c r="T94" i="11"/>
  <c r="S94" i="11"/>
  <c r="R94" i="11"/>
  <c r="N94" i="11"/>
  <c r="M94" i="11"/>
  <c r="L94" i="11"/>
  <c r="X93" i="11"/>
  <c r="W93" i="11"/>
  <c r="V93" i="11"/>
  <c r="U93" i="11"/>
  <c r="T93" i="11"/>
  <c r="S93" i="11"/>
  <c r="R93" i="11"/>
  <c r="N93" i="11"/>
  <c r="M93" i="11"/>
  <c r="L93" i="11"/>
  <c r="X92" i="11"/>
  <c r="W92" i="11"/>
  <c r="V92" i="11"/>
  <c r="U92" i="11"/>
  <c r="T92" i="11"/>
  <c r="S92" i="11"/>
  <c r="R92" i="11"/>
  <c r="N92" i="11"/>
  <c r="M92" i="11"/>
  <c r="L92" i="11"/>
  <c r="X91" i="11"/>
  <c r="W91" i="11"/>
  <c r="V91" i="11"/>
  <c r="U91" i="11"/>
  <c r="T91" i="11"/>
  <c r="S91" i="11"/>
  <c r="R91" i="11"/>
  <c r="N91" i="11"/>
  <c r="M91" i="11"/>
  <c r="L91" i="11"/>
  <c r="X90" i="11"/>
  <c r="W90" i="11"/>
  <c r="V90" i="11"/>
  <c r="U90" i="11"/>
  <c r="T90" i="11"/>
  <c r="S90" i="11"/>
  <c r="R90" i="11"/>
  <c r="N90" i="11"/>
  <c r="M90" i="11"/>
  <c r="L90" i="11"/>
  <c r="X89" i="11"/>
  <c r="W89" i="11"/>
  <c r="V89" i="11"/>
  <c r="U89" i="11"/>
  <c r="T89" i="11"/>
  <c r="S89" i="11"/>
  <c r="R89" i="11"/>
  <c r="N89" i="11"/>
  <c r="M89" i="11"/>
  <c r="L89" i="11"/>
  <c r="X88" i="11"/>
  <c r="W88" i="11"/>
  <c r="V88" i="11"/>
  <c r="U88" i="11"/>
  <c r="T88" i="11"/>
  <c r="S88" i="11"/>
  <c r="R88" i="11"/>
  <c r="N88" i="11"/>
  <c r="M88" i="11"/>
  <c r="L88" i="11"/>
  <c r="X87" i="11"/>
  <c r="W87" i="11"/>
  <c r="V87" i="11"/>
  <c r="U87" i="11"/>
  <c r="T87" i="11"/>
  <c r="S87" i="11"/>
  <c r="R87" i="11"/>
  <c r="N87" i="11"/>
  <c r="M87" i="11"/>
  <c r="L87" i="11"/>
  <c r="X86" i="11"/>
  <c r="W86" i="11"/>
  <c r="V86" i="11"/>
  <c r="U86" i="11"/>
  <c r="T86" i="11"/>
  <c r="S86" i="11"/>
  <c r="R86" i="11"/>
  <c r="N86" i="11"/>
  <c r="M86" i="11"/>
  <c r="L86" i="11"/>
  <c r="X85" i="11"/>
  <c r="W85" i="11"/>
  <c r="V85" i="11"/>
  <c r="U85" i="11"/>
  <c r="T85" i="11"/>
  <c r="S85" i="11"/>
  <c r="R85" i="11"/>
  <c r="N85" i="11"/>
  <c r="M85" i="11"/>
  <c r="L85" i="11"/>
  <c r="X84" i="11"/>
  <c r="W84" i="11"/>
  <c r="V84" i="11"/>
  <c r="U84" i="11"/>
  <c r="T84" i="11"/>
  <c r="S84" i="11"/>
  <c r="R84" i="11"/>
  <c r="N84" i="11"/>
  <c r="M84" i="11"/>
  <c r="L84" i="11"/>
  <c r="X83" i="11"/>
  <c r="W83" i="11"/>
  <c r="V83" i="11"/>
  <c r="U83" i="11"/>
  <c r="T83" i="11"/>
  <c r="S83" i="11"/>
  <c r="R83" i="11"/>
  <c r="N83" i="11"/>
  <c r="M83" i="11"/>
  <c r="L83" i="11"/>
  <c r="X82" i="11"/>
  <c r="W82" i="11"/>
  <c r="V82" i="11"/>
  <c r="U82" i="11"/>
  <c r="T82" i="11"/>
  <c r="S82" i="11"/>
  <c r="R82" i="11"/>
  <c r="N82" i="11"/>
  <c r="M82" i="11"/>
  <c r="L82" i="11"/>
  <c r="X81" i="11"/>
  <c r="W81" i="11"/>
  <c r="V81" i="11"/>
  <c r="U81" i="11"/>
  <c r="T81" i="11"/>
  <c r="S81" i="11"/>
  <c r="R81" i="11"/>
  <c r="N81" i="11"/>
  <c r="M81" i="11"/>
  <c r="L81" i="11"/>
  <c r="X80" i="11"/>
  <c r="W80" i="11"/>
  <c r="V80" i="11"/>
  <c r="U80" i="11"/>
  <c r="T80" i="11"/>
  <c r="S80" i="11"/>
  <c r="R80" i="11"/>
  <c r="N80" i="11"/>
  <c r="M80" i="11"/>
  <c r="L80" i="11"/>
  <c r="X79" i="11"/>
  <c r="W79" i="11"/>
  <c r="V79" i="11"/>
  <c r="U79" i="11"/>
  <c r="T79" i="11"/>
  <c r="S79" i="11"/>
  <c r="R79" i="11"/>
  <c r="N79" i="11"/>
  <c r="M79" i="11"/>
  <c r="L79" i="11"/>
  <c r="X78" i="11"/>
  <c r="W78" i="11"/>
  <c r="V78" i="11"/>
  <c r="U78" i="11"/>
  <c r="T78" i="11"/>
  <c r="S78" i="11"/>
  <c r="R78" i="11"/>
  <c r="N78" i="11"/>
  <c r="M78" i="11"/>
  <c r="L78" i="11"/>
  <c r="X77" i="11"/>
  <c r="W77" i="11"/>
  <c r="V77" i="11"/>
  <c r="U77" i="11"/>
  <c r="T77" i="11"/>
  <c r="S77" i="11"/>
  <c r="R77" i="11"/>
  <c r="N77" i="11"/>
  <c r="M77" i="11"/>
  <c r="L77" i="11"/>
  <c r="X76" i="11"/>
  <c r="W76" i="11"/>
  <c r="V76" i="11"/>
  <c r="U76" i="11"/>
  <c r="T76" i="11"/>
  <c r="S76" i="11"/>
  <c r="R76" i="11"/>
  <c r="N76" i="11"/>
  <c r="M76" i="11"/>
  <c r="L76" i="11"/>
  <c r="X75" i="11"/>
  <c r="W75" i="11"/>
  <c r="V75" i="11"/>
  <c r="U75" i="11"/>
  <c r="T75" i="11"/>
  <c r="S75" i="11"/>
  <c r="R75" i="11"/>
  <c r="N75" i="11"/>
  <c r="M75" i="11"/>
  <c r="L75" i="11"/>
  <c r="X74" i="11"/>
  <c r="W74" i="11"/>
  <c r="V74" i="11"/>
  <c r="U74" i="11"/>
  <c r="T74" i="11"/>
  <c r="S74" i="11"/>
  <c r="R74" i="11"/>
  <c r="N74" i="11"/>
  <c r="M74" i="11"/>
  <c r="L74" i="11"/>
  <c r="X73" i="11"/>
  <c r="W73" i="11"/>
  <c r="V73" i="11"/>
  <c r="U73" i="11"/>
  <c r="T73" i="11"/>
  <c r="S73" i="11"/>
  <c r="R73" i="11"/>
  <c r="N73" i="11"/>
  <c r="M73" i="11"/>
  <c r="L73" i="11"/>
  <c r="X72" i="11"/>
  <c r="W72" i="11"/>
  <c r="V72" i="11"/>
  <c r="U72" i="11"/>
  <c r="T72" i="11"/>
  <c r="S72" i="11"/>
  <c r="R72" i="11"/>
  <c r="N72" i="11"/>
  <c r="M72" i="11"/>
  <c r="L72" i="11"/>
  <c r="X71" i="11"/>
  <c r="W71" i="11"/>
  <c r="V71" i="11"/>
  <c r="U71" i="11"/>
  <c r="T71" i="11"/>
  <c r="S71" i="11"/>
  <c r="R71" i="11"/>
  <c r="N71" i="11"/>
  <c r="M71" i="11"/>
  <c r="L71" i="11"/>
  <c r="X70" i="11"/>
  <c r="W70" i="11"/>
  <c r="V70" i="11"/>
  <c r="U70" i="11"/>
  <c r="T70" i="11"/>
  <c r="S70" i="11"/>
  <c r="R70" i="11"/>
  <c r="N70" i="11"/>
  <c r="M70" i="11"/>
  <c r="L70" i="11"/>
  <c r="X69" i="11"/>
  <c r="W69" i="11"/>
  <c r="V69" i="11"/>
  <c r="U69" i="11"/>
  <c r="T69" i="11"/>
  <c r="S69" i="11"/>
  <c r="R69" i="11"/>
  <c r="N69" i="11"/>
  <c r="M69" i="11"/>
  <c r="L69" i="11"/>
  <c r="X68" i="11"/>
  <c r="W68" i="11"/>
  <c r="V68" i="11"/>
  <c r="U68" i="11"/>
  <c r="T68" i="11"/>
  <c r="S68" i="11"/>
  <c r="R68" i="11"/>
  <c r="N68" i="11"/>
  <c r="M68" i="11"/>
  <c r="L68" i="11"/>
  <c r="X67" i="11"/>
  <c r="W67" i="11"/>
  <c r="V67" i="11"/>
  <c r="U67" i="11"/>
  <c r="T67" i="11"/>
  <c r="S67" i="11"/>
  <c r="R67" i="11"/>
  <c r="N67" i="11"/>
  <c r="M67" i="11"/>
  <c r="L67" i="11"/>
  <c r="X66" i="11"/>
  <c r="W66" i="11"/>
  <c r="V66" i="11"/>
  <c r="U66" i="11"/>
  <c r="T66" i="11"/>
  <c r="S66" i="11"/>
  <c r="R66" i="11"/>
  <c r="N66" i="11"/>
  <c r="M66" i="11"/>
  <c r="L66" i="11"/>
  <c r="X65" i="11"/>
  <c r="W65" i="11"/>
  <c r="V65" i="11"/>
  <c r="U65" i="11"/>
  <c r="T65" i="11"/>
  <c r="S65" i="11"/>
  <c r="R65" i="11"/>
  <c r="N65" i="11"/>
  <c r="M65" i="11"/>
  <c r="L65" i="11"/>
  <c r="X64" i="11"/>
  <c r="W64" i="11"/>
  <c r="V64" i="11"/>
  <c r="U64" i="11"/>
  <c r="T64" i="11"/>
  <c r="S64" i="11"/>
  <c r="R64" i="11"/>
  <c r="N64" i="11"/>
  <c r="M64" i="11"/>
  <c r="L64" i="11"/>
  <c r="X63" i="11"/>
  <c r="W63" i="11"/>
  <c r="V63" i="11"/>
  <c r="U63" i="11"/>
  <c r="T63" i="11"/>
  <c r="S63" i="11"/>
  <c r="R63" i="11"/>
  <c r="N63" i="11"/>
  <c r="M63" i="11"/>
  <c r="L63" i="11"/>
  <c r="X62" i="11"/>
  <c r="W62" i="11"/>
  <c r="V62" i="11"/>
  <c r="U62" i="11"/>
  <c r="T62" i="11"/>
  <c r="S62" i="11"/>
  <c r="R62" i="11"/>
  <c r="N62" i="11"/>
  <c r="M62" i="11"/>
  <c r="L62" i="11"/>
  <c r="X61" i="11"/>
  <c r="W61" i="11"/>
  <c r="V61" i="11"/>
  <c r="U61" i="11"/>
  <c r="T61" i="11"/>
  <c r="S61" i="11"/>
  <c r="R61" i="11"/>
  <c r="N61" i="11"/>
  <c r="M61" i="11"/>
  <c r="L61" i="11"/>
  <c r="X60" i="11"/>
  <c r="W60" i="11"/>
  <c r="V60" i="11"/>
  <c r="R60" i="11"/>
  <c r="N60" i="11"/>
  <c r="M60" i="11"/>
  <c r="L60" i="11"/>
  <c r="X59" i="11"/>
  <c r="W59" i="11"/>
  <c r="V59" i="11"/>
  <c r="U59" i="11"/>
  <c r="T59" i="11"/>
  <c r="S59" i="11"/>
  <c r="R59" i="11"/>
  <c r="N59" i="11"/>
  <c r="M59" i="11"/>
  <c r="L59" i="11"/>
  <c r="X58" i="11"/>
  <c r="W58" i="11"/>
  <c r="V58" i="11"/>
  <c r="U58" i="11"/>
  <c r="T58" i="11"/>
  <c r="S58" i="11"/>
  <c r="R58" i="11"/>
  <c r="N58" i="11"/>
  <c r="M58" i="11"/>
  <c r="L58" i="11"/>
  <c r="X57" i="11"/>
  <c r="W57" i="11"/>
  <c r="V57" i="11"/>
  <c r="U57" i="11"/>
  <c r="T57" i="11"/>
  <c r="S57" i="11"/>
  <c r="R57" i="11"/>
  <c r="N57" i="11"/>
  <c r="M57" i="11"/>
  <c r="L57" i="11"/>
  <c r="X56" i="11"/>
  <c r="W56" i="11"/>
  <c r="V56" i="11"/>
  <c r="U56" i="11"/>
  <c r="T56" i="11"/>
  <c r="S56" i="11"/>
  <c r="R56" i="11"/>
  <c r="N56" i="11"/>
  <c r="M56" i="11"/>
  <c r="L56" i="11"/>
  <c r="X55" i="11"/>
  <c r="W55" i="11"/>
  <c r="V55" i="11"/>
  <c r="R55" i="11"/>
  <c r="N55" i="11"/>
  <c r="M55" i="11"/>
  <c r="L55" i="11"/>
  <c r="X54" i="11"/>
  <c r="W54" i="11"/>
  <c r="V54" i="11"/>
  <c r="U54" i="11"/>
  <c r="T54" i="11"/>
  <c r="S54" i="11"/>
  <c r="R54" i="11"/>
  <c r="N54" i="11"/>
  <c r="M54" i="11"/>
  <c r="L54" i="11"/>
  <c r="X53" i="11"/>
  <c r="W53" i="11"/>
  <c r="V53" i="11"/>
  <c r="U53" i="11"/>
  <c r="T53" i="11"/>
  <c r="S53" i="11"/>
  <c r="R53" i="11"/>
  <c r="N53" i="11"/>
  <c r="M53" i="11"/>
  <c r="L53" i="11"/>
  <c r="X52" i="11"/>
  <c r="W52" i="11"/>
  <c r="V52" i="11"/>
  <c r="U52" i="11"/>
  <c r="T52" i="11"/>
  <c r="S52" i="11"/>
  <c r="R52" i="11"/>
  <c r="N52" i="11"/>
  <c r="M52" i="11"/>
  <c r="L52" i="11"/>
  <c r="X51" i="11"/>
  <c r="W51" i="11"/>
  <c r="V51" i="11"/>
  <c r="U51" i="11"/>
  <c r="T51" i="11"/>
  <c r="S51" i="11"/>
  <c r="R51" i="11"/>
  <c r="N51" i="11"/>
  <c r="M51" i="11"/>
  <c r="L51" i="11"/>
  <c r="X50" i="11"/>
  <c r="W50" i="11"/>
  <c r="V50" i="11"/>
  <c r="U50" i="11"/>
  <c r="T50" i="11"/>
  <c r="S50" i="11"/>
  <c r="R50" i="11"/>
  <c r="N50" i="11"/>
  <c r="M50" i="11"/>
  <c r="L50" i="11"/>
  <c r="X49" i="11"/>
  <c r="W49" i="11"/>
  <c r="V49" i="11"/>
  <c r="U49" i="11"/>
  <c r="T49" i="11"/>
  <c r="S49" i="11"/>
  <c r="R49" i="11"/>
  <c r="N49" i="11"/>
  <c r="M49" i="11"/>
  <c r="L49" i="11"/>
  <c r="X48" i="11"/>
  <c r="W48" i="11"/>
  <c r="V48" i="11"/>
  <c r="U48" i="11"/>
  <c r="T48" i="11"/>
  <c r="S48" i="11"/>
  <c r="R48" i="11"/>
  <c r="N48" i="11"/>
  <c r="M48" i="11"/>
  <c r="L48" i="11"/>
  <c r="X47" i="11"/>
  <c r="W47" i="11"/>
  <c r="V47" i="11"/>
  <c r="U47" i="11"/>
  <c r="T47" i="11"/>
  <c r="S47" i="11"/>
  <c r="R47" i="11"/>
  <c r="N47" i="11"/>
  <c r="M47" i="11"/>
  <c r="L47" i="11"/>
  <c r="X46" i="11"/>
  <c r="W46" i="11"/>
  <c r="V46" i="11"/>
  <c r="U46" i="11"/>
  <c r="T46" i="11"/>
  <c r="S46" i="11"/>
  <c r="R46" i="11"/>
  <c r="N46" i="11"/>
  <c r="M46" i="11"/>
  <c r="L46" i="11"/>
  <c r="X45" i="11"/>
  <c r="W45" i="11"/>
  <c r="V45" i="11"/>
  <c r="U45" i="11"/>
  <c r="T45" i="11"/>
  <c r="S45" i="11"/>
  <c r="R45" i="11"/>
  <c r="N45" i="11"/>
  <c r="M45" i="11"/>
  <c r="L45" i="11"/>
  <c r="X44" i="11"/>
  <c r="W44" i="11"/>
  <c r="V44" i="11"/>
  <c r="U44" i="11"/>
  <c r="T44" i="11"/>
  <c r="S44" i="11"/>
  <c r="R44" i="11"/>
  <c r="N44" i="11"/>
  <c r="M44" i="11"/>
  <c r="L44" i="11"/>
  <c r="X43" i="11"/>
  <c r="W43" i="11"/>
  <c r="V43" i="11"/>
  <c r="U43" i="11"/>
  <c r="T43" i="11"/>
  <c r="S43" i="11"/>
  <c r="R43" i="11"/>
  <c r="N43" i="11"/>
  <c r="M43" i="11"/>
  <c r="L43" i="11"/>
  <c r="X42" i="11"/>
  <c r="W42" i="11"/>
  <c r="V42" i="11"/>
  <c r="U42" i="11"/>
  <c r="T42" i="11"/>
  <c r="S42" i="11"/>
  <c r="R42" i="11"/>
  <c r="N42" i="11"/>
  <c r="M42" i="11"/>
  <c r="L42" i="11"/>
  <c r="U41" i="11"/>
  <c r="T41" i="11"/>
  <c r="S41" i="11"/>
  <c r="R41" i="11"/>
  <c r="N41" i="11"/>
  <c r="Q41" i="11" s="1"/>
  <c r="M41" i="11"/>
  <c r="P53" i="11" s="1"/>
  <c r="L41" i="11"/>
  <c r="O54" i="11" s="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R16" i="11"/>
  <c r="N16" i="11"/>
  <c r="M16" i="11"/>
  <c r="L16" i="11"/>
  <c r="K16" i="11"/>
  <c r="W7" i="11"/>
  <c r="Y2" i="11"/>
  <c r="X153" i="9"/>
  <c r="W153" i="9"/>
  <c r="V153" i="9"/>
  <c r="U153" i="9"/>
  <c r="T153" i="9"/>
  <c r="S153" i="9"/>
  <c r="R153" i="9"/>
  <c r="N153" i="9"/>
  <c r="M153" i="9"/>
  <c r="L153" i="9"/>
  <c r="X152" i="9"/>
  <c r="W152" i="9"/>
  <c r="V152" i="9"/>
  <c r="U152" i="9"/>
  <c r="T152" i="9"/>
  <c r="S152" i="9"/>
  <c r="R152" i="9"/>
  <c r="N152" i="9"/>
  <c r="M152" i="9"/>
  <c r="L152" i="9"/>
  <c r="X151" i="9"/>
  <c r="W151" i="9"/>
  <c r="V151" i="9"/>
  <c r="U151" i="9"/>
  <c r="T151" i="9"/>
  <c r="S151" i="9"/>
  <c r="R151" i="9"/>
  <c r="N151" i="9"/>
  <c r="M151" i="9"/>
  <c r="L151" i="9"/>
  <c r="X150" i="9"/>
  <c r="W150" i="9"/>
  <c r="V150" i="9"/>
  <c r="U150" i="9"/>
  <c r="T150" i="9"/>
  <c r="S150" i="9"/>
  <c r="R150" i="9"/>
  <c r="N150" i="9"/>
  <c r="M150" i="9"/>
  <c r="L150" i="9"/>
  <c r="X149" i="9"/>
  <c r="W149" i="9"/>
  <c r="V149" i="9"/>
  <c r="U149" i="9"/>
  <c r="T149" i="9"/>
  <c r="S149" i="9"/>
  <c r="R149" i="9"/>
  <c r="N149" i="9"/>
  <c r="M149" i="9"/>
  <c r="L149" i="9"/>
  <c r="X148" i="9"/>
  <c r="W148" i="9"/>
  <c r="V148" i="9"/>
  <c r="U148" i="9"/>
  <c r="T148" i="9"/>
  <c r="S148" i="9"/>
  <c r="R148" i="9"/>
  <c r="N148" i="9"/>
  <c r="M148" i="9"/>
  <c r="L148" i="9"/>
  <c r="X147" i="9"/>
  <c r="W147" i="9"/>
  <c r="V147" i="9"/>
  <c r="U147" i="9"/>
  <c r="T147" i="9"/>
  <c r="S147" i="9"/>
  <c r="R147" i="9"/>
  <c r="N147" i="9"/>
  <c r="M147" i="9"/>
  <c r="L147" i="9"/>
  <c r="X146" i="9"/>
  <c r="W146" i="9"/>
  <c r="V146" i="9"/>
  <c r="U146" i="9"/>
  <c r="T146" i="9"/>
  <c r="S146" i="9"/>
  <c r="R146" i="9"/>
  <c r="N146" i="9"/>
  <c r="M146" i="9"/>
  <c r="L146" i="9"/>
  <c r="X145" i="9"/>
  <c r="W145" i="9"/>
  <c r="V145" i="9"/>
  <c r="U145" i="9"/>
  <c r="T145" i="9"/>
  <c r="S145" i="9"/>
  <c r="R145" i="9"/>
  <c r="N145" i="9"/>
  <c r="M145" i="9"/>
  <c r="L145" i="9"/>
  <c r="X144" i="9"/>
  <c r="W144" i="9"/>
  <c r="V144" i="9"/>
  <c r="U144" i="9"/>
  <c r="T144" i="9"/>
  <c r="S144" i="9"/>
  <c r="R144" i="9"/>
  <c r="N144" i="9"/>
  <c r="M144" i="9"/>
  <c r="L144" i="9"/>
  <c r="X143" i="9"/>
  <c r="W143" i="9"/>
  <c r="V143" i="9"/>
  <c r="U143" i="9"/>
  <c r="T143" i="9"/>
  <c r="S143" i="9"/>
  <c r="R143" i="9"/>
  <c r="N143" i="9"/>
  <c r="M143" i="9"/>
  <c r="L143" i="9"/>
  <c r="X142" i="9"/>
  <c r="W142" i="9"/>
  <c r="V142" i="9"/>
  <c r="U142" i="9"/>
  <c r="T142" i="9"/>
  <c r="S142" i="9"/>
  <c r="R142" i="9"/>
  <c r="N142" i="9"/>
  <c r="M142" i="9"/>
  <c r="L142" i="9"/>
  <c r="X141" i="9"/>
  <c r="W141" i="9"/>
  <c r="V141" i="9"/>
  <c r="U141" i="9"/>
  <c r="T141" i="9"/>
  <c r="S141" i="9"/>
  <c r="R141" i="9"/>
  <c r="N141" i="9"/>
  <c r="M141" i="9"/>
  <c r="L141" i="9"/>
  <c r="X140" i="9"/>
  <c r="W140" i="9"/>
  <c r="V140" i="9"/>
  <c r="U140" i="9"/>
  <c r="T140" i="9"/>
  <c r="S140" i="9"/>
  <c r="R140" i="9"/>
  <c r="N140" i="9"/>
  <c r="M140" i="9"/>
  <c r="L140" i="9"/>
  <c r="X139" i="9"/>
  <c r="W139" i="9"/>
  <c r="V139" i="9"/>
  <c r="U139" i="9"/>
  <c r="T139" i="9"/>
  <c r="S139" i="9"/>
  <c r="R139" i="9"/>
  <c r="N139" i="9"/>
  <c r="M139" i="9"/>
  <c r="L139" i="9"/>
  <c r="X138" i="9"/>
  <c r="W138" i="9"/>
  <c r="V138" i="9"/>
  <c r="U138" i="9"/>
  <c r="T138" i="9"/>
  <c r="S138" i="9"/>
  <c r="R138" i="9"/>
  <c r="N138" i="9"/>
  <c r="M138" i="9"/>
  <c r="L138" i="9"/>
  <c r="X137" i="9"/>
  <c r="W137" i="9"/>
  <c r="V137" i="9"/>
  <c r="U137" i="9"/>
  <c r="T137" i="9"/>
  <c r="S137" i="9"/>
  <c r="R137" i="9"/>
  <c r="N137" i="9"/>
  <c r="M137" i="9"/>
  <c r="L137" i="9"/>
  <c r="X136" i="9"/>
  <c r="W136" i="9"/>
  <c r="V136" i="9"/>
  <c r="U136" i="9"/>
  <c r="T136" i="9"/>
  <c r="S136" i="9"/>
  <c r="R136" i="9"/>
  <c r="N136" i="9"/>
  <c r="M136" i="9"/>
  <c r="L136" i="9"/>
  <c r="X135" i="9"/>
  <c r="W135" i="9"/>
  <c r="V135" i="9"/>
  <c r="U135" i="9"/>
  <c r="T135" i="9"/>
  <c r="S135" i="9"/>
  <c r="R135" i="9"/>
  <c r="N135" i="9"/>
  <c r="M135" i="9"/>
  <c r="L135" i="9"/>
  <c r="X134" i="9"/>
  <c r="W134" i="9"/>
  <c r="V134" i="9"/>
  <c r="U134" i="9"/>
  <c r="T134" i="9"/>
  <c r="S134" i="9"/>
  <c r="R134" i="9"/>
  <c r="N134" i="9"/>
  <c r="M134" i="9"/>
  <c r="L134" i="9"/>
  <c r="X133" i="9"/>
  <c r="W133" i="9"/>
  <c r="V133" i="9"/>
  <c r="U133" i="9"/>
  <c r="T133" i="9"/>
  <c r="S133" i="9"/>
  <c r="R133" i="9"/>
  <c r="N133" i="9"/>
  <c r="M133" i="9"/>
  <c r="L133" i="9"/>
  <c r="X132" i="9"/>
  <c r="W132" i="9"/>
  <c r="V132" i="9"/>
  <c r="U132" i="9"/>
  <c r="T132" i="9"/>
  <c r="S132" i="9"/>
  <c r="R132" i="9"/>
  <c r="N132" i="9"/>
  <c r="M132" i="9"/>
  <c r="L132" i="9"/>
  <c r="X131" i="9"/>
  <c r="W131" i="9"/>
  <c r="V131" i="9"/>
  <c r="U131" i="9"/>
  <c r="T131" i="9"/>
  <c r="S131" i="9"/>
  <c r="R131" i="9"/>
  <c r="N131" i="9"/>
  <c r="M131" i="9"/>
  <c r="L131" i="9"/>
  <c r="X130" i="9"/>
  <c r="W130" i="9"/>
  <c r="V130" i="9"/>
  <c r="U130" i="9"/>
  <c r="T130" i="9"/>
  <c r="S130" i="9"/>
  <c r="R130" i="9"/>
  <c r="N130" i="9"/>
  <c r="M130" i="9"/>
  <c r="L130" i="9"/>
  <c r="X129" i="9"/>
  <c r="W129" i="9"/>
  <c r="V129" i="9"/>
  <c r="U129" i="9"/>
  <c r="T129" i="9"/>
  <c r="S129" i="9"/>
  <c r="R129" i="9"/>
  <c r="N129" i="9"/>
  <c r="M129" i="9"/>
  <c r="L129" i="9"/>
  <c r="X128" i="9"/>
  <c r="W128" i="9"/>
  <c r="V128" i="9"/>
  <c r="U128" i="9"/>
  <c r="T128" i="9"/>
  <c r="S128" i="9"/>
  <c r="R128" i="9"/>
  <c r="N128" i="9"/>
  <c r="M128" i="9"/>
  <c r="L128" i="9"/>
  <c r="X127" i="9"/>
  <c r="W127" i="9"/>
  <c r="V127" i="9"/>
  <c r="U127" i="9"/>
  <c r="T127" i="9"/>
  <c r="S127" i="9"/>
  <c r="R127" i="9"/>
  <c r="N127" i="9"/>
  <c r="M127" i="9"/>
  <c r="L127" i="9"/>
  <c r="X126" i="9"/>
  <c r="W126" i="9"/>
  <c r="V126" i="9"/>
  <c r="U126" i="9"/>
  <c r="T126" i="9"/>
  <c r="S126" i="9"/>
  <c r="R126" i="9"/>
  <c r="N126" i="9"/>
  <c r="M126" i="9"/>
  <c r="L126" i="9"/>
  <c r="X125" i="9"/>
  <c r="W125" i="9"/>
  <c r="V125" i="9"/>
  <c r="U125" i="9"/>
  <c r="T125" i="9"/>
  <c r="S125" i="9"/>
  <c r="R125" i="9"/>
  <c r="N125" i="9"/>
  <c r="M125" i="9"/>
  <c r="L125" i="9"/>
  <c r="X124" i="9"/>
  <c r="W124" i="9"/>
  <c r="V124" i="9"/>
  <c r="U124" i="9"/>
  <c r="T124" i="9"/>
  <c r="S124" i="9"/>
  <c r="R124" i="9"/>
  <c r="N124" i="9"/>
  <c r="M124" i="9"/>
  <c r="L124" i="9"/>
  <c r="X123" i="9"/>
  <c r="W123" i="9"/>
  <c r="V123" i="9"/>
  <c r="U123" i="9"/>
  <c r="T123" i="9"/>
  <c r="S123" i="9"/>
  <c r="R123" i="9"/>
  <c r="N123" i="9"/>
  <c r="M123" i="9"/>
  <c r="L123" i="9"/>
  <c r="X122" i="9"/>
  <c r="W122" i="9"/>
  <c r="V122" i="9"/>
  <c r="U122" i="9"/>
  <c r="T122" i="9"/>
  <c r="S122" i="9"/>
  <c r="R122" i="9"/>
  <c r="N122" i="9"/>
  <c r="M122" i="9"/>
  <c r="L122" i="9"/>
  <c r="X121" i="9"/>
  <c r="W121" i="9"/>
  <c r="V121" i="9"/>
  <c r="U121" i="9"/>
  <c r="T121" i="9"/>
  <c r="S121" i="9"/>
  <c r="R121" i="9"/>
  <c r="N121" i="9"/>
  <c r="M121" i="9"/>
  <c r="L121" i="9"/>
  <c r="X120" i="9"/>
  <c r="W120" i="9"/>
  <c r="V120" i="9"/>
  <c r="U120" i="9"/>
  <c r="T120" i="9"/>
  <c r="S120" i="9"/>
  <c r="R120" i="9"/>
  <c r="N120" i="9"/>
  <c r="M120" i="9"/>
  <c r="L120" i="9"/>
  <c r="X119" i="9"/>
  <c r="W119" i="9"/>
  <c r="V119" i="9"/>
  <c r="U119" i="9"/>
  <c r="T119" i="9"/>
  <c r="S119" i="9"/>
  <c r="R119" i="9"/>
  <c r="N119" i="9"/>
  <c r="M119" i="9"/>
  <c r="L119" i="9"/>
  <c r="X118" i="9"/>
  <c r="W118" i="9"/>
  <c r="V118" i="9"/>
  <c r="U118" i="9"/>
  <c r="T118" i="9"/>
  <c r="S118" i="9"/>
  <c r="R118" i="9"/>
  <c r="N118" i="9"/>
  <c r="M118" i="9"/>
  <c r="L118" i="9"/>
  <c r="X117" i="9"/>
  <c r="W117" i="9"/>
  <c r="V117" i="9"/>
  <c r="U117" i="9"/>
  <c r="T117" i="9"/>
  <c r="S117" i="9"/>
  <c r="R117" i="9"/>
  <c r="N117" i="9"/>
  <c r="M117" i="9"/>
  <c r="L117" i="9"/>
  <c r="X116" i="9"/>
  <c r="W116" i="9"/>
  <c r="V116" i="9"/>
  <c r="U116" i="9"/>
  <c r="T116" i="9"/>
  <c r="S116" i="9"/>
  <c r="R116" i="9"/>
  <c r="N116" i="9"/>
  <c r="M116" i="9"/>
  <c r="L116" i="9"/>
  <c r="X115" i="9"/>
  <c r="W115" i="9"/>
  <c r="V115" i="9"/>
  <c r="U115" i="9"/>
  <c r="T115" i="9"/>
  <c r="S115" i="9"/>
  <c r="R115" i="9"/>
  <c r="N115" i="9"/>
  <c r="M115" i="9"/>
  <c r="L115" i="9"/>
  <c r="X114" i="9"/>
  <c r="W114" i="9"/>
  <c r="V114" i="9"/>
  <c r="U114" i="9"/>
  <c r="T114" i="9"/>
  <c r="S114" i="9"/>
  <c r="R114" i="9"/>
  <c r="N114" i="9"/>
  <c r="M114" i="9"/>
  <c r="L114" i="9"/>
  <c r="X113" i="9"/>
  <c r="W113" i="9"/>
  <c r="V113" i="9"/>
  <c r="U113" i="9"/>
  <c r="T113" i="9"/>
  <c r="S113" i="9"/>
  <c r="R113" i="9"/>
  <c r="N113" i="9"/>
  <c r="M113" i="9"/>
  <c r="L113" i="9"/>
  <c r="X112" i="9"/>
  <c r="W112" i="9"/>
  <c r="V112" i="9"/>
  <c r="U112" i="9"/>
  <c r="T112" i="9"/>
  <c r="S112" i="9"/>
  <c r="R112" i="9"/>
  <c r="N112" i="9"/>
  <c r="M112" i="9"/>
  <c r="L112" i="9"/>
  <c r="X111" i="9"/>
  <c r="W111" i="9"/>
  <c r="V111" i="9"/>
  <c r="U111" i="9"/>
  <c r="T111" i="9"/>
  <c r="S111" i="9"/>
  <c r="R111" i="9"/>
  <c r="N111" i="9"/>
  <c r="M111" i="9"/>
  <c r="L111" i="9"/>
  <c r="X110" i="9"/>
  <c r="W110" i="9"/>
  <c r="V110" i="9"/>
  <c r="U110" i="9"/>
  <c r="T110" i="9"/>
  <c r="S110" i="9"/>
  <c r="R110" i="9"/>
  <c r="N110" i="9"/>
  <c r="M110" i="9"/>
  <c r="L110" i="9"/>
  <c r="X109" i="9"/>
  <c r="W109" i="9"/>
  <c r="V109" i="9"/>
  <c r="U109" i="9"/>
  <c r="T109" i="9"/>
  <c r="S109" i="9"/>
  <c r="R109" i="9"/>
  <c r="N109" i="9"/>
  <c r="M109" i="9"/>
  <c r="L109" i="9"/>
  <c r="X108" i="9"/>
  <c r="W108" i="9"/>
  <c r="V108" i="9"/>
  <c r="U108" i="9"/>
  <c r="T108" i="9"/>
  <c r="S108" i="9"/>
  <c r="R108" i="9"/>
  <c r="N108" i="9"/>
  <c r="M108" i="9"/>
  <c r="L108" i="9"/>
  <c r="X107" i="9"/>
  <c r="W107" i="9"/>
  <c r="V107" i="9"/>
  <c r="U107" i="9"/>
  <c r="T107" i="9"/>
  <c r="S107" i="9"/>
  <c r="R107" i="9"/>
  <c r="N107" i="9"/>
  <c r="M107" i="9"/>
  <c r="L107" i="9"/>
  <c r="X106" i="9"/>
  <c r="W106" i="9"/>
  <c r="V106" i="9"/>
  <c r="U106" i="9"/>
  <c r="T106" i="9"/>
  <c r="S106" i="9"/>
  <c r="R106" i="9"/>
  <c r="N106" i="9"/>
  <c r="M106" i="9"/>
  <c r="L106" i="9"/>
  <c r="X105" i="9"/>
  <c r="W105" i="9"/>
  <c r="V105" i="9"/>
  <c r="U105" i="9"/>
  <c r="T105" i="9"/>
  <c r="S105" i="9"/>
  <c r="R105" i="9"/>
  <c r="N105" i="9"/>
  <c r="M105" i="9"/>
  <c r="L105" i="9"/>
  <c r="X104" i="9"/>
  <c r="W104" i="9"/>
  <c r="V104" i="9"/>
  <c r="U104" i="9"/>
  <c r="T104" i="9"/>
  <c r="S104" i="9"/>
  <c r="R104" i="9"/>
  <c r="N104" i="9"/>
  <c r="M104" i="9"/>
  <c r="L104" i="9"/>
  <c r="X103" i="9"/>
  <c r="W103" i="9"/>
  <c r="V103" i="9"/>
  <c r="U103" i="9"/>
  <c r="T103" i="9"/>
  <c r="S103" i="9"/>
  <c r="R103" i="9"/>
  <c r="N103" i="9"/>
  <c r="M103" i="9"/>
  <c r="L103" i="9"/>
  <c r="X102" i="9"/>
  <c r="W102" i="9"/>
  <c r="V102" i="9"/>
  <c r="U102" i="9"/>
  <c r="T102" i="9"/>
  <c r="S102" i="9"/>
  <c r="R102" i="9"/>
  <c r="N102" i="9"/>
  <c r="M102" i="9"/>
  <c r="L102" i="9"/>
  <c r="X101" i="9"/>
  <c r="W101" i="9"/>
  <c r="V101" i="9"/>
  <c r="U101" i="9"/>
  <c r="T101" i="9"/>
  <c r="S101" i="9"/>
  <c r="R101" i="9"/>
  <c r="N101" i="9"/>
  <c r="M101" i="9"/>
  <c r="L101" i="9"/>
  <c r="X100" i="9"/>
  <c r="W100" i="9"/>
  <c r="V100" i="9"/>
  <c r="U100" i="9"/>
  <c r="T100" i="9"/>
  <c r="S100" i="9"/>
  <c r="R100" i="9"/>
  <c r="N100" i="9"/>
  <c r="M100" i="9"/>
  <c r="L100" i="9"/>
  <c r="X99" i="9"/>
  <c r="W99" i="9"/>
  <c r="V99" i="9"/>
  <c r="U99" i="9"/>
  <c r="T99" i="9"/>
  <c r="S99" i="9"/>
  <c r="R99" i="9"/>
  <c r="N99" i="9"/>
  <c r="M99" i="9"/>
  <c r="L99" i="9"/>
  <c r="X98" i="9"/>
  <c r="W98" i="9"/>
  <c r="V98" i="9"/>
  <c r="U98" i="9"/>
  <c r="T98" i="9"/>
  <c r="S98" i="9"/>
  <c r="R98" i="9"/>
  <c r="N98" i="9"/>
  <c r="M98" i="9"/>
  <c r="L98" i="9"/>
  <c r="X97" i="9"/>
  <c r="W97" i="9"/>
  <c r="V97" i="9"/>
  <c r="U97" i="9"/>
  <c r="T97" i="9"/>
  <c r="S97" i="9"/>
  <c r="R97" i="9"/>
  <c r="N97" i="9"/>
  <c r="M97" i="9"/>
  <c r="L97" i="9"/>
  <c r="X96" i="9"/>
  <c r="W96" i="9"/>
  <c r="V96" i="9"/>
  <c r="U96" i="9"/>
  <c r="T96" i="9"/>
  <c r="S96" i="9"/>
  <c r="R96" i="9"/>
  <c r="N96" i="9"/>
  <c r="M96" i="9"/>
  <c r="L96" i="9"/>
  <c r="X95" i="9"/>
  <c r="W95" i="9"/>
  <c r="V95" i="9"/>
  <c r="U95" i="9"/>
  <c r="T95" i="9"/>
  <c r="S95" i="9"/>
  <c r="R95" i="9"/>
  <c r="N95" i="9"/>
  <c r="M95" i="9"/>
  <c r="L95" i="9"/>
  <c r="X94" i="9"/>
  <c r="W94" i="9"/>
  <c r="V94" i="9"/>
  <c r="U94" i="9"/>
  <c r="T94" i="9"/>
  <c r="S94" i="9"/>
  <c r="R94" i="9"/>
  <c r="N94" i="9"/>
  <c r="M94" i="9"/>
  <c r="L94" i="9"/>
  <c r="X93" i="9"/>
  <c r="W93" i="9"/>
  <c r="V93" i="9"/>
  <c r="U93" i="9"/>
  <c r="T93" i="9"/>
  <c r="S93" i="9"/>
  <c r="R93" i="9"/>
  <c r="N93" i="9"/>
  <c r="M93" i="9"/>
  <c r="L93" i="9"/>
  <c r="X92" i="9"/>
  <c r="W92" i="9"/>
  <c r="V92" i="9"/>
  <c r="U92" i="9"/>
  <c r="T92" i="9"/>
  <c r="S92" i="9"/>
  <c r="R92" i="9"/>
  <c r="N92" i="9"/>
  <c r="M92" i="9"/>
  <c r="L92" i="9"/>
  <c r="X91" i="9"/>
  <c r="W91" i="9"/>
  <c r="V91" i="9"/>
  <c r="U91" i="9"/>
  <c r="T91" i="9"/>
  <c r="S91" i="9"/>
  <c r="R91" i="9"/>
  <c r="N91" i="9"/>
  <c r="M91" i="9"/>
  <c r="L91" i="9"/>
  <c r="X90" i="9"/>
  <c r="W90" i="9"/>
  <c r="V90" i="9"/>
  <c r="U90" i="9"/>
  <c r="T90" i="9"/>
  <c r="S90" i="9"/>
  <c r="R90" i="9"/>
  <c r="N90" i="9"/>
  <c r="M90" i="9"/>
  <c r="L90" i="9"/>
  <c r="X89" i="9"/>
  <c r="W89" i="9"/>
  <c r="V89" i="9"/>
  <c r="U89" i="9"/>
  <c r="T89" i="9"/>
  <c r="S89" i="9"/>
  <c r="R89" i="9"/>
  <c r="N89" i="9"/>
  <c r="M89" i="9"/>
  <c r="L89" i="9"/>
  <c r="X88" i="9"/>
  <c r="W88" i="9"/>
  <c r="V88" i="9"/>
  <c r="U88" i="9"/>
  <c r="T88" i="9"/>
  <c r="S88" i="9"/>
  <c r="R88" i="9"/>
  <c r="N88" i="9"/>
  <c r="M88" i="9"/>
  <c r="L88" i="9"/>
  <c r="X87" i="9"/>
  <c r="W87" i="9"/>
  <c r="V87" i="9"/>
  <c r="U87" i="9"/>
  <c r="T87" i="9"/>
  <c r="S87" i="9"/>
  <c r="R87" i="9"/>
  <c r="N87" i="9"/>
  <c r="M87" i="9"/>
  <c r="L87" i="9"/>
  <c r="X86" i="9"/>
  <c r="W86" i="9"/>
  <c r="V86" i="9"/>
  <c r="U86" i="9"/>
  <c r="T86" i="9"/>
  <c r="S86" i="9"/>
  <c r="R86" i="9"/>
  <c r="N86" i="9"/>
  <c r="M86" i="9"/>
  <c r="L86" i="9"/>
  <c r="X85" i="9"/>
  <c r="W85" i="9"/>
  <c r="V85" i="9"/>
  <c r="U85" i="9"/>
  <c r="T85" i="9"/>
  <c r="S85" i="9"/>
  <c r="R85" i="9"/>
  <c r="N85" i="9"/>
  <c r="M85" i="9"/>
  <c r="L85" i="9"/>
  <c r="X84" i="9"/>
  <c r="W84" i="9"/>
  <c r="V84" i="9"/>
  <c r="U84" i="9"/>
  <c r="T84" i="9"/>
  <c r="S84" i="9"/>
  <c r="R84" i="9"/>
  <c r="N84" i="9"/>
  <c r="M84" i="9"/>
  <c r="L84" i="9"/>
  <c r="X83" i="9"/>
  <c r="W83" i="9"/>
  <c r="V83" i="9"/>
  <c r="U83" i="9"/>
  <c r="T83" i="9"/>
  <c r="S83" i="9"/>
  <c r="R83" i="9"/>
  <c r="N83" i="9"/>
  <c r="M83" i="9"/>
  <c r="L83" i="9"/>
  <c r="X82" i="9"/>
  <c r="W82" i="9"/>
  <c r="V82" i="9"/>
  <c r="U82" i="9"/>
  <c r="T82" i="9"/>
  <c r="S82" i="9"/>
  <c r="R82" i="9"/>
  <c r="N82" i="9"/>
  <c r="M82" i="9"/>
  <c r="L82" i="9"/>
  <c r="X81" i="9"/>
  <c r="W81" i="9"/>
  <c r="V81" i="9"/>
  <c r="U81" i="9"/>
  <c r="T81" i="9"/>
  <c r="S81" i="9"/>
  <c r="R81" i="9"/>
  <c r="N81" i="9"/>
  <c r="M81" i="9"/>
  <c r="L81" i="9"/>
  <c r="X80" i="9"/>
  <c r="W80" i="9"/>
  <c r="V80" i="9"/>
  <c r="U80" i="9"/>
  <c r="T80" i="9"/>
  <c r="S80" i="9"/>
  <c r="R80" i="9"/>
  <c r="N80" i="9"/>
  <c r="M80" i="9"/>
  <c r="L80" i="9"/>
  <c r="X79" i="9"/>
  <c r="W79" i="9"/>
  <c r="V79" i="9"/>
  <c r="U79" i="9"/>
  <c r="T79" i="9"/>
  <c r="S79" i="9"/>
  <c r="R79" i="9"/>
  <c r="N79" i="9"/>
  <c r="M79" i="9"/>
  <c r="L79" i="9"/>
  <c r="X78" i="9"/>
  <c r="W78" i="9"/>
  <c r="V78" i="9"/>
  <c r="U78" i="9"/>
  <c r="T78" i="9"/>
  <c r="S78" i="9"/>
  <c r="R78" i="9"/>
  <c r="N78" i="9"/>
  <c r="M78" i="9"/>
  <c r="L78" i="9"/>
  <c r="X77" i="9"/>
  <c r="W77" i="9"/>
  <c r="V77" i="9"/>
  <c r="U77" i="9"/>
  <c r="T77" i="9"/>
  <c r="S77" i="9"/>
  <c r="R77" i="9"/>
  <c r="N77" i="9"/>
  <c r="M77" i="9"/>
  <c r="L77" i="9"/>
  <c r="X76" i="9"/>
  <c r="W76" i="9"/>
  <c r="V76" i="9"/>
  <c r="U76" i="9"/>
  <c r="T76" i="9"/>
  <c r="S76" i="9"/>
  <c r="R76" i="9"/>
  <c r="N76" i="9"/>
  <c r="M76" i="9"/>
  <c r="L76" i="9"/>
  <c r="X75" i="9"/>
  <c r="W75" i="9"/>
  <c r="V75" i="9"/>
  <c r="U75" i="9"/>
  <c r="T75" i="9"/>
  <c r="S75" i="9"/>
  <c r="R75" i="9"/>
  <c r="N75" i="9"/>
  <c r="M75" i="9"/>
  <c r="L75" i="9"/>
  <c r="X74" i="9"/>
  <c r="W74" i="9"/>
  <c r="V74" i="9"/>
  <c r="U74" i="9"/>
  <c r="T74" i="9"/>
  <c r="S74" i="9"/>
  <c r="R74" i="9"/>
  <c r="N74" i="9"/>
  <c r="M74" i="9"/>
  <c r="L74" i="9"/>
  <c r="X73" i="9"/>
  <c r="W73" i="9"/>
  <c r="V73" i="9"/>
  <c r="U73" i="9"/>
  <c r="T73" i="9"/>
  <c r="S73" i="9"/>
  <c r="R73" i="9"/>
  <c r="N73" i="9"/>
  <c r="M73" i="9"/>
  <c r="L73" i="9"/>
  <c r="X72" i="9"/>
  <c r="W72" i="9"/>
  <c r="V72" i="9"/>
  <c r="U72" i="9"/>
  <c r="T72" i="9"/>
  <c r="S72" i="9"/>
  <c r="R72" i="9"/>
  <c r="N72" i="9"/>
  <c r="M72" i="9"/>
  <c r="L72" i="9"/>
  <c r="X71" i="9"/>
  <c r="W71" i="9"/>
  <c r="V71" i="9"/>
  <c r="U71" i="9"/>
  <c r="T71" i="9"/>
  <c r="S71" i="9"/>
  <c r="R71" i="9"/>
  <c r="N71" i="9"/>
  <c r="M71" i="9"/>
  <c r="L71" i="9"/>
  <c r="X70" i="9"/>
  <c r="W70" i="9"/>
  <c r="V70" i="9"/>
  <c r="U70" i="9"/>
  <c r="T70" i="9"/>
  <c r="S70" i="9"/>
  <c r="R70" i="9"/>
  <c r="N70" i="9"/>
  <c r="M70" i="9"/>
  <c r="L70" i="9"/>
  <c r="X69" i="9"/>
  <c r="W69" i="9"/>
  <c r="V69" i="9"/>
  <c r="U69" i="9"/>
  <c r="T69" i="9"/>
  <c r="S69" i="9"/>
  <c r="L69" i="9"/>
  <c r="X68" i="9"/>
  <c r="W68" i="9"/>
  <c r="V68" i="9"/>
  <c r="L68" i="9"/>
  <c r="X67" i="9"/>
  <c r="W67" i="9"/>
  <c r="V67" i="9"/>
  <c r="U67" i="9"/>
  <c r="T67" i="9"/>
  <c r="S67" i="9"/>
  <c r="N67" i="9"/>
  <c r="M67" i="9"/>
  <c r="L67" i="9"/>
  <c r="X66" i="9"/>
  <c r="W66" i="9"/>
  <c r="V66" i="9"/>
  <c r="U66" i="9"/>
  <c r="T66" i="9"/>
  <c r="S66" i="9"/>
  <c r="N66" i="9"/>
  <c r="M66" i="9"/>
  <c r="L66" i="9"/>
  <c r="X65" i="9"/>
  <c r="W65" i="9"/>
  <c r="V65" i="9"/>
  <c r="U65" i="9"/>
  <c r="T65" i="9"/>
  <c r="S65" i="9"/>
  <c r="N65" i="9"/>
  <c r="M65" i="9"/>
  <c r="L65" i="9"/>
  <c r="X64" i="9"/>
  <c r="W64" i="9"/>
  <c r="V64" i="9"/>
  <c r="U64" i="9"/>
  <c r="T64" i="9"/>
  <c r="S64" i="9"/>
  <c r="N64" i="9"/>
  <c r="M64" i="9"/>
  <c r="L64" i="9"/>
  <c r="X63" i="9"/>
  <c r="W63" i="9"/>
  <c r="V63" i="9"/>
  <c r="L63" i="9"/>
  <c r="X62" i="9"/>
  <c r="W62" i="9"/>
  <c r="V62" i="9"/>
  <c r="U62" i="9"/>
  <c r="T62" i="9"/>
  <c r="S62" i="9"/>
  <c r="N62" i="9"/>
  <c r="M62" i="9"/>
  <c r="L62" i="9"/>
  <c r="X61" i="9"/>
  <c r="W61" i="9"/>
  <c r="V61" i="9"/>
  <c r="U61" i="9"/>
  <c r="T61" i="9"/>
  <c r="S61" i="9"/>
  <c r="N61" i="9"/>
  <c r="M61" i="9"/>
  <c r="L61" i="9"/>
  <c r="X60" i="9"/>
  <c r="W60" i="9"/>
  <c r="V60" i="9"/>
  <c r="U60" i="9"/>
  <c r="T60" i="9"/>
  <c r="S60" i="9"/>
  <c r="N60" i="9"/>
  <c r="M60" i="9"/>
  <c r="L60" i="9"/>
  <c r="X59" i="9"/>
  <c r="W59" i="9"/>
  <c r="V59" i="9"/>
  <c r="U59" i="9"/>
  <c r="T59" i="9"/>
  <c r="S59" i="9"/>
  <c r="N59" i="9"/>
  <c r="M59" i="9"/>
  <c r="L59" i="9"/>
  <c r="X58" i="9"/>
  <c r="W58" i="9"/>
  <c r="V58" i="9"/>
  <c r="U58" i="9"/>
  <c r="T58" i="9"/>
  <c r="S58" i="9"/>
  <c r="N58" i="9"/>
  <c r="M58" i="9"/>
  <c r="L58" i="9"/>
  <c r="X57" i="9"/>
  <c r="W57" i="9"/>
  <c r="V57" i="9"/>
  <c r="U57" i="9"/>
  <c r="T57" i="9"/>
  <c r="S57" i="9"/>
  <c r="N57" i="9"/>
  <c r="M57" i="9"/>
  <c r="L57" i="9"/>
  <c r="X56" i="9"/>
  <c r="W56" i="9"/>
  <c r="V56" i="9"/>
  <c r="U56" i="9"/>
  <c r="T56" i="9"/>
  <c r="S56" i="9"/>
  <c r="N56" i="9"/>
  <c r="M56" i="9"/>
  <c r="L56" i="9"/>
  <c r="X55" i="9"/>
  <c r="W55" i="9"/>
  <c r="V55" i="9"/>
  <c r="U55" i="9"/>
  <c r="T55" i="9"/>
  <c r="S55" i="9"/>
  <c r="N55" i="9"/>
  <c r="M55" i="9"/>
  <c r="L55" i="9"/>
  <c r="X54" i="9"/>
  <c r="W54" i="9"/>
  <c r="V54" i="9"/>
  <c r="U54" i="9"/>
  <c r="T54" i="9"/>
  <c r="S54" i="9"/>
  <c r="N54" i="9"/>
  <c r="M54" i="9"/>
  <c r="L54" i="9"/>
  <c r="X53" i="9"/>
  <c r="W53" i="9"/>
  <c r="V53" i="9"/>
  <c r="U53" i="9"/>
  <c r="T53" i="9"/>
  <c r="S53" i="9"/>
  <c r="L53" i="9"/>
  <c r="X52" i="9"/>
  <c r="W52" i="9"/>
  <c r="V52" i="9"/>
  <c r="U52" i="9"/>
  <c r="T52" i="9"/>
  <c r="S52" i="9"/>
  <c r="L52" i="9"/>
  <c r="X51" i="9"/>
  <c r="W51" i="9"/>
  <c r="V51" i="9"/>
  <c r="U51" i="9"/>
  <c r="T51" i="9"/>
  <c r="S51" i="9"/>
  <c r="L51" i="9"/>
  <c r="X50" i="9"/>
  <c r="W50" i="9"/>
  <c r="V50" i="9"/>
  <c r="U50" i="9"/>
  <c r="T50" i="9"/>
  <c r="S50" i="9"/>
  <c r="L50" i="9"/>
  <c r="U49" i="9"/>
  <c r="T49" i="9"/>
  <c r="S49" i="9"/>
  <c r="L49" i="9"/>
  <c r="O51" i="9" s="1"/>
  <c r="X48" i="9"/>
  <c r="W48" i="9"/>
  <c r="V48" i="9"/>
  <c r="U48" i="9"/>
  <c r="T48" i="9"/>
  <c r="S48" i="9"/>
  <c r="Q48" i="9"/>
  <c r="P48" i="9"/>
  <c r="O48" i="9"/>
  <c r="L48" i="9"/>
  <c r="X47" i="9"/>
  <c r="W47" i="9"/>
  <c r="V47" i="9"/>
  <c r="U47" i="9"/>
  <c r="T47" i="9"/>
  <c r="S47" i="9"/>
  <c r="Q47" i="9"/>
  <c r="P47" i="9"/>
  <c r="O47" i="9"/>
  <c r="L47" i="9"/>
  <c r="X46" i="9"/>
  <c r="W46" i="9"/>
  <c r="V46" i="9"/>
  <c r="U46" i="9"/>
  <c r="T46" i="9"/>
  <c r="S46" i="9"/>
  <c r="Q46" i="9"/>
  <c r="P46" i="9"/>
  <c r="O46" i="9"/>
  <c r="L46" i="9"/>
  <c r="X45" i="9"/>
  <c r="W45" i="9"/>
  <c r="V45" i="9"/>
  <c r="U45" i="9"/>
  <c r="T45" i="9"/>
  <c r="S45" i="9"/>
  <c r="Q45" i="9"/>
  <c r="P45" i="9"/>
  <c r="O45" i="9"/>
  <c r="L45" i="9"/>
  <c r="X44" i="9"/>
  <c r="W44" i="9"/>
  <c r="V44" i="9"/>
  <c r="U44" i="9"/>
  <c r="T44" i="9"/>
  <c r="S44" i="9"/>
  <c r="Q44" i="9"/>
  <c r="P44" i="9"/>
  <c r="O44" i="9"/>
  <c r="L44" i="9"/>
  <c r="X43" i="9"/>
  <c r="W43" i="9"/>
  <c r="V43" i="9"/>
  <c r="U43" i="9"/>
  <c r="T43" i="9"/>
  <c r="S43" i="9"/>
  <c r="Q43" i="9"/>
  <c r="P43" i="9"/>
  <c r="O43" i="9"/>
  <c r="L43" i="9"/>
  <c r="X42" i="9"/>
  <c r="W42" i="9"/>
  <c r="V42" i="9"/>
  <c r="U42" i="9"/>
  <c r="T42" i="9"/>
  <c r="S42" i="9"/>
  <c r="Q42" i="9"/>
  <c r="P42" i="9"/>
  <c r="O42" i="9"/>
  <c r="L42" i="9"/>
  <c r="K42" i="9"/>
  <c r="X41" i="9"/>
  <c r="W41" i="9"/>
  <c r="V41" i="9"/>
  <c r="U41" i="9"/>
  <c r="T41" i="9"/>
  <c r="S41" i="9"/>
  <c r="Q41" i="9"/>
  <c r="P41" i="9"/>
  <c r="O41" i="9"/>
  <c r="L41" i="9"/>
  <c r="K41" i="9"/>
  <c r="X40" i="9"/>
  <c r="W40" i="9"/>
  <c r="V40" i="9"/>
  <c r="U40" i="9"/>
  <c r="T40" i="9"/>
  <c r="S40" i="9"/>
  <c r="Q40" i="9"/>
  <c r="P40" i="9"/>
  <c r="O40" i="9"/>
  <c r="L40" i="9"/>
  <c r="K40" i="9"/>
  <c r="X39" i="9"/>
  <c r="W39" i="9"/>
  <c r="V39" i="9"/>
  <c r="U39" i="9"/>
  <c r="T39" i="9"/>
  <c r="S39" i="9"/>
  <c r="Q39" i="9"/>
  <c r="P39" i="9"/>
  <c r="O39" i="9"/>
  <c r="L39" i="9"/>
  <c r="K39" i="9"/>
  <c r="X38" i="9"/>
  <c r="W38" i="9"/>
  <c r="V38" i="9"/>
  <c r="U38" i="9"/>
  <c r="T38" i="9"/>
  <c r="S38" i="9"/>
  <c r="Q38" i="9"/>
  <c r="P38" i="9"/>
  <c r="O38" i="9"/>
  <c r="L38" i="9"/>
  <c r="K38" i="9"/>
  <c r="X37" i="9"/>
  <c r="W37" i="9"/>
  <c r="V37" i="9"/>
  <c r="U37" i="9"/>
  <c r="T37" i="9"/>
  <c r="S37" i="9"/>
  <c r="Q37" i="9"/>
  <c r="P37" i="9"/>
  <c r="O37" i="9"/>
  <c r="L37" i="9"/>
  <c r="K37" i="9"/>
  <c r="X36" i="9"/>
  <c r="W36" i="9"/>
  <c r="V36" i="9"/>
  <c r="U36" i="9"/>
  <c r="T36" i="9"/>
  <c r="S36" i="9"/>
  <c r="Q36" i="9"/>
  <c r="P36" i="9"/>
  <c r="O36" i="9"/>
  <c r="L36" i="9"/>
  <c r="K36" i="9"/>
  <c r="X35" i="9"/>
  <c r="W35" i="9"/>
  <c r="V35" i="9"/>
  <c r="U35" i="9"/>
  <c r="T35" i="9"/>
  <c r="S35" i="9"/>
  <c r="Q35" i="9"/>
  <c r="P35" i="9"/>
  <c r="O35" i="9"/>
  <c r="L35" i="9"/>
  <c r="K35" i="9"/>
  <c r="X34" i="9"/>
  <c r="W34" i="9"/>
  <c r="V34" i="9"/>
  <c r="U34" i="9"/>
  <c r="T34" i="9"/>
  <c r="S34" i="9"/>
  <c r="Q34" i="9"/>
  <c r="P34" i="9"/>
  <c r="O34" i="9"/>
  <c r="L34" i="9"/>
  <c r="K34" i="9"/>
  <c r="X33" i="9"/>
  <c r="W33" i="9"/>
  <c r="V33" i="9"/>
  <c r="U33" i="9"/>
  <c r="T33" i="9"/>
  <c r="S33" i="9"/>
  <c r="Q33" i="9"/>
  <c r="P33" i="9"/>
  <c r="O33" i="9"/>
  <c r="L33" i="9"/>
  <c r="K33" i="9"/>
  <c r="X32" i="9"/>
  <c r="W32" i="9"/>
  <c r="V32" i="9"/>
  <c r="U32" i="9"/>
  <c r="T32" i="9"/>
  <c r="S32" i="9"/>
  <c r="Q32" i="9"/>
  <c r="P32" i="9"/>
  <c r="O32" i="9"/>
  <c r="L32" i="9"/>
  <c r="K32" i="9"/>
  <c r="X31" i="9"/>
  <c r="W31" i="9"/>
  <c r="V31" i="9"/>
  <c r="U31" i="9"/>
  <c r="T31" i="9"/>
  <c r="S31" i="9"/>
  <c r="Q31" i="9"/>
  <c r="P31" i="9"/>
  <c r="O31" i="9"/>
  <c r="L31" i="9"/>
  <c r="K31" i="9"/>
  <c r="X30" i="9"/>
  <c r="W30" i="9"/>
  <c r="V30" i="9"/>
  <c r="U30" i="9"/>
  <c r="T30" i="9"/>
  <c r="S30" i="9"/>
  <c r="Q30" i="9"/>
  <c r="P30" i="9"/>
  <c r="O30" i="9"/>
  <c r="L30" i="9"/>
  <c r="K30" i="9"/>
  <c r="X29" i="9"/>
  <c r="W29" i="9"/>
  <c r="V29" i="9"/>
  <c r="U29" i="9"/>
  <c r="T29" i="9"/>
  <c r="S29" i="9"/>
  <c r="Q29" i="9"/>
  <c r="P29" i="9"/>
  <c r="O29" i="9"/>
  <c r="L29" i="9"/>
  <c r="K29" i="9"/>
  <c r="X28" i="9"/>
  <c r="W28" i="9"/>
  <c r="V28" i="9"/>
  <c r="U28" i="9"/>
  <c r="T28" i="9"/>
  <c r="S28" i="9"/>
  <c r="Q28" i="9"/>
  <c r="P28" i="9"/>
  <c r="O28" i="9"/>
  <c r="L28" i="9"/>
  <c r="K28" i="9"/>
  <c r="X27" i="9"/>
  <c r="W27" i="9"/>
  <c r="V27" i="9"/>
  <c r="U27" i="9"/>
  <c r="T27" i="9"/>
  <c r="S27" i="9"/>
  <c r="R27" i="9"/>
  <c r="R55" i="9" s="1"/>
  <c r="Q27" i="9"/>
  <c r="P27" i="9"/>
  <c r="O27" i="9"/>
  <c r="N27" i="9"/>
  <c r="N68" i="9" s="1"/>
  <c r="M27" i="9"/>
  <c r="M38" i="9" s="1"/>
  <c r="L27" i="9"/>
  <c r="K27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R16" i="9"/>
  <c r="N16" i="9"/>
  <c r="M16" i="9"/>
  <c r="L16" i="9"/>
  <c r="K16" i="9"/>
  <c r="W7" i="9"/>
  <c r="Y2" i="9"/>
  <c r="X153" i="7"/>
  <c r="W153" i="7"/>
  <c r="V153" i="7"/>
  <c r="U153" i="7"/>
  <c r="T153" i="7"/>
  <c r="S153" i="7"/>
  <c r="R153" i="7"/>
  <c r="N153" i="7"/>
  <c r="M153" i="7"/>
  <c r="L153" i="7"/>
  <c r="X152" i="7"/>
  <c r="W152" i="7"/>
  <c r="V152" i="7"/>
  <c r="U152" i="7"/>
  <c r="T152" i="7"/>
  <c r="S152" i="7"/>
  <c r="R152" i="7"/>
  <c r="N152" i="7"/>
  <c r="M152" i="7"/>
  <c r="L152" i="7"/>
  <c r="X151" i="7"/>
  <c r="W151" i="7"/>
  <c r="V151" i="7"/>
  <c r="U151" i="7"/>
  <c r="T151" i="7"/>
  <c r="S151" i="7"/>
  <c r="R151" i="7"/>
  <c r="N151" i="7"/>
  <c r="M151" i="7"/>
  <c r="L151" i="7"/>
  <c r="X150" i="7"/>
  <c r="W150" i="7"/>
  <c r="V150" i="7"/>
  <c r="U150" i="7"/>
  <c r="T150" i="7"/>
  <c r="S150" i="7"/>
  <c r="R150" i="7"/>
  <c r="N150" i="7"/>
  <c r="M150" i="7"/>
  <c r="L150" i="7"/>
  <c r="X149" i="7"/>
  <c r="W149" i="7"/>
  <c r="V149" i="7"/>
  <c r="U149" i="7"/>
  <c r="T149" i="7"/>
  <c r="S149" i="7"/>
  <c r="R149" i="7"/>
  <c r="N149" i="7"/>
  <c r="M149" i="7"/>
  <c r="L149" i="7"/>
  <c r="X148" i="7"/>
  <c r="W148" i="7"/>
  <c r="V148" i="7"/>
  <c r="U148" i="7"/>
  <c r="T148" i="7"/>
  <c r="S148" i="7"/>
  <c r="R148" i="7"/>
  <c r="N148" i="7"/>
  <c r="M148" i="7"/>
  <c r="L148" i="7"/>
  <c r="X147" i="7"/>
  <c r="W147" i="7"/>
  <c r="V147" i="7"/>
  <c r="U147" i="7"/>
  <c r="T147" i="7"/>
  <c r="S147" i="7"/>
  <c r="R147" i="7"/>
  <c r="N147" i="7"/>
  <c r="M147" i="7"/>
  <c r="L147" i="7"/>
  <c r="X146" i="7"/>
  <c r="W146" i="7"/>
  <c r="V146" i="7"/>
  <c r="U146" i="7"/>
  <c r="T146" i="7"/>
  <c r="S146" i="7"/>
  <c r="R146" i="7"/>
  <c r="N146" i="7"/>
  <c r="M146" i="7"/>
  <c r="L146" i="7"/>
  <c r="X145" i="7"/>
  <c r="W145" i="7"/>
  <c r="V145" i="7"/>
  <c r="U145" i="7"/>
  <c r="T145" i="7"/>
  <c r="S145" i="7"/>
  <c r="R145" i="7"/>
  <c r="N145" i="7"/>
  <c r="M145" i="7"/>
  <c r="L145" i="7"/>
  <c r="X144" i="7"/>
  <c r="W144" i="7"/>
  <c r="V144" i="7"/>
  <c r="U144" i="7"/>
  <c r="T144" i="7"/>
  <c r="S144" i="7"/>
  <c r="R144" i="7"/>
  <c r="N144" i="7"/>
  <c r="M144" i="7"/>
  <c r="L144" i="7"/>
  <c r="X143" i="7"/>
  <c r="W143" i="7"/>
  <c r="V143" i="7"/>
  <c r="U143" i="7"/>
  <c r="T143" i="7"/>
  <c r="S143" i="7"/>
  <c r="R143" i="7"/>
  <c r="N143" i="7"/>
  <c r="M143" i="7"/>
  <c r="L143" i="7"/>
  <c r="X142" i="7"/>
  <c r="W142" i="7"/>
  <c r="V142" i="7"/>
  <c r="U142" i="7"/>
  <c r="T142" i="7"/>
  <c r="S142" i="7"/>
  <c r="R142" i="7"/>
  <c r="N142" i="7"/>
  <c r="M142" i="7"/>
  <c r="L142" i="7"/>
  <c r="X141" i="7"/>
  <c r="W141" i="7"/>
  <c r="V141" i="7"/>
  <c r="U141" i="7"/>
  <c r="T141" i="7"/>
  <c r="S141" i="7"/>
  <c r="R141" i="7"/>
  <c r="N141" i="7"/>
  <c r="M141" i="7"/>
  <c r="L141" i="7"/>
  <c r="X140" i="7"/>
  <c r="W140" i="7"/>
  <c r="V140" i="7"/>
  <c r="U140" i="7"/>
  <c r="T140" i="7"/>
  <c r="S140" i="7"/>
  <c r="R140" i="7"/>
  <c r="N140" i="7"/>
  <c r="M140" i="7"/>
  <c r="L140" i="7"/>
  <c r="X139" i="7"/>
  <c r="W139" i="7"/>
  <c r="V139" i="7"/>
  <c r="U139" i="7"/>
  <c r="T139" i="7"/>
  <c r="S139" i="7"/>
  <c r="R139" i="7"/>
  <c r="N139" i="7"/>
  <c r="M139" i="7"/>
  <c r="L139" i="7"/>
  <c r="X138" i="7"/>
  <c r="W138" i="7"/>
  <c r="V138" i="7"/>
  <c r="U138" i="7"/>
  <c r="T138" i="7"/>
  <c r="S138" i="7"/>
  <c r="R138" i="7"/>
  <c r="N138" i="7"/>
  <c r="M138" i="7"/>
  <c r="L138" i="7"/>
  <c r="X137" i="7"/>
  <c r="W137" i="7"/>
  <c r="V137" i="7"/>
  <c r="U137" i="7"/>
  <c r="T137" i="7"/>
  <c r="S137" i="7"/>
  <c r="R137" i="7"/>
  <c r="N137" i="7"/>
  <c r="M137" i="7"/>
  <c r="L137" i="7"/>
  <c r="X136" i="7"/>
  <c r="W136" i="7"/>
  <c r="V136" i="7"/>
  <c r="U136" i="7"/>
  <c r="T136" i="7"/>
  <c r="S136" i="7"/>
  <c r="R136" i="7"/>
  <c r="N136" i="7"/>
  <c r="M136" i="7"/>
  <c r="L136" i="7"/>
  <c r="X135" i="7"/>
  <c r="W135" i="7"/>
  <c r="V135" i="7"/>
  <c r="U135" i="7"/>
  <c r="T135" i="7"/>
  <c r="S135" i="7"/>
  <c r="R135" i="7"/>
  <c r="N135" i="7"/>
  <c r="M135" i="7"/>
  <c r="L135" i="7"/>
  <c r="X134" i="7"/>
  <c r="W134" i="7"/>
  <c r="V134" i="7"/>
  <c r="U134" i="7"/>
  <c r="T134" i="7"/>
  <c r="S134" i="7"/>
  <c r="R134" i="7"/>
  <c r="N134" i="7"/>
  <c r="M134" i="7"/>
  <c r="L134" i="7"/>
  <c r="X133" i="7"/>
  <c r="W133" i="7"/>
  <c r="V133" i="7"/>
  <c r="U133" i="7"/>
  <c r="T133" i="7"/>
  <c r="S133" i="7"/>
  <c r="R133" i="7"/>
  <c r="N133" i="7"/>
  <c r="M133" i="7"/>
  <c r="L133" i="7"/>
  <c r="X132" i="7"/>
  <c r="W132" i="7"/>
  <c r="V132" i="7"/>
  <c r="U132" i="7"/>
  <c r="T132" i="7"/>
  <c r="S132" i="7"/>
  <c r="R132" i="7"/>
  <c r="N132" i="7"/>
  <c r="M132" i="7"/>
  <c r="L132" i="7"/>
  <c r="X131" i="7"/>
  <c r="W131" i="7"/>
  <c r="V131" i="7"/>
  <c r="U131" i="7"/>
  <c r="T131" i="7"/>
  <c r="S131" i="7"/>
  <c r="R131" i="7"/>
  <c r="N131" i="7"/>
  <c r="M131" i="7"/>
  <c r="L131" i="7"/>
  <c r="X130" i="7"/>
  <c r="W130" i="7"/>
  <c r="V130" i="7"/>
  <c r="U130" i="7"/>
  <c r="T130" i="7"/>
  <c r="S130" i="7"/>
  <c r="R130" i="7"/>
  <c r="N130" i="7"/>
  <c r="M130" i="7"/>
  <c r="L130" i="7"/>
  <c r="X129" i="7"/>
  <c r="W129" i="7"/>
  <c r="V129" i="7"/>
  <c r="U129" i="7"/>
  <c r="T129" i="7"/>
  <c r="S129" i="7"/>
  <c r="R129" i="7"/>
  <c r="N129" i="7"/>
  <c r="M129" i="7"/>
  <c r="L129" i="7"/>
  <c r="X128" i="7"/>
  <c r="W128" i="7"/>
  <c r="V128" i="7"/>
  <c r="U128" i="7"/>
  <c r="T128" i="7"/>
  <c r="S128" i="7"/>
  <c r="R128" i="7"/>
  <c r="N128" i="7"/>
  <c r="M128" i="7"/>
  <c r="L128" i="7"/>
  <c r="X127" i="7"/>
  <c r="W127" i="7"/>
  <c r="V127" i="7"/>
  <c r="U127" i="7"/>
  <c r="T127" i="7"/>
  <c r="S127" i="7"/>
  <c r="R127" i="7"/>
  <c r="N127" i="7"/>
  <c r="M127" i="7"/>
  <c r="L127" i="7"/>
  <c r="X126" i="7"/>
  <c r="W126" i="7"/>
  <c r="V126" i="7"/>
  <c r="U126" i="7"/>
  <c r="T126" i="7"/>
  <c r="S126" i="7"/>
  <c r="R126" i="7"/>
  <c r="N126" i="7"/>
  <c r="M126" i="7"/>
  <c r="L126" i="7"/>
  <c r="X125" i="7"/>
  <c r="W125" i="7"/>
  <c r="V125" i="7"/>
  <c r="U125" i="7"/>
  <c r="T125" i="7"/>
  <c r="S125" i="7"/>
  <c r="R125" i="7"/>
  <c r="N125" i="7"/>
  <c r="M125" i="7"/>
  <c r="L125" i="7"/>
  <c r="X124" i="7"/>
  <c r="W124" i="7"/>
  <c r="V124" i="7"/>
  <c r="U124" i="7"/>
  <c r="T124" i="7"/>
  <c r="S124" i="7"/>
  <c r="R124" i="7"/>
  <c r="N124" i="7"/>
  <c r="M124" i="7"/>
  <c r="L124" i="7"/>
  <c r="X123" i="7"/>
  <c r="W123" i="7"/>
  <c r="V123" i="7"/>
  <c r="U123" i="7"/>
  <c r="T123" i="7"/>
  <c r="S123" i="7"/>
  <c r="R123" i="7"/>
  <c r="N123" i="7"/>
  <c r="M123" i="7"/>
  <c r="L123" i="7"/>
  <c r="X122" i="7"/>
  <c r="W122" i="7"/>
  <c r="V122" i="7"/>
  <c r="U122" i="7"/>
  <c r="T122" i="7"/>
  <c r="S122" i="7"/>
  <c r="R122" i="7"/>
  <c r="N122" i="7"/>
  <c r="M122" i="7"/>
  <c r="L122" i="7"/>
  <c r="X121" i="7"/>
  <c r="W121" i="7"/>
  <c r="V121" i="7"/>
  <c r="U121" i="7"/>
  <c r="T121" i="7"/>
  <c r="S121" i="7"/>
  <c r="R121" i="7"/>
  <c r="N121" i="7"/>
  <c r="M121" i="7"/>
  <c r="L121" i="7"/>
  <c r="X120" i="7"/>
  <c r="W120" i="7"/>
  <c r="V120" i="7"/>
  <c r="U120" i="7"/>
  <c r="T120" i="7"/>
  <c r="S120" i="7"/>
  <c r="R120" i="7"/>
  <c r="N120" i="7"/>
  <c r="M120" i="7"/>
  <c r="L120" i="7"/>
  <c r="X119" i="7"/>
  <c r="W119" i="7"/>
  <c r="V119" i="7"/>
  <c r="U119" i="7"/>
  <c r="T119" i="7"/>
  <c r="S119" i="7"/>
  <c r="R119" i="7"/>
  <c r="N119" i="7"/>
  <c r="M119" i="7"/>
  <c r="L119" i="7"/>
  <c r="X118" i="7"/>
  <c r="W118" i="7"/>
  <c r="V118" i="7"/>
  <c r="U118" i="7"/>
  <c r="T118" i="7"/>
  <c r="S118" i="7"/>
  <c r="R118" i="7"/>
  <c r="N118" i="7"/>
  <c r="M118" i="7"/>
  <c r="L118" i="7"/>
  <c r="X117" i="7"/>
  <c r="W117" i="7"/>
  <c r="V117" i="7"/>
  <c r="U117" i="7"/>
  <c r="T117" i="7"/>
  <c r="S117" i="7"/>
  <c r="R117" i="7"/>
  <c r="N117" i="7"/>
  <c r="M117" i="7"/>
  <c r="L117" i="7"/>
  <c r="X116" i="7"/>
  <c r="W116" i="7"/>
  <c r="V116" i="7"/>
  <c r="U116" i="7"/>
  <c r="T116" i="7"/>
  <c r="S116" i="7"/>
  <c r="R116" i="7"/>
  <c r="N116" i="7"/>
  <c r="M116" i="7"/>
  <c r="L116" i="7"/>
  <c r="X115" i="7"/>
  <c r="W115" i="7"/>
  <c r="V115" i="7"/>
  <c r="U115" i="7"/>
  <c r="T115" i="7"/>
  <c r="S115" i="7"/>
  <c r="R115" i="7"/>
  <c r="N115" i="7"/>
  <c r="M115" i="7"/>
  <c r="L115" i="7"/>
  <c r="X114" i="7"/>
  <c r="W114" i="7"/>
  <c r="V114" i="7"/>
  <c r="U114" i="7"/>
  <c r="T114" i="7"/>
  <c r="S114" i="7"/>
  <c r="R114" i="7"/>
  <c r="N114" i="7"/>
  <c r="M114" i="7"/>
  <c r="L114" i="7"/>
  <c r="X113" i="7"/>
  <c r="W113" i="7"/>
  <c r="V113" i="7"/>
  <c r="U113" i="7"/>
  <c r="T113" i="7"/>
  <c r="S113" i="7"/>
  <c r="R113" i="7"/>
  <c r="N113" i="7"/>
  <c r="M113" i="7"/>
  <c r="L113" i="7"/>
  <c r="X112" i="7"/>
  <c r="W112" i="7"/>
  <c r="V112" i="7"/>
  <c r="U112" i="7"/>
  <c r="T112" i="7"/>
  <c r="S112" i="7"/>
  <c r="R112" i="7"/>
  <c r="N112" i="7"/>
  <c r="M112" i="7"/>
  <c r="L112" i="7"/>
  <c r="X111" i="7"/>
  <c r="W111" i="7"/>
  <c r="V111" i="7"/>
  <c r="U111" i="7"/>
  <c r="T111" i="7"/>
  <c r="S111" i="7"/>
  <c r="R111" i="7"/>
  <c r="N111" i="7"/>
  <c r="M111" i="7"/>
  <c r="L111" i="7"/>
  <c r="X110" i="7"/>
  <c r="W110" i="7"/>
  <c r="V110" i="7"/>
  <c r="U110" i="7"/>
  <c r="T110" i="7"/>
  <c r="S110" i="7"/>
  <c r="R110" i="7"/>
  <c r="N110" i="7"/>
  <c r="M110" i="7"/>
  <c r="L110" i="7"/>
  <c r="X109" i="7"/>
  <c r="W109" i="7"/>
  <c r="V109" i="7"/>
  <c r="U109" i="7"/>
  <c r="T109" i="7"/>
  <c r="S109" i="7"/>
  <c r="R109" i="7"/>
  <c r="N109" i="7"/>
  <c r="M109" i="7"/>
  <c r="L109" i="7"/>
  <c r="X108" i="7"/>
  <c r="W108" i="7"/>
  <c r="V108" i="7"/>
  <c r="U108" i="7"/>
  <c r="T108" i="7"/>
  <c r="S108" i="7"/>
  <c r="R108" i="7"/>
  <c r="N108" i="7"/>
  <c r="M108" i="7"/>
  <c r="L108" i="7"/>
  <c r="X107" i="7"/>
  <c r="W107" i="7"/>
  <c r="V107" i="7"/>
  <c r="U107" i="7"/>
  <c r="T107" i="7"/>
  <c r="S107" i="7"/>
  <c r="R107" i="7"/>
  <c r="N107" i="7"/>
  <c r="M107" i="7"/>
  <c r="L107" i="7"/>
  <c r="X106" i="7"/>
  <c r="W106" i="7"/>
  <c r="V106" i="7"/>
  <c r="U106" i="7"/>
  <c r="T106" i="7"/>
  <c r="S106" i="7"/>
  <c r="R106" i="7"/>
  <c r="N106" i="7"/>
  <c r="M106" i="7"/>
  <c r="L106" i="7"/>
  <c r="X105" i="7"/>
  <c r="W105" i="7"/>
  <c r="V105" i="7"/>
  <c r="U105" i="7"/>
  <c r="T105" i="7"/>
  <c r="S105" i="7"/>
  <c r="R105" i="7"/>
  <c r="N105" i="7"/>
  <c r="M105" i="7"/>
  <c r="L105" i="7"/>
  <c r="X104" i="7"/>
  <c r="W104" i="7"/>
  <c r="V104" i="7"/>
  <c r="U104" i="7"/>
  <c r="T104" i="7"/>
  <c r="S104" i="7"/>
  <c r="R104" i="7"/>
  <c r="N104" i="7"/>
  <c r="M104" i="7"/>
  <c r="L104" i="7"/>
  <c r="X103" i="7"/>
  <c r="W103" i="7"/>
  <c r="V103" i="7"/>
  <c r="U103" i="7"/>
  <c r="T103" i="7"/>
  <c r="S103" i="7"/>
  <c r="R103" i="7"/>
  <c r="N103" i="7"/>
  <c r="M103" i="7"/>
  <c r="L103" i="7"/>
  <c r="X102" i="7"/>
  <c r="W102" i="7"/>
  <c r="V102" i="7"/>
  <c r="U102" i="7"/>
  <c r="T102" i="7"/>
  <c r="S102" i="7"/>
  <c r="R102" i="7"/>
  <c r="N102" i="7"/>
  <c r="M102" i="7"/>
  <c r="L102" i="7"/>
  <c r="X101" i="7"/>
  <c r="W101" i="7"/>
  <c r="V101" i="7"/>
  <c r="U101" i="7"/>
  <c r="T101" i="7"/>
  <c r="S101" i="7"/>
  <c r="R101" i="7"/>
  <c r="N101" i="7"/>
  <c r="M101" i="7"/>
  <c r="L101" i="7"/>
  <c r="X100" i="7"/>
  <c r="W100" i="7"/>
  <c r="V100" i="7"/>
  <c r="U100" i="7"/>
  <c r="T100" i="7"/>
  <c r="S100" i="7"/>
  <c r="R100" i="7"/>
  <c r="N100" i="7"/>
  <c r="M100" i="7"/>
  <c r="L100" i="7"/>
  <c r="X99" i="7"/>
  <c r="W99" i="7"/>
  <c r="V99" i="7"/>
  <c r="U99" i="7"/>
  <c r="T99" i="7"/>
  <c r="S99" i="7"/>
  <c r="R99" i="7"/>
  <c r="N99" i="7"/>
  <c r="M99" i="7"/>
  <c r="L99" i="7"/>
  <c r="X98" i="7"/>
  <c r="W98" i="7"/>
  <c r="V98" i="7"/>
  <c r="U98" i="7"/>
  <c r="T98" i="7"/>
  <c r="S98" i="7"/>
  <c r="R98" i="7"/>
  <c r="N98" i="7"/>
  <c r="M98" i="7"/>
  <c r="L98" i="7"/>
  <c r="X97" i="7"/>
  <c r="W97" i="7"/>
  <c r="V97" i="7"/>
  <c r="U97" i="7"/>
  <c r="T97" i="7"/>
  <c r="S97" i="7"/>
  <c r="R97" i="7"/>
  <c r="N97" i="7"/>
  <c r="M97" i="7"/>
  <c r="L97" i="7"/>
  <c r="X96" i="7"/>
  <c r="W96" i="7"/>
  <c r="V96" i="7"/>
  <c r="U96" i="7"/>
  <c r="T96" i="7"/>
  <c r="S96" i="7"/>
  <c r="R96" i="7"/>
  <c r="N96" i="7"/>
  <c r="M96" i="7"/>
  <c r="L96" i="7"/>
  <c r="X95" i="7"/>
  <c r="W95" i="7"/>
  <c r="V95" i="7"/>
  <c r="U95" i="7"/>
  <c r="T95" i="7"/>
  <c r="S95" i="7"/>
  <c r="R95" i="7"/>
  <c r="N95" i="7"/>
  <c r="M95" i="7"/>
  <c r="L95" i="7"/>
  <c r="X94" i="7"/>
  <c r="W94" i="7"/>
  <c r="V94" i="7"/>
  <c r="U94" i="7"/>
  <c r="T94" i="7"/>
  <c r="S94" i="7"/>
  <c r="R94" i="7"/>
  <c r="N94" i="7"/>
  <c r="M94" i="7"/>
  <c r="L94" i="7"/>
  <c r="X93" i="7"/>
  <c r="W93" i="7"/>
  <c r="V93" i="7"/>
  <c r="U93" i="7"/>
  <c r="T93" i="7"/>
  <c r="S93" i="7"/>
  <c r="R93" i="7"/>
  <c r="N93" i="7"/>
  <c r="M93" i="7"/>
  <c r="L93" i="7"/>
  <c r="X92" i="7"/>
  <c r="W92" i="7"/>
  <c r="V92" i="7"/>
  <c r="U92" i="7"/>
  <c r="T92" i="7"/>
  <c r="S92" i="7"/>
  <c r="R92" i="7"/>
  <c r="N92" i="7"/>
  <c r="M92" i="7"/>
  <c r="L92" i="7"/>
  <c r="X91" i="7"/>
  <c r="W91" i="7"/>
  <c r="V91" i="7"/>
  <c r="U91" i="7"/>
  <c r="T91" i="7"/>
  <c r="S91" i="7"/>
  <c r="R91" i="7"/>
  <c r="N91" i="7"/>
  <c r="M91" i="7"/>
  <c r="L91" i="7"/>
  <c r="X90" i="7"/>
  <c r="W90" i="7"/>
  <c r="V90" i="7"/>
  <c r="U90" i="7"/>
  <c r="T90" i="7"/>
  <c r="S90" i="7"/>
  <c r="R90" i="7"/>
  <c r="N90" i="7"/>
  <c r="M90" i="7"/>
  <c r="L90" i="7"/>
  <c r="X89" i="7"/>
  <c r="W89" i="7"/>
  <c r="V89" i="7"/>
  <c r="U89" i="7"/>
  <c r="T89" i="7"/>
  <c r="S89" i="7"/>
  <c r="R89" i="7"/>
  <c r="N89" i="7"/>
  <c r="M89" i="7"/>
  <c r="L89" i="7"/>
  <c r="X88" i="7"/>
  <c r="W88" i="7"/>
  <c r="V88" i="7"/>
  <c r="U88" i="7"/>
  <c r="T88" i="7"/>
  <c r="S88" i="7"/>
  <c r="R88" i="7"/>
  <c r="N88" i="7"/>
  <c r="M88" i="7"/>
  <c r="L88" i="7"/>
  <c r="X87" i="7"/>
  <c r="W87" i="7"/>
  <c r="V87" i="7"/>
  <c r="U87" i="7"/>
  <c r="T87" i="7"/>
  <c r="S87" i="7"/>
  <c r="R87" i="7"/>
  <c r="N87" i="7"/>
  <c r="M87" i="7"/>
  <c r="L87" i="7"/>
  <c r="X86" i="7"/>
  <c r="W86" i="7"/>
  <c r="V86" i="7"/>
  <c r="U86" i="7"/>
  <c r="T86" i="7"/>
  <c r="S86" i="7"/>
  <c r="R86" i="7"/>
  <c r="N86" i="7"/>
  <c r="M86" i="7"/>
  <c r="L86" i="7"/>
  <c r="X85" i="7"/>
  <c r="W85" i="7"/>
  <c r="V85" i="7"/>
  <c r="U85" i="7"/>
  <c r="T85" i="7"/>
  <c r="S85" i="7"/>
  <c r="R85" i="7"/>
  <c r="N85" i="7"/>
  <c r="M85" i="7"/>
  <c r="L85" i="7"/>
  <c r="X84" i="7"/>
  <c r="W84" i="7"/>
  <c r="V84" i="7"/>
  <c r="U84" i="7"/>
  <c r="T84" i="7"/>
  <c r="S84" i="7"/>
  <c r="R84" i="7"/>
  <c r="N84" i="7"/>
  <c r="M84" i="7"/>
  <c r="L84" i="7"/>
  <c r="X83" i="7"/>
  <c r="W83" i="7"/>
  <c r="V83" i="7"/>
  <c r="U83" i="7"/>
  <c r="T83" i="7"/>
  <c r="S83" i="7"/>
  <c r="R83" i="7"/>
  <c r="N83" i="7"/>
  <c r="M83" i="7"/>
  <c r="L83" i="7"/>
  <c r="X82" i="7"/>
  <c r="W82" i="7"/>
  <c r="V82" i="7"/>
  <c r="U82" i="7"/>
  <c r="T82" i="7"/>
  <c r="S82" i="7"/>
  <c r="R82" i="7"/>
  <c r="N82" i="7"/>
  <c r="M82" i="7"/>
  <c r="L82" i="7"/>
  <c r="X81" i="7"/>
  <c r="W81" i="7"/>
  <c r="V81" i="7"/>
  <c r="U81" i="7"/>
  <c r="T81" i="7"/>
  <c r="S81" i="7"/>
  <c r="R81" i="7"/>
  <c r="N81" i="7"/>
  <c r="M81" i="7"/>
  <c r="L81" i="7"/>
  <c r="X80" i="7"/>
  <c r="W80" i="7"/>
  <c r="V80" i="7"/>
  <c r="U80" i="7"/>
  <c r="T80" i="7"/>
  <c r="S80" i="7"/>
  <c r="R80" i="7"/>
  <c r="N80" i="7"/>
  <c r="M80" i="7"/>
  <c r="L80" i="7"/>
  <c r="X79" i="7"/>
  <c r="W79" i="7"/>
  <c r="V79" i="7"/>
  <c r="U79" i="7"/>
  <c r="T79" i="7"/>
  <c r="S79" i="7"/>
  <c r="R79" i="7"/>
  <c r="N79" i="7"/>
  <c r="M79" i="7"/>
  <c r="L79" i="7"/>
  <c r="X78" i="7"/>
  <c r="W78" i="7"/>
  <c r="V78" i="7"/>
  <c r="U78" i="7"/>
  <c r="T78" i="7"/>
  <c r="S78" i="7"/>
  <c r="R78" i="7"/>
  <c r="N78" i="7"/>
  <c r="M78" i="7"/>
  <c r="L78" i="7"/>
  <c r="X77" i="7"/>
  <c r="W77" i="7"/>
  <c r="V77" i="7"/>
  <c r="U77" i="7"/>
  <c r="T77" i="7"/>
  <c r="S77" i="7"/>
  <c r="R77" i="7"/>
  <c r="N77" i="7"/>
  <c r="M77" i="7"/>
  <c r="L77" i="7"/>
  <c r="X76" i="7"/>
  <c r="W76" i="7"/>
  <c r="V76" i="7"/>
  <c r="U76" i="7"/>
  <c r="T76" i="7"/>
  <c r="S76" i="7"/>
  <c r="R76" i="7"/>
  <c r="N76" i="7"/>
  <c r="M76" i="7"/>
  <c r="L76" i="7"/>
  <c r="X75" i="7"/>
  <c r="W75" i="7"/>
  <c r="V75" i="7"/>
  <c r="U75" i="7"/>
  <c r="T75" i="7"/>
  <c r="S75" i="7"/>
  <c r="R75" i="7"/>
  <c r="N75" i="7"/>
  <c r="M75" i="7"/>
  <c r="L75" i="7"/>
  <c r="X74" i="7"/>
  <c r="W74" i="7"/>
  <c r="V74" i="7"/>
  <c r="U74" i="7"/>
  <c r="T74" i="7"/>
  <c r="S74" i="7"/>
  <c r="R74" i="7"/>
  <c r="N74" i="7"/>
  <c r="M74" i="7"/>
  <c r="L74" i="7"/>
  <c r="X73" i="7"/>
  <c r="W73" i="7"/>
  <c r="V73" i="7"/>
  <c r="U73" i="7"/>
  <c r="T73" i="7"/>
  <c r="S73" i="7"/>
  <c r="R73" i="7"/>
  <c r="N73" i="7"/>
  <c r="M73" i="7"/>
  <c r="L73" i="7"/>
  <c r="X72" i="7"/>
  <c r="W72" i="7"/>
  <c r="V72" i="7"/>
  <c r="U72" i="7"/>
  <c r="T72" i="7"/>
  <c r="S72" i="7"/>
  <c r="R72" i="7"/>
  <c r="N72" i="7"/>
  <c r="M72" i="7"/>
  <c r="L72" i="7"/>
  <c r="X71" i="7"/>
  <c r="W71" i="7"/>
  <c r="V71" i="7"/>
  <c r="U71" i="7"/>
  <c r="T71" i="7"/>
  <c r="S71" i="7"/>
  <c r="R71" i="7"/>
  <c r="N71" i="7"/>
  <c r="M71" i="7"/>
  <c r="L71" i="7"/>
  <c r="X70" i="7"/>
  <c r="W70" i="7"/>
  <c r="V70" i="7"/>
  <c r="U70" i="7"/>
  <c r="T70" i="7"/>
  <c r="S70" i="7"/>
  <c r="R70" i="7"/>
  <c r="N70" i="7"/>
  <c r="M70" i="7"/>
  <c r="L70" i="7"/>
  <c r="X69" i="7"/>
  <c r="W69" i="7"/>
  <c r="V69" i="7"/>
  <c r="U69" i="7"/>
  <c r="T69" i="7"/>
  <c r="S69" i="7"/>
  <c r="R69" i="7"/>
  <c r="N69" i="7"/>
  <c r="M69" i="7"/>
  <c r="L69" i="7"/>
  <c r="X68" i="7"/>
  <c r="W68" i="7"/>
  <c r="V68" i="7"/>
  <c r="U68" i="7"/>
  <c r="T68" i="7"/>
  <c r="S68" i="7"/>
  <c r="R68" i="7"/>
  <c r="N68" i="7"/>
  <c r="M68" i="7"/>
  <c r="L68" i="7"/>
  <c r="X67" i="7"/>
  <c r="W67" i="7"/>
  <c r="V67" i="7"/>
  <c r="U67" i="7"/>
  <c r="T67" i="7"/>
  <c r="S67" i="7"/>
  <c r="R67" i="7"/>
  <c r="N67" i="7"/>
  <c r="M67" i="7"/>
  <c r="L67" i="7"/>
  <c r="X66" i="7"/>
  <c r="W66" i="7"/>
  <c r="V66" i="7"/>
  <c r="U66" i="7"/>
  <c r="T66" i="7"/>
  <c r="S66" i="7"/>
  <c r="R66" i="7"/>
  <c r="N66" i="7"/>
  <c r="M66" i="7"/>
  <c r="L66" i="7"/>
  <c r="X65" i="7"/>
  <c r="W65" i="7"/>
  <c r="V65" i="7"/>
  <c r="U65" i="7"/>
  <c r="T65" i="7"/>
  <c r="S65" i="7"/>
  <c r="R65" i="7"/>
  <c r="N65" i="7"/>
  <c r="M65" i="7"/>
  <c r="L65" i="7"/>
  <c r="X64" i="7"/>
  <c r="W64" i="7"/>
  <c r="V64" i="7"/>
  <c r="U64" i="7"/>
  <c r="T64" i="7"/>
  <c r="S64" i="7"/>
  <c r="R64" i="7"/>
  <c r="N64" i="7"/>
  <c r="M64" i="7"/>
  <c r="L64" i="7"/>
  <c r="X63" i="7"/>
  <c r="W63" i="7"/>
  <c r="V63" i="7"/>
  <c r="U63" i="7"/>
  <c r="T63" i="7"/>
  <c r="S63" i="7"/>
  <c r="R63" i="7"/>
  <c r="N63" i="7"/>
  <c r="M63" i="7"/>
  <c r="L63" i="7"/>
  <c r="X62" i="7"/>
  <c r="W62" i="7"/>
  <c r="V62" i="7"/>
  <c r="U62" i="7"/>
  <c r="T62" i="7"/>
  <c r="S62" i="7"/>
  <c r="R62" i="7"/>
  <c r="N62" i="7"/>
  <c r="M62" i="7"/>
  <c r="L62" i="7"/>
  <c r="X61" i="7"/>
  <c r="W61" i="7"/>
  <c r="V61" i="7"/>
  <c r="U61" i="7"/>
  <c r="T61" i="7"/>
  <c r="S61" i="7"/>
  <c r="R61" i="7"/>
  <c r="N61" i="7"/>
  <c r="M61" i="7"/>
  <c r="L61" i="7"/>
  <c r="X60" i="7"/>
  <c r="W60" i="7"/>
  <c r="V60" i="7"/>
  <c r="U60" i="7"/>
  <c r="T60" i="7"/>
  <c r="S60" i="7"/>
  <c r="R60" i="7"/>
  <c r="N60" i="7"/>
  <c r="M60" i="7"/>
  <c r="L60" i="7"/>
  <c r="X59" i="7"/>
  <c r="W59" i="7"/>
  <c r="V59" i="7"/>
  <c r="U59" i="7"/>
  <c r="T59" i="7"/>
  <c r="S59" i="7"/>
  <c r="R59" i="7"/>
  <c r="N59" i="7"/>
  <c r="M59" i="7"/>
  <c r="L59" i="7"/>
  <c r="X58" i="7"/>
  <c r="W58" i="7"/>
  <c r="V58" i="7"/>
  <c r="U58" i="7"/>
  <c r="T58" i="7"/>
  <c r="S58" i="7"/>
  <c r="R58" i="7"/>
  <c r="N58" i="7"/>
  <c r="M58" i="7"/>
  <c r="L58" i="7"/>
  <c r="X57" i="7"/>
  <c r="W57" i="7"/>
  <c r="V57" i="7"/>
  <c r="U57" i="7"/>
  <c r="T57" i="7"/>
  <c r="S57" i="7"/>
  <c r="R57" i="7"/>
  <c r="N57" i="7"/>
  <c r="M57" i="7"/>
  <c r="L57" i="7"/>
  <c r="X56" i="7"/>
  <c r="W56" i="7"/>
  <c r="V56" i="7"/>
  <c r="U56" i="7"/>
  <c r="T56" i="7"/>
  <c r="S56" i="7"/>
  <c r="R56" i="7"/>
  <c r="N56" i="7"/>
  <c r="M56" i="7"/>
  <c r="L56" i="7"/>
  <c r="X55" i="7"/>
  <c r="W55" i="7"/>
  <c r="V55" i="7"/>
  <c r="U55" i="7"/>
  <c r="T55" i="7"/>
  <c r="S55" i="7"/>
  <c r="R55" i="7"/>
  <c r="N55" i="7"/>
  <c r="M55" i="7"/>
  <c r="L55" i="7"/>
  <c r="X54" i="7"/>
  <c r="W54" i="7"/>
  <c r="V54" i="7"/>
  <c r="U54" i="7"/>
  <c r="T54" i="7"/>
  <c r="S54" i="7"/>
  <c r="R54" i="7"/>
  <c r="N54" i="7"/>
  <c r="M54" i="7"/>
  <c r="L54" i="7"/>
  <c r="X53" i="7"/>
  <c r="W53" i="7"/>
  <c r="V53" i="7"/>
  <c r="U53" i="7"/>
  <c r="T53" i="7"/>
  <c r="S53" i="7"/>
  <c r="R53" i="7"/>
  <c r="N53" i="7"/>
  <c r="M53" i="7"/>
  <c r="L53" i="7"/>
  <c r="X52" i="7"/>
  <c r="W52" i="7"/>
  <c r="V52" i="7"/>
  <c r="U52" i="7"/>
  <c r="T52" i="7"/>
  <c r="S52" i="7"/>
  <c r="R52" i="7"/>
  <c r="N52" i="7"/>
  <c r="M52" i="7"/>
  <c r="L52" i="7"/>
  <c r="X51" i="7"/>
  <c r="W51" i="7"/>
  <c r="V51" i="7"/>
  <c r="U51" i="7"/>
  <c r="T51" i="7"/>
  <c r="S51" i="7"/>
  <c r="R51" i="7"/>
  <c r="N51" i="7"/>
  <c r="M51" i="7"/>
  <c r="L51" i="7"/>
  <c r="X50" i="7"/>
  <c r="W50" i="7"/>
  <c r="V50" i="7"/>
  <c r="U50" i="7"/>
  <c r="T50" i="7"/>
  <c r="S50" i="7"/>
  <c r="R50" i="7"/>
  <c r="N50" i="7"/>
  <c r="M50" i="7"/>
  <c r="L50" i="7"/>
  <c r="X49" i="7"/>
  <c r="W49" i="7"/>
  <c r="V49" i="7"/>
  <c r="U49" i="7"/>
  <c r="T49" i="7"/>
  <c r="S49" i="7"/>
  <c r="R49" i="7"/>
  <c r="N49" i="7"/>
  <c r="M49" i="7"/>
  <c r="L49" i="7"/>
  <c r="X48" i="7"/>
  <c r="W48" i="7"/>
  <c r="V48" i="7"/>
  <c r="R48" i="7"/>
  <c r="N48" i="7"/>
  <c r="M48" i="7"/>
  <c r="L48" i="7"/>
  <c r="X47" i="7"/>
  <c r="W47" i="7"/>
  <c r="V47" i="7"/>
  <c r="U47" i="7"/>
  <c r="T47" i="7"/>
  <c r="S47" i="7"/>
  <c r="R47" i="7"/>
  <c r="N47" i="7"/>
  <c r="M47" i="7"/>
  <c r="L47" i="7"/>
  <c r="X46" i="7"/>
  <c r="W46" i="7"/>
  <c r="V46" i="7"/>
  <c r="U46" i="7"/>
  <c r="T46" i="7"/>
  <c r="S46" i="7"/>
  <c r="R46" i="7"/>
  <c r="N46" i="7"/>
  <c r="M46" i="7"/>
  <c r="L46" i="7"/>
  <c r="X45" i="7"/>
  <c r="W45" i="7"/>
  <c r="V45" i="7"/>
  <c r="U45" i="7"/>
  <c r="T45" i="7"/>
  <c r="S45" i="7"/>
  <c r="R45" i="7"/>
  <c r="N45" i="7"/>
  <c r="M45" i="7"/>
  <c r="L45" i="7"/>
  <c r="X44" i="7"/>
  <c r="W44" i="7"/>
  <c r="V44" i="7"/>
  <c r="U44" i="7"/>
  <c r="T44" i="7"/>
  <c r="S44" i="7"/>
  <c r="R44" i="7"/>
  <c r="N44" i="7"/>
  <c r="M44" i="7"/>
  <c r="L44" i="7"/>
  <c r="X43" i="7"/>
  <c r="W43" i="7"/>
  <c r="V43" i="7"/>
  <c r="R43" i="7"/>
  <c r="N43" i="7"/>
  <c r="M43" i="7"/>
  <c r="L43" i="7"/>
  <c r="X42" i="7"/>
  <c r="W42" i="7"/>
  <c r="V42" i="7"/>
  <c r="U42" i="7"/>
  <c r="T42" i="7"/>
  <c r="S42" i="7"/>
  <c r="R42" i="7"/>
  <c r="N42" i="7"/>
  <c r="M42" i="7"/>
  <c r="L42" i="7"/>
  <c r="X41" i="7"/>
  <c r="W41" i="7"/>
  <c r="V41" i="7"/>
  <c r="U41" i="7"/>
  <c r="T41" i="7"/>
  <c r="S41" i="7"/>
  <c r="R41" i="7"/>
  <c r="N41" i="7"/>
  <c r="M41" i="7"/>
  <c r="L41" i="7"/>
  <c r="X40" i="7"/>
  <c r="W40" i="7"/>
  <c r="V40" i="7"/>
  <c r="U40" i="7"/>
  <c r="T40" i="7"/>
  <c r="S40" i="7"/>
  <c r="R40" i="7"/>
  <c r="N40" i="7"/>
  <c r="M40" i="7"/>
  <c r="L40" i="7"/>
  <c r="X39" i="7"/>
  <c r="W39" i="7"/>
  <c r="V39" i="7"/>
  <c r="U39" i="7"/>
  <c r="T39" i="7"/>
  <c r="S39" i="7"/>
  <c r="R39" i="7"/>
  <c r="N39" i="7"/>
  <c r="M39" i="7"/>
  <c r="L39" i="7"/>
  <c r="X38" i="7"/>
  <c r="W38" i="7"/>
  <c r="V38" i="7"/>
  <c r="U38" i="7"/>
  <c r="T38" i="7"/>
  <c r="S38" i="7"/>
  <c r="R38" i="7"/>
  <c r="N38" i="7"/>
  <c r="M38" i="7"/>
  <c r="L38" i="7"/>
  <c r="X37" i="7"/>
  <c r="W37" i="7"/>
  <c r="V37" i="7"/>
  <c r="U37" i="7"/>
  <c r="T37" i="7"/>
  <c r="S37" i="7"/>
  <c r="R37" i="7"/>
  <c r="N37" i="7"/>
  <c r="M37" i="7"/>
  <c r="L37" i="7"/>
  <c r="X36" i="7"/>
  <c r="W36" i="7"/>
  <c r="V36" i="7"/>
  <c r="U36" i="7"/>
  <c r="T36" i="7"/>
  <c r="S36" i="7"/>
  <c r="R36" i="7"/>
  <c r="N36" i="7"/>
  <c r="M36" i="7"/>
  <c r="L36" i="7"/>
  <c r="X35" i="7"/>
  <c r="W35" i="7"/>
  <c r="V35" i="7"/>
  <c r="U35" i="7"/>
  <c r="T35" i="7"/>
  <c r="S35" i="7"/>
  <c r="R35" i="7"/>
  <c r="N35" i="7"/>
  <c r="M35" i="7"/>
  <c r="L35" i="7"/>
  <c r="U34" i="7"/>
  <c r="T34" i="7"/>
  <c r="S34" i="7"/>
  <c r="R34" i="7"/>
  <c r="N34" i="7"/>
  <c r="Q48" i="7" s="1"/>
  <c r="M34" i="7"/>
  <c r="P35" i="7" s="1"/>
  <c r="L34" i="7"/>
  <c r="O42" i="7" s="1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X32" i="7"/>
  <c r="W32" i="7"/>
  <c r="V32" i="7"/>
  <c r="U32" i="7"/>
  <c r="T32" i="7"/>
  <c r="S32" i="7"/>
  <c r="Q32" i="7"/>
  <c r="P32" i="7"/>
  <c r="O32" i="7"/>
  <c r="N32" i="7"/>
  <c r="M32" i="7"/>
  <c r="L32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R16" i="7"/>
  <c r="N16" i="7"/>
  <c r="M16" i="7"/>
  <c r="L16" i="7"/>
  <c r="K16" i="7"/>
  <c r="W7" i="7"/>
  <c r="Y2" i="7"/>
  <c r="O51" i="16"/>
  <c r="O44" i="16"/>
  <c r="P36" i="22"/>
  <c r="P40" i="16"/>
  <c r="O33" i="22"/>
  <c r="Q50" i="22"/>
  <c r="O28" i="31"/>
  <c r="O34" i="31"/>
  <c r="O32" i="31"/>
  <c r="O30" i="31"/>
  <c r="P35" i="33"/>
  <c r="O34" i="33"/>
  <c r="P32" i="35"/>
  <c r="O33" i="31"/>
  <c r="O31" i="31"/>
  <c r="P33" i="33"/>
  <c r="O33" i="33"/>
  <c r="O37" i="33"/>
  <c r="O36" i="33"/>
  <c r="O32" i="33"/>
  <c r="Q38" i="37"/>
  <c r="Q23" i="37"/>
  <c r="O34" i="22"/>
  <c r="O35" i="31"/>
  <c r="O36" i="31"/>
  <c r="O57" i="11"/>
  <c r="P33" i="37" l="1"/>
  <c r="P28" i="37"/>
  <c r="P34" i="37"/>
  <c r="P29" i="37"/>
  <c r="O58" i="9"/>
  <c r="O55" i="11"/>
  <c r="O45" i="18"/>
  <c r="O35" i="33"/>
  <c r="R61" i="9"/>
  <c r="P34" i="35"/>
  <c r="R46" i="9"/>
  <c r="R66" i="9"/>
  <c r="O61" i="9"/>
  <c r="O50" i="9"/>
  <c r="Q32" i="33"/>
  <c r="O52" i="9"/>
  <c r="R29" i="9"/>
  <c r="P26" i="35"/>
  <c r="O38" i="22"/>
  <c r="R52" i="9"/>
  <c r="R65" i="9"/>
  <c r="Q47" i="24"/>
  <c r="R50" i="9"/>
  <c r="Q44" i="24"/>
  <c r="N31" i="35"/>
  <c r="P30" i="28"/>
  <c r="P26" i="28"/>
  <c r="Q51" i="20"/>
  <c r="Q50" i="24"/>
  <c r="P24" i="28"/>
  <c r="Q47" i="20"/>
  <c r="Q43" i="20"/>
  <c r="O40" i="20"/>
  <c r="Q48" i="20"/>
  <c r="Q56" i="20"/>
  <c r="P27" i="35"/>
  <c r="P29" i="35"/>
  <c r="Q41" i="24"/>
  <c r="P22" i="28"/>
  <c r="N33" i="35"/>
  <c r="Q39" i="20"/>
  <c r="R58" i="9"/>
  <c r="Q30" i="28"/>
  <c r="R43" i="9"/>
  <c r="N50" i="9"/>
  <c r="Q28" i="28"/>
  <c r="N30" i="35"/>
  <c r="Q44" i="20"/>
  <c r="Q49" i="24"/>
  <c r="R40" i="9"/>
  <c r="N41" i="9"/>
  <c r="M23" i="28"/>
  <c r="R57" i="9"/>
  <c r="N37" i="9"/>
  <c r="P28" i="35"/>
  <c r="P45" i="16"/>
  <c r="Q46" i="11"/>
  <c r="Q57" i="20"/>
  <c r="R35" i="9"/>
  <c r="N35" i="9"/>
  <c r="P30" i="35"/>
  <c r="P42" i="16"/>
  <c r="N31" i="9"/>
  <c r="Q42" i="11"/>
  <c r="N27" i="35"/>
  <c r="Q43" i="11"/>
  <c r="Q23" i="28"/>
  <c r="N45" i="18"/>
  <c r="Q30" i="31"/>
  <c r="P33" i="28"/>
  <c r="N27" i="18"/>
  <c r="R41" i="9"/>
  <c r="N52" i="9"/>
  <c r="Q46" i="24"/>
  <c r="Q45" i="11"/>
  <c r="Q49" i="11"/>
  <c r="Q29" i="28"/>
  <c r="M27" i="28"/>
  <c r="Q64" i="20"/>
  <c r="N47" i="9"/>
  <c r="M25" i="28"/>
  <c r="R49" i="9"/>
  <c r="N43" i="9"/>
  <c r="P44" i="11"/>
  <c r="P32" i="28"/>
  <c r="N30" i="18"/>
  <c r="R34" i="9"/>
  <c r="N48" i="9"/>
  <c r="P41" i="11"/>
  <c r="N25" i="18"/>
  <c r="R64" i="9"/>
  <c r="O39" i="16"/>
  <c r="P31" i="35"/>
  <c r="Q34" i="31"/>
  <c r="Q43" i="24"/>
  <c r="N44" i="9"/>
  <c r="Q48" i="24"/>
  <c r="O42" i="11"/>
  <c r="R60" i="9"/>
  <c r="O53" i="16"/>
  <c r="P33" i="35"/>
  <c r="Q28" i="31"/>
  <c r="N38" i="9"/>
  <c r="Q26" i="28"/>
  <c r="Q24" i="28"/>
  <c r="N29" i="35"/>
  <c r="N33" i="9"/>
  <c r="M29" i="28"/>
  <c r="Q48" i="11"/>
  <c r="Q31" i="28"/>
  <c r="P47" i="11"/>
  <c r="N29" i="9"/>
  <c r="R48" i="9"/>
  <c r="N34" i="9"/>
  <c r="Q45" i="24"/>
  <c r="Q51" i="24"/>
  <c r="R39" i="9"/>
  <c r="N28" i="9"/>
  <c r="P43" i="11"/>
  <c r="N34" i="35"/>
  <c r="N32" i="35"/>
  <c r="R51" i="9"/>
  <c r="O54" i="16"/>
  <c r="R59" i="9"/>
  <c r="M44" i="9"/>
  <c r="R54" i="9"/>
  <c r="R36" i="9"/>
  <c r="Q56" i="11"/>
  <c r="R27" i="18"/>
  <c r="R53" i="9"/>
  <c r="N49" i="9"/>
  <c r="Q59" i="9" s="1"/>
  <c r="M26" i="28"/>
  <c r="Q54" i="20"/>
  <c r="N26" i="35"/>
  <c r="Q26" i="35" s="1"/>
  <c r="R44" i="9"/>
  <c r="R31" i="9"/>
  <c r="N36" i="9"/>
  <c r="N30" i="9"/>
  <c r="R62" i="9"/>
  <c r="Q52" i="11"/>
  <c r="Q53" i="11"/>
  <c r="M34" i="9"/>
  <c r="R47" i="9"/>
  <c r="R30" i="18"/>
  <c r="N45" i="9"/>
  <c r="M29" i="9"/>
  <c r="R42" i="9"/>
  <c r="R28" i="9"/>
  <c r="M33" i="33"/>
  <c r="P27" i="28"/>
  <c r="N28" i="35"/>
  <c r="Q27" i="28"/>
  <c r="Q25" i="28"/>
  <c r="Q31" i="31"/>
  <c r="Q33" i="31"/>
  <c r="P29" i="28"/>
  <c r="R33" i="9"/>
  <c r="R63" i="9"/>
  <c r="N30" i="31"/>
  <c r="P25" i="28"/>
  <c r="Q22" i="28"/>
  <c r="O40" i="22"/>
  <c r="O51" i="22" s="1"/>
  <c r="Q34" i="37"/>
  <c r="R26" i="18"/>
  <c r="Q31" i="37"/>
  <c r="P43" i="24"/>
  <c r="O44" i="7"/>
  <c r="O35" i="22"/>
  <c r="Q25" i="37"/>
  <c r="R25" i="18"/>
  <c r="Q24" i="37"/>
  <c r="R33" i="18"/>
  <c r="Q30" i="37"/>
  <c r="M31" i="18"/>
  <c r="Q37" i="37"/>
  <c r="O32" i="35"/>
  <c r="R37" i="9"/>
  <c r="R38" i="9"/>
  <c r="R56" i="9"/>
  <c r="N46" i="9"/>
  <c r="N53" i="9"/>
  <c r="R35" i="18"/>
  <c r="Q32" i="37"/>
  <c r="N51" i="9"/>
  <c r="R68" i="9"/>
  <c r="Q27" i="37"/>
  <c r="R37" i="18"/>
  <c r="M53" i="9"/>
  <c r="R30" i="9"/>
  <c r="R32" i="9"/>
  <c r="R45" i="9"/>
  <c r="N39" i="9"/>
  <c r="Q35" i="37"/>
  <c r="R39" i="18"/>
  <c r="N42" i="9"/>
  <c r="M33" i="9"/>
  <c r="P51" i="24"/>
  <c r="Q28" i="37"/>
  <c r="R41" i="18"/>
  <c r="O29" i="35"/>
  <c r="O39" i="7"/>
  <c r="Q36" i="37"/>
  <c r="R31" i="18"/>
  <c r="R43" i="18"/>
  <c r="O36" i="22"/>
  <c r="Q33" i="37"/>
  <c r="R32" i="18"/>
  <c r="O39" i="22"/>
  <c r="Q26" i="37"/>
  <c r="R34" i="18"/>
  <c r="Q29" i="37"/>
  <c r="Q33" i="33"/>
  <c r="O42" i="22"/>
  <c r="O59" i="20"/>
  <c r="Q37" i="33"/>
  <c r="Q34" i="33"/>
  <c r="P49" i="24"/>
  <c r="M33" i="18"/>
  <c r="Q36" i="22"/>
  <c r="M35" i="18"/>
  <c r="N31" i="31"/>
  <c r="O49" i="24"/>
  <c r="P47" i="24"/>
  <c r="M25" i="18"/>
  <c r="Q34" i="22"/>
  <c r="M32" i="18"/>
  <c r="Q43" i="22"/>
  <c r="Q55" i="22"/>
  <c r="P42" i="24"/>
  <c r="Q36" i="33"/>
  <c r="M32" i="31"/>
  <c r="Q52" i="22"/>
  <c r="P45" i="24"/>
  <c r="M27" i="18"/>
  <c r="Q37" i="22"/>
  <c r="P50" i="24"/>
  <c r="O60" i="20"/>
  <c r="Q41" i="22"/>
  <c r="Q44" i="22"/>
  <c r="P41" i="24"/>
  <c r="P48" i="20"/>
  <c r="O42" i="20"/>
  <c r="Q56" i="16"/>
  <c r="P33" i="31"/>
  <c r="P34" i="31"/>
  <c r="Q49" i="22"/>
  <c r="Q42" i="22"/>
  <c r="P48" i="24"/>
  <c r="Q42" i="16"/>
  <c r="O40" i="14"/>
  <c r="O43" i="7"/>
  <c r="P29" i="31"/>
  <c r="P32" i="31"/>
  <c r="O55" i="20"/>
  <c r="Q47" i="22"/>
  <c r="P46" i="24"/>
  <c r="Q49" i="16"/>
  <c r="O35" i="7"/>
  <c r="O41" i="7"/>
  <c r="O26" i="37"/>
  <c r="P30" i="31"/>
  <c r="P44" i="24"/>
  <c r="M30" i="31"/>
  <c r="O40" i="7"/>
  <c r="O34" i="7"/>
  <c r="O37" i="37"/>
  <c r="O56" i="20"/>
  <c r="O38" i="14"/>
  <c r="Q31" i="33"/>
  <c r="O45" i="7"/>
  <c r="O30" i="37"/>
  <c r="Q35" i="33"/>
  <c r="O47" i="20"/>
  <c r="P28" i="31"/>
  <c r="O41" i="14"/>
  <c r="P37" i="22"/>
  <c r="P33" i="22"/>
  <c r="P34" i="22"/>
  <c r="P40" i="22"/>
  <c r="P48" i="22" s="1"/>
  <c r="O35" i="28"/>
  <c r="O23" i="28"/>
  <c r="L28" i="28"/>
  <c r="L25" i="28"/>
  <c r="L23" i="28"/>
  <c r="O22" i="28"/>
  <c r="O25" i="28"/>
  <c r="O29" i="28"/>
  <c r="O26" i="28"/>
  <c r="L29" i="28"/>
  <c r="O49" i="18"/>
  <c r="O34" i="18"/>
  <c r="O39" i="18"/>
  <c r="O47" i="18"/>
  <c r="O42" i="18"/>
  <c r="O44" i="18"/>
  <c r="O50" i="18"/>
  <c r="O37" i="18"/>
  <c r="O40" i="18"/>
  <c r="O30" i="28"/>
  <c r="O46" i="11"/>
  <c r="O56" i="11"/>
  <c r="O41" i="11"/>
  <c r="O50" i="11"/>
  <c r="O52" i="11"/>
  <c r="O44" i="11"/>
  <c r="O47" i="11"/>
  <c r="O45" i="11"/>
  <c r="O51" i="11"/>
  <c r="O60" i="16"/>
  <c r="O45" i="16"/>
  <c r="O46" i="16"/>
  <c r="O43" i="16"/>
  <c r="O47" i="16"/>
  <c r="O49" i="16"/>
  <c r="O42" i="16"/>
  <c r="O48" i="16"/>
  <c r="O52" i="16"/>
  <c r="O41" i="16"/>
  <c r="N34" i="18"/>
  <c r="Q40" i="18" s="1"/>
  <c r="O53" i="11"/>
  <c r="O43" i="11"/>
  <c r="O31" i="37"/>
  <c r="O55" i="16"/>
  <c r="O46" i="18"/>
  <c r="P39" i="22"/>
  <c r="O24" i="28"/>
  <c r="O27" i="28"/>
  <c r="L27" i="28"/>
  <c r="O36" i="18"/>
  <c r="P60" i="11"/>
  <c r="P46" i="11"/>
  <c r="P52" i="11"/>
  <c r="P51" i="11"/>
  <c r="P42" i="11"/>
  <c r="P54" i="11"/>
  <c r="P56" i="11"/>
  <c r="P55" i="11"/>
  <c r="P57" i="16"/>
  <c r="P44" i="16"/>
  <c r="P53" i="16"/>
  <c r="P41" i="16"/>
  <c r="O50" i="24"/>
  <c r="O43" i="24"/>
  <c r="O46" i="24"/>
  <c r="O47" i="24"/>
  <c r="O48" i="24"/>
  <c r="Q49" i="14"/>
  <c r="Q39" i="14"/>
  <c r="Q44" i="14"/>
  <c r="N33" i="18"/>
  <c r="N26" i="18"/>
  <c r="N31" i="18"/>
  <c r="N46" i="18"/>
  <c r="N35" i="18"/>
  <c r="N28" i="18"/>
  <c r="N29" i="18"/>
  <c r="P45" i="20"/>
  <c r="P40" i="20"/>
  <c r="P59" i="20"/>
  <c r="P54" i="20"/>
  <c r="L34" i="35"/>
  <c r="L32" i="35"/>
  <c r="L29" i="35"/>
  <c r="L28" i="35"/>
  <c r="O36" i="37"/>
  <c r="O23" i="37"/>
  <c r="O34" i="37"/>
  <c r="O33" i="37"/>
  <c r="O32" i="37"/>
  <c r="O28" i="37"/>
  <c r="O27" i="37"/>
  <c r="O35" i="37"/>
  <c r="O24" i="37"/>
  <c r="O36" i="28"/>
  <c r="O56" i="16"/>
  <c r="N32" i="18"/>
  <c r="O48" i="11"/>
  <c r="O49" i="11"/>
  <c r="O38" i="37"/>
  <c r="O29" i="37"/>
  <c r="O50" i="16"/>
  <c r="P38" i="22"/>
  <c r="O40" i="16"/>
  <c r="L26" i="28"/>
  <c r="O33" i="28"/>
  <c r="L31" i="35"/>
  <c r="L30" i="35"/>
  <c r="O35" i="18"/>
  <c r="O42" i="24"/>
  <c r="O43" i="18"/>
  <c r="O31" i="28"/>
  <c r="O38" i="18"/>
  <c r="P35" i="22"/>
  <c r="L32" i="31"/>
  <c r="L30" i="31"/>
  <c r="P37" i="33"/>
  <c r="P34" i="33"/>
  <c r="P38" i="33"/>
  <c r="P31" i="33"/>
  <c r="P32" i="33"/>
  <c r="O28" i="35"/>
  <c r="O31" i="35"/>
  <c r="O27" i="35"/>
  <c r="O34" i="35"/>
  <c r="O26" i="35"/>
  <c r="O30" i="35"/>
  <c r="M63" i="9"/>
  <c r="O37" i="7"/>
  <c r="Q52" i="20"/>
  <c r="Q45" i="20"/>
  <c r="Q53" i="20"/>
  <c r="Q46" i="20"/>
  <c r="O36" i="7"/>
  <c r="Q53" i="16"/>
  <c r="Q61" i="20"/>
  <c r="Q47" i="11"/>
  <c r="Q62" i="20"/>
  <c r="M32" i="9"/>
  <c r="N69" i="9"/>
  <c r="Q42" i="7"/>
  <c r="P59" i="16"/>
  <c r="Q55" i="16"/>
  <c r="Q47" i="16"/>
  <c r="M45" i="9"/>
  <c r="M51" i="9"/>
  <c r="P54" i="16"/>
  <c r="P39" i="16"/>
  <c r="Q35" i="14"/>
  <c r="R67" i="9"/>
  <c r="M68" i="9"/>
  <c r="R69" i="9"/>
  <c r="R46" i="18"/>
  <c r="P58" i="16"/>
  <c r="M42" i="9"/>
  <c r="Q40" i="7"/>
  <c r="Q39" i="16"/>
  <c r="M46" i="9"/>
  <c r="M36" i="9"/>
  <c r="M39" i="9"/>
  <c r="Q54" i="16"/>
  <c r="P38" i="16"/>
  <c r="Q51" i="14"/>
  <c r="O58" i="16"/>
  <c r="O29" i="31"/>
  <c r="L37" i="35"/>
  <c r="Q42" i="37"/>
  <c r="Q36" i="14"/>
  <c r="P52" i="16"/>
  <c r="R42" i="18"/>
  <c r="Q50" i="14"/>
  <c r="O57" i="16"/>
  <c r="P55" i="24"/>
  <c r="Q41" i="33"/>
  <c r="P39" i="35"/>
  <c r="O40" i="37"/>
  <c r="Q41" i="14"/>
  <c r="M28" i="9"/>
  <c r="Q45" i="7"/>
  <c r="M35" i="9"/>
  <c r="Q43" i="14"/>
  <c r="M47" i="9"/>
  <c r="P51" i="16"/>
  <c r="M48" i="9"/>
  <c r="Q44" i="7"/>
  <c r="Q51" i="16"/>
  <c r="M31" i="9"/>
  <c r="Q45" i="14"/>
  <c r="P49" i="16"/>
  <c r="P48" i="16"/>
  <c r="M52" i="9"/>
  <c r="Q38" i="16"/>
  <c r="P55" i="16"/>
  <c r="R51" i="18"/>
  <c r="Q52" i="24"/>
  <c r="P39" i="31"/>
  <c r="P40" i="33"/>
  <c r="O38" i="35"/>
  <c r="Q36" i="7"/>
  <c r="M37" i="9"/>
  <c r="Q46" i="16"/>
  <c r="P50" i="16"/>
  <c r="M30" i="9"/>
  <c r="M49" i="9"/>
  <c r="P61" i="9" s="1"/>
  <c r="M40" i="9"/>
  <c r="Q43" i="16"/>
  <c r="Q37" i="14"/>
  <c r="M43" i="9"/>
  <c r="P47" i="16"/>
  <c r="P46" i="16"/>
  <c r="Q42" i="14"/>
  <c r="P56" i="16"/>
  <c r="R50" i="18"/>
  <c r="O47" i="7"/>
  <c r="O38" i="31"/>
  <c r="O46" i="7"/>
  <c r="P61" i="11"/>
  <c r="P58" i="11"/>
  <c r="Q34" i="28"/>
  <c r="P46" i="7"/>
  <c r="P49" i="7"/>
  <c r="P36" i="7"/>
  <c r="P37" i="7"/>
  <c r="P42" i="7"/>
  <c r="O53" i="20"/>
  <c r="O65" i="9"/>
  <c r="O45" i="20"/>
  <c r="P31" i="37"/>
  <c r="O56" i="9"/>
  <c r="O35" i="14"/>
  <c r="O57" i="20"/>
  <c r="O41" i="20"/>
  <c r="O59" i="9"/>
  <c r="O63" i="9"/>
  <c r="O57" i="9"/>
  <c r="P45" i="7"/>
  <c r="O52" i="20"/>
  <c r="O51" i="20"/>
  <c r="O58" i="20"/>
  <c r="O48" i="20"/>
  <c r="P26" i="37"/>
  <c r="P32" i="37"/>
  <c r="O60" i="9"/>
  <c r="O34" i="14"/>
  <c r="P38" i="7"/>
  <c r="P41" i="7"/>
  <c r="M41" i="9"/>
  <c r="M69" i="9"/>
  <c r="M50" i="9"/>
  <c r="Q61" i="11"/>
  <c r="Q60" i="11"/>
  <c r="Q44" i="11"/>
  <c r="Q51" i="11"/>
  <c r="Q59" i="11"/>
  <c r="Q58" i="16"/>
  <c r="Q57" i="16"/>
  <c r="Q45" i="16"/>
  <c r="Q44" i="16"/>
  <c r="Q60" i="16"/>
  <c r="R29" i="18"/>
  <c r="R44" i="18"/>
  <c r="R45" i="18"/>
  <c r="O68" i="9"/>
  <c r="Q58" i="11"/>
  <c r="Q59" i="16"/>
  <c r="O47" i="14"/>
  <c r="O51" i="14"/>
  <c r="O50" i="14"/>
  <c r="O37" i="14"/>
  <c r="O45" i="14"/>
  <c r="O49" i="14"/>
  <c r="P48" i="7"/>
  <c r="P40" i="37"/>
  <c r="P39" i="37"/>
  <c r="P27" i="37"/>
  <c r="P36" i="37"/>
  <c r="P30" i="37"/>
  <c r="P42" i="37"/>
  <c r="O44" i="22"/>
  <c r="O63" i="20"/>
  <c r="O50" i="20"/>
  <c r="O49" i="9"/>
  <c r="O55" i="9"/>
  <c r="Q49" i="20"/>
  <c r="Q60" i="20"/>
  <c r="Q42" i="20"/>
  <c r="Q63" i="20"/>
  <c r="O39" i="20"/>
  <c r="Q41" i="20"/>
  <c r="O43" i="20"/>
  <c r="O46" i="20"/>
  <c r="O61" i="20"/>
  <c r="P23" i="37"/>
  <c r="P35" i="37"/>
  <c r="Q55" i="20"/>
  <c r="Q50" i="20"/>
  <c r="O43" i="14"/>
  <c r="O42" i="14"/>
  <c r="O39" i="14"/>
  <c r="P34" i="7"/>
  <c r="P39" i="7"/>
  <c r="Q39" i="7"/>
  <c r="Q47" i="7"/>
  <c r="Q46" i="7"/>
  <c r="Q35" i="7"/>
  <c r="Q34" i="7"/>
  <c r="O59" i="11"/>
  <c r="O58" i="11"/>
  <c r="O61" i="11"/>
  <c r="P38" i="14"/>
  <c r="P48" i="14"/>
  <c r="P51" i="14"/>
  <c r="P42" i="14"/>
  <c r="P39" i="14"/>
  <c r="P50" i="14"/>
  <c r="M46" i="18"/>
  <c r="M50" i="18"/>
  <c r="M29" i="18"/>
  <c r="P68" i="20"/>
  <c r="P67" i="20"/>
  <c r="P47" i="20"/>
  <c r="P66" i="20"/>
  <c r="P47" i="7"/>
  <c r="P49" i="14"/>
  <c r="P41" i="37"/>
  <c r="O62" i="9"/>
  <c r="O67" i="9"/>
  <c r="O66" i="9"/>
  <c r="O53" i="9"/>
  <c r="O69" i="9"/>
  <c r="O67" i="20"/>
  <c r="O66" i="20"/>
  <c r="O65" i="20"/>
  <c r="O68" i="20"/>
  <c r="O49" i="20"/>
  <c r="O54" i="9"/>
  <c r="O64" i="9"/>
  <c r="O46" i="14"/>
  <c r="O64" i="20"/>
  <c r="O44" i="20"/>
  <c r="P43" i="7"/>
  <c r="O54" i="20"/>
  <c r="P40" i="7"/>
  <c r="P44" i="7"/>
  <c r="Q65" i="20"/>
  <c r="Q68" i="20"/>
  <c r="Q40" i="20"/>
  <c r="Q58" i="20"/>
  <c r="Q59" i="20"/>
  <c r="Q67" i="20"/>
  <c r="Q56" i="22"/>
  <c r="Q57" i="22"/>
  <c r="Q35" i="22"/>
  <c r="Q38" i="22"/>
  <c r="Q51" i="22"/>
  <c r="Q46" i="22"/>
  <c r="Q53" i="22"/>
  <c r="Q58" i="22"/>
  <c r="O51" i="24"/>
  <c r="O53" i="24"/>
  <c r="O52" i="24"/>
  <c r="O45" i="24"/>
  <c r="O44" i="24"/>
  <c r="O55" i="24"/>
  <c r="Q49" i="7"/>
  <c r="O60" i="11"/>
  <c r="O48" i="14"/>
  <c r="P36" i="28"/>
  <c r="P35" i="28"/>
  <c r="M24" i="28"/>
  <c r="M28" i="28"/>
  <c r="P28" i="28"/>
  <c r="P23" i="28"/>
  <c r="P31" i="28"/>
  <c r="P34" i="28"/>
  <c r="R49" i="18"/>
  <c r="R36" i="18"/>
  <c r="P65" i="20"/>
  <c r="Q39" i="31"/>
  <c r="Q38" i="31"/>
  <c r="Q37" i="31"/>
  <c r="O42" i="33"/>
  <c r="O41" i="33"/>
  <c r="O40" i="33"/>
  <c r="O54" i="24"/>
  <c r="O51" i="18"/>
  <c r="Q53" i="24"/>
  <c r="P52" i="24"/>
  <c r="O37" i="28"/>
  <c r="Q35" i="28"/>
  <c r="P40" i="31"/>
  <c r="O39" i="31"/>
  <c r="Q42" i="33"/>
  <c r="P41" i="33"/>
  <c r="O39" i="35"/>
  <c r="P36" i="35"/>
  <c r="O41" i="37"/>
  <c r="Q39" i="37"/>
  <c r="O48" i="7"/>
  <c r="P59" i="11"/>
  <c r="Q48" i="14"/>
  <c r="P60" i="16"/>
  <c r="O59" i="16"/>
  <c r="O48" i="18"/>
  <c r="P35" i="35"/>
  <c r="L33" i="35"/>
  <c r="Q54" i="24"/>
  <c r="P53" i="24"/>
  <c r="Q36" i="28"/>
  <c r="O34" i="28"/>
  <c r="O40" i="31"/>
  <c r="P37" i="31"/>
  <c r="P42" i="33"/>
  <c r="Q39" i="33"/>
  <c r="P37" i="35"/>
  <c r="O36" i="35"/>
  <c r="P42" i="41"/>
  <c r="P44" i="41"/>
  <c r="P43" i="41"/>
  <c r="O42" i="37"/>
  <c r="Q40" i="37"/>
  <c r="O49" i="7"/>
  <c r="Q55" i="24"/>
  <c r="Q37" i="28"/>
  <c r="Q40" i="33"/>
  <c r="P39" i="33"/>
  <c r="O37" i="35"/>
  <c r="O39" i="37"/>
  <c r="P47" i="14"/>
  <c r="P45" i="14"/>
  <c r="P37" i="14"/>
  <c r="P63" i="20"/>
  <c r="P43" i="20"/>
  <c r="P42" i="20"/>
  <c r="P39" i="20"/>
  <c r="P61" i="20"/>
  <c r="P55" i="20"/>
  <c r="P51" i="20"/>
  <c r="P62" i="20"/>
  <c r="P56" i="20"/>
  <c r="P52" i="20"/>
  <c r="P49" i="20"/>
  <c r="P41" i="20"/>
  <c r="P44" i="20"/>
  <c r="P53" i="20"/>
  <c r="P58" i="20"/>
  <c r="P50" i="20"/>
  <c r="P46" i="14"/>
  <c r="P36" i="14"/>
  <c r="P35" i="14"/>
  <c r="P43" i="14"/>
  <c r="P41" i="14"/>
  <c r="P40" i="14"/>
  <c r="O38" i="7"/>
  <c r="P57" i="20"/>
  <c r="P44" i="14"/>
  <c r="P46" i="20"/>
  <c r="Q54" i="11"/>
  <c r="Q57" i="11"/>
  <c r="Q50" i="11"/>
  <c r="Q55" i="11"/>
  <c r="O38" i="33"/>
  <c r="O31" i="33"/>
  <c r="Q37" i="7"/>
  <c r="Q43" i="7"/>
  <c r="Q41" i="16"/>
  <c r="Q40" i="16"/>
  <c r="Q50" i="16"/>
  <c r="Q52" i="16"/>
  <c r="R40" i="18"/>
  <c r="R47" i="18"/>
  <c r="R38" i="18"/>
  <c r="R28" i="18"/>
  <c r="Q38" i="7"/>
  <c r="Q41" i="7"/>
  <c r="Q47" i="14"/>
  <c r="Q34" i="14"/>
  <c r="Q38" i="14"/>
  <c r="Q40" i="14"/>
  <c r="P35" i="31"/>
  <c r="P31" i="31"/>
  <c r="P38" i="37"/>
  <c r="P24" i="37"/>
  <c r="N63" i="9"/>
  <c r="N32" i="9"/>
  <c r="N40" i="9"/>
  <c r="P57" i="11"/>
  <c r="P45" i="11"/>
  <c r="P50" i="11"/>
  <c r="P48" i="11"/>
  <c r="Q39" i="22"/>
  <c r="Q33" i="22"/>
  <c r="Q40" i="22"/>
  <c r="Q48" i="22"/>
  <c r="Q45" i="22"/>
  <c r="Q54" i="22"/>
  <c r="L24" i="28"/>
  <c r="O28" i="28"/>
  <c r="Q36" i="31"/>
  <c r="Q32" i="31"/>
  <c r="O35" i="35"/>
  <c r="L38" i="41"/>
  <c r="L35" i="41"/>
  <c r="L39" i="41"/>
  <c r="L37" i="41"/>
  <c r="L41" i="41"/>
  <c r="L34" i="41"/>
  <c r="L36" i="41"/>
  <c r="L40" i="41"/>
  <c r="P37" i="41"/>
  <c r="P41" i="41"/>
  <c r="P36" i="41"/>
  <c r="P40" i="41"/>
  <c r="P39" i="41"/>
  <c r="P38" i="41"/>
  <c r="P34" i="41"/>
  <c r="P35" i="41"/>
  <c r="M28" i="18"/>
  <c r="P49" i="11"/>
  <c r="O44" i="14"/>
  <c r="P34" i="14"/>
  <c r="M30" i="18"/>
  <c r="M45" i="18"/>
  <c r="M34" i="18"/>
  <c r="P64" i="20"/>
  <c r="Q32" i="28"/>
  <c r="P36" i="31"/>
  <c r="Q29" i="31"/>
  <c r="P37" i="37"/>
  <c r="Q35" i="31"/>
  <c r="P54" i="9" l="1"/>
  <c r="P65" i="9"/>
  <c r="P60" i="9"/>
  <c r="P62" i="9"/>
  <c r="P50" i="9"/>
  <c r="O47" i="22"/>
  <c r="P64" i="9"/>
  <c r="O45" i="22"/>
  <c r="O50" i="22"/>
  <c r="Q52" i="9"/>
  <c r="Q63" i="9"/>
  <c r="Q56" i="9"/>
  <c r="O58" i="22"/>
  <c r="O56" i="22"/>
  <c r="Q29" i="35"/>
  <c r="Q58" i="9"/>
  <c r="Q50" i="9"/>
  <c r="P57" i="22"/>
  <c r="P44" i="22"/>
  <c r="Q49" i="9"/>
  <c r="Q65" i="9"/>
  <c r="Q28" i="35"/>
  <c r="Q60" i="9"/>
  <c r="Q38" i="35"/>
  <c r="Q53" i="9"/>
  <c r="Q30" i="35"/>
  <c r="Q66" i="9"/>
  <c r="Q34" i="35"/>
  <c r="Q61" i="9"/>
  <c r="Q62" i="9"/>
  <c r="Q36" i="35"/>
  <c r="Q67" i="9"/>
  <c r="Q39" i="35"/>
  <c r="Q33" i="35"/>
  <c r="Q35" i="35"/>
  <c r="Q31" i="35"/>
  <c r="Q57" i="9"/>
  <c r="Q51" i="9"/>
  <c r="Q54" i="9"/>
  <c r="Q68" i="9"/>
  <c r="Q69" i="9"/>
  <c r="Q32" i="35"/>
  <c r="Q64" i="9"/>
  <c r="Q37" i="35"/>
  <c r="Q55" i="9"/>
  <c r="O59" i="22"/>
  <c r="P63" i="9"/>
  <c r="P51" i="9"/>
  <c r="O53" i="22"/>
  <c r="Q36" i="18"/>
  <c r="O52" i="22"/>
  <c r="O54" i="22"/>
  <c r="Q27" i="35"/>
  <c r="Q51" i="18"/>
  <c r="P59" i="9"/>
  <c r="O57" i="22"/>
  <c r="O55" i="22"/>
  <c r="O49" i="22"/>
  <c r="O48" i="22"/>
  <c r="O46" i="22"/>
  <c r="O41" i="22"/>
  <c r="O43" i="22"/>
  <c r="P58" i="9"/>
  <c r="P49" i="9"/>
  <c r="P57" i="9"/>
  <c r="P55" i="9"/>
  <c r="P53" i="9"/>
  <c r="P69" i="9"/>
  <c r="P52" i="9"/>
  <c r="Q48" i="18"/>
  <c r="Q44" i="18"/>
  <c r="Q38" i="18"/>
  <c r="Q35" i="18"/>
  <c r="Q39" i="18"/>
  <c r="Q42" i="18"/>
  <c r="Q43" i="18"/>
  <c r="Q37" i="18"/>
  <c r="Q47" i="18"/>
  <c r="P50" i="22"/>
  <c r="P46" i="22"/>
  <c r="P47" i="22"/>
  <c r="P55" i="22"/>
  <c r="Q34" i="18"/>
  <c r="P41" i="22"/>
  <c r="P49" i="22"/>
  <c r="P58" i="22"/>
  <c r="P51" i="22"/>
  <c r="Q46" i="18"/>
  <c r="P67" i="9"/>
  <c r="P43" i="22"/>
  <c r="Q45" i="18"/>
  <c r="P54" i="22"/>
  <c r="P53" i="22"/>
  <c r="P56" i="22"/>
  <c r="Q49" i="18"/>
  <c r="P68" i="9"/>
  <c r="P52" i="22"/>
  <c r="Q41" i="18"/>
  <c r="P42" i="22"/>
  <c r="P45" i="22"/>
  <c r="P59" i="22"/>
  <c r="Q50" i="18"/>
  <c r="P56" i="9"/>
  <c r="P66" i="9"/>
  <c r="P50" i="18"/>
  <c r="P49" i="18"/>
  <c r="P48" i="18"/>
  <c r="P51" i="18"/>
  <c r="O42" i="41"/>
  <c r="O44" i="41"/>
  <c r="O43" i="41"/>
  <c r="O36" i="41"/>
  <c r="O40" i="41"/>
  <c r="O34" i="41"/>
  <c r="O35" i="41"/>
  <c r="O39" i="41"/>
  <c r="O37" i="41"/>
  <c r="O41" i="41"/>
  <c r="O38" i="41"/>
  <c r="P47" i="18"/>
  <c r="P46" i="18"/>
  <c r="P36" i="18"/>
  <c r="P35" i="18"/>
  <c r="P34" i="18"/>
  <c r="P43" i="18"/>
  <c r="P37" i="18"/>
  <c r="P38" i="18"/>
  <c r="P42" i="18"/>
  <c r="P44" i="18"/>
  <c r="P40" i="18"/>
  <c r="P39" i="18"/>
  <c r="P41" i="18"/>
  <c r="P45" i="18"/>
</calcChain>
</file>

<file path=xl/sharedStrings.xml><?xml version="1.0" encoding="utf-8"?>
<sst xmlns="http://schemas.openxmlformats.org/spreadsheetml/2006/main" count="4626" uniqueCount="274">
  <si>
    <t xml:space="preserve">PROYECTO CONSTRUCTIVO DE PLATAFORMA. NUEVA RED FERROVIARIA EN EL PAIS VASCO.                                                                          TERRITORIO HISTÓRICO DE GIPUZKOA. </t>
  </si>
  <si>
    <t>SEGUIMIENTO DE CONVERGENCIAS TOPOGRÁFICAS</t>
  </si>
  <si>
    <t>TRAMO: ZIZURKIL – ANDOAIN</t>
  </si>
  <si>
    <t>TÚNEL ADUNA. BOCA ZIZURKIL</t>
  </si>
  <si>
    <t>LITOLOGÍA :</t>
  </si>
  <si>
    <t>Calizas dolomíticas con niveles brechoides rellenos de arcilla.</t>
  </si>
  <si>
    <t>FECHA EXCAVACIÓN:</t>
  </si>
  <si>
    <t>RMR :</t>
  </si>
  <si>
    <t>FECHA COLOCACIÓN:</t>
  </si>
  <si>
    <t>MONTERA :</t>
  </si>
  <si>
    <t>DISTANCIA A BOCA:</t>
  </si>
  <si>
    <t>P.K. :</t>
  </si>
  <si>
    <t>SOSTENIMIENTO:</t>
  </si>
  <si>
    <t>ST-III (3)</t>
  </si>
  <si>
    <t>GRÁFICO CONVERGENCIA Y NIVELACIÓN DE CLAVE (mm) - TIEMPO (días)</t>
  </si>
  <si>
    <t>GRÁFICO CONVERGENCIA Y NIVELACIÓN DE CLAVE (mm) - DISTANCIA AL FRENTE DE EXCAVACIÓN (m)</t>
  </si>
  <si>
    <t>GRÁFICO VELOCIDAD DE CONVERGENCIA (mm/día) - TIEMPO (días)</t>
  </si>
  <si>
    <t>FECHA</t>
  </si>
  <si>
    <t>LECTURAS DE CAMPO</t>
  </si>
  <si>
    <t>DIFERENCIAS A ORIGEN (mm)</t>
  </si>
  <si>
    <t>VELOCIDAD DE CONVERGENCIA (mm/día)</t>
  </si>
  <si>
    <t>Observaciones</t>
  </si>
  <si>
    <t>AVANCE</t>
  </si>
  <si>
    <t>DESTROZA</t>
  </si>
  <si>
    <t>NIVELACIÓN CLAVE</t>
  </si>
  <si>
    <t>FRENTE</t>
  </si>
  <si>
    <t>H-1</t>
  </si>
  <si>
    <t>D-1</t>
  </si>
  <si>
    <t>D-2</t>
  </si>
  <si>
    <t>H-2</t>
  </si>
  <si>
    <t>D-3</t>
  </si>
  <si>
    <t>D-4</t>
  </si>
  <si>
    <t>PK</t>
  </si>
  <si>
    <t>DIST.</t>
  </si>
  <si>
    <t>NIVELACIÓN</t>
  </si>
  <si>
    <t>Para la destroza y se reanuda el avance</t>
  </si>
  <si>
    <t>Diana de clave gunitada.</t>
  </si>
  <si>
    <t>Calizas dolomíticas con juntas rellenas de arcilla.</t>
  </si>
  <si>
    <t>Alternancia de calizas dolomíticas y margas.</t>
  </si>
  <si>
    <t>Alternancia calizas y margas.</t>
  </si>
  <si>
    <t>58 - 63</t>
  </si>
  <si>
    <t>ST-II (1)</t>
  </si>
  <si>
    <t>Rota y repuesta convergencia de clave.</t>
  </si>
  <si>
    <t>Margocalizas.</t>
  </si>
  <si>
    <t>Reanudación destroza</t>
  </si>
  <si>
    <t>Margocalizas</t>
  </si>
  <si>
    <t>ST-I (2)</t>
  </si>
  <si>
    <t>Reanudación destroza.</t>
  </si>
  <si>
    <t>Convergencia D2 rota y repuesta.</t>
  </si>
  <si>
    <t>Convergencia D2 rota porque esta en el entronque.</t>
  </si>
  <si>
    <t>ST-IV (30cm gunita, sin bulones)</t>
  </si>
  <si>
    <t>Sección convergencias en Pk 0+533 rota y trasladada a Pk 0+538</t>
  </si>
  <si>
    <t>Margocalizas con alguna junta karstizicada rellena de arcillas.</t>
  </si>
  <si>
    <t>Golpe</t>
  </si>
  <si>
    <t>Margocalizas masivas (J3)</t>
  </si>
  <si>
    <t>ST-I (3)</t>
  </si>
  <si>
    <t>Golpe?</t>
  </si>
  <si>
    <t>Convergencias nuevas.</t>
  </si>
  <si>
    <t>Alternancia de limolitas, lutitas y areniscas.</t>
  </si>
  <si>
    <t>327 m</t>
  </si>
  <si>
    <t>ST- III (3)</t>
  </si>
  <si>
    <t>Covergencias horizontales rotas y repuestas.</t>
  </si>
  <si>
    <t>Diana D1 nueva</t>
  </si>
  <si>
    <t>Convergencias gunitadas</t>
  </si>
  <si>
    <t>324m</t>
  </si>
  <si>
    <t>Alternancia de limolitas, lutitas y areniscas (Su1-2)</t>
  </si>
  <si>
    <t>ST- III (2)</t>
  </si>
  <si>
    <t>Paralización avance.</t>
  </si>
  <si>
    <t>COTA</t>
  </si>
  <si>
    <t>RB10</t>
  </si>
  <si>
    <t>RB11</t>
  </si>
  <si>
    <t>RB12</t>
  </si>
  <si>
    <t>RB13</t>
  </si>
  <si>
    <t>RB14</t>
  </si>
  <si>
    <t>RB15</t>
  </si>
  <si>
    <t>RB16</t>
  </si>
  <si>
    <t>RB17</t>
  </si>
  <si>
    <t>RB18</t>
  </si>
  <si>
    <t>RB19</t>
  </si>
  <si>
    <t>RB20</t>
  </si>
  <si>
    <t>RB21</t>
  </si>
  <si>
    <t>RB22</t>
  </si>
  <si>
    <t>RB23</t>
  </si>
  <si>
    <t>REGLETA</t>
  </si>
  <si>
    <t>RB24</t>
  </si>
  <si>
    <t>RB25</t>
  </si>
  <si>
    <t>RB26</t>
  </si>
  <si>
    <t>RB27</t>
  </si>
  <si>
    <t>RB01</t>
  </si>
  <si>
    <t>RB02</t>
  </si>
  <si>
    <t>RB03</t>
  </si>
  <si>
    <t>RB04</t>
  </si>
  <si>
    <t>RB07</t>
  </si>
  <si>
    <t>RB08</t>
  </si>
  <si>
    <t>RA01</t>
  </si>
  <si>
    <t>RA02</t>
  </si>
  <si>
    <t>RA03</t>
  </si>
  <si>
    <t>RA04</t>
  </si>
  <si>
    <t>RA05</t>
  </si>
  <si>
    <t>RA06</t>
  </si>
  <si>
    <t>RA07</t>
  </si>
  <si>
    <t>RA08</t>
  </si>
  <si>
    <t>RA09</t>
  </si>
  <si>
    <t>RA10</t>
  </si>
  <si>
    <t>RB05</t>
  </si>
  <si>
    <t>RB06</t>
  </si>
  <si>
    <t>RB09</t>
  </si>
  <si>
    <t>RB66</t>
  </si>
  <si>
    <t>RB67</t>
  </si>
  <si>
    <t>RB68</t>
  </si>
  <si>
    <t>RB69</t>
  </si>
  <si>
    <t>RB70</t>
  </si>
  <si>
    <t>RB71</t>
  </si>
  <si>
    <t>RA13B</t>
  </si>
  <si>
    <t>RB38</t>
  </si>
  <si>
    <t>RB39</t>
  </si>
  <si>
    <t>RB40</t>
  </si>
  <si>
    <t>RB41</t>
  </si>
  <si>
    <t>RB42</t>
  </si>
  <si>
    <t>RB43</t>
  </si>
  <si>
    <t>RB44</t>
  </si>
  <si>
    <t>RB45</t>
  </si>
  <si>
    <t>RB46</t>
  </si>
  <si>
    <t>RB47</t>
  </si>
  <si>
    <t>RB48</t>
  </si>
  <si>
    <t>RB49</t>
  </si>
  <si>
    <t>RB50</t>
  </si>
  <si>
    <t>RB51</t>
  </si>
  <si>
    <t>RB52</t>
  </si>
  <si>
    <t>RB53</t>
  </si>
  <si>
    <t>RB54</t>
  </si>
  <si>
    <t>RB55</t>
  </si>
  <si>
    <t>RB56</t>
  </si>
  <si>
    <t>RB57</t>
  </si>
  <si>
    <t>RB58</t>
  </si>
  <si>
    <t>RB59</t>
  </si>
  <si>
    <t>RB60</t>
  </si>
  <si>
    <t>RB61</t>
  </si>
  <si>
    <t>RB62</t>
  </si>
  <si>
    <t>RB63</t>
  </si>
  <si>
    <t>RB64</t>
  </si>
  <si>
    <t>RB65</t>
  </si>
  <si>
    <t>RA11</t>
  </si>
  <si>
    <t>RA12</t>
  </si>
  <si>
    <t>RA13</t>
  </si>
  <si>
    <t>RA14</t>
  </si>
  <si>
    <t>RA16</t>
  </si>
  <si>
    <t>RA17</t>
  </si>
  <si>
    <t>RB28</t>
  </si>
  <si>
    <t>RB29</t>
  </si>
  <si>
    <t>RB30</t>
  </si>
  <si>
    <t>RB31</t>
  </si>
  <si>
    <t>RB32</t>
  </si>
  <si>
    <t>RB33</t>
  </si>
  <si>
    <t>RB34</t>
  </si>
  <si>
    <t>RB35</t>
  </si>
  <si>
    <t>RB36</t>
  </si>
  <si>
    <t>RB37</t>
  </si>
  <si>
    <t>RA53</t>
  </si>
  <si>
    <t>RA52</t>
  </si>
  <si>
    <t>RA51</t>
  </si>
  <si>
    <t>RA50</t>
  </si>
  <si>
    <t>RA49</t>
  </si>
  <si>
    <t>RA48</t>
  </si>
  <si>
    <t>RA47</t>
  </si>
  <si>
    <t>RA46</t>
  </si>
  <si>
    <t>RA45</t>
  </si>
  <si>
    <t>RA44</t>
  </si>
  <si>
    <t>RA43</t>
  </si>
  <si>
    <t>RA42</t>
  </si>
  <si>
    <t>RA17B</t>
  </si>
  <si>
    <t>RA18</t>
  </si>
  <si>
    <t>RA19</t>
  </si>
  <si>
    <t>RA20</t>
  </si>
  <si>
    <t>RA21</t>
  </si>
  <si>
    <t>RA22</t>
  </si>
  <si>
    <t>RA23</t>
  </si>
  <si>
    <t>RA13C</t>
  </si>
  <si>
    <t>RA13D</t>
  </si>
  <si>
    <t>RA13E</t>
  </si>
  <si>
    <t>RA24</t>
  </si>
  <si>
    <t>RA25</t>
  </si>
  <si>
    <t>RA26</t>
  </si>
  <si>
    <t>RA27</t>
  </si>
  <si>
    <t>RA29</t>
  </si>
  <si>
    <t>RA7</t>
  </si>
  <si>
    <t>RA8</t>
  </si>
  <si>
    <t>RA9</t>
  </si>
  <si>
    <t>RA30</t>
  </si>
  <si>
    <t>RA31</t>
  </si>
  <si>
    <t>RA32</t>
  </si>
  <si>
    <t>RA33</t>
  </si>
  <si>
    <t>RA34</t>
  </si>
  <si>
    <t>RA35</t>
  </si>
  <si>
    <t>RA37</t>
  </si>
  <si>
    <t>RA38</t>
  </si>
  <si>
    <t>RA39</t>
  </si>
  <si>
    <t>RA40</t>
  </si>
  <si>
    <t>RA41</t>
  </si>
  <si>
    <t>RP01</t>
  </si>
  <si>
    <t>RP02</t>
  </si>
  <si>
    <t>RP03</t>
  </si>
  <si>
    <t>RP04</t>
  </si>
  <si>
    <t>RP05</t>
  </si>
  <si>
    <t>RP06</t>
  </si>
  <si>
    <t>RP07</t>
  </si>
  <si>
    <t>RP08</t>
  </si>
  <si>
    <t>RP09</t>
  </si>
  <si>
    <t>RP10</t>
  </si>
  <si>
    <t>RG11</t>
  </si>
  <si>
    <t>RG12</t>
  </si>
  <si>
    <t>RG13</t>
  </si>
  <si>
    <t>RG14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</si>
  <si>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</si>
  <si>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</si>
  <si>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</si>
  <si>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</si>
  <si>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</si>
  <si>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</si>
  <si>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</si>
  <si>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</si>
  <si>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</si>
  <si>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</si>
  <si>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RO17</t>
  </si>
  <si>
    <t>RO18</t>
  </si>
  <si>
    <t>RO19</t>
  </si>
  <si>
    <t>RO20</t>
  </si>
  <si>
    <t>RO21</t>
  </si>
  <si>
    <t>RO22</t>
  </si>
  <si>
    <t>RO01</t>
  </si>
  <si>
    <t>RO02</t>
  </si>
  <si>
    <t>RO03</t>
  </si>
  <si>
    <t>RO04</t>
  </si>
  <si>
    <t>RO06</t>
  </si>
  <si>
    <t>RO07</t>
  </si>
  <si>
    <t>RO08</t>
  </si>
  <si>
    <t>RG15</t>
  </si>
  <si>
    <t>RG16</t>
  </si>
  <si>
    <t>RG17</t>
  </si>
  <si>
    <t>RG18</t>
  </si>
  <si>
    <t>RG19</t>
  </si>
  <si>
    <t>RG20</t>
  </si>
  <si>
    <t>RG21</t>
  </si>
  <si>
    <t>RG22</t>
  </si>
  <si>
    <t>RG23</t>
  </si>
  <si>
    <t>RG24</t>
  </si>
  <si>
    <t>RG25</t>
  </si>
  <si>
    <t>RG27</t>
  </si>
  <si>
    <t>RG28</t>
  </si>
  <si>
    <t>RG29</t>
  </si>
  <si>
    <t>RO09</t>
  </si>
  <si>
    <t>RO10</t>
  </si>
  <si>
    <t>RO11</t>
  </si>
  <si>
    <t>RO12</t>
  </si>
  <si>
    <t>RO13</t>
  </si>
  <si>
    <t>RO14</t>
  </si>
  <si>
    <t>RO15</t>
  </si>
  <si>
    <t>RO16</t>
  </si>
  <si>
    <t>RP1</t>
  </si>
  <si>
    <t>RP2</t>
  </si>
  <si>
    <t>RP3</t>
  </si>
  <si>
    <t>RP4</t>
  </si>
  <si>
    <t>RP5</t>
  </si>
  <si>
    <t>RP6</t>
  </si>
  <si>
    <t>RP7</t>
  </si>
  <si>
    <t>RP8</t>
  </si>
  <si>
    <t>RP9</t>
  </si>
  <si>
    <t>RB2</t>
  </si>
  <si>
    <t>RB3</t>
  </si>
  <si>
    <t>RB4</t>
  </si>
  <si>
    <t>RB5</t>
  </si>
  <si>
    <t>RB6</t>
  </si>
  <si>
    <t>RB7</t>
  </si>
  <si>
    <t>RB9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</si>
</sst>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;@"/>
    <numFmt numFmtId="165" formatCode="0.0\ &quot;m&quot;"/>
    <numFmt numFmtId="166" formatCode="0\+000.00"/>
    <numFmt numFmtId="167" formatCode="0.000"/>
    <numFmt numFmtId="168" formatCode="0.0"/>
    <numFmt numFmtId="169" formatCode="0.000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b/>
      <sz val="20"/>
      <color indexed="48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b/>
      <i/>
      <sz val="12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60"/>
      <name val="Arial"/>
      <family val="2"/>
    </font>
    <font>
      <sz val="10"/>
      <color indexed="10"/>
      <name val="Arial"/>
      <family val="2"/>
    </font>
    <font>
      <sz val="14"/>
      <color indexed="8"/>
      <name val="Calibri"/>
      <family val="2"/>
    </font>
    <font>
      <sz val="10"/>
      <color indexed="29"/>
      <name val="Arial"/>
      <family val="2"/>
    </font>
    <font>
      <sz val="8"/>
      <name val="Calibri"/>
      <family val="2"/>
    </font>
    <font>
      <sz val="12"/>
      <color indexed="8"/>
      <name val="Arial"/>
      <family val="2"/>
    </font>
    <font>
      <sz val="10"/>
      <color rgb="FFC00000"/>
      <name val="Arial"/>
      <family val="2"/>
    </font>
    <font>
      <sz val="10"/>
      <color theme="5" tint="0.59999389629810485"/>
      <name val="Arial"/>
      <family val="2"/>
    </font>
    <font>
      <sz val="10"/>
      <color theme="5" tint="0.39997558519241921"/>
      <name val="Arial"/>
      <family val="2"/>
    </font>
    <font>
      <sz val="10"/>
      <color theme="5" tint="0.79998168889431442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6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 applyProtection="1">
      <alignment horizontal="center" vertical="center"/>
      <protection locked="0"/>
    </xf>
    <xf numFmtId="167" fontId="14" fillId="0" borderId="14" xfId="0" applyNumberFormat="1" applyFont="1" applyBorder="1" applyAlignment="1">
      <alignment horizontal="center"/>
    </xf>
    <xf numFmtId="2" fontId="14" fillId="0" borderId="15" xfId="0" applyNumberFormat="1" applyFont="1" applyBorder="1" applyAlignment="1">
      <alignment horizontal="center" vertical="center"/>
    </xf>
    <xf numFmtId="168" fontId="2" fillId="3" borderId="16" xfId="0" applyNumberFormat="1" applyFont="1" applyFill="1" applyBorder="1" applyAlignment="1">
      <alignment horizontal="center" vertical="center"/>
    </xf>
    <xf numFmtId="167" fontId="15" fillId="3" borderId="13" xfId="0" applyNumberFormat="1" applyFont="1" applyFill="1" applyBorder="1" applyAlignment="1">
      <alignment vertical="center"/>
    </xf>
    <xf numFmtId="168" fontId="2" fillId="3" borderId="17" xfId="0" applyNumberFormat="1" applyFont="1" applyFill="1" applyBorder="1" applyAlignment="1">
      <alignment horizontal="center" vertical="center"/>
    </xf>
    <xf numFmtId="167" fontId="15" fillId="4" borderId="18" xfId="0" applyNumberFormat="1" applyFont="1" applyFill="1" applyBorder="1" applyAlignment="1">
      <alignment vertical="center"/>
    </xf>
    <xf numFmtId="167" fontId="15" fillId="4" borderId="19" xfId="0" applyNumberFormat="1" applyFont="1" applyFill="1" applyBorder="1" applyAlignment="1">
      <alignment vertical="center"/>
    </xf>
    <xf numFmtId="0" fontId="2" fillId="0" borderId="20" xfId="1" applyBorder="1" applyAlignment="1" applyProtection="1">
      <alignment horizontal="left" vertical="center" wrapText="1"/>
      <protection locked="0"/>
    </xf>
    <xf numFmtId="167" fontId="2" fillId="0" borderId="21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8" fontId="2" fillId="4" borderId="22" xfId="0" applyNumberFormat="1" applyFont="1" applyFill="1" applyBorder="1" applyAlignment="1">
      <alignment horizontal="center" vertical="center"/>
    </xf>
    <xf numFmtId="168" fontId="2" fillId="4" borderId="14" xfId="0" applyNumberFormat="1" applyFont="1" applyFill="1" applyBorder="1" applyAlignment="1">
      <alignment horizontal="center" vertical="center"/>
    </xf>
    <xf numFmtId="168" fontId="2" fillId="4" borderId="16" xfId="0" applyNumberFormat="1" applyFont="1" applyFill="1" applyBorder="1" applyAlignment="1">
      <alignment horizontal="center" vertical="center"/>
    </xf>
    <xf numFmtId="15" fontId="2" fillId="0" borderId="20" xfId="1" applyNumberFormat="1" applyBorder="1" applyAlignment="1" applyProtection="1">
      <alignment horizontal="left" vertical="center" wrapText="1"/>
      <protection locked="0"/>
    </xf>
    <xf numFmtId="164" fontId="2" fillId="0" borderId="20" xfId="1" applyNumberFormat="1" applyBorder="1" applyAlignment="1" applyProtection="1">
      <alignment horizontal="center" vertical="center"/>
      <protection locked="0"/>
    </xf>
    <xf numFmtId="166" fontId="14" fillId="0" borderId="14" xfId="0" applyNumberFormat="1" applyFont="1" applyBorder="1" applyAlignment="1" applyProtection="1">
      <alignment horizontal="center" vertical="center"/>
      <protection locked="0"/>
    </xf>
    <xf numFmtId="167" fontId="14" fillId="0" borderId="16" xfId="0" applyNumberFormat="1" applyFont="1" applyBorder="1" applyAlignment="1" applyProtection="1">
      <alignment horizontal="center" vertical="center"/>
      <protection locked="0"/>
    </xf>
    <xf numFmtId="164" fontId="2" fillId="0" borderId="23" xfId="1" applyNumberFormat="1" applyBorder="1" applyAlignment="1" applyProtection="1">
      <alignment horizontal="center" vertical="center"/>
      <protection locked="0"/>
    </xf>
    <xf numFmtId="167" fontId="2" fillId="0" borderId="24" xfId="0" applyNumberFormat="1" applyFont="1" applyBorder="1" applyAlignment="1">
      <alignment horizontal="center" vertical="center"/>
    </xf>
    <xf numFmtId="167" fontId="2" fillId="0" borderId="25" xfId="0" applyNumberFormat="1" applyFont="1" applyBorder="1" applyAlignment="1">
      <alignment horizontal="center" vertical="center"/>
    </xf>
    <xf numFmtId="167" fontId="14" fillId="0" borderId="25" xfId="0" applyNumberFormat="1" applyFont="1" applyBorder="1" applyAlignment="1" applyProtection="1">
      <alignment horizontal="center" vertical="center"/>
      <protection locked="0"/>
    </xf>
    <xf numFmtId="167" fontId="14" fillId="0" borderId="25" xfId="0" applyNumberFormat="1" applyFont="1" applyBorder="1" applyAlignment="1">
      <alignment horizontal="center"/>
    </xf>
    <xf numFmtId="166" fontId="14" fillId="0" borderId="25" xfId="0" applyNumberFormat="1" applyFont="1" applyBorder="1" applyAlignment="1" applyProtection="1">
      <alignment horizontal="center" vertical="center"/>
      <protection locked="0"/>
    </xf>
    <xf numFmtId="166" fontId="14" fillId="0" borderId="13" xfId="0" applyNumberFormat="1" applyFont="1" applyBorder="1" applyAlignment="1" applyProtection="1">
      <alignment horizontal="center" vertical="center"/>
      <protection locked="0"/>
    </xf>
    <xf numFmtId="167" fontId="14" fillId="0" borderId="13" xfId="0" applyNumberFormat="1" applyFont="1" applyBorder="1" applyAlignment="1">
      <alignment horizontal="center"/>
    </xf>
    <xf numFmtId="167" fontId="14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26" xfId="1" applyNumberFormat="1" applyBorder="1" applyAlignment="1" applyProtection="1">
      <alignment horizontal="center" vertical="center"/>
      <protection locked="0"/>
    </xf>
    <xf numFmtId="167" fontId="14" fillId="0" borderId="27" xfId="0" applyNumberFormat="1" applyFont="1" applyBorder="1" applyAlignment="1">
      <alignment horizontal="center"/>
    </xf>
    <xf numFmtId="167" fontId="16" fillId="0" borderId="14" xfId="0" applyNumberFormat="1" applyFont="1" applyBorder="1" applyAlignment="1">
      <alignment horizontal="center" vertical="center"/>
    </xf>
    <xf numFmtId="167" fontId="16" fillId="0" borderId="27" xfId="0" applyNumberFormat="1" applyFont="1" applyBorder="1" applyAlignment="1">
      <alignment horizontal="center"/>
    </xf>
    <xf numFmtId="167" fontId="2" fillId="0" borderId="14" xfId="0" applyNumberFormat="1" applyFont="1" applyBorder="1" applyAlignment="1" applyProtection="1">
      <alignment horizontal="center" vertical="center"/>
      <protection locked="0"/>
    </xf>
    <xf numFmtId="167" fontId="2" fillId="0" borderId="27" xfId="0" applyNumberFormat="1" applyFont="1" applyBorder="1" applyAlignment="1">
      <alignment horizontal="center"/>
    </xf>
    <xf numFmtId="0" fontId="16" fillId="0" borderId="20" xfId="1" applyFont="1" applyBorder="1" applyAlignment="1" applyProtection="1">
      <alignment horizontal="left" vertical="center" wrapText="1"/>
      <protection locked="0"/>
    </xf>
    <xf numFmtId="0" fontId="11" fillId="2" borderId="28" xfId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167" fontId="16" fillId="0" borderId="14" xfId="0" applyNumberFormat="1" applyFont="1" applyBorder="1" applyAlignment="1">
      <alignment horizontal="center"/>
    </xf>
    <xf numFmtId="2" fontId="14" fillId="0" borderId="28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167" fontId="14" fillId="0" borderId="25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 applyAlignment="1" applyProtection="1">
      <alignment horizontal="center" vertical="center"/>
      <protection locked="0"/>
    </xf>
    <xf numFmtId="2" fontId="2" fillId="0" borderId="15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 applyProtection="1">
      <alignment horizontal="center" vertical="center"/>
      <protection locked="0"/>
    </xf>
    <xf numFmtId="167" fontId="2" fillId="0" borderId="13" xfId="0" applyNumberFormat="1" applyFont="1" applyBorder="1" applyAlignment="1">
      <alignment horizontal="center"/>
    </xf>
    <xf numFmtId="166" fontId="2" fillId="0" borderId="13" xfId="0" applyNumberFormat="1" applyFont="1" applyBorder="1" applyAlignment="1" applyProtection="1">
      <alignment horizontal="center" vertical="center"/>
      <protection locked="0"/>
    </xf>
    <xf numFmtId="2" fontId="2" fillId="0" borderId="29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/>
    </xf>
    <xf numFmtId="167" fontId="17" fillId="0" borderId="14" xfId="0" applyNumberFormat="1" applyFont="1" applyBorder="1" applyAlignment="1">
      <alignment horizontal="center"/>
    </xf>
    <xf numFmtId="166" fontId="2" fillId="0" borderId="25" xfId="0" applyNumberFormat="1" applyFont="1" applyBorder="1" applyAlignment="1" applyProtection="1">
      <alignment horizontal="center" vertical="center"/>
      <protection locked="0"/>
    </xf>
    <xf numFmtId="168" fontId="22" fillId="3" borderId="16" xfId="0" applyNumberFormat="1" applyFont="1" applyFill="1" applyBorder="1" applyAlignment="1">
      <alignment horizontal="center" vertical="center"/>
    </xf>
    <xf numFmtId="167" fontId="22" fillId="0" borderId="14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>
      <alignment horizontal="center"/>
    </xf>
    <xf numFmtId="167" fontId="23" fillId="0" borderId="21" xfId="0" applyNumberFormat="1" applyFont="1" applyBorder="1" applyAlignment="1">
      <alignment horizontal="center" vertical="center"/>
    </xf>
    <xf numFmtId="167" fontId="22" fillId="0" borderId="21" xfId="0" applyNumberFormat="1" applyFont="1" applyBorder="1" applyAlignment="1">
      <alignment horizontal="center" vertical="center"/>
    </xf>
    <xf numFmtId="167" fontId="24" fillId="0" borderId="14" xfId="0" applyNumberFormat="1" applyFont="1" applyBorder="1" applyAlignment="1" applyProtection="1">
      <alignment horizontal="center" vertical="center"/>
      <protection locked="0"/>
    </xf>
    <xf numFmtId="167" fontId="24" fillId="0" borderId="14" xfId="0" applyNumberFormat="1" applyFont="1" applyBorder="1" applyAlignment="1">
      <alignment horizontal="center" vertical="center"/>
    </xf>
    <xf numFmtId="167" fontId="24" fillId="0" borderId="21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 applyProtection="1">
      <alignment horizontal="center" vertical="center"/>
      <protection locked="0"/>
    </xf>
    <xf numFmtId="167" fontId="25" fillId="0" borderId="14" xfId="0" applyNumberFormat="1" applyFont="1" applyBorder="1" applyAlignment="1">
      <alignment horizontal="center"/>
    </xf>
    <xf numFmtId="167" fontId="16" fillId="0" borderId="14" xfId="0" applyNumberFormat="1" applyFont="1" applyBorder="1" applyAlignment="1" applyProtection="1">
      <alignment horizontal="center" vertical="center"/>
      <protection locked="0"/>
    </xf>
    <xf numFmtId="168" fontId="16" fillId="3" borderId="16" xfId="0" applyNumberFormat="1" applyFont="1" applyFill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9" fontId="27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28" fillId="6" borderId="0" xfId="0" applyFont="1" applyFill="1" applyAlignment="1">
      <alignment horizontal="center" vertical="center"/>
    </xf>
    <xf numFmtId="169" fontId="28" fillId="6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/>
    </xf>
    <xf numFmtId="169" fontId="29" fillId="0" borderId="0" xfId="0" applyNumberFormat="1" applyFont="1" applyAlignment="1">
      <alignment horizontal="center"/>
    </xf>
    <xf numFmtId="0" fontId="29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9" fontId="5" fillId="0" borderId="0" xfId="0" applyNumberFormat="1" applyFont="1" applyAlignment="1">
      <alignment horizontal="center"/>
    </xf>
    <xf numFmtId="169" fontId="0" fillId="0" borderId="0" xfId="0" applyNumberFormat="1"/>
    <xf numFmtId="14" fontId="27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4" fontId="27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9" fontId="0" fillId="0" borderId="0" xfId="0" applyNumberForma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4" fillId="5" borderId="1" xfId="1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5" fillId="5" borderId="32" xfId="0" applyFont="1" applyFill="1" applyBorder="1"/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4" borderId="30" xfId="1" applyFont="1" applyFill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7" fillId="5" borderId="33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30" xfId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164" fontId="9" fillId="0" borderId="2" xfId="0" applyNumberFormat="1" applyFont="1" applyBorder="1" applyAlignment="1" applyProtection="1">
      <alignment horizontal="center" vertical="center"/>
      <protection locked="0"/>
    </xf>
    <xf numFmtId="164" fontId="9" fillId="0" borderId="3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166" fontId="9" fillId="0" borderId="5" xfId="0" applyNumberFormat="1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164" fontId="9" fillId="0" borderId="30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right" vertical="center"/>
    </xf>
    <xf numFmtId="0" fontId="11" fillId="2" borderId="23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2" borderId="36" xfId="1" applyFont="1" applyFill="1" applyBorder="1" applyAlignment="1">
      <alignment horizontal="center" vertical="center"/>
    </xf>
    <xf numFmtId="0" fontId="11" fillId="2" borderId="40" xfId="1" applyFont="1" applyFill="1" applyBorder="1" applyAlignment="1">
      <alignment horizontal="center" vertical="center"/>
    </xf>
    <xf numFmtId="0" fontId="11" fillId="2" borderId="42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/>
    </xf>
    <xf numFmtId="0" fontId="12" fillId="2" borderId="38" xfId="1" applyFont="1" applyFill="1" applyBorder="1" applyAlignment="1">
      <alignment horizontal="center" vertical="center"/>
    </xf>
    <xf numFmtId="0" fontId="12" fillId="2" borderId="39" xfId="1" applyFont="1" applyFill="1" applyBorder="1" applyAlignment="1">
      <alignment horizontal="center" vertical="center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30" xfId="0" applyFon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 applyProtection="1">
      <alignment horizontal="center"/>
      <protection locked="0"/>
    </xf>
    <xf numFmtId="0" fontId="1" fillId="4" borderId="31" xfId="0" applyFont="1" applyFill="1" applyBorder="1" applyAlignment="1" applyProtection="1">
      <alignment horizontal="center"/>
      <protection locked="0"/>
    </xf>
    <xf numFmtId="0" fontId="13" fillId="2" borderId="23" xfId="1" applyFont="1" applyFill="1" applyBorder="1" applyAlignment="1">
      <alignment horizontal="center" vertical="center"/>
    </xf>
    <xf numFmtId="0" fontId="13" fillId="2" borderId="33" xfId="1" applyFont="1" applyFill="1" applyBorder="1" applyAlignment="1">
      <alignment horizontal="center" vertical="center"/>
    </xf>
    <xf numFmtId="0" fontId="13" fillId="2" borderId="34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left" vertical="center"/>
      <protection locked="0"/>
    </xf>
    <xf numFmtId="0" fontId="1" fillId="4" borderId="5" xfId="0" applyFont="1" applyFill="1" applyBorder="1" applyAlignment="1" applyProtection="1">
      <alignment horizontal="left" vertical="center"/>
      <protection locked="0"/>
    </xf>
    <xf numFmtId="0" fontId="1" fillId="4" borderId="31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4" fillId="5" borderId="2" xfId="1" applyFont="1" applyFill="1" applyBorder="1" applyAlignment="1">
      <alignment horizontal="center" vertical="center" wrapText="1"/>
    </xf>
    <xf numFmtId="0" fontId="4" fillId="5" borderId="32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7" fillId="5" borderId="3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31" xfId="1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1" fillId="2" borderId="34" xfId="1" applyFont="1" applyFill="1" applyBorder="1" applyAlignment="1">
      <alignment horizontal="center" vertical="center"/>
    </xf>
    <xf numFmtId="0" fontId="11" fillId="2" borderId="4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650BF"/>
      <color rgb="FFC4F2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pageSetUpPr fitToPage="1"/>
  </sheetPr>
  <dimension ref="A1:AI153"/>
  <sheetViews>
    <sheetView showGridLines="0" topLeftCell="B1" zoomScale="75" zoomScaleNormal="75" zoomScaleSheetLayoutView="40" zoomScalePageLayoutView="40" workbookViewId="0">
      <pane ySplit="8" topLeftCell="A42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TZ-6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5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41624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41625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28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39">
        <f>J8-258</f>
        <v>51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309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13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4">
        <v>41625</v>
      </c>
      <c r="C16" s="35">
        <v>12.718999999999999</v>
      </c>
      <c r="D16" s="36">
        <v>7.8440000000000003</v>
      </c>
      <c r="E16" s="36">
        <v>7.8570000000000002</v>
      </c>
      <c r="F16" s="37"/>
      <c r="G16" s="37"/>
      <c r="H16" s="37"/>
      <c r="I16" s="38">
        <v>101.258</v>
      </c>
      <c r="J16" s="39">
        <v>314</v>
      </c>
      <c r="K16" s="18">
        <f t="shared" ref="K16:K29" si="0">IF(ISBLANK(J16),"",(J16-$J$8))</f>
        <v>5</v>
      </c>
      <c r="L16" s="19">
        <f t="shared" ref="L16:L47" si="1">IF(ISBLANK(C16),"",(C16-C$16)*1000)</f>
        <v>0</v>
      </c>
      <c r="M16" s="19">
        <f t="shared" ref="M16:M47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41626</v>
      </c>
      <c r="C17" s="25">
        <v>12.715999999999999</v>
      </c>
      <c r="D17" s="26">
        <v>7.8419999999999996</v>
      </c>
      <c r="E17" s="26">
        <v>7.8570000000000002</v>
      </c>
      <c r="F17" s="16"/>
      <c r="G17" s="16"/>
      <c r="H17" s="16"/>
      <c r="I17" s="17">
        <v>101.256</v>
      </c>
      <c r="J17" s="32">
        <v>319.5</v>
      </c>
      <c r="K17" s="18">
        <f t="shared" si="0"/>
        <v>10.5</v>
      </c>
      <c r="L17" s="19">
        <f t="shared" si="1"/>
        <v>-3.0000000000001137</v>
      </c>
      <c r="M17" s="19">
        <f t="shared" si="2"/>
        <v>-2.0000000000006679</v>
      </c>
      <c r="N17" s="19">
        <f t="shared" si="3"/>
        <v>0</v>
      </c>
      <c r="O17" s="19" t="str">
        <f t="shared" ref="O17:O33" si="5">IF(ISBLANK(F17),"",(F17-F$16)*1000)</f>
        <v/>
      </c>
      <c r="P17" s="19" t="str">
        <f t="shared" ref="P17:P33" si="6">IF(ISBLANK(G17),"",(G17-G$16)*1000)</f>
        <v/>
      </c>
      <c r="Q17" s="19" t="str">
        <f t="shared" ref="Q17:Q33" si="7">IF(ISBLANK(H17),"",(H17-H$16)*1000)</f>
        <v/>
      </c>
      <c r="R17" s="19">
        <f t="shared" si="4"/>
        <v>-1.9999999999953388</v>
      </c>
      <c r="S17" s="27">
        <f t="shared" ref="S17:S47" si="8">IF(C17="","",((C17-C16)*1000)/($B17-$B16))</f>
        <v>-3.0000000000001137</v>
      </c>
      <c r="T17" s="28">
        <f t="shared" ref="T17:T47" si="9">IF(D17="","",((D17-D16)*1000)/($B17-$B16))</f>
        <v>-2.0000000000006679</v>
      </c>
      <c r="U17" s="28">
        <f t="shared" ref="U17:U47" si="10">IF(E17="","",((E17-E16)*1000)/($B17-$B16))</f>
        <v>0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41627</v>
      </c>
      <c r="C18" s="25">
        <v>12.715999999999999</v>
      </c>
      <c r="D18" s="26">
        <v>7.8410000000000002</v>
      </c>
      <c r="E18" s="26">
        <v>7.8550000000000004</v>
      </c>
      <c r="F18" s="16"/>
      <c r="G18" s="16"/>
      <c r="H18" s="16"/>
      <c r="I18" s="17">
        <v>101.251</v>
      </c>
      <c r="J18" s="32">
        <v>324.5</v>
      </c>
      <c r="K18" s="18">
        <f t="shared" si="0"/>
        <v>15.5</v>
      </c>
      <c r="L18" s="19">
        <f t="shared" si="1"/>
        <v>-3.0000000000001137</v>
      </c>
      <c r="M18" s="19">
        <f t="shared" si="2"/>
        <v>-3.0000000000001137</v>
      </c>
      <c r="N18" s="19">
        <f t="shared" si="3"/>
        <v>-1.9999999999997797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-6.9999999999907914</v>
      </c>
      <c r="S18" s="27">
        <f t="shared" si="8"/>
        <v>0</v>
      </c>
      <c r="T18" s="28">
        <f t="shared" si="9"/>
        <v>-0.99999999999944578</v>
      </c>
      <c r="U18" s="28">
        <f t="shared" si="10"/>
        <v>-1.9999999999997797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41628</v>
      </c>
      <c r="C19" s="25">
        <v>12.715999999999999</v>
      </c>
      <c r="D19" s="26">
        <v>7.8410000000000002</v>
      </c>
      <c r="E19" s="26">
        <v>7.8550000000000004</v>
      </c>
      <c r="F19" s="16"/>
      <c r="G19" s="16"/>
      <c r="H19" s="16"/>
      <c r="I19" s="17">
        <v>101.251</v>
      </c>
      <c r="J19" s="32">
        <v>329</v>
      </c>
      <c r="K19" s="18">
        <f t="shared" si="0"/>
        <v>20</v>
      </c>
      <c r="L19" s="19">
        <f t="shared" si="1"/>
        <v>-3.0000000000001137</v>
      </c>
      <c r="M19" s="19">
        <f t="shared" si="2"/>
        <v>-3.0000000000001137</v>
      </c>
      <c r="N19" s="19">
        <f t="shared" si="3"/>
        <v>-1.9999999999997797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-6.9999999999907914</v>
      </c>
      <c r="S19" s="27">
        <f t="shared" si="8"/>
        <v>0</v>
      </c>
      <c r="T19" s="28">
        <f t="shared" si="9"/>
        <v>0</v>
      </c>
      <c r="U19" s="28">
        <f t="shared" si="10"/>
        <v>0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41635</v>
      </c>
      <c r="C20" s="25">
        <v>12.715</v>
      </c>
      <c r="D20" s="26">
        <v>7.84</v>
      </c>
      <c r="E20" s="26">
        <v>7.8520000000000003</v>
      </c>
      <c r="F20" s="16"/>
      <c r="G20" s="16"/>
      <c r="H20" s="16"/>
      <c r="I20" s="17">
        <v>101.249</v>
      </c>
      <c r="J20" s="32">
        <v>332</v>
      </c>
      <c r="K20" s="18">
        <f t="shared" si="0"/>
        <v>23</v>
      </c>
      <c r="L20" s="19">
        <f t="shared" si="1"/>
        <v>-3.9999999999995595</v>
      </c>
      <c r="M20" s="19">
        <f t="shared" si="2"/>
        <v>-4.0000000000004476</v>
      </c>
      <c r="N20" s="19">
        <f t="shared" si="3"/>
        <v>-4.9999999999998934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-9.0000000000003411</v>
      </c>
      <c r="S20" s="27">
        <f t="shared" si="8"/>
        <v>-0.14285714285706369</v>
      </c>
      <c r="T20" s="28">
        <f t="shared" si="9"/>
        <v>-0.14285714285719056</v>
      </c>
      <c r="U20" s="28">
        <f t="shared" si="10"/>
        <v>-0.42857142857144481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41641</v>
      </c>
      <c r="C21" s="25">
        <v>12.717000000000001</v>
      </c>
      <c r="D21" s="26">
        <v>7.8419999999999996</v>
      </c>
      <c r="E21" s="26">
        <v>7.8520000000000003</v>
      </c>
      <c r="F21" s="16"/>
      <c r="G21" s="16"/>
      <c r="H21" s="16"/>
      <c r="I21" s="17">
        <v>101.25</v>
      </c>
      <c r="J21" s="32">
        <v>332</v>
      </c>
      <c r="K21" s="18">
        <f t="shared" si="0"/>
        <v>23</v>
      </c>
      <c r="L21" s="19">
        <f t="shared" si="1"/>
        <v>-1.9999999999988916</v>
      </c>
      <c r="M21" s="19">
        <f t="shared" si="2"/>
        <v>-2.0000000000006679</v>
      </c>
      <c r="N21" s="19">
        <f t="shared" si="3"/>
        <v>-4.9999999999998934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-7.9999999999955662</v>
      </c>
      <c r="S21" s="27">
        <f t="shared" si="8"/>
        <v>0.33333333333344467</v>
      </c>
      <c r="T21" s="28">
        <f t="shared" si="9"/>
        <v>0.33333333333329662</v>
      </c>
      <c r="U21" s="28">
        <f t="shared" si="10"/>
        <v>0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41646</v>
      </c>
      <c r="C22" s="25">
        <v>12.717000000000001</v>
      </c>
      <c r="D22" s="26">
        <v>7.8419999999999996</v>
      </c>
      <c r="E22" s="26">
        <v>7.8520000000000003</v>
      </c>
      <c r="F22" s="16"/>
      <c r="G22" s="16"/>
      <c r="H22" s="16"/>
      <c r="I22" s="17">
        <v>101.249</v>
      </c>
      <c r="J22" s="32">
        <v>332</v>
      </c>
      <c r="K22" s="18">
        <f t="shared" si="0"/>
        <v>23</v>
      </c>
      <c r="L22" s="19">
        <f t="shared" si="1"/>
        <v>-1.9999999999988916</v>
      </c>
      <c r="M22" s="19">
        <f t="shared" si="2"/>
        <v>-2.0000000000006679</v>
      </c>
      <c r="N22" s="19">
        <f t="shared" si="3"/>
        <v>-4.9999999999998934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-9.0000000000003411</v>
      </c>
      <c r="S22" s="27">
        <f t="shared" si="8"/>
        <v>0</v>
      </c>
      <c r="T22" s="28">
        <f t="shared" si="9"/>
        <v>0</v>
      </c>
      <c r="U22" s="28">
        <f t="shared" si="10"/>
        <v>0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41647</v>
      </c>
      <c r="C23" s="25">
        <v>12.715999999999999</v>
      </c>
      <c r="D23" s="26">
        <v>7.8419999999999996</v>
      </c>
      <c r="E23" s="26">
        <v>7.8520000000000003</v>
      </c>
      <c r="F23" s="16"/>
      <c r="G23" s="16"/>
      <c r="H23" s="16"/>
      <c r="I23" s="17">
        <v>101.25</v>
      </c>
      <c r="J23" s="32">
        <v>336</v>
      </c>
      <c r="K23" s="18">
        <f t="shared" si="0"/>
        <v>27</v>
      </c>
      <c r="L23" s="19">
        <f t="shared" si="1"/>
        <v>-3.0000000000001137</v>
      </c>
      <c r="M23" s="19">
        <f t="shared" si="2"/>
        <v>-2.0000000000006679</v>
      </c>
      <c r="N23" s="19">
        <f t="shared" si="3"/>
        <v>-4.9999999999998934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-7.9999999999955662</v>
      </c>
      <c r="S23" s="27">
        <f t="shared" si="8"/>
        <v>-1.0000000000012221</v>
      </c>
      <c r="T23" s="28">
        <f t="shared" si="9"/>
        <v>0</v>
      </c>
      <c r="U23" s="28">
        <f t="shared" si="10"/>
        <v>0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41648</v>
      </c>
      <c r="C24" s="25">
        <v>12.712999999999999</v>
      </c>
      <c r="D24" s="26">
        <v>7.8390000000000004</v>
      </c>
      <c r="E24" s="26">
        <v>7.8529999999999998</v>
      </c>
      <c r="F24" s="16"/>
      <c r="G24" s="16"/>
      <c r="H24" s="16"/>
      <c r="I24" s="17">
        <v>101.25</v>
      </c>
      <c r="J24" s="32">
        <v>340</v>
      </c>
      <c r="K24" s="18">
        <f t="shared" si="0"/>
        <v>31</v>
      </c>
      <c r="L24" s="19">
        <f t="shared" si="1"/>
        <v>-6.0000000000002274</v>
      </c>
      <c r="M24" s="19">
        <f t="shared" si="2"/>
        <v>-4.9999999999998934</v>
      </c>
      <c r="N24" s="19">
        <f t="shared" si="3"/>
        <v>-4.0000000000004476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-7.9999999999955662</v>
      </c>
      <c r="S24" s="27">
        <f t="shared" si="8"/>
        <v>-3.0000000000001137</v>
      </c>
      <c r="T24" s="28">
        <f t="shared" si="9"/>
        <v>-2.9999999999992255</v>
      </c>
      <c r="U24" s="28">
        <f t="shared" si="10"/>
        <v>0.99999999999944578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41649</v>
      </c>
      <c r="C25" s="25">
        <v>12.712999999999999</v>
      </c>
      <c r="D25" s="26">
        <v>7.84</v>
      </c>
      <c r="E25" s="26">
        <v>7.8529999999999998</v>
      </c>
      <c r="F25" s="16"/>
      <c r="G25" s="16"/>
      <c r="H25" s="16"/>
      <c r="I25" s="17">
        <v>101.25</v>
      </c>
      <c r="J25" s="32">
        <v>348</v>
      </c>
      <c r="K25" s="18">
        <f t="shared" si="0"/>
        <v>39</v>
      </c>
      <c r="L25" s="19">
        <f t="shared" si="1"/>
        <v>-6.0000000000002274</v>
      </c>
      <c r="M25" s="19">
        <f t="shared" si="2"/>
        <v>-4.0000000000004476</v>
      </c>
      <c r="N25" s="19">
        <f t="shared" si="3"/>
        <v>-4.0000000000004476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-7.9999999999955662</v>
      </c>
      <c r="S25" s="27">
        <f t="shared" si="8"/>
        <v>0</v>
      </c>
      <c r="T25" s="28">
        <f t="shared" si="9"/>
        <v>0.99999999999944578</v>
      </c>
      <c r="U25" s="28">
        <f t="shared" si="10"/>
        <v>0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41652</v>
      </c>
      <c r="C26" s="25">
        <v>12.712</v>
      </c>
      <c r="D26" s="26">
        <v>7.8390000000000004</v>
      </c>
      <c r="E26" s="26">
        <v>7.8520000000000003</v>
      </c>
      <c r="F26" s="16"/>
      <c r="G26" s="16"/>
      <c r="H26" s="16"/>
      <c r="I26" s="17">
        <v>101.249</v>
      </c>
      <c r="J26" s="32">
        <v>353</v>
      </c>
      <c r="K26" s="18">
        <f t="shared" si="0"/>
        <v>44</v>
      </c>
      <c r="L26" s="19">
        <f t="shared" si="1"/>
        <v>-6.9999999999996732</v>
      </c>
      <c r="M26" s="19">
        <f t="shared" si="2"/>
        <v>-4.9999999999998934</v>
      </c>
      <c r="N26" s="19">
        <f t="shared" si="3"/>
        <v>-4.9999999999998934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-9.0000000000003411</v>
      </c>
      <c r="S26" s="27">
        <f t="shared" si="8"/>
        <v>-0.33333333333314857</v>
      </c>
      <c r="T26" s="28">
        <f t="shared" si="9"/>
        <v>-0.33333333333314857</v>
      </c>
      <c r="U26" s="28">
        <f t="shared" si="10"/>
        <v>-0.33333333333314857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41653</v>
      </c>
      <c r="C27" s="25">
        <v>12.712</v>
      </c>
      <c r="D27" s="26">
        <v>7.8390000000000004</v>
      </c>
      <c r="E27" s="26">
        <v>7.8520000000000003</v>
      </c>
      <c r="F27" s="16"/>
      <c r="G27" s="16"/>
      <c r="H27" s="16"/>
      <c r="I27" s="17">
        <v>101.249</v>
      </c>
      <c r="J27" s="32">
        <v>359.5</v>
      </c>
      <c r="K27" s="18">
        <f t="shared" si="0"/>
        <v>50.5</v>
      </c>
      <c r="L27" s="19">
        <f t="shared" si="1"/>
        <v>-6.9999999999996732</v>
      </c>
      <c r="M27" s="19">
        <f t="shared" si="2"/>
        <v>-4.9999999999998934</v>
      </c>
      <c r="N27" s="19">
        <f t="shared" si="3"/>
        <v>-4.9999999999998934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-9.0000000000003411</v>
      </c>
      <c r="S27" s="27">
        <f t="shared" si="8"/>
        <v>0</v>
      </c>
      <c r="T27" s="28">
        <f t="shared" si="9"/>
        <v>0</v>
      </c>
      <c r="U27" s="28">
        <f t="shared" si="10"/>
        <v>0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41654</v>
      </c>
      <c r="C28" s="25">
        <v>12.711</v>
      </c>
      <c r="D28" s="26">
        <v>7.8380000000000001</v>
      </c>
      <c r="E28" s="26">
        <v>7.8520000000000003</v>
      </c>
      <c r="F28" s="16"/>
      <c r="G28" s="16"/>
      <c r="H28" s="16"/>
      <c r="I28" s="17">
        <v>101.249</v>
      </c>
      <c r="J28" s="32">
        <v>366</v>
      </c>
      <c r="K28" s="18">
        <f t="shared" si="0"/>
        <v>57</v>
      </c>
      <c r="L28" s="19">
        <f t="shared" si="1"/>
        <v>-7.9999999999991189</v>
      </c>
      <c r="M28" s="19">
        <f t="shared" si="2"/>
        <v>-6.0000000000002274</v>
      </c>
      <c r="N28" s="19">
        <f t="shared" si="3"/>
        <v>-4.9999999999998934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 t="shared" si="4"/>
        <v>-9.0000000000003411</v>
      </c>
      <c r="S28" s="27">
        <f t="shared" si="8"/>
        <v>-0.99999999999944578</v>
      </c>
      <c r="T28" s="28">
        <f t="shared" si="9"/>
        <v>-1.000000000000334</v>
      </c>
      <c r="U28" s="28">
        <f t="shared" si="10"/>
        <v>0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24"/>
    </row>
    <row r="29" spans="2:25" ht="15" customHeight="1" x14ac:dyDescent="0.2">
      <c r="B29" s="31">
        <v>41655</v>
      </c>
      <c r="C29" s="25">
        <v>12.711</v>
      </c>
      <c r="D29" s="26">
        <v>7.8380000000000001</v>
      </c>
      <c r="E29" s="26">
        <v>7.8520000000000003</v>
      </c>
      <c r="F29" s="16"/>
      <c r="G29" s="16"/>
      <c r="H29" s="16"/>
      <c r="I29" s="17">
        <v>101.25</v>
      </c>
      <c r="J29" s="32">
        <v>373</v>
      </c>
      <c r="K29" s="18">
        <f t="shared" si="0"/>
        <v>64</v>
      </c>
      <c r="L29" s="19">
        <f t="shared" si="1"/>
        <v>-7.9999999999991189</v>
      </c>
      <c r="M29" s="19">
        <f t="shared" si="2"/>
        <v>-6.0000000000002274</v>
      </c>
      <c r="N29" s="19">
        <f t="shared" si="3"/>
        <v>-4.9999999999998934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si="4"/>
        <v>-7.9999999999955662</v>
      </c>
      <c r="S29" s="27">
        <f t="shared" si="8"/>
        <v>0</v>
      </c>
      <c r="T29" s="28">
        <f t="shared" si="9"/>
        <v>0</v>
      </c>
      <c r="U29" s="28">
        <f t="shared" si="10"/>
        <v>0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41659</v>
      </c>
      <c r="C30" s="25">
        <v>12.711</v>
      </c>
      <c r="D30" s="26">
        <v>7.8390000000000004</v>
      </c>
      <c r="E30" s="26">
        <v>7.8520000000000003</v>
      </c>
      <c r="F30" s="16"/>
      <c r="G30" s="16"/>
      <c r="H30" s="16"/>
      <c r="I30" s="17">
        <v>101.25</v>
      </c>
      <c r="J30" s="32">
        <v>383</v>
      </c>
      <c r="K30" s="18">
        <f t="shared" ref="K30:K40" si="14">IF(ISBLANK(J30),"",(J30-$J$8))</f>
        <v>74</v>
      </c>
      <c r="L30" s="19">
        <f t="shared" si="1"/>
        <v>-7.9999999999991189</v>
      </c>
      <c r="M30" s="19">
        <f t="shared" si="2"/>
        <v>-4.9999999999998934</v>
      </c>
      <c r="N30" s="19">
        <f t="shared" si="3"/>
        <v>-4.9999999999998934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4"/>
        <v>-7.9999999999955662</v>
      </c>
      <c r="S30" s="27">
        <f t="shared" si="8"/>
        <v>0</v>
      </c>
      <c r="T30" s="28">
        <f t="shared" si="9"/>
        <v>0.25000000000008349</v>
      </c>
      <c r="U30" s="28">
        <f t="shared" si="10"/>
        <v>0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41690</v>
      </c>
      <c r="C31" s="25">
        <v>12.71</v>
      </c>
      <c r="D31" s="26">
        <v>7.8380000000000001</v>
      </c>
      <c r="E31" s="26">
        <v>7.8520000000000003</v>
      </c>
      <c r="F31" s="16"/>
      <c r="G31" s="16"/>
      <c r="H31" s="16"/>
      <c r="I31" s="17">
        <v>101.249</v>
      </c>
      <c r="J31" s="32">
        <v>510</v>
      </c>
      <c r="K31" s="18">
        <f t="shared" si="14"/>
        <v>201</v>
      </c>
      <c r="L31" s="19">
        <f t="shared" si="1"/>
        <v>-8.9999999999985647</v>
      </c>
      <c r="M31" s="19">
        <f t="shared" si="2"/>
        <v>-6.0000000000002274</v>
      </c>
      <c r="N31" s="19">
        <f t="shared" si="3"/>
        <v>-4.9999999999998934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4"/>
        <v>-9.0000000000003411</v>
      </c>
      <c r="S31" s="27">
        <f t="shared" si="8"/>
        <v>-3.2258064516111157E-2</v>
      </c>
      <c r="T31" s="28">
        <f t="shared" si="9"/>
        <v>-3.2258064516139807E-2</v>
      </c>
      <c r="U31" s="28">
        <f t="shared" si="10"/>
        <v>0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41723</v>
      </c>
      <c r="C32" s="25">
        <v>12.69</v>
      </c>
      <c r="D32" s="26">
        <v>7.835</v>
      </c>
      <c r="E32" s="26">
        <v>7.8479999999999999</v>
      </c>
      <c r="F32" s="16"/>
      <c r="G32" s="16"/>
      <c r="H32" s="16"/>
      <c r="I32" s="17">
        <v>101.245</v>
      </c>
      <c r="J32" s="32">
        <v>308</v>
      </c>
      <c r="K32" s="18">
        <f t="shared" si="14"/>
        <v>-1</v>
      </c>
      <c r="L32" s="19">
        <f t="shared" si="1"/>
        <v>-28.999999999999915</v>
      </c>
      <c r="M32" s="19">
        <f t="shared" si="2"/>
        <v>-9.0000000000003411</v>
      </c>
      <c r="N32" s="19">
        <f t="shared" si="3"/>
        <v>-9.0000000000003411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4"/>
        <v>-12.999999999991019</v>
      </c>
      <c r="S32" s="27">
        <f t="shared" si="8"/>
        <v>-0.60606060606064693</v>
      </c>
      <c r="T32" s="28">
        <f t="shared" si="9"/>
        <v>-9.0909090909094353E-2</v>
      </c>
      <c r="U32" s="28">
        <f t="shared" si="10"/>
        <v>-0.12121212121213477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 t="s">
        <v>23</v>
      </c>
    </row>
    <row r="33" spans="2:25" ht="15" customHeight="1" x14ac:dyDescent="0.2">
      <c r="B33" s="31">
        <v>41724</v>
      </c>
      <c r="C33" s="25">
        <v>12.685</v>
      </c>
      <c r="D33" s="26">
        <v>7.8319999999999999</v>
      </c>
      <c r="E33" s="26">
        <v>7.8479999999999999</v>
      </c>
      <c r="F33" s="16"/>
      <c r="G33" s="16"/>
      <c r="H33" s="16"/>
      <c r="I33" s="17">
        <v>101.244</v>
      </c>
      <c r="J33" s="32">
        <v>319</v>
      </c>
      <c r="K33" s="18">
        <f t="shared" si="14"/>
        <v>10</v>
      </c>
      <c r="L33" s="19">
        <f t="shared" si="1"/>
        <v>-33.99999999999892</v>
      </c>
      <c r="M33" s="19">
        <f t="shared" si="2"/>
        <v>-12.000000000000455</v>
      </c>
      <c r="N33" s="19">
        <f t="shared" si="3"/>
        <v>-9.0000000000003411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ref="R33:R64" si="15">IF(ISBLANK(I33),"",(I33-I$16)*1000)</f>
        <v>-13.999999999995794</v>
      </c>
      <c r="S33" s="27">
        <f t="shared" si="8"/>
        <v>-4.9999999999990052</v>
      </c>
      <c r="T33" s="28">
        <f t="shared" si="9"/>
        <v>-3.0000000000001137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41725</v>
      </c>
      <c r="C34" s="25">
        <v>12.683999999999999</v>
      </c>
      <c r="D34" s="26">
        <v>7.8319999999999999</v>
      </c>
      <c r="E34" s="26">
        <v>7.8470000000000004</v>
      </c>
      <c r="F34" s="16">
        <v>12.977</v>
      </c>
      <c r="G34" s="16">
        <v>10.252000000000001</v>
      </c>
      <c r="H34" s="16">
        <v>10.667</v>
      </c>
      <c r="I34" s="17">
        <v>101.24299999999999</v>
      </c>
      <c r="J34" s="32">
        <v>327</v>
      </c>
      <c r="K34" s="18">
        <f t="shared" si="14"/>
        <v>18</v>
      </c>
      <c r="L34" s="19">
        <f t="shared" si="1"/>
        <v>-35.000000000000142</v>
      </c>
      <c r="M34" s="19">
        <f t="shared" si="2"/>
        <v>-12.000000000000455</v>
      </c>
      <c r="N34" s="19">
        <f t="shared" si="3"/>
        <v>-9.9999999999997868</v>
      </c>
      <c r="O34" s="19">
        <f>IF(ISBLANK(F34),"",((F34-F$34)*1000)+L$34)</f>
        <v>-35.000000000000142</v>
      </c>
      <c r="P34" s="19">
        <f>IF(ISBLANK(G34),"",((G34-G$34)*1000)+M$34)</f>
        <v>-12.000000000000455</v>
      </c>
      <c r="Q34" s="19">
        <f>IF(ISBLANK(H34),"",((H34-H$34)*1000)+N$34)</f>
        <v>-9.9999999999997868</v>
      </c>
      <c r="R34" s="19">
        <f t="shared" si="15"/>
        <v>-15.000000000000568</v>
      </c>
      <c r="S34" s="27">
        <f t="shared" si="8"/>
        <v>-1.0000000000012221</v>
      </c>
      <c r="T34" s="28">
        <f t="shared" si="9"/>
        <v>0</v>
      </c>
      <c r="U34" s="28">
        <f t="shared" si="10"/>
        <v>-0.99999999999944578</v>
      </c>
      <c r="V34" s="28"/>
      <c r="W34" s="28"/>
      <c r="X34" s="29"/>
      <c r="Y34" s="24"/>
    </row>
    <row r="35" spans="2:25" ht="15" customHeight="1" x14ac:dyDescent="0.2">
      <c r="B35" s="31">
        <v>41726</v>
      </c>
      <c r="C35" s="25"/>
      <c r="D35" s="26"/>
      <c r="E35" s="26"/>
      <c r="F35" s="16">
        <v>12.976000000000001</v>
      </c>
      <c r="G35" s="16">
        <v>10.250999999999999</v>
      </c>
      <c r="H35" s="16">
        <v>10.667</v>
      </c>
      <c r="I35" s="17">
        <v>101.24299999999999</v>
      </c>
      <c r="J35" s="32">
        <v>340</v>
      </c>
      <c r="K35" s="18">
        <f t="shared" si="14"/>
        <v>31</v>
      </c>
      <c r="L35" s="19" t="str">
        <f t="shared" si="1"/>
        <v/>
      </c>
      <c r="M35" s="19" t="str">
        <f t="shared" si="2"/>
        <v/>
      </c>
      <c r="N35" s="19" t="str">
        <f t="shared" si="3"/>
        <v/>
      </c>
      <c r="O35" s="19">
        <f t="shared" ref="O35:O98" si="16">IF(ISBLANK(F35),"",((F35-F$34)*1000)+L$34)</f>
        <v>-35.999999999999588</v>
      </c>
      <c r="P35" s="19">
        <f t="shared" ref="P35:P98" si="17">IF(ISBLANK(G35),"",((G35-G$34)*1000)+M$34)</f>
        <v>-13.000000000001677</v>
      </c>
      <c r="Q35" s="19">
        <f t="shared" ref="Q35:Q98" si="18">IF(ISBLANK(H35),"",((H35-H$34)*1000)+N$34)</f>
        <v>-9.9999999999997868</v>
      </c>
      <c r="R35" s="19">
        <f t="shared" si="15"/>
        <v>-15.000000000000568</v>
      </c>
      <c r="S35" s="27" t="str">
        <f t="shared" si="8"/>
        <v/>
      </c>
      <c r="T35" s="28" t="str">
        <f t="shared" si="9"/>
        <v/>
      </c>
      <c r="U35" s="28" t="str">
        <f t="shared" si="10"/>
        <v/>
      </c>
      <c r="V35" s="28">
        <f t="shared" si="11"/>
        <v>-0.99999999999944578</v>
      </c>
      <c r="W35" s="28">
        <f t="shared" si="12"/>
        <v>-1.0000000000012221</v>
      </c>
      <c r="X35" s="29">
        <f t="shared" si="13"/>
        <v>0</v>
      </c>
      <c r="Y35" s="24"/>
    </row>
    <row r="36" spans="2:25" ht="15" customHeight="1" x14ac:dyDescent="0.2">
      <c r="B36" s="31">
        <v>41729</v>
      </c>
      <c r="C36" s="25"/>
      <c r="D36" s="26"/>
      <c r="E36" s="26"/>
      <c r="F36" s="16">
        <v>12.976000000000001</v>
      </c>
      <c r="G36" s="16">
        <v>10.250999999999999</v>
      </c>
      <c r="H36" s="16">
        <v>10.667</v>
      </c>
      <c r="I36" s="17">
        <v>101.24299999999999</v>
      </c>
      <c r="J36" s="32">
        <v>350</v>
      </c>
      <c r="K36" s="18">
        <f t="shared" si="14"/>
        <v>41</v>
      </c>
      <c r="L36" s="19" t="str">
        <f t="shared" si="1"/>
        <v/>
      </c>
      <c r="M36" s="19" t="str">
        <f t="shared" si="2"/>
        <v/>
      </c>
      <c r="N36" s="19" t="str">
        <f t="shared" si="3"/>
        <v/>
      </c>
      <c r="O36" s="19">
        <f t="shared" si="16"/>
        <v>-35.999999999999588</v>
      </c>
      <c r="P36" s="19">
        <f t="shared" si="17"/>
        <v>-13.000000000001677</v>
      </c>
      <c r="Q36" s="19">
        <f t="shared" si="18"/>
        <v>-9.9999999999997868</v>
      </c>
      <c r="R36" s="19">
        <f t="shared" si="15"/>
        <v>-15.000000000000568</v>
      </c>
      <c r="S36" s="27" t="str">
        <f t="shared" si="8"/>
        <v/>
      </c>
      <c r="T36" s="28" t="str">
        <f t="shared" si="9"/>
        <v/>
      </c>
      <c r="U36" s="28" t="str">
        <f t="shared" si="10"/>
        <v/>
      </c>
      <c r="V36" s="28">
        <f t="shared" si="11"/>
        <v>0</v>
      </c>
      <c r="W36" s="28">
        <f t="shared" si="12"/>
        <v>0</v>
      </c>
      <c r="X36" s="29">
        <f t="shared" si="13"/>
        <v>0</v>
      </c>
      <c r="Y36" s="24"/>
    </row>
    <row r="37" spans="2:25" ht="15" customHeight="1" x14ac:dyDescent="0.2">
      <c r="B37" s="31">
        <v>41730</v>
      </c>
      <c r="C37" s="25"/>
      <c r="D37" s="26"/>
      <c r="E37" s="26"/>
      <c r="F37" s="16">
        <v>12.976000000000001</v>
      </c>
      <c r="G37" s="16">
        <v>10.250999999999999</v>
      </c>
      <c r="H37" s="16">
        <v>10.667</v>
      </c>
      <c r="I37" s="17">
        <v>101.24299999999999</v>
      </c>
      <c r="J37" s="32">
        <v>364</v>
      </c>
      <c r="K37" s="18">
        <f t="shared" si="14"/>
        <v>55</v>
      </c>
      <c r="L37" s="19" t="str">
        <f t="shared" si="1"/>
        <v/>
      </c>
      <c r="M37" s="19" t="str">
        <f t="shared" si="2"/>
        <v/>
      </c>
      <c r="N37" s="19" t="str">
        <f t="shared" si="3"/>
        <v/>
      </c>
      <c r="O37" s="19">
        <f t="shared" si="16"/>
        <v>-35.999999999999588</v>
      </c>
      <c r="P37" s="19">
        <f t="shared" si="17"/>
        <v>-13.000000000001677</v>
      </c>
      <c r="Q37" s="19">
        <f t="shared" si="18"/>
        <v>-9.9999999999997868</v>
      </c>
      <c r="R37" s="19">
        <f t="shared" si="15"/>
        <v>-15.000000000000568</v>
      </c>
      <c r="S37" s="27" t="str">
        <f t="shared" si="8"/>
        <v/>
      </c>
      <c r="T37" s="28" t="str">
        <f t="shared" si="9"/>
        <v/>
      </c>
      <c r="U37" s="28" t="str">
        <f t="shared" si="10"/>
        <v/>
      </c>
      <c r="V37" s="28">
        <f t="shared" si="11"/>
        <v>0</v>
      </c>
      <c r="W37" s="28">
        <f t="shared" si="12"/>
        <v>0</v>
      </c>
      <c r="X37" s="29">
        <f t="shared" si="13"/>
        <v>0</v>
      </c>
      <c r="Y37" s="24"/>
    </row>
    <row r="38" spans="2:25" ht="15" customHeight="1" x14ac:dyDescent="0.2">
      <c r="B38" s="31">
        <v>41731</v>
      </c>
      <c r="C38" s="25"/>
      <c r="D38" s="26"/>
      <c r="E38" s="26"/>
      <c r="F38" s="16">
        <v>12.975</v>
      </c>
      <c r="G38" s="16">
        <v>10.250999999999999</v>
      </c>
      <c r="H38" s="16">
        <v>10.667</v>
      </c>
      <c r="I38" s="17">
        <v>101.24299999999999</v>
      </c>
      <c r="J38" s="32">
        <v>375</v>
      </c>
      <c r="K38" s="18">
        <f t="shared" si="14"/>
        <v>66</v>
      </c>
      <c r="L38" s="19" t="str">
        <f t="shared" si="1"/>
        <v/>
      </c>
      <c r="M38" s="19" t="str">
        <f t="shared" si="2"/>
        <v/>
      </c>
      <c r="N38" s="19" t="str">
        <f t="shared" si="3"/>
        <v/>
      </c>
      <c r="O38" s="19">
        <f t="shared" si="16"/>
        <v>-37.00000000000081</v>
      </c>
      <c r="P38" s="19">
        <f t="shared" si="17"/>
        <v>-13.000000000001677</v>
      </c>
      <c r="Q38" s="19">
        <f t="shared" si="18"/>
        <v>-9.9999999999997868</v>
      </c>
      <c r="R38" s="19">
        <f t="shared" si="15"/>
        <v>-15.000000000000568</v>
      </c>
      <c r="S38" s="27" t="str">
        <f t="shared" si="8"/>
        <v/>
      </c>
      <c r="T38" s="28" t="str">
        <f t="shared" si="9"/>
        <v/>
      </c>
      <c r="U38" s="28" t="str">
        <f t="shared" si="10"/>
        <v/>
      </c>
      <c r="V38" s="28">
        <f t="shared" si="11"/>
        <v>-1.0000000000012221</v>
      </c>
      <c r="W38" s="28">
        <f t="shared" si="12"/>
        <v>0</v>
      </c>
      <c r="X38" s="29">
        <f t="shared" si="13"/>
        <v>0</v>
      </c>
      <c r="Y38" s="24"/>
    </row>
    <row r="39" spans="2:25" ht="15" customHeight="1" x14ac:dyDescent="0.2">
      <c r="B39" s="31">
        <v>41736</v>
      </c>
      <c r="C39" s="25"/>
      <c r="D39" s="26"/>
      <c r="E39" s="26"/>
      <c r="F39" s="16">
        <v>12.974</v>
      </c>
      <c r="G39" s="16">
        <v>10.250999999999999</v>
      </c>
      <c r="H39" s="16">
        <v>10.667999999999999</v>
      </c>
      <c r="I39" s="17">
        <v>101.24299999999999</v>
      </c>
      <c r="J39" s="32">
        <v>408</v>
      </c>
      <c r="K39" s="18">
        <f t="shared" si="14"/>
        <v>99</v>
      </c>
      <c r="L39" s="19" t="str">
        <f t="shared" si="1"/>
        <v/>
      </c>
      <c r="M39" s="19" t="str">
        <f t="shared" si="2"/>
        <v/>
      </c>
      <c r="N39" s="19" t="str">
        <f t="shared" si="3"/>
        <v/>
      </c>
      <c r="O39" s="19">
        <f t="shared" si="16"/>
        <v>-38.000000000000256</v>
      </c>
      <c r="P39" s="19">
        <f t="shared" si="17"/>
        <v>-13.000000000001677</v>
      </c>
      <c r="Q39" s="19">
        <f t="shared" si="18"/>
        <v>-9.0000000000003411</v>
      </c>
      <c r="R39" s="19">
        <f t="shared" si="15"/>
        <v>-15.000000000000568</v>
      </c>
      <c r="S39" s="27" t="str">
        <f t="shared" si="8"/>
        <v/>
      </c>
      <c r="T39" s="28" t="str">
        <f t="shared" si="9"/>
        <v/>
      </c>
      <c r="U39" s="28" t="str">
        <f t="shared" si="10"/>
        <v/>
      </c>
      <c r="V39" s="28">
        <f t="shared" si="11"/>
        <v>-0.19999999999988916</v>
      </c>
      <c r="W39" s="28">
        <f t="shared" si="12"/>
        <v>0</v>
      </c>
      <c r="X39" s="29">
        <f t="shared" si="13"/>
        <v>0.19999999999988916</v>
      </c>
      <c r="Y39" s="24"/>
    </row>
    <row r="40" spans="2:25" ht="15" customHeight="1" x14ac:dyDescent="0.2">
      <c r="B40" s="31">
        <v>41751</v>
      </c>
      <c r="C40" s="25"/>
      <c r="D40" s="26"/>
      <c r="E40" s="26"/>
      <c r="F40" s="16">
        <v>12.974</v>
      </c>
      <c r="G40" s="16">
        <v>10.250999999999999</v>
      </c>
      <c r="H40" s="16">
        <v>10.667999999999999</v>
      </c>
      <c r="I40" s="17">
        <v>101.24299999999999</v>
      </c>
      <c r="J40" s="32">
        <v>534.5</v>
      </c>
      <c r="K40" s="18">
        <f t="shared" si="14"/>
        <v>225.5</v>
      </c>
      <c r="L40" s="19" t="str">
        <f t="shared" si="1"/>
        <v/>
      </c>
      <c r="M40" s="19" t="str">
        <f t="shared" si="2"/>
        <v/>
      </c>
      <c r="N40" s="19" t="str">
        <f t="shared" si="3"/>
        <v/>
      </c>
      <c r="O40" s="19">
        <f t="shared" si="16"/>
        <v>-38.000000000000256</v>
      </c>
      <c r="P40" s="19">
        <f t="shared" si="17"/>
        <v>-13.000000000001677</v>
      </c>
      <c r="Q40" s="19">
        <f t="shared" si="18"/>
        <v>-9.0000000000003411</v>
      </c>
      <c r="R40" s="19">
        <f t="shared" si="15"/>
        <v>-15.000000000000568</v>
      </c>
      <c r="S40" s="27" t="str">
        <f t="shared" si="8"/>
        <v/>
      </c>
      <c r="T40" s="28" t="str">
        <f t="shared" si="9"/>
        <v/>
      </c>
      <c r="U40" s="28" t="str">
        <f t="shared" si="10"/>
        <v/>
      </c>
      <c r="V40" s="28">
        <f t="shared" si="11"/>
        <v>0</v>
      </c>
      <c r="W40" s="28">
        <f t="shared" si="12"/>
        <v>0</v>
      </c>
      <c r="X40" s="29">
        <f t="shared" si="13"/>
        <v>0</v>
      </c>
      <c r="Y40" s="24" t="s">
        <v>35</v>
      </c>
    </row>
    <row r="41" spans="2:25" ht="15" customHeight="1" x14ac:dyDescent="0.2">
      <c r="B41" s="31">
        <v>41781</v>
      </c>
      <c r="C41" s="25"/>
      <c r="D41" s="26"/>
      <c r="E41" s="26"/>
      <c r="F41" s="16">
        <v>12.972</v>
      </c>
      <c r="G41" s="16">
        <v>10.250999999999999</v>
      </c>
      <c r="H41" s="16">
        <v>10.667999999999999</v>
      </c>
      <c r="I41" s="17">
        <v>101.242</v>
      </c>
      <c r="J41" s="58">
        <v>792</v>
      </c>
      <c r="K41" s="18">
        <f t="shared" ref="K41:K46" si="19">IF(ISBLANK(J41),"",(J41-$J$8))</f>
        <v>483</v>
      </c>
      <c r="L41" s="19" t="str">
        <f t="shared" si="1"/>
        <v/>
      </c>
      <c r="M41" s="19" t="str">
        <f t="shared" si="2"/>
        <v/>
      </c>
      <c r="N41" s="19" t="str">
        <f t="shared" si="3"/>
        <v/>
      </c>
      <c r="O41" s="19">
        <f t="shared" si="16"/>
        <v>-40.000000000000924</v>
      </c>
      <c r="P41" s="19">
        <f t="shared" si="17"/>
        <v>-13.000000000001677</v>
      </c>
      <c r="Q41" s="19">
        <f t="shared" si="18"/>
        <v>-9.0000000000003411</v>
      </c>
      <c r="R41" s="19">
        <f t="shared" si="15"/>
        <v>-15.999999999991132</v>
      </c>
      <c r="S41" s="27" t="str">
        <f t="shared" si="8"/>
        <v/>
      </c>
      <c r="T41" s="28" t="str">
        <f t="shared" si="9"/>
        <v/>
      </c>
      <c r="U41" s="28" t="str">
        <f t="shared" si="10"/>
        <v/>
      </c>
      <c r="V41" s="28">
        <f t="shared" si="11"/>
        <v>-6.6666666666688926E-2</v>
      </c>
      <c r="W41" s="28">
        <f t="shared" si="12"/>
        <v>0</v>
      </c>
      <c r="X41" s="29">
        <f t="shared" si="13"/>
        <v>0</v>
      </c>
      <c r="Y41" s="24"/>
    </row>
    <row r="42" spans="2:25" ht="15" customHeight="1" x14ac:dyDescent="0.2">
      <c r="B42" s="31">
        <v>41843</v>
      </c>
      <c r="C42" s="25"/>
      <c r="D42" s="26"/>
      <c r="E42" s="26"/>
      <c r="F42" s="16">
        <v>12.971</v>
      </c>
      <c r="G42" s="16">
        <v>10.249000000000001</v>
      </c>
      <c r="H42" s="16">
        <v>10.667999999999999</v>
      </c>
      <c r="I42" s="17">
        <v>101.242</v>
      </c>
      <c r="J42" s="58">
        <v>943</v>
      </c>
      <c r="K42" s="18">
        <f t="shared" si="19"/>
        <v>634</v>
      </c>
      <c r="L42" s="19" t="str">
        <f t="shared" si="1"/>
        <v/>
      </c>
      <c r="M42" s="19" t="str">
        <f t="shared" si="2"/>
        <v/>
      </c>
      <c r="N42" s="19" t="str">
        <f t="shared" si="3"/>
        <v/>
      </c>
      <c r="O42" s="19">
        <f t="shared" si="16"/>
        <v>-41.000000000000369</v>
      </c>
      <c r="P42" s="19">
        <f t="shared" si="17"/>
        <v>-15.000000000000568</v>
      </c>
      <c r="Q42" s="19">
        <f t="shared" si="18"/>
        <v>-9.0000000000003411</v>
      </c>
      <c r="R42" s="19">
        <f t="shared" si="15"/>
        <v>-15.999999999991132</v>
      </c>
      <c r="S42" s="27" t="str">
        <f t="shared" si="8"/>
        <v/>
      </c>
      <c r="T42" s="28" t="str">
        <f t="shared" si="9"/>
        <v/>
      </c>
      <c r="U42" s="28" t="str">
        <f t="shared" si="10"/>
        <v/>
      </c>
      <c r="V42" s="28">
        <f t="shared" si="11"/>
        <v>-1.6129032258055578E-2</v>
      </c>
      <c r="W42" s="28">
        <f t="shared" si="12"/>
        <v>-3.2258064516111157E-2</v>
      </c>
      <c r="X42" s="29">
        <f t="shared" si="13"/>
        <v>0</v>
      </c>
      <c r="Y42" s="24"/>
    </row>
    <row r="43" spans="2:25" ht="15" customHeight="1" x14ac:dyDescent="0.2">
      <c r="B43" s="31">
        <v>41933</v>
      </c>
      <c r="C43" s="25">
        <v>12.677</v>
      </c>
      <c r="D43" s="26">
        <v>7.8310000000000004</v>
      </c>
      <c r="E43" s="26">
        <v>7.8460000000000001</v>
      </c>
      <c r="F43" s="16">
        <v>12.97</v>
      </c>
      <c r="G43" s="16">
        <v>10.25</v>
      </c>
      <c r="H43" s="16">
        <v>10.667</v>
      </c>
      <c r="I43" s="17">
        <v>101.24299999999999</v>
      </c>
      <c r="J43" s="58">
        <v>943</v>
      </c>
      <c r="K43" s="18">
        <f t="shared" si="19"/>
        <v>634</v>
      </c>
      <c r="L43" s="19">
        <f t="shared" si="1"/>
        <v>-41.999999999999815</v>
      </c>
      <c r="M43" s="19">
        <f t="shared" si="2"/>
        <v>-12.999999999999901</v>
      </c>
      <c r="N43" s="19">
        <f t="shared" si="3"/>
        <v>-11.000000000000121</v>
      </c>
      <c r="O43" s="19">
        <f t="shared" si="16"/>
        <v>-41.999999999999815</v>
      </c>
      <c r="P43" s="19">
        <f t="shared" si="17"/>
        <v>-14.000000000001123</v>
      </c>
      <c r="Q43" s="19">
        <f t="shared" si="18"/>
        <v>-9.9999999999997868</v>
      </c>
      <c r="R43" s="19">
        <f t="shared" si="15"/>
        <v>-15.000000000000568</v>
      </c>
      <c r="S43" s="27"/>
      <c r="T43" s="28"/>
      <c r="U43" s="28"/>
      <c r="V43" s="28">
        <f t="shared" si="11"/>
        <v>-1.1111111111104953E-2</v>
      </c>
      <c r="W43" s="28">
        <f t="shared" si="12"/>
        <v>1.1111111111104953E-2</v>
      </c>
      <c r="X43" s="29">
        <f t="shared" si="13"/>
        <v>-1.1111111111104953E-2</v>
      </c>
      <c r="Y43" s="24"/>
    </row>
    <row r="44" spans="2:25" ht="15" customHeight="1" x14ac:dyDescent="0.2">
      <c r="B44" s="31">
        <v>42025</v>
      </c>
      <c r="C44" s="25"/>
      <c r="D44" s="26"/>
      <c r="E44" s="26"/>
      <c r="F44" s="16">
        <v>12.97</v>
      </c>
      <c r="G44" s="16">
        <v>10.247999999999999</v>
      </c>
      <c r="H44" s="16">
        <v>10.666</v>
      </c>
      <c r="I44" s="17">
        <v>101.242</v>
      </c>
      <c r="J44" s="58">
        <v>943</v>
      </c>
      <c r="K44" s="18">
        <f t="shared" si="19"/>
        <v>634</v>
      </c>
      <c r="L44" s="19" t="str">
        <f t="shared" si="1"/>
        <v/>
      </c>
      <c r="M44" s="19" t="str">
        <f t="shared" si="2"/>
        <v/>
      </c>
      <c r="N44" s="19" t="str">
        <f t="shared" si="3"/>
        <v/>
      </c>
      <c r="O44" s="19">
        <f t="shared" si="16"/>
        <v>-41.999999999999815</v>
      </c>
      <c r="P44" s="19">
        <f t="shared" si="17"/>
        <v>-16.000000000001791</v>
      </c>
      <c r="Q44" s="19">
        <f t="shared" si="18"/>
        <v>-10.999999999999233</v>
      </c>
      <c r="R44" s="19">
        <f t="shared" si="15"/>
        <v>-15.999999999991132</v>
      </c>
      <c r="S44" s="27" t="str">
        <f t="shared" si="8"/>
        <v/>
      </c>
      <c r="T44" s="28" t="str">
        <f t="shared" si="9"/>
        <v/>
      </c>
      <c r="U44" s="28" t="str">
        <f t="shared" si="10"/>
        <v/>
      </c>
      <c r="V44" s="28">
        <f t="shared" si="11"/>
        <v>0</v>
      </c>
      <c r="W44" s="28">
        <f t="shared" si="12"/>
        <v>-2.173913043478987E-2</v>
      </c>
      <c r="X44" s="29">
        <f t="shared" si="13"/>
        <v>-1.0869565217385279E-2</v>
      </c>
      <c r="Y44" s="24"/>
    </row>
    <row r="45" spans="2:25" ht="15" customHeight="1" x14ac:dyDescent="0.2">
      <c r="B45" s="31">
        <v>42109</v>
      </c>
      <c r="C45" s="25"/>
      <c r="D45" s="26"/>
      <c r="E45" s="26"/>
      <c r="F45" s="16">
        <v>12.968999999999999</v>
      </c>
      <c r="G45" s="16">
        <v>10.247999999999999</v>
      </c>
      <c r="H45" s="16">
        <v>10.666</v>
      </c>
      <c r="I45" s="17">
        <v>101.239</v>
      </c>
      <c r="J45" s="58">
        <v>943</v>
      </c>
      <c r="K45" s="18">
        <f t="shared" si="19"/>
        <v>634</v>
      </c>
      <c r="L45" s="19" t="str">
        <f t="shared" si="1"/>
        <v/>
      </c>
      <c r="M45" s="19" t="str">
        <f t="shared" si="2"/>
        <v/>
      </c>
      <c r="N45" s="19" t="str">
        <f t="shared" si="3"/>
        <v/>
      </c>
      <c r="O45" s="19">
        <f t="shared" si="16"/>
        <v>-43.000000000001037</v>
      </c>
      <c r="P45" s="19">
        <f t="shared" si="17"/>
        <v>-16.000000000001791</v>
      </c>
      <c r="Q45" s="19">
        <f t="shared" si="18"/>
        <v>-10.999999999999233</v>
      </c>
      <c r="R45" s="19">
        <f t="shared" si="15"/>
        <v>-18.999999999991246</v>
      </c>
      <c r="S45" s="27" t="str">
        <f t="shared" si="8"/>
        <v/>
      </c>
      <c r="T45" s="28" t="str">
        <f t="shared" si="9"/>
        <v/>
      </c>
      <c r="U45" s="28" t="str">
        <f t="shared" si="10"/>
        <v/>
      </c>
      <c r="V45" s="28">
        <f t="shared" si="11"/>
        <v>-1.1904761904776453E-2</v>
      </c>
      <c r="W45" s="28">
        <f t="shared" si="12"/>
        <v>0</v>
      </c>
      <c r="X45" s="29">
        <f t="shared" si="13"/>
        <v>0</v>
      </c>
      <c r="Y45" s="24"/>
    </row>
    <row r="46" spans="2:25" ht="15" customHeight="1" x14ac:dyDescent="0.2">
      <c r="B46" s="31">
        <v>42221</v>
      </c>
      <c r="C46" s="33"/>
      <c r="D46" s="16"/>
      <c r="E46" s="16"/>
      <c r="F46" s="16">
        <v>12.967000000000001</v>
      </c>
      <c r="G46" s="16">
        <v>10.247999999999999</v>
      </c>
      <c r="H46" s="16">
        <v>10.664999999999999</v>
      </c>
      <c r="I46" s="16">
        <v>101.241</v>
      </c>
      <c r="J46" s="32">
        <v>1253</v>
      </c>
      <c r="K46" s="18">
        <f t="shared" si="19"/>
        <v>944</v>
      </c>
      <c r="L46" s="19" t="str">
        <f t="shared" si="1"/>
        <v/>
      </c>
      <c r="M46" s="19" t="str">
        <f t="shared" si="2"/>
        <v/>
      </c>
      <c r="N46" s="19" t="str">
        <f t="shared" si="3"/>
        <v/>
      </c>
      <c r="O46" s="19">
        <f t="shared" si="16"/>
        <v>-44.999999999999929</v>
      </c>
      <c r="P46" s="19">
        <f t="shared" si="17"/>
        <v>-16.000000000001791</v>
      </c>
      <c r="Q46" s="19">
        <f t="shared" si="18"/>
        <v>-12.000000000000455</v>
      </c>
      <c r="R46" s="19">
        <f t="shared" si="15"/>
        <v>-16.999999999995907</v>
      </c>
      <c r="S46" s="27" t="str">
        <f t="shared" si="8"/>
        <v/>
      </c>
      <c r="T46" s="28" t="str">
        <f t="shared" si="9"/>
        <v/>
      </c>
      <c r="U46" s="28" t="str">
        <f t="shared" si="10"/>
        <v/>
      </c>
      <c r="V46" s="28">
        <f t="shared" si="11"/>
        <v>-1.7857142857132961E-2</v>
      </c>
      <c r="W46" s="28">
        <f t="shared" si="12"/>
        <v>0</v>
      </c>
      <c r="X46" s="29">
        <f t="shared" si="13"/>
        <v>-8.9285714285823412E-3</v>
      </c>
      <c r="Y46" s="24"/>
    </row>
    <row r="47" spans="2:25" ht="15" customHeight="1" x14ac:dyDescent="0.2">
      <c r="B47" s="31">
        <v>42317</v>
      </c>
      <c r="C47" s="33"/>
      <c r="D47" s="16"/>
      <c r="E47" s="16"/>
      <c r="F47" s="16">
        <v>12.967000000000001</v>
      </c>
      <c r="G47" s="16">
        <v>10.247</v>
      </c>
      <c r="H47" s="16">
        <v>10.664999999999999</v>
      </c>
      <c r="I47" s="16">
        <v>101.239</v>
      </c>
      <c r="J47" s="32">
        <v>2215</v>
      </c>
      <c r="K47" s="18">
        <f t="shared" ref="K47:K49" si="20">IF(ISBLANK(J47),"",(J47-$J$8))</f>
        <v>1906</v>
      </c>
      <c r="L47" s="19" t="str">
        <f t="shared" si="1"/>
        <v/>
      </c>
      <c r="M47" s="19" t="str">
        <f t="shared" si="2"/>
        <v/>
      </c>
      <c r="N47" s="19" t="str">
        <f t="shared" si="3"/>
        <v/>
      </c>
      <c r="O47" s="19">
        <f t="shared" si="16"/>
        <v>-44.999999999999929</v>
      </c>
      <c r="P47" s="19">
        <f t="shared" si="17"/>
        <v>-17.000000000001236</v>
      </c>
      <c r="Q47" s="19">
        <f t="shared" si="18"/>
        <v>-12.000000000000455</v>
      </c>
      <c r="R47" s="19">
        <f t="shared" si="15"/>
        <v>-18.999999999991246</v>
      </c>
      <c r="S47" s="27" t="str">
        <f t="shared" si="8"/>
        <v/>
      </c>
      <c r="T47" s="28" t="str">
        <f t="shared" si="9"/>
        <v/>
      </c>
      <c r="U47" s="28" t="str">
        <f t="shared" si="10"/>
        <v/>
      </c>
      <c r="V47" s="28">
        <f t="shared" si="11"/>
        <v>0</v>
      </c>
      <c r="W47" s="28">
        <f t="shared" si="12"/>
        <v>-1.0416666666660893E-2</v>
      </c>
      <c r="X47" s="29">
        <f t="shared" si="13"/>
        <v>0</v>
      </c>
      <c r="Y47" s="24"/>
    </row>
    <row r="48" spans="2:25" ht="15" customHeight="1" x14ac:dyDescent="0.2">
      <c r="B48" s="31">
        <v>42404</v>
      </c>
      <c r="C48" s="25">
        <v>12.676</v>
      </c>
      <c r="D48" s="26">
        <v>7.827</v>
      </c>
      <c r="E48" s="26">
        <v>7.8479999999999999</v>
      </c>
      <c r="F48" s="16">
        <v>12.968</v>
      </c>
      <c r="G48" s="16">
        <v>10.244</v>
      </c>
      <c r="H48" s="16">
        <v>10.664</v>
      </c>
      <c r="I48" s="16">
        <v>101.239</v>
      </c>
      <c r="J48" s="58">
        <v>2484</v>
      </c>
      <c r="K48" s="18">
        <f t="shared" si="20"/>
        <v>2175</v>
      </c>
      <c r="L48" s="19">
        <f t="shared" ref="L48:L79" si="21">IF(ISBLANK(C48),"",(C48-C$16)*1000)</f>
        <v>-42.999999999999261</v>
      </c>
      <c r="M48" s="19">
        <f t="shared" ref="M48:M79" si="22">IF(ISBLANK(D48),"",(D48-D$16)*1000)</f>
        <v>-17.000000000000348</v>
      </c>
      <c r="N48" s="19">
        <f t="shared" ref="N48:N79" si="23">IF(ISBLANK(E48),"",(E48-E$16)*1000)</f>
        <v>-9.0000000000003411</v>
      </c>
      <c r="O48" s="19">
        <f t="shared" si="16"/>
        <v>-44.000000000000483</v>
      </c>
      <c r="P48" s="19">
        <f t="shared" si="17"/>
        <v>-20.00000000000135</v>
      </c>
      <c r="Q48" s="19">
        <f t="shared" si="18"/>
        <v>-12.999999999999901</v>
      </c>
      <c r="R48" s="19">
        <f t="shared" si="15"/>
        <v>-18.999999999991246</v>
      </c>
      <c r="S48" s="27"/>
      <c r="T48" s="28"/>
      <c r="U48" s="28"/>
      <c r="V48" s="28">
        <f t="shared" si="11"/>
        <v>1.1494252873556848E-2</v>
      </c>
      <c r="W48" s="28">
        <f t="shared" si="12"/>
        <v>-3.4482758620690959E-2</v>
      </c>
      <c r="X48" s="29">
        <f t="shared" si="13"/>
        <v>-1.1494252873556848E-2</v>
      </c>
      <c r="Y48" s="24"/>
    </row>
    <row r="49" spans="2:25" ht="15" customHeight="1" x14ac:dyDescent="0.2">
      <c r="B49" s="31">
        <v>42529</v>
      </c>
      <c r="C49" s="25">
        <v>12.675000000000001</v>
      </c>
      <c r="D49" s="26">
        <v>7.827</v>
      </c>
      <c r="E49" s="26">
        <v>7.8470000000000004</v>
      </c>
      <c r="F49" s="16">
        <v>12.968999999999999</v>
      </c>
      <c r="G49" s="16">
        <v>10.247</v>
      </c>
      <c r="H49" s="16">
        <v>10.664</v>
      </c>
      <c r="I49" s="16">
        <v>101.239</v>
      </c>
      <c r="J49" s="58">
        <v>2603</v>
      </c>
      <c r="K49" s="18">
        <f t="shared" si="20"/>
        <v>2294</v>
      </c>
      <c r="L49" s="19">
        <f t="shared" si="21"/>
        <v>-43.999999999998707</v>
      </c>
      <c r="M49" s="19">
        <f t="shared" si="22"/>
        <v>-17.000000000000348</v>
      </c>
      <c r="N49" s="19">
        <f t="shared" si="23"/>
        <v>-9.9999999999997868</v>
      </c>
      <c r="O49" s="19">
        <f t="shared" si="16"/>
        <v>-43.000000000001037</v>
      </c>
      <c r="P49" s="19">
        <f t="shared" si="17"/>
        <v>-17.000000000001236</v>
      </c>
      <c r="Q49" s="19">
        <f t="shared" si="18"/>
        <v>-12.999999999999901</v>
      </c>
      <c r="R49" s="19">
        <f t="shared" si="15"/>
        <v>-18.999999999991246</v>
      </c>
      <c r="S49" s="27">
        <f t="shared" ref="S49:S80" si="24">IF(C49="","",((C49-C48)*1000)/($B49-$B48))</f>
        <v>-7.9999999999955662E-3</v>
      </c>
      <c r="T49" s="28">
        <f t="shared" ref="T49:T80" si="25">IF(D49="","",((D49-D48)*1000)/($B49-$B48))</f>
        <v>0</v>
      </c>
      <c r="U49" s="28">
        <f t="shared" ref="U49:U80" si="26">IF(E49="","",((E49-E48)*1000)/($B49-$B48))</f>
        <v>-7.9999999999955662E-3</v>
      </c>
      <c r="V49" s="28">
        <f t="shared" ref="V49:V80" si="27">IF(F49="","",((F49-F48)*1000)/($B49-$B48))</f>
        <v>7.9999999999955662E-3</v>
      </c>
      <c r="W49" s="28">
        <f t="shared" ref="W49:W80" si="28">IF(G49="","",((G49-G48)*1000)/($B49-$B48))</f>
        <v>2.4000000000000909E-2</v>
      </c>
      <c r="X49" s="29">
        <f t="shared" ref="X49:X80" si="29">IF(H49="","",((H49-H48)*1000)/($B49-$B48))</f>
        <v>0</v>
      </c>
      <c r="Y49" s="24"/>
    </row>
    <row r="50" spans="2:25" ht="15" customHeight="1" x14ac:dyDescent="0.2">
      <c r="B50" s="31"/>
      <c r="C50" s="25"/>
      <c r="D50" s="26"/>
      <c r="E50" s="26"/>
      <c r="F50" s="16"/>
      <c r="G50" s="16"/>
      <c r="H50" s="16"/>
      <c r="I50" s="16"/>
      <c r="J50" s="58"/>
      <c r="K50" s="18"/>
      <c r="L50" s="19" t="str">
        <f t="shared" si="21"/>
        <v/>
      </c>
      <c r="M50" s="19" t="str">
        <f t="shared" si="22"/>
        <v/>
      </c>
      <c r="N50" s="19" t="str">
        <f t="shared" si="23"/>
        <v/>
      </c>
      <c r="O50" s="19" t="str">
        <f t="shared" si="16"/>
        <v/>
      </c>
      <c r="P50" s="19" t="str">
        <f t="shared" si="17"/>
        <v/>
      </c>
      <c r="Q50" s="19" t="str">
        <f t="shared" si="18"/>
        <v/>
      </c>
      <c r="R50" s="19" t="str">
        <f t="shared" si="15"/>
        <v/>
      </c>
      <c r="S50" s="27" t="str">
        <f t="shared" si="24"/>
        <v/>
      </c>
      <c r="T50" s="28" t="str">
        <f t="shared" si="25"/>
        <v/>
      </c>
      <c r="U50" s="28" t="str">
        <f t="shared" si="26"/>
        <v/>
      </c>
      <c r="V50" s="28" t="str">
        <f t="shared" si="27"/>
        <v/>
      </c>
      <c r="W50" s="28" t="str">
        <f t="shared" si="28"/>
        <v/>
      </c>
      <c r="X50" s="29" t="str">
        <f t="shared" si="29"/>
        <v/>
      </c>
      <c r="Y50" s="24"/>
    </row>
    <row r="51" spans="2:25" ht="15" customHeight="1" x14ac:dyDescent="0.2">
      <c r="B51" s="31"/>
      <c r="C51" s="25"/>
      <c r="D51" s="26"/>
      <c r="E51" s="26"/>
      <c r="F51" s="16"/>
      <c r="G51" s="16"/>
      <c r="H51" s="16"/>
      <c r="I51" s="16"/>
      <c r="J51" s="58"/>
      <c r="K51" s="18"/>
      <c r="L51" s="19" t="str">
        <f t="shared" si="21"/>
        <v/>
      </c>
      <c r="M51" s="19" t="str">
        <f t="shared" si="22"/>
        <v/>
      </c>
      <c r="N51" s="19" t="str">
        <f t="shared" si="23"/>
        <v/>
      </c>
      <c r="O51" s="19" t="str">
        <f t="shared" si="16"/>
        <v/>
      </c>
      <c r="P51" s="19" t="str">
        <f t="shared" si="17"/>
        <v/>
      </c>
      <c r="Q51" s="19" t="str">
        <f t="shared" si="18"/>
        <v/>
      </c>
      <c r="R51" s="19" t="str">
        <f t="shared" si="15"/>
        <v/>
      </c>
      <c r="S51" s="27" t="str">
        <f t="shared" si="24"/>
        <v/>
      </c>
      <c r="T51" s="28" t="str">
        <f t="shared" si="25"/>
        <v/>
      </c>
      <c r="U51" s="28" t="str">
        <f t="shared" si="26"/>
        <v/>
      </c>
      <c r="V51" s="28" t="str">
        <f t="shared" si="27"/>
        <v/>
      </c>
      <c r="W51" s="28" t="str">
        <f t="shared" si="28"/>
        <v/>
      </c>
      <c r="X51" s="29" t="str">
        <f t="shared" si="29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21"/>
        <v/>
      </c>
      <c r="M52" s="19" t="str">
        <f t="shared" si="22"/>
        <v/>
      </c>
      <c r="N52" s="19" t="str">
        <f t="shared" si="23"/>
        <v/>
      </c>
      <c r="O52" s="19" t="str">
        <f t="shared" si="16"/>
        <v/>
      </c>
      <c r="P52" s="19" t="str">
        <f t="shared" si="17"/>
        <v/>
      </c>
      <c r="Q52" s="19" t="str">
        <f t="shared" si="18"/>
        <v/>
      </c>
      <c r="R52" s="19" t="str">
        <f t="shared" si="15"/>
        <v/>
      </c>
      <c r="S52" s="27" t="str">
        <f t="shared" si="24"/>
        <v/>
      </c>
      <c r="T52" s="28" t="str">
        <f t="shared" si="25"/>
        <v/>
      </c>
      <c r="U52" s="28" t="str">
        <f t="shared" si="26"/>
        <v/>
      </c>
      <c r="V52" s="28" t="str">
        <f t="shared" si="27"/>
        <v/>
      </c>
      <c r="W52" s="28" t="str">
        <f t="shared" si="28"/>
        <v/>
      </c>
      <c r="X52" s="29" t="str">
        <f t="shared" si="29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21"/>
        <v/>
      </c>
      <c r="M53" s="19" t="str">
        <f t="shared" si="22"/>
        <v/>
      </c>
      <c r="N53" s="19" t="str">
        <f t="shared" si="23"/>
        <v/>
      </c>
      <c r="O53" s="19" t="str">
        <f t="shared" si="16"/>
        <v/>
      </c>
      <c r="P53" s="19" t="str">
        <f t="shared" si="17"/>
        <v/>
      </c>
      <c r="Q53" s="19" t="str">
        <f t="shared" si="18"/>
        <v/>
      </c>
      <c r="R53" s="19" t="str">
        <f t="shared" si="15"/>
        <v/>
      </c>
      <c r="S53" s="27" t="str">
        <f t="shared" si="24"/>
        <v/>
      </c>
      <c r="T53" s="28" t="str">
        <f t="shared" si="25"/>
        <v/>
      </c>
      <c r="U53" s="28" t="str">
        <f t="shared" si="26"/>
        <v/>
      </c>
      <c r="V53" s="28" t="str">
        <f t="shared" si="27"/>
        <v/>
      </c>
      <c r="W53" s="28" t="str">
        <f t="shared" si="28"/>
        <v/>
      </c>
      <c r="X53" s="29" t="str">
        <f t="shared" si="29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21"/>
        <v/>
      </c>
      <c r="M54" s="19" t="str">
        <f t="shared" si="22"/>
        <v/>
      </c>
      <c r="N54" s="19" t="str">
        <f t="shared" si="23"/>
        <v/>
      </c>
      <c r="O54" s="19" t="str">
        <f t="shared" si="16"/>
        <v/>
      </c>
      <c r="P54" s="19" t="str">
        <f t="shared" si="17"/>
        <v/>
      </c>
      <c r="Q54" s="19" t="str">
        <f t="shared" si="18"/>
        <v/>
      </c>
      <c r="R54" s="19" t="str">
        <f t="shared" si="15"/>
        <v/>
      </c>
      <c r="S54" s="27" t="str">
        <f t="shared" si="24"/>
        <v/>
      </c>
      <c r="T54" s="28" t="str">
        <f t="shared" si="25"/>
        <v/>
      </c>
      <c r="U54" s="28" t="str">
        <f t="shared" si="26"/>
        <v/>
      </c>
      <c r="V54" s="28" t="str">
        <f t="shared" si="27"/>
        <v/>
      </c>
      <c r="W54" s="28" t="str">
        <f t="shared" si="28"/>
        <v/>
      </c>
      <c r="X54" s="29" t="str">
        <f t="shared" si="29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21"/>
        <v/>
      </c>
      <c r="M55" s="19" t="str">
        <f t="shared" si="22"/>
        <v/>
      </c>
      <c r="N55" s="19" t="str">
        <f t="shared" si="23"/>
        <v/>
      </c>
      <c r="O55" s="19" t="str">
        <f t="shared" si="16"/>
        <v/>
      </c>
      <c r="P55" s="19" t="str">
        <f t="shared" si="17"/>
        <v/>
      </c>
      <c r="Q55" s="19" t="str">
        <f t="shared" si="18"/>
        <v/>
      </c>
      <c r="R55" s="19" t="str">
        <f t="shared" si="15"/>
        <v/>
      </c>
      <c r="S55" s="27" t="str">
        <f t="shared" si="24"/>
        <v/>
      </c>
      <c r="T55" s="28" t="str">
        <f t="shared" si="25"/>
        <v/>
      </c>
      <c r="U55" s="28" t="str">
        <f t="shared" si="26"/>
        <v/>
      </c>
      <c r="V55" s="28" t="str">
        <f t="shared" si="27"/>
        <v/>
      </c>
      <c r="W55" s="28" t="str">
        <f t="shared" si="28"/>
        <v/>
      </c>
      <c r="X55" s="29" t="str">
        <f t="shared" si="29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21"/>
        <v/>
      </c>
      <c r="M56" s="19" t="str">
        <f t="shared" si="22"/>
        <v/>
      </c>
      <c r="N56" s="19" t="str">
        <f t="shared" si="23"/>
        <v/>
      </c>
      <c r="O56" s="19" t="str">
        <f t="shared" si="16"/>
        <v/>
      </c>
      <c r="P56" s="19" t="str">
        <f t="shared" si="17"/>
        <v/>
      </c>
      <c r="Q56" s="19" t="str">
        <f t="shared" si="18"/>
        <v/>
      </c>
      <c r="R56" s="19" t="str">
        <f t="shared" si="15"/>
        <v/>
      </c>
      <c r="S56" s="27" t="str">
        <f t="shared" si="24"/>
        <v/>
      </c>
      <c r="T56" s="28" t="str">
        <f t="shared" si="25"/>
        <v/>
      </c>
      <c r="U56" s="28" t="str">
        <f t="shared" si="26"/>
        <v/>
      </c>
      <c r="V56" s="28" t="str">
        <f t="shared" si="27"/>
        <v/>
      </c>
      <c r="W56" s="28" t="str">
        <f t="shared" si="28"/>
        <v/>
      </c>
      <c r="X56" s="29" t="str">
        <f t="shared" si="29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21"/>
        <v/>
      </c>
      <c r="M57" s="19" t="str">
        <f t="shared" si="22"/>
        <v/>
      </c>
      <c r="N57" s="19" t="str">
        <f t="shared" si="23"/>
        <v/>
      </c>
      <c r="O57" s="19" t="str">
        <f t="shared" si="16"/>
        <v/>
      </c>
      <c r="P57" s="19" t="str">
        <f t="shared" si="17"/>
        <v/>
      </c>
      <c r="Q57" s="19" t="str">
        <f t="shared" si="18"/>
        <v/>
      </c>
      <c r="R57" s="19" t="str">
        <f t="shared" si="15"/>
        <v/>
      </c>
      <c r="S57" s="27" t="str">
        <f t="shared" si="24"/>
        <v/>
      </c>
      <c r="T57" s="28" t="str">
        <f t="shared" si="25"/>
        <v/>
      </c>
      <c r="U57" s="28" t="str">
        <f t="shared" si="26"/>
        <v/>
      </c>
      <c r="V57" s="28" t="str">
        <f t="shared" si="27"/>
        <v/>
      </c>
      <c r="W57" s="28" t="str">
        <f t="shared" si="28"/>
        <v/>
      </c>
      <c r="X57" s="29" t="str">
        <f t="shared" si="29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21"/>
        <v/>
      </c>
      <c r="M58" s="19" t="str">
        <f t="shared" si="22"/>
        <v/>
      </c>
      <c r="N58" s="19" t="str">
        <f t="shared" si="23"/>
        <v/>
      </c>
      <c r="O58" s="19" t="str">
        <f t="shared" si="16"/>
        <v/>
      </c>
      <c r="P58" s="19" t="str">
        <f t="shared" si="17"/>
        <v/>
      </c>
      <c r="Q58" s="19" t="str">
        <f t="shared" si="18"/>
        <v/>
      </c>
      <c r="R58" s="19" t="str">
        <f t="shared" si="15"/>
        <v/>
      </c>
      <c r="S58" s="27" t="str">
        <f t="shared" si="24"/>
        <v/>
      </c>
      <c r="T58" s="28" t="str">
        <f t="shared" si="25"/>
        <v/>
      </c>
      <c r="U58" s="28" t="str">
        <f t="shared" si="26"/>
        <v/>
      </c>
      <c r="V58" s="28" t="str">
        <f t="shared" si="27"/>
        <v/>
      </c>
      <c r="W58" s="28" t="str">
        <f t="shared" si="28"/>
        <v/>
      </c>
      <c r="X58" s="29" t="str">
        <f t="shared" si="29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21"/>
        <v/>
      </c>
      <c r="M59" s="19" t="str">
        <f t="shared" si="22"/>
        <v/>
      </c>
      <c r="N59" s="19" t="str">
        <f t="shared" si="23"/>
        <v/>
      </c>
      <c r="O59" s="19" t="str">
        <f t="shared" si="16"/>
        <v/>
      </c>
      <c r="P59" s="19" t="str">
        <f t="shared" si="17"/>
        <v/>
      </c>
      <c r="Q59" s="19" t="str">
        <f t="shared" si="18"/>
        <v/>
      </c>
      <c r="R59" s="19" t="str">
        <f t="shared" si="15"/>
        <v/>
      </c>
      <c r="S59" s="27" t="str">
        <f t="shared" si="24"/>
        <v/>
      </c>
      <c r="T59" s="28" t="str">
        <f t="shared" si="25"/>
        <v/>
      </c>
      <c r="U59" s="28" t="str">
        <f t="shared" si="26"/>
        <v/>
      </c>
      <c r="V59" s="28" t="str">
        <f t="shared" si="27"/>
        <v/>
      </c>
      <c r="W59" s="28" t="str">
        <f t="shared" si="28"/>
        <v/>
      </c>
      <c r="X59" s="29" t="str">
        <f t="shared" si="29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21"/>
        <v/>
      </c>
      <c r="M60" s="19" t="str">
        <f t="shared" si="22"/>
        <v/>
      </c>
      <c r="N60" s="19" t="str">
        <f t="shared" si="23"/>
        <v/>
      </c>
      <c r="O60" s="19" t="str">
        <f t="shared" si="16"/>
        <v/>
      </c>
      <c r="P60" s="19" t="str">
        <f t="shared" si="17"/>
        <v/>
      </c>
      <c r="Q60" s="19" t="str">
        <f t="shared" si="18"/>
        <v/>
      </c>
      <c r="R60" s="19" t="str">
        <f t="shared" si="15"/>
        <v/>
      </c>
      <c r="S60" s="27" t="str">
        <f t="shared" si="24"/>
        <v/>
      </c>
      <c r="T60" s="28" t="str">
        <f t="shared" si="25"/>
        <v/>
      </c>
      <c r="U60" s="28" t="str">
        <f t="shared" si="26"/>
        <v/>
      </c>
      <c r="V60" s="28" t="str">
        <f t="shared" si="27"/>
        <v/>
      </c>
      <c r="W60" s="28" t="str">
        <f t="shared" si="28"/>
        <v/>
      </c>
      <c r="X60" s="29" t="str">
        <f t="shared" si="29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1"/>
        <v/>
      </c>
      <c r="M61" s="19" t="str">
        <f t="shared" si="22"/>
        <v/>
      </c>
      <c r="N61" s="19" t="str">
        <f t="shared" si="23"/>
        <v/>
      </c>
      <c r="O61" s="19" t="str">
        <f t="shared" si="16"/>
        <v/>
      </c>
      <c r="P61" s="19" t="str">
        <f t="shared" si="17"/>
        <v/>
      </c>
      <c r="Q61" s="19" t="str">
        <f t="shared" si="18"/>
        <v/>
      </c>
      <c r="R61" s="19" t="str">
        <f t="shared" si="15"/>
        <v/>
      </c>
      <c r="S61" s="27" t="str">
        <f t="shared" si="24"/>
        <v/>
      </c>
      <c r="T61" s="28" t="str">
        <f t="shared" si="25"/>
        <v/>
      </c>
      <c r="U61" s="28" t="str">
        <f t="shared" si="26"/>
        <v/>
      </c>
      <c r="V61" s="28" t="str">
        <f t="shared" si="27"/>
        <v/>
      </c>
      <c r="W61" s="28" t="str">
        <f t="shared" si="28"/>
        <v/>
      </c>
      <c r="X61" s="29" t="str">
        <f t="shared" si="29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1"/>
        <v/>
      </c>
      <c r="M62" s="19" t="str">
        <f t="shared" si="22"/>
        <v/>
      </c>
      <c r="N62" s="19" t="str">
        <f t="shared" si="23"/>
        <v/>
      </c>
      <c r="O62" s="19" t="str">
        <f t="shared" si="16"/>
        <v/>
      </c>
      <c r="P62" s="19" t="str">
        <f t="shared" si="17"/>
        <v/>
      </c>
      <c r="Q62" s="19" t="str">
        <f t="shared" si="18"/>
        <v/>
      </c>
      <c r="R62" s="19" t="str">
        <f t="shared" si="15"/>
        <v/>
      </c>
      <c r="S62" s="27" t="str">
        <f t="shared" si="24"/>
        <v/>
      </c>
      <c r="T62" s="28" t="str">
        <f t="shared" si="25"/>
        <v/>
      </c>
      <c r="U62" s="28" t="str">
        <f t="shared" si="26"/>
        <v/>
      </c>
      <c r="V62" s="28" t="str">
        <f t="shared" si="27"/>
        <v/>
      </c>
      <c r="W62" s="28" t="str">
        <f t="shared" si="28"/>
        <v/>
      </c>
      <c r="X62" s="29" t="str">
        <f t="shared" si="29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21"/>
        <v/>
      </c>
      <c r="M63" s="19" t="str">
        <f t="shared" si="22"/>
        <v/>
      </c>
      <c r="N63" s="19" t="str">
        <f t="shared" si="23"/>
        <v/>
      </c>
      <c r="O63" s="19" t="str">
        <f t="shared" si="16"/>
        <v/>
      </c>
      <c r="P63" s="19" t="str">
        <f t="shared" si="17"/>
        <v/>
      </c>
      <c r="Q63" s="19" t="str">
        <f t="shared" si="18"/>
        <v/>
      </c>
      <c r="R63" s="19" t="str">
        <f t="shared" si="15"/>
        <v/>
      </c>
      <c r="S63" s="27" t="str">
        <f t="shared" si="24"/>
        <v/>
      </c>
      <c r="T63" s="28" t="str">
        <f t="shared" si="25"/>
        <v/>
      </c>
      <c r="U63" s="28" t="str">
        <f t="shared" si="26"/>
        <v/>
      </c>
      <c r="V63" s="28" t="str">
        <f t="shared" si="27"/>
        <v/>
      </c>
      <c r="W63" s="28" t="str">
        <f t="shared" si="28"/>
        <v/>
      </c>
      <c r="X63" s="29" t="str">
        <f t="shared" si="29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21"/>
        <v/>
      </c>
      <c r="M64" s="19" t="str">
        <f t="shared" si="22"/>
        <v/>
      </c>
      <c r="N64" s="19" t="str">
        <f t="shared" si="23"/>
        <v/>
      </c>
      <c r="O64" s="19" t="str">
        <f t="shared" si="16"/>
        <v/>
      </c>
      <c r="P64" s="19" t="str">
        <f t="shared" si="17"/>
        <v/>
      </c>
      <c r="Q64" s="19" t="str">
        <f t="shared" si="18"/>
        <v/>
      </c>
      <c r="R64" s="19" t="str">
        <f t="shared" si="15"/>
        <v/>
      </c>
      <c r="S64" s="27" t="str">
        <f t="shared" si="24"/>
        <v/>
      </c>
      <c r="T64" s="28" t="str">
        <f t="shared" si="25"/>
        <v/>
      </c>
      <c r="U64" s="28" t="str">
        <f t="shared" si="26"/>
        <v/>
      </c>
      <c r="V64" s="28" t="str">
        <f t="shared" si="27"/>
        <v/>
      </c>
      <c r="W64" s="28" t="str">
        <f t="shared" si="28"/>
        <v/>
      </c>
      <c r="X64" s="29" t="str">
        <f t="shared" si="29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21"/>
        <v/>
      </c>
      <c r="M65" s="19" t="str">
        <f t="shared" si="22"/>
        <v/>
      </c>
      <c r="N65" s="19" t="str">
        <f t="shared" si="23"/>
        <v/>
      </c>
      <c r="O65" s="19" t="str">
        <f t="shared" si="16"/>
        <v/>
      </c>
      <c r="P65" s="19" t="str">
        <f t="shared" si="17"/>
        <v/>
      </c>
      <c r="Q65" s="19" t="str">
        <f t="shared" si="18"/>
        <v/>
      </c>
      <c r="R65" s="19" t="str">
        <f t="shared" ref="R65:R96" si="30">IF(ISBLANK(I65),"",(I65-I$16)*1000)</f>
        <v/>
      </c>
      <c r="S65" s="27" t="str">
        <f t="shared" si="24"/>
        <v/>
      </c>
      <c r="T65" s="28" t="str">
        <f t="shared" si="25"/>
        <v/>
      </c>
      <c r="U65" s="28" t="str">
        <f t="shared" si="26"/>
        <v/>
      </c>
      <c r="V65" s="28" t="str">
        <f t="shared" si="27"/>
        <v/>
      </c>
      <c r="W65" s="28" t="str">
        <f t="shared" si="28"/>
        <v/>
      </c>
      <c r="X65" s="29" t="str">
        <f t="shared" si="29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21"/>
        <v/>
      </c>
      <c r="M66" s="19" t="str">
        <f t="shared" si="22"/>
        <v/>
      </c>
      <c r="N66" s="19" t="str">
        <f t="shared" si="23"/>
        <v/>
      </c>
      <c r="O66" s="19" t="str">
        <f t="shared" si="16"/>
        <v/>
      </c>
      <c r="P66" s="19" t="str">
        <f t="shared" si="17"/>
        <v/>
      </c>
      <c r="Q66" s="19" t="str">
        <f t="shared" si="18"/>
        <v/>
      </c>
      <c r="R66" s="19" t="str">
        <f t="shared" si="30"/>
        <v/>
      </c>
      <c r="S66" s="27" t="str">
        <f t="shared" si="24"/>
        <v/>
      </c>
      <c r="T66" s="28" t="str">
        <f t="shared" si="25"/>
        <v/>
      </c>
      <c r="U66" s="28" t="str">
        <f t="shared" si="26"/>
        <v/>
      </c>
      <c r="V66" s="28" t="str">
        <f t="shared" si="27"/>
        <v/>
      </c>
      <c r="W66" s="28" t="str">
        <f t="shared" si="28"/>
        <v/>
      </c>
      <c r="X66" s="29" t="str">
        <f t="shared" si="29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21"/>
        <v/>
      </c>
      <c r="M67" s="19" t="str">
        <f t="shared" si="22"/>
        <v/>
      </c>
      <c r="N67" s="19" t="str">
        <f t="shared" si="23"/>
        <v/>
      </c>
      <c r="O67" s="19" t="str">
        <f t="shared" si="16"/>
        <v/>
      </c>
      <c r="P67" s="19" t="str">
        <f t="shared" si="17"/>
        <v/>
      </c>
      <c r="Q67" s="19" t="str">
        <f t="shared" si="18"/>
        <v/>
      </c>
      <c r="R67" s="19" t="str">
        <f t="shared" si="30"/>
        <v/>
      </c>
      <c r="S67" s="27" t="str">
        <f t="shared" si="24"/>
        <v/>
      </c>
      <c r="T67" s="28" t="str">
        <f t="shared" si="25"/>
        <v/>
      </c>
      <c r="U67" s="28" t="str">
        <f t="shared" si="26"/>
        <v/>
      </c>
      <c r="V67" s="28" t="str">
        <f t="shared" si="27"/>
        <v/>
      </c>
      <c r="W67" s="28" t="str">
        <f t="shared" si="28"/>
        <v/>
      </c>
      <c r="X67" s="29" t="str">
        <f t="shared" si="29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21"/>
        <v/>
      </c>
      <c r="M68" s="19" t="str">
        <f t="shared" si="22"/>
        <v/>
      </c>
      <c r="N68" s="19" t="str">
        <f t="shared" si="23"/>
        <v/>
      </c>
      <c r="O68" s="19" t="str">
        <f t="shared" si="16"/>
        <v/>
      </c>
      <c r="P68" s="19" t="str">
        <f t="shared" si="17"/>
        <v/>
      </c>
      <c r="Q68" s="19" t="str">
        <f t="shared" si="18"/>
        <v/>
      </c>
      <c r="R68" s="19" t="str">
        <f t="shared" si="30"/>
        <v/>
      </c>
      <c r="S68" s="27" t="str">
        <f t="shared" si="24"/>
        <v/>
      </c>
      <c r="T68" s="28" t="str">
        <f t="shared" si="25"/>
        <v/>
      </c>
      <c r="U68" s="28" t="str">
        <f t="shared" si="26"/>
        <v/>
      </c>
      <c r="V68" s="28" t="str">
        <f t="shared" si="27"/>
        <v/>
      </c>
      <c r="W68" s="28" t="str">
        <f t="shared" si="28"/>
        <v/>
      </c>
      <c r="X68" s="29" t="str">
        <f t="shared" si="29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21"/>
        <v/>
      </c>
      <c r="M69" s="19" t="str">
        <f t="shared" si="22"/>
        <v/>
      </c>
      <c r="N69" s="19" t="str">
        <f t="shared" si="23"/>
        <v/>
      </c>
      <c r="O69" s="19" t="str">
        <f t="shared" si="16"/>
        <v/>
      </c>
      <c r="P69" s="19" t="str">
        <f t="shared" si="17"/>
        <v/>
      </c>
      <c r="Q69" s="19" t="str">
        <f t="shared" si="18"/>
        <v/>
      </c>
      <c r="R69" s="19" t="str">
        <f t="shared" si="30"/>
        <v/>
      </c>
      <c r="S69" s="27" t="str">
        <f t="shared" si="24"/>
        <v/>
      </c>
      <c r="T69" s="28" t="str">
        <f t="shared" si="25"/>
        <v/>
      </c>
      <c r="U69" s="28" t="str">
        <f t="shared" si="26"/>
        <v/>
      </c>
      <c r="V69" s="28" t="str">
        <f t="shared" si="27"/>
        <v/>
      </c>
      <c r="W69" s="28" t="str">
        <f t="shared" si="28"/>
        <v/>
      </c>
      <c r="X69" s="29" t="str">
        <f t="shared" si="29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1"/>
        <v/>
      </c>
      <c r="M70" s="19" t="str">
        <f t="shared" si="22"/>
        <v/>
      </c>
      <c r="N70" s="19" t="str">
        <f t="shared" si="23"/>
        <v/>
      </c>
      <c r="O70" s="19" t="str">
        <f t="shared" si="16"/>
        <v/>
      </c>
      <c r="P70" s="19" t="str">
        <f t="shared" si="17"/>
        <v/>
      </c>
      <c r="Q70" s="19" t="str">
        <f t="shared" si="18"/>
        <v/>
      </c>
      <c r="R70" s="19" t="str">
        <f t="shared" si="30"/>
        <v/>
      </c>
      <c r="S70" s="27" t="str">
        <f t="shared" si="24"/>
        <v/>
      </c>
      <c r="T70" s="28" t="str">
        <f t="shared" si="25"/>
        <v/>
      </c>
      <c r="U70" s="28" t="str">
        <f t="shared" si="26"/>
        <v/>
      </c>
      <c r="V70" s="28" t="str">
        <f t="shared" si="27"/>
        <v/>
      </c>
      <c r="W70" s="28" t="str">
        <f t="shared" si="28"/>
        <v/>
      </c>
      <c r="X70" s="29" t="str">
        <f t="shared" si="29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1"/>
        <v/>
      </c>
      <c r="M71" s="19" t="str">
        <f t="shared" si="22"/>
        <v/>
      </c>
      <c r="N71" s="19" t="str">
        <f t="shared" si="23"/>
        <v/>
      </c>
      <c r="O71" s="19" t="str">
        <f t="shared" si="16"/>
        <v/>
      </c>
      <c r="P71" s="19" t="str">
        <f t="shared" si="17"/>
        <v/>
      </c>
      <c r="Q71" s="19" t="str">
        <f t="shared" si="18"/>
        <v/>
      </c>
      <c r="R71" s="19" t="str">
        <f t="shared" si="30"/>
        <v/>
      </c>
      <c r="S71" s="27" t="str">
        <f t="shared" si="24"/>
        <v/>
      </c>
      <c r="T71" s="28" t="str">
        <f t="shared" si="25"/>
        <v/>
      </c>
      <c r="U71" s="28" t="str">
        <f t="shared" si="26"/>
        <v/>
      </c>
      <c r="V71" s="28" t="str">
        <f t="shared" si="27"/>
        <v/>
      </c>
      <c r="W71" s="28" t="str">
        <f t="shared" si="28"/>
        <v/>
      </c>
      <c r="X71" s="29" t="str">
        <f t="shared" si="29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1"/>
        <v/>
      </c>
      <c r="M72" s="19" t="str">
        <f t="shared" si="22"/>
        <v/>
      </c>
      <c r="N72" s="19" t="str">
        <f t="shared" si="23"/>
        <v/>
      </c>
      <c r="O72" s="19" t="str">
        <f t="shared" si="16"/>
        <v/>
      </c>
      <c r="P72" s="19" t="str">
        <f t="shared" si="17"/>
        <v/>
      </c>
      <c r="Q72" s="19" t="str">
        <f t="shared" si="18"/>
        <v/>
      </c>
      <c r="R72" s="19" t="str">
        <f t="shared" si="30"/>
        <v/>
      </c>
      <c r="S72" s="27" t="str">
        <f t="shared" si="24"/>
        <v/>
      </c>
      <c r="T72" s="28" t="str">
        <f t="shared" si="25"/>
        <v/>
      </c>
      <c r="U72" s="28" t="str">
        <f t="shared" si="26"/>
        <v/>
      </c>
      <c r="V72" s="28" t="str">
        <f t="shared" si="27"/>
        <v/>
      </c>
      <c r="W72" s="28" t="str">
        <f t="shared" si="28"/>
        <v/>
      </c>
      <c r="X72" s="29" t="str">
        <f t="shared" si="29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1"/>
        <v/>
      </c>
      <c r="M73" s="19" t="str">
        <f t="shared" si="22"/>
        <v/>
      </c>
      <c r="N73" s="19" t="str">
        <f t="shared" si="23"/>
        <v/>
      </c>
      <c r="O73" s="19" t="str">
        <f t="shared" si="16"/>
        <v/>
      </c>
      <c r="P73" s="19" t="str">
        <f t="shared" si="17"/>
        <v/>
      </c>
      <c r="Q73" s="19" t="str">
        <f t="shared" si="18"/>
        <v/>
      </c>
      <c r="R73" s="19" t="str">
        <f t="shared" si="30"/>
        <v/>
      </c>
      <c r="S73" s="27" t="str">
        <f t="shared" si="24"/>
        <v/>
      </c>
      <c r="T73" s="28" t="str">
        <f t="shared" si="25"/>
        <v/>
      </c>
      <c r="U73" s="28" t="str">
        <f t="shared" si="26"/>
        <v/>
      </c>
      <c r="V73" s="28" t="str">
        <f t="shared" si="27"/>
        <v/>
      </c>
      <c r="W73" s="28" t="str">
        <f t="shared" si="28"/>
        <v/>
      </c>
      <c r="X73" s="29" t="str">
        <f t="shared" si="29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1"/>
        <v/>
      </c>
      <c r="M74" s="19" t="str">
        <f t="shared" si="22"/>
        <v/>
      </c>
      <c r="N74" s="19" t="str">
        <f t="shared" si="23"/>
        <v/>
      </c>
      <c r="O74" s="19" t="str">
        <f t="shared" si="16"/>
        <v/>
      </c>
      <c r="P74" s="19" t="str">
        <f t="shared" si="17"/>
        <v/>
      </c>
      <c r="Q74" s="19" t="str">
        <f t="shared" si="18"/>
        <v/>
      </c>
      <c r="R74" s="19" t="str">
        <f t="shared" si="30"/>
        <v/>
      </c>
      <c r="S74" s="27" t="str">
        <f t="shared" si="24"/>
        <v/>
      </c>
      <c r="T74" s="28" t="str">
        <f t="shared" si="25"/>
        <v/>
      </c>
      <c r="U74" s="28" t="str">
        <f t="shared" si="26"/>
        <v/>
      </c>
      <c r="V74" s="28" t="str">
        <f t="shared" si="27"/>
        <v/>
      </c>
      <c r="W74" s="28" t="str">
        <f t="shared" si="28"/>
        <v/>
      </c>
      <c r="X74" s="29" t="str">
        <f t="shared" si="29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1"/>
        <v/>
      </c>
      <c r="M75" s="19" t="str">
        <f t="shared" si="22"/>
        <v/>
      </c>
      <c r="N75" s="19" t="str">
        <f t="shared" si="23"/>
        <v/>
      </c>
      <c r="O75" s="19" t="str">
        <f t="shared" si="16"/>
        <v/>
      </c>
      <c r="P75" s="19" t="str">
        <f t="shared" si="17"/>
        <v/>
      </c>
      <c r="Q75" s="19" t="str">
        <f t="shared" si="18"/>
        <v/>
      </c>
      <c r="R75" s="19" t="str">
        <f t="shared" si="30"/>
        <v/>
      </c>
      <c r="S75" s="27" t="str">
        <f t="shared" si="24"/>
        <v/>
      </c>
      <c r="T75" s="28" t="str">
        <f t="shared" si="25"/>
        <v/>
      </c>
      <c r="U75" s="28" t="str">
        <f t="shared" si="26"/>
        <v/>
      </c>
      <c r="V75" s="28" t="str">
        <f t="shared" si="27"/>
        <v/>
      </c>
      <c r="W75" s="28" t="str">
        <f t="shared" si="28"/>
        <v/>
      </c>
      <c r="X75" s="29" t="str">
        <f t="shared" si="29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1"/>
        <v/>
      </c>
      <c r="M76" s="19" t="str">
        <f t="shared" si="22"/>
        <v/>
      </c>
      <c r="N76" s="19" t="str">
        <f t="shared" si="23"/>
        <v/>
      </c>
      <c r="O76" s="19" t="str">
        <f t="shared" si="16"/>
        <v/>
      </c>
      <c r="P76" s="19" t="str">
        <f t="shared" si="17"/>
        <v/>
      </c>
      <c r="Q76" s="19" t="str">
        <f t="shared" si="18"/>
        <v/>
      </c>
      <c r="R76" s="19" t="str">
        <f t="shared" si="30"/>
        <v/>
      </c>
      <c r="S76" s="27" t="str">
        <f t="shared" si="24"/>
        <v/>
      </c>
      <c r="T76" s="28" t="str">
        <f t="shared" si="25"/>
        <v/>
      </c>
      <c r="U76" s="28" t="str">
        <f t="shared" si="26"/>
        <v/>
      </c>
      <c r="V76" s="28" t="str">
        <f t="shared" si="27"/>
        <v/>
      </c>
      <c r="W76" s="28" t="str">
        <f t="shared" si="28"/>
        <v/>
      </c>
      <c r="X76" s="29" t="str">
        <f t="shared" si="29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1"/>
        <v/>
      </c>
      <c r="M77" s="19" t="str">
        <f t="shared" si="22"/>
        <v/>
      </c>
      <c r="N77" s="19" t="str">
        <f t="shared" si="23"/>
        <v/>
      </c>
      <c r="O77" s="19" t="str">
        <f t="shared" si="16"/>
        <v/>
      </c>
      <c r="P77" s="19" t="str">
        <f t="shared" si="17"/>
        <v/>
      </c>
      <c r="Q77" s="19" t="str">
        <f t="shared" si="18"/>
        <v/>
      </c>
      <c r="R77" s="19" t="str">
        <f t="shared" si="30"/>
        <v/>
      </c>
      <c r="S77" s="27" t="str">
        <f t="shared" si="24"/>
        <v/>
      </c>
      <c r="T77" s="28" t="str">
        <f t="shared" si="25"/>
        <v/>
      </c>
      <c r="U77" s="28" t="str">
        <f t="shared" si="26"/>
        <v/>
      </c>
      <c r="V77" s="28" t="str">
        <f t="shared" si="27"/>
        <v/>
      </c>
      <c r="W77" s="28" t="str">
        <f t="shared" si="28"/>
        <v/>
      </c>
      <c r="X77" s="29" t="str">
        <f t="shared" si="29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1"/>
        <v/>
      </c>
      <c r="M78" s="19" t="str">
        <f t="shared" si="22"/>
        <v/>
      </c>
      <c r="N78" s="19" t="str">
        <f t="shared" si="23"/>
        <v/>
      </c>
      <c r="O78" s="19" t="str">
        <f t="shared" si="16"/>
        <v/>
      </c>
      <c r="P78" s="19" t="str">
        <f t="shared" si="17"/>
        <v/>
      </c>
      <c r="Q78" s="19" t="str">
        <f t="shared" si="18"/>
        <v/>
      </c>
      <c r="R78" s="19" t="str">
        <f t="shared" si="30"/>
        <v/>
      </c>
      <c r="S78" s="27" t="str">
        <f t="shared" si="24"/>
        <v/>
      </c>
      <c r="T78" s="28" t="str">
        <f t="shared" si="25"/>
        <v/>
      </c>
      <c r="U78" s="28" t="str">
        <f t="shared" si="26"/>
        <v/>
      </c>
      <c r="V78" s="28" t="str">
        <f t="shared" si="27"/>
        <v/>
      </c>
      <c r="W78" s="28" t="str">
        <f t="shared" si="28"/>
        <v/>
      </c>
      <c r="X78" s="29" t="str">
        <f t="shared" si="29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1"/>
        <v/>
      </c>
      <c r="M79" s="19" t="str">
        <f t="shared" si="22"/>
        <v/>
      </c>
      <c r="N79" s="19" t="str">
        <f t="shared" si="23"/>
        <v/>
      </c>
      <c r="O79" s="19" t="str">
        <f t="shared" si="16"/>
        <v/>
      </c>
      <c r="P79" s="19" t="str">
        <f t="shared" si="17"/>
        <v/>
      </c>
      <c r="Q79" s="19" t="str">
        <f t="shared" si="18"/>
        <v/>
      </c>
      <c r="R79" s="19" t="str">
        <f t="shared" si="30"/>
        <v/>
      </c>
      <c r="S79" s="27" t="str">
        <f t="shared" si="24"/>
        <v/>
      </c>
      <c r="T79" s="28" t="str">
        <f t="shared" si="25"/>
        <v/>
      </c>
      <c r="U79" s="28" t="str">
        <f t="shared" si="26"/>
        <v/>
      </c>
      <c r="V79" s="28" t="str">
        <f t="shared" si="27"/>
        <v/>
      </c>
      <c r="W79" s="28" t="str">
        <f t="shared" si="28"/>
        <v/>
      </c>
      <c r="X79" s="29" t="str">
        <f t="shared" si="29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1">IF(ISBLANK(C80),"",(C80-C$16)*1000)</f>
        <v/>
      </c>
      <c r="M80" s="19" t="str">
        <f t="shared" ref="M80:M111" si="32">IF(ISBLANK(D80),"",(D80-D$16)*1000)</f>
        <v/>
      </c>
      <c r="N80" s="19" t="str">
        <f t="shared" ref="N80:N111" si="33">IF(ISBLANK(E80),"",(E80-E$16)*1000)</f>
        <v/>
      </c>
      <c r="O80" s="19" t="str">
        <f t="shared" si="16"/>
        <v/>
      </c>
      <c r="P80" s="19" t="str">
        <f t="shared" si="17"/>
        <v/>
      </c>
      <c r="Q80" s="19" t="str">
        <f t="shared" si="18"/>
        <v/>
      </c>
      <c r="R80" s="19" t="str">
        <f t="shared" si="30"/>
        <v/>
      </c>
      <c r="S80" s="27" t="str">
        <f t="shared" si="24"/>
        <v/>
      </c>
      <c r="T80" s="28" t="str">
        <f t="shared" si="25"/>
        <v/>
      </c>
      <c r="U80" s="28" t="str">
        <f t="shared" si="26"/>
        <v/>
      </c>
      <c r="V80" s="28" t="str">
        <f t="shared" si="27"/>
        <v/>
      </c>
      <c r="W80" s="28" t="str">
        <f t="shared" si="28"/>
        <v/>
      </c>
      <c r="X80" s="29" t="str">
        <f t="shared" si="29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1"/>
        <v/>
      </c>
      <c r="M81" s="19" t="str">
        <f t="shared" si="32"/>
        <v/>
      </c>
      <c r="N81" s="19" t="str">
        <f t="shared" si="33"/>
        <v/>
      </c>
      <c r="O81" s="19" t="str">
        <f t="shared" si="16"/>
        <v/>
      </c>
      <c r="P81" s="19" t="str">
        <f t="shared" si="17"/>
        <v/>
      </c>
      <c r="Q81" s="19" t="str">
        <f t="shared" si="18"/>
        <v/>
      </c>
      <c r="R81" s="19" t="str">
        <f t="shared" si="30"/>
        <v/>
      </c>
      <c r="S81" s="27" t="str">
        <f t="shared" ref="S81:S112" si="34">IF(C81="","",((C81-C80)*1000)/($B81-$B80))</f>
        <v/>
      </c>
      <c r="T81" s="28" t="str">
        <f t="shared" ref="T81:T112" si="35">IF(D81="","",((D81-D80)*1000)/($B81-$B80))</f>
        <v/>
      </c>
      <c r="U81" s="28" t="str">
        <f t="shared" ref="U81:U112" si="36">IF(E81="","",((E81-E80)*1000)/($B81-$B80))</f>
        <v/>
      </c>
      <c r="V81" s="28" t="str">
        <f t="shared" ref="V81:V112" si="37">IF(F81="","",((F81-F80)*1000)/($B81-$B80))</f>
        <v/>
      </c>
      <c r="W81" s="28" t="str">
        <f t="shared" ref="W81:W112" si="38">IF(G81="","",((G81-G80)*1000)/($B81-$B80))</f>
        <v/>
      </c>
      <c r="X81" s="29" t="str">
        <f t="shared" ref="X81:X112" si="39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1"/>
        <v/>
      </c>
      <c r="M82" s="19" t="str">
        <f t="shared" si="32"/>
        <v/>
      </c>
      <c r="N82" s="19" t="str">
        <f t="shared" si="33"/>
        <v/>
      </c>
      <c r="O82" s="19" t="str">
        <f t="shared" si="16"/>
        <v/>
      </c>
      <c r="P82" s="19" t="str">
        <f t="shared" si="17"/>
        <v/>
      </c>
      <c r="Q82" s="19" t="str">
        <f t="shared" si="18"/>
        <v/>
      </c>
      <c r="R82" s="19" t="str">
        <f t="shared" si="30"/>
        <v/>
      </c>
      <c r="S82" s="27" t="str">
        <f t="shared" si="34"/>
        <v/>
      </c>
      <c r="T82" s="28" t="str">
        <f t="shared" si="35"/>
        <v/>
      </c>
      <c r="U82" s="28" t="str">
        <f t="shared" si="36"/>
        <v/>
      </c>
      <c r="V82" s="28" t="str">
        <f t="shared" si="37"/>
        <v/>
      </c>
      <c r="W82" s="28" t="str">
        <f t="shared" si="38"/>
        <v/>
      </c>
      <c r="X82" s="29" t="str">
        <f t="shared" si="3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1"/>
        <v/>
      </c>
      <c r="M83" s="19" t="str">
        <f t="shared" si="32"/>
        <v/>
      </c>
      <c r="N83" s="19" t="str">
        <f t="shared" si="33"/>
        <v/>
      </c>
      <c r="O83" s="19" t="str">
        <f t="shared" si="16"/>
        <v/>
      </c>
      <c r="P83" s="19" t="str">
        <f t="shared" si="17"/>
        <v/>
      </c>
      <c r="Q83" s="19" t="str">
        <f t="shared" si="18"/>
        <v/>
      </c>
      <c r="R83" s="19" t="str">
        <f t="shared" si="30"/>
        <v/>
      </c>
      <c r="S83" s="27" t="str">
        <f t="shared" si="34"/>
        <v/>
      </c>
      <c r="T83" s="28" t="str">
        <f t="shared" si="35"/>
        <v/>
      </c>
      <c r="U83" s="28" t="str">
        <f t="shared" si="36"/>
        <v/>
      </c>
      <c r="V83" s="28" t="str">
        <f t="shared" si="37"/>
        <v/>
      </c>
      <c r="W83" s="28" t="str">
        <f t="shared" si="38"/>
        <v/>
      </c>
      <c r="X83" s="29" t="str">
        <f t="shared" si="3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1"/>
        <v/>
      </c>
      <c r="M84" s="19" t="str">
        <f t="shared" si="32"/>
        <v/>
      </c>
      <c r="N84" s="19" t="str">
        <f t="shared" si="33"/>
        <v/>
      </c>
      <c r="O84" s="19" t="str">
        <f t="shared" si="16"/>
        <v/>
      </c>
      <c r="P84" s="19" t="str">
        <f t="shared" si="17"/>
        <v/>
      </c>
      <c r="Q84" s="19" t="str">
        <f t="shared" si="18"/>
        <v/>
      </c>
      <c r="R84" s="19" t="str">
        <f t="shared" si="30"/>
        <v/>
      </c>
      <c r="S84" s="27" t="str">
        <f t="shared" si="34"/>
        <v/>
      </c>
      <c r="T84" s="28" t="str">
        <f t="shared" si="35"/>
        <v/>
      </c>
      <c r="U84" s="28" t="str">
        <f t="shared" si="36"/>
        <v/>
      </c>
      <c r="V84" s="28" t="str">
        <f t="shared" si="37"/>
        <v/>
      </c>
      <c r="W84" s="28" t="str">
        <f t="shared" si="38"/>
        <v/>
      </c>
      <c r="X84" s="29" t="str">
        <f t="shared" si="3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1"/>
        <v/>
      </c>
      <c r="M85" s="19" t="str">
        <f t="shared" si="32"/>
        <v/>
      </c>
      <c r="N85" s="19" t="str">
        <f t="shared" si="33"/>
        <v/>
      </c>
      <c r="O85" s="19" t="str">
        <f t="shared" si="16"/>
        <v/>
      </c>
      <c r="P85" s="19" t="str">
        <f t="shared" si="17"/>
        <v/>
      </c>
      <c r="Q85" s="19" t="str">
        <f t="shared" si="18"/>
        <v/>
      </c>
      <c r="R85" s="19" t="str">
        <f t="shared" si="30"/>
        <v/>
      </c>
      <c r="S85" s="27" t="str">
        <f t="shared" si="34"/>
        <v/>
      </c>
      <c r="T85" s="28" t="str">
        <f t="shared" si="35"/>
        <v/>
      </c>
      <c r="U85" s="28" t="str">
        <f t="shared" si="36"/>
        <v/>
      </c>
      <c r="V85" s="28" t="str">
        <f t="shared" si="37"/>
        <v/>
      </c>
      <c r="W85" s="28" t="str">
        <f t="shared" si="38"/>
        <v/>
      </c>
      <c r="X85" s="29" t="str">
        <f t="shared" si="3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1"/>
        <v/>
      </c>
      <c r="M86" s="19" t="str">
        <f t="shared" si="32"/>
        <v/>
      </c>
      <c r="N86" s="19" t="str">
        <f t="shared" si="33"/>
        <v/>
      </c>
      <c r="O86" s="19" t="str">
        <f t="shared" si="16"/>
        <v/>
      </c>
      <c r="P86" s="19" t="str">
        <f t="shared" si="17"/>
        <v/>
      </c>
      <c r="Q86" s="19" t="str">
        <f t="shared" si="18"/>
        <v/>
      </c>
      <c r="R86" s="19" t="str">
        <f t="shared" si="30"/>
        <v/>
      </c>
      <c r="S86" s="27" t="str">
        <f t="shared" si="34"/>
        <v/>
      </c>
      <c r="T86" s="28" t="str">
        <f t="shared" si="35"/>
        <v/>
      </c>
      <c r="U86" s="28" t="str">
        <f t="shared" si="36"/>
        <v/>
      </c>
      <c r="V86" s="28" t="str">
        <f t="shared" si="37"/>
        <v/>
      </c>
      <c r="W86" s="28" t="str">
        <f t="shared" si="38"/>
        <v/>
      </c>
      <c r="X86" s="29" t="str">
        <f t="shared" si="3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1"/>
        <v/>
      </c>
      <c r="M87" s="19" t="str">
        <f t="shared" si="32"/>
        <v/>
      </c>
      <c r="N87" s="19" t="str">
        <f t="shared" si="33"/>
        <v/>
      </c>
      <c r="O87" s="19" t="str">
        <f t="shared" si="16"/>
        <v/>
      </c>
      <c r="P87" s="19" t="str">
        <f t="shared" si="17"/>
        <v/>
      </c>
      <c r="Q87" s="19" t="str">
        <f t="shared" si="18"/>
        <v/>
      </c>
      <c r="R87" s="19" t="str">
        <f t="shared" si="30"/>
        <v/>
      </c>
      <c r="S87" s="27" t="str">
        <f t="shared" si="34"/>
        <v/>
      </c>
      <c r="T87" s="28" t="str">
        <f t="shared" si="35"/>
        <v/>
      </c>
      <c r="U87" s="28" t="str">
        <f t="shared" si="36"/>
        <v/>
      </c>
      <c r="V87" s="28" t="str">
        <f t="shared" si="37"/>
        <v/>
      </c>
      <c r="W87" s="28" t="str">
        <f t="shared" si="38"/>
        <v/>
      </c>
      <c r="X87" s="29" t="str">
        <f t="shared" si="3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1"/>
        <v/>
      </c>
      <c r="M88" s="19" t="str">
        <f t="shared" si="32"/>
        <v/>
      </c>
      <c r="N88" s="19" t="str">
        <f t="shared" si="33"/>
        <v/>
      </c>
      <c r="O88" s="19" t="str">
        <f t="shared" si="16"/>
        <v/>
      </c>
      <c r="P88" s="19" t="str">
        <f t="shared" si="17"/>
        <v/>
      </c>
      <c r="Q88" s="19" t="str">
        <f t="shared" si="18"/>
        <v/>
      </c>
      <c r="R88" s="19" t="str">
        <f t="shared" si="30"/>
        <v/>
      </c>
      <c r="S88" s="27" t="str">
        <f t="shared" si="34"/>
        <v/>
      </c>
      <c r="T88" s="28" t="str">
        <f t="shared" si="35"/>
        <v/>
      </c>
      <c r="U88" s="28" t="str">
        <f t="shared" si="36"/>
        <v/>
      </c>
      <c r="V88" s="28" t="str">
        <f t="shared" si="37"/>
        <v/>
      </c>
      <c r="W88" s="28" t="str">
        <f t="shared" si="38"/>
        <v/>
      </c>
      <c r="X88" s="29" t="str">
        <f t="shared" si="3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1"/>
        <v/>
      </c>
      <c r="M89" s="19" t="str">
        <f t="shared" si="32"/>
        <v/>
      </c>
      <c r="N89" s="19" t="str">
        <f t="shared" si="33"/>
        <v/>
      </c>
      <c r="O89" s="19" t="str">
        <f t="shared" si="16"/>
        <v/>
      </c>
      <c r="P89" s="19" t="str">
        <f t="shared" si="17"/>
        <v/>
      </c>
      <c r="Q89" s="19" t="str">
        <f t="shared" si="18"/>
        <v/>
      </c>
      <c r="R89" s="19" t="str">
        <f t="shared" si="30"/>
        <v/>
      </c>
      <c r="S89" s="27" t="str">
        <f t="shared" si="34"/>
        <v/>
      </c>
      <c r="T89" s="28" t="str">
        <f t="shared" si="35"/>
        <v/>
      </c>
      <c r="U89" s="28" t="str">
        <f t="shared" si="36"/>
        <v/>
      </c>
      <c r="V89" s="28" t="str">
        <f t="shared" si="37"/>
        <v/>
      </c>
      <c r="W89" s="28" t="str">
        <f t="shared" si="38"/>
        <v/>
      </c>
      <c r="X89" s="29" t="str">
        <f t="shared" si="3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1"/>
        <v/>
      </c>
      <c r="M90" s="19" t="str">
        <f t="shared" si="32"/>
        <v/>
      </c>
      <c r="N90" s="19" t="str">
        <f t="shared" si="33"/>
        <v/>
      </c>
      <c r="O90" s="19" t="str">
        <f t="shared" si="16"/>
        <v/>
      </c>
      <c r="P90" s="19" t="str">
        <f t="shared" si="17"/>
        <v/>
      </c>
      <c r="Q90" s="19" t="str">
        <f t="shared" si="18"/>
        <v/>
      </c>
      <c r="R90" s="19" t="str">
        <f t="shared" si="30"/>
        <v/>
      </c>
      <c r="S90" s="27" t="str">
        <f t="shared" si="34"/>
        <v/>
      </c>
      <c r="T90" s="28" t="str">
        <f t="shared" si="35"/>
        <v/>
      </c>
      <c r="U90" s="28" t="str">
        <f t="shared" si="36"/>
        <v/>
      </c>
      <c r="V90" s="28" t="str">
        <f t="shared" si="37"/>
        <v/>
      </c>
      <c r="W90" s="28" t="str">
        <f t="shared" si="38"/>
        <v/>
      </c>
      <c r="X90" s="29" t="str">
        <f t="shared" si="3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1"/>
        <v/>
      </c>
      <c r="M91" s="19" t="str">
        <f t="shared" si="32"/>
        <v/>
      </c>
      <c r="N91" s="19" t="str">
        <f t="shared" si="33"/>
        <v/>
      </c>
      <c r="O91" s="19" t="str">
        <f t="shared" si="16"/>
        <v/>
      </c>
      <c r="P91" s="19" t="str">
        <f t="shared" si="17"/>
        <v/>
      </c>
      <c r="Q91" s="19" t="str">
        <f t="shared" si="18"/>
        <v/>
      </c>
      <c r="R91" s="19" t="str">
        <f t="shared" si="30"/>
        <v/>
      </c>
      <c r="S91" s="27" t="str">
        <f t="shared" si="34"/>
        <v/>
      </c>
      <c r="T91" s="28" t="str">
        <f t="shared" si="35"/>
        <v/>
      </c>
      <c r="U91" s="28" t="str">
        <f t="shared" si="36"/>
        <v/>
      </c>
      <c r="V91" s="28" t="str">
        <f t="shared" si="37"/>
        <v/>
      </c>
      <c r="W91" s="28" t="str">
        <f t="shared" si="38"/>
        <v/>
      </c>
      <c r="X91" s="29" t="str">
        <f t="shared" si="3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1"/>
        <v/>
      </c>
      <c r="M92" s="19" t="str">
        <f t="shared" si="32"/>
        <v/>
      </c>
      <c r="N92" s="19" t="str">
        <f t="shared" si="33"/>
        <v/>
      </c>
      <c r="O92" s="19" t="str">
        <f t="shared" si="16"/>
        <v/>
      </c>
      <c r="P92" s="19" t="str">
        <f t="shared" si="17"/>
        <v/>
      </c>
      <c r="Q92" s="19" t="str">
        <f t="shared" si="18"/>
        <v/>
      </c>
      <c r="R92" s="19" t="str">
        <f t="shared" si="30"/>
        <v/>
      </c>
      <c r="S92" s="27" t="str">
        <f t="shared" si="34"/>
        <v/>
      </c>
      <c r="T92" s="28" t="str">
        <f t="shared" si="35"/>
        <v/>
      </c>
      <c r="U92" s="28" t="str">
        <f t="shared" si="36"/>
        <v/>
      </c>
      <c r="V92" s="28" t="str">
        <f t="shared" si="37"/>
        <v/>
      </c>
      <c r="W92" s="28" t="str">
        <f t="shared" si="38"/>
        <v/>
      </c>
      <c r="X92" s="29" t="str">
        <f t="shared" si="3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1"/>
        <v/>
      </c>
      <c r="M93" s="19" t="str">
        <f t="shared" si="32"/>
        <v/>
      </c>
      <c r="N93" s="19" t="str">
        <f t="shared" si="33"/>
        <v/>
      </c>
      <c r="O93" s="19" t="str">
        <f t="shared" si="16"/>
        <v/>
      </c>
      <c r="P93" s="19" t="str">
        <f t="shared" si="17"/>
        <v/>
      </c>
      <c r="Q93" s="19" t="str">
        <f t="shared" si="18"/>
        <v/>
      </c>
      <c r="R93" s="19" t="str">
        <f t="shared" si="30"/>
        <v/>
      </c>
      <c r="S93" s="27" t="str">
        <f t="shared" si="34"/>
        <v/>
      </c>
      <c r="T93" s="28" t="str">
        <f t="shared" si="35"/>
        <v/>
      </c>
      <c r="U93" s="28" t="str">
        <f t="shared" si="36"/>
        <v/>
      </c>
      <c r="V93" s="28" t="str">
        <f t="shared" si="37"/>
        <v/>
      </c>
      <c r="W93" s="28" t="str">
        <f t="shared" si="38"/>
        <v/>
      </c>
      <c r="X93" s="29" t="str">
        <f t="shared" si="3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1"/>
        <v/>
      </c>
      <c r="M94" s="19" t="str">
        <f t="shared" si="32"/>
        <v/>
      </c>
      <c r="N94" s="19" t="str">
        <f t="shared" si="33"/>
        <v/>
      </c>
      <c r="O94" s="19" t="str">
        <f t="shared" si="16"/>
        <v/>
      </c>
      <c r="P94" s="19" t="str">
        <f t="shared" si="17"/>
        <v/>
      </c>
      <c r="Q94" s="19" t="str">
        <f t="shared" si="18"/>
        <v/>
      </c>
      <c r="R94" s="19" t="str">
        <f t="shared" si="30"/>
        <v/>
      </c>
      <c r="S94" s="27" t="str">
        <f t="shared" si="34"/>
        <v/>
      </c>
      <c r="T94" s="28" t="str">
        <f t="shared" si="35"/>
        <v/>
      </c>
      <c r="U94" s="28" t="str">
        <f t="shared" si="36"/>
        <v/>
      </c>
      <c r="V94" s="28" t="str">
        <f t="shared" si="37"/>
        <v/>
      </c>
      <c r="W94" s="28" t="str">
        <f t="shared" si="38"/>
        <v/>
      </c>
      <c r="X94" s="29" t="str">
        <f t="shared" si="3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1"/>
        <v/>
      </c>
      <c r="M95" s="19" t="str">
        <f t="shared" si="32"/>
        <v/>
      </c>
      <c r="N95" s="19" t="str">
        <f t="shared" si="33"/>
        <v/>
      </c>
      <c r="O95" s="19" t="str">
        <f t="shared" si="16"/>
        <v/>
      </c>
      <c r="P95" s="19" t="str">
        <f t="shared" si="17"/>
        <v/>
      </c>
      <c r="Q95" s="19" t="str">
        <f t="shared" si="18"/>
        <v/>
      </c>
      <c r="R95" s="19" t="str">
        <f t="shared" si="30"/>
        <v/>
      </c>
      <c r="S95" s="27" t="str">
        <f t="shared" si="34"/>
        <v/>
      </c>
      <c r="T95" s="28" t="str">
        <f t="shared" si="35"/>
        <v/>
      </c>
      <c r="U95" s="28" t="str">
        <f t="shared" si="36"/>
        <v/>
      </c>
      <c r="V95" s="28" t="str">
        <f t="shared" si="37"/>
        <v/>
      </c>
      <c r="W95" s="28" t="str">
        <f t="shared" si="38"/>
        <v/>
      </c>
      <c r="X95" s="29" t="str">
        <f t="shared" si="3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1"/>
        <v/>
      </c>
      <c r="M96" s="19" t="str">
        <f t="shared" si="32"/>
        <v/>
      </c>
      <c r="N96" s="19" t="str">
        <f t="shared" si="33"/>
        <v/>
      </c>
      <c r="O96" s="19" t="str">
        <f t="shared" si="16"/>
        <v/>
      </c>
      <c r="P96" s="19" t="str">
        <f t="shared" si="17"/>
        <v/>
      </c>
      <c r="Q96" s="19" t="str">
        <f t="shared" si="18"/>
        <v/>
      </c>
      <c r="R96" s="19" t="str">
        <f t="shared" si="30"/>
        <v/>
      </c>
      <c r="S96" s="27" t="str">
        <f t="shared" si="34"/>
        <v/>
      </c>
      <c r="T96" s="28" t="str">
        <f t="shared" si="35"/>
        <v/>
      </c>
      <c r="U96" s="28" t="str">
        <f t="shared" si="36"/>
        <v/>
      </c>
      <c r="V96" s="28" t="str">
        <f t="shared" si="37"/>
        <v/>
      </c>
      <c r="W96" s="28" t="str">
        <f t="shared" si="38"/>
        <v/>
      </c>
      <c r="X96" s="29" t="str">
        <f t="shared" si="3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1"/>
        <v/>
      </c>
      <c r="M97" s="19" t="str">
        <f t="shared" si="32"/>
        <v/>
      </c>
      <c r="N97" s="19" t="str">
        <f t="shared" si="33"/>
        <v/>
      </c>
      <c r="O97" s="19" t="str">
        <f t="shared" si="16"/>
        <v/>
      </c>
      <c r="P97" s="19" t="str">
        <f t="shared" si="17"/>
        <v/>
      </c>
      <c r="Q97" s="19" t="str">
        <f t="shared" si="18"/>
        <v/>
      </c>
      <c r="R97" s="19" t="str">
        <f t="shared" ref="R97:R128" si="40">IF(ISBLANK(I97),"",(I97-I$16)*1000)</f>
        <v/>
      </c>
      <c r="S97" s="27" t="str">
        <f t="shared" si="34"/>
        <v/>
      </c>
      <c r="T97" s="28" t="str">
        <f t="shared" si="35"/>
        <v/>
      </c>
      <c r="U97" s="28" t="str">
        <f t="shared" si="36"/>
        <v/>
      </c>
      <c r="V97" s="28" t="str">
        <f t="shared" si="37"/>
        <v/>
      </c>
      <c r="W97" s="28" t="str">
        <f t="shared" si="38"/>
        <v/>
      </c>
      <c r="X97" s="29" t="str">
        <f t="shared" si="3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1"/>
        <v/>
      </c>
      <c r="M98" s="19" t="str">
        <f t="shared" si="32"/>
        <v/>
      </c>
      <c r="N98" s="19" t="str">
        <f t="shared" si="33"/>
        <v/>
      </c>
      <c r="O98" s="19" t="str">
        <f t="shared" si="16"/>
        <v/>
      </c>
      <c r="P98" s="19" t="str">
        <f t="shared" si="17"/>
        <v/>
      </c>
      <c r="Q98" s="19" t="str">
        <f t="shared" si="18"/>
        <v/>
      </c>
      <c r="R98" s="19" t="str">
        <f t="shared" si="40"/>
        <v/>
      </c>
      <c r="S98" s="27" t="str">
        <f t="shared" si="34"/>
        <v/>
      </c>
      <c r="T98" s="28" t="str">
        <f t="shared" si="35"/>
        <v/>
      </c>
      <c r="U98" s="28" t="str">
        <f t="shared" si="36"/>
        <v/>
      </c>
      <c r="V98" s="28" t="str">
        <f t="shared" si="37"/>
        <v/>
      </c>
      <c r="W98" s="28" t="str">
        <f t="shared" si="38"/>
        <v/>
      </c>
      <c r="X98" s="29" t="str">
        <f t="shared" si="3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1"/>
        <v/>
      </c>
      <c r="M99" s="19" t="str">
        <f t="shared" si="32"/>
        <v/>
      </c>
      <c r="N99" s="19" t="str">
        <f t="shared" si="33"/>
        <v/>
      </c>
      <c r="O99" s="19" t="str">
        <f t="shared" ref="O99:O153" si="41">IF(ISBLANK(F99),"",((F99-F$34)*1000)+L$34)</f>
        <v/>
      </c>
      <c r="P99" s="19" t="str">
        <f t="shared" ref="P99:P153" si="42">IF(ISBLANK(G99),"",((G99-G$34)*1000)+M$34)</f>
        <v/>
      </c>
      <c r="Q99" s="19" t="str">
        <f t="shared" ref="Q99:Q153" si="43">IF(ISBLANK(H99),"",((H99-H$34)*1000)+N$34)</f>
        <v/>
      </c>
      <c r="R99" s="19" t="str">
        <f t="shared" si="40"/>
        <v/>
      </c>
      <c r="S99" s="27" t="str">
        <f t="shared" si="34"/>
        <v/>
      </c>
      <c r="T99" s="28" t="str">
        <f t="shared" si="35"/>
        <v/>
      </c>
      <c r="U99" s="28" t="str">
        <f t="shared" si="36"/>
        <v/>
      </c>
      <c r="V99" s="28" t="str">
        <f t="shared" si="37"/>
        <v/>
      </c>
      <c r="W99" s="28" t="str">
        <f t="shared" si="38"/>
        <v/>
      </c>
      <c r="X99" s="29" t="str">
        <f t="shared" si="3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1"/>
        <v/>
      </c>
      <c r="M100" s="19" t="str">
        <f t="shared" si="32"/>
        <v/>
      </c>
      <c r="N100" s="19" t="str">
        <f t="shared" si="33"/>
        <v/>
      </c>
      <c r="O100" s="19" t="str">
        <f t="shared" si="41"/>
        <v/>
      </c>
      <c r="P100" s="19" t="str">
        <f t="shared" si="42"/>
        <v/>
      </c>
      <c r="Q100" s="19" t="str">
        <f t="shared" si="43"/>
        <v/>
      </c>
      <c r="R100" s="19" t="str">
        <f t="shared" si="40"/>
        <v/>
      </c>
      <c r="S100" s="27" t="str">
        <f t="shared" si="34"/>
        <v/>
      </c>
      <c r="T100" s="28" t="str">
        <f t="shared" si="35"/>
        <v/>
      </c>
      <c r="U100" s="28" t="str">
        <f t="shared" si="36"/>
        <v/>
      </c>
      <c r="V100" s="28" t="str">
        <f t="shared" si="37"/>
        <v/>
      </c>
      <c r="W100" s="28" t="str">
        <f t="shared" si="38"/>
        <v/>
      </c>
      <c r="X100" s="29" t="str">
        <f t="shared" si="3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1"/>
        <v/>
      </c>
      <c r="M101" s="19" t="str">
        <f t="shared" si="32"/>
        <v/>
      </c>
      <c r="N101" s="19" t="str">
        <f t="shared" si="33"/>
        <v/>
      </c>
      <c r="O101" s="19" t="str">
        <f t="shared" si="41"/>
        <v/>
      </c>
      <c r="P101" s="19" t="str">
        <f t="shared" si="42"/>
        <v/>
      </c>
      <c r="Q101" s="19" t="str">
        <f t="shared" si="43"/>
        <v/>
      </c>
      <c r="R101" s="19" t="str">
        <f t="shared" si="40"/>
        <v/>
      </c>
      <c r="S101" s="27" t="str">
        <f t="shared" si="34"/>
        <v/>
      </c>
      <c r="T101" s="28" t="str">
        <f t="shared" si="35"/>
        <v/>
      </c>
      <c r="U101" s="28" t="str">
        <f t="shared" si="36"/>
        <v/>
      </c>
      <c r="V101" s="28" t="str">
        <f t="shared" si="37"/>
        <v/>
      </c>
      <c r="W101" s="28" t="str">
        <f t="shared" si="38"/>
        <v/>
      </c>
      <c r="X101" s="29" t="str">
        <f t="shared" si="3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1"/>
        <v/>
      </c>
      <c r="M102" s="19" t="str">
        <f t="shared" si="32"/>
        <v/>
      </c>
      <c r="N102" s="19" t="str">
        <f t="shared" si="33"/>
        <v/>
      </c>
      <c r="O102" s="19" t="str">
        <f t="shared" si="41"/>
        <v/>
      </c>
      <c r="P102" s="19" t="str">
        <f t="shared" si="42"/>
        <v/>
      </c>
      <c r="Q102" s="19" t="str">
        <f t="shared" si="43"/>
        <v/>
      </c>
      <c r="R102" s="19" t="str">
        <f t="shared" si="40"/>
        <v/>
      </c>
      <c r="S102" s="27" t="str">
        <f t="shared" si="34"/>
        <v/>
      </c>
      <c r="T102" s="28" t="str">
        <f t="shared" si="35"/>
        <v/>
      </c>
      <c r="U102" s="28" t="str">
        <f t="shared" si="36"/>
        <v/>
      </c>
      <c r="V102" s="28" t="str">
        <f t="shared" si="37"/>
        <v/>
      </c>
      <c r="W102" s="28" t="str">
        <f t="shared" si="38"/>
        <v/>
      </c>
      <c r="X102" s="29" t="str">
        <f t="shared" si="3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1"/>
        <v/>
      </c>
      <c r="M103" s="19" t="str">
        <f t="shared" si="32"/>
        <v/>
      </c>
      <c r="N103" s="19" t="str">
        <f t="shared" si="33"/>
        <v/>
      </c>
      <c r="O103" s="19" t="str">
        <f t="shared" si="41"/>
        <v/>
      </c>
      <c r="P103" s="19" t="str">
        <f t="shared" si="42"/>
        <v/>
      </c>
      <c r="Q103" s="19" t="str">
        <f t="shared" si="43"/>
        <v/>
      </c>
      <c r="R103" s="19" t="str">
        <f t="shared" si="40"/>
        <v/>
      </c>
      <c r="S103" s="27" t="str">
        <f t="shared" si="34"/>
        <v/>
      </c>
      <c r="T103" s="28" t="str">
        <f t="shared" si="35"/>
        <v/>
      </c>
      <c r="U103" s="28" t="str">
        <f t="shared" si="36"/>
        <v/>
      </c>
      <c r="V103" s="28" t="str">
        <f t="shared" si="37"/>
        <v/>
      </c>
      <c r="W103" s="28" t="str">
        <f t="shared" si="38"/>
        <v/>
      </c>
      <c r="X103" s="29" t="str">
        <f t="shared" si="3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1"/>
        <v/>
      </c>
      <c r="M104" s="19" t="str">
        <f t="shared" si="32"/>
        <v/>
      </c>
      <c r="N104" s="19" t="str">
        <f t="shared" si="33"/>
        <v/>
      </c>
      <c r="O104" s="19" t="str">
        <f t="shared" si="41"/>
        <v/>
      </c>
      <c r="P104" s="19" t="str">
        <f t="shared" si="42"/>
        <v/>
      </c>
      <c r="Q104" s="19" t="str">
        <f t="shared" si="43"/>
        <v/>
      </c>
      <c r="R104" s="19" t="str">
        <f t="shared" si="40"/>
        <v/>
      </c>
      <c r="S104" s="27" t="str">
        <f t="shared" si="34"/>
        <v/>
      </c>
      <c r="T104" s="28" t="str">
        <f t="shared" si="35"/>
        <v/>
      </c>
      <c r="U104" s="28" t="str">
        <f t="shared" si="36"/>
        <v/>
      </c>
      <c r="V104" s="28" t="str">
        <f t="shared" si="37"/>
        <v/>
      </c>
      <c r="W104" s="28" t="str">
        <f t="shared" si="38"/>
        <v/>
      </c>
      <c r="X104" s="29" t="str">
        <f t="shared" si="3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1"/>
        <v/>
      </c>
      <c r="M105" s="19" t="str">
        <f t="shared" si="32"/>
        <v/>
      </c>
      <c r="N105" s="19" t="str">
        <f t="shared" si="33"/>
        <v/>
      </c>
      <c r="O105" s="19" t="str">
        <f t="shared" si="41"/>
        <v/>
      </c>
      <c r="P105" s="19" t="str">
        <f t="shared" si="42"/>
        <v/>
      </c>
      <c r="Q105" s="19" t="str">
        <f t="shared" si="43"/>
        <v/>
      </c>
      <c r="R105" s="19" t="str">
        <f t="shared" si="40"/>
        <v/>
      </c>
      <c r="S105" s="27" t="str">
        <f t="shared" si="34"/>
        <v/>
      </c>
      <c r="T105" s="28" t="str">
        <f t="shared" si="35"/>
        <v/>
      </c>
      <c r="U105" s="28" t="str">
        <f t="shared" si="36"/>
        <v/>
      </c>
      <c r="V105" s="28" t="str">
        <f t="shared" si="37"/>
        <v/>
      </c>
      <c r="W105" s="28" t="str">
        <f t="shared" si="38"/>
        <v/>
      </c>
      <c r="X105" s="29" t="str">
        <f t="shared" si="3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1"/>
        <v/>
      </c>
      <c r="M106" s="19" t="str">
        <f t="shared" si="32"/>
        <v/>
      </c>
      <c r="N106" s="19" t="str">
        <f t="shared" si="33"/>
        <v/>
      </c>
      <c r="O106" s="19" t="str">
        <f t="shared" si="41"/>
        <v/>
      </c>
      <c r="P106" s="19" t="str">
        <f t="shared" si="42"/>
        <v/>
      </c>
      <c r="Q106" s="19" t="str">
        <f t="shared" si="43"/>
        <v/>
      </c>
      <c r="R106" s="19" t="str">
        <f t="shared" si="40"/>
        <v/>
      </c>
      <c r="S106" s="27" t="str">
        <f t="shared" si="34"/>
        <v/>
      </c>
      <c r="T106" s="28" t="str">
        <f t="shared" si="35"/>
        <v/>
      </c>
      <c r="U106" s="28" t="str">
        <f t="shared" si="36"/>
        <v/>
      </c>
      <c r="V106" s="28" t="str">
        <f t="shared" si="37"/>
        <v/>
      </c>
      <c r="W106" s="28" t="str">
        <f t="shared" si="38"/>
        <v/>
      </c>
      <c r="X106" s="29" t="str">
        <f t="shared" si="3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1"/>
        <v/>
      </c>
      <c r="M107" s="19" t="str">
        <f t="shared" si="32"/>
        <v/>
      </c>
      <c r="N107" s="19" t="str">
        <f t="shared" si="33"/>
        <v/>
      </c>
      <c r="O107" s="19" t="str">
        <f t="shared" si="41"/>
        <v/>
      </c>
      <c r="P107" s="19" t="str">
        <f t="shared" si="42"/>
        <v/>
      </c>
      <c r="Q107" s="19" t="str">
        <f t="shared" si="43"/>
        <v/>
      </c>
      <c r="R107" s="19" t="str">
        <f t="shared" si="40"/>
        <v/>
      </c>
      <c r="S107" s="27" t="str">
        <f t="shared" si="34"/>
        <v/>
      </c>
      <c r="T107" s="28" t="str">
        <f t="shared" si="35"/>
        <v/>
      </c>
      <c r="U107" s="28" t="str">
        <f t="shared" si="36"/>
        <v/>
      </c>
      <c r="V107" s="28" t="str">
        <f t="shared" si="37"/>
        <v/>
      </c>
      <c r="W107" s="28" t="str">
        <f t="shared" si="38"/>
        <v/>
      </c>
      <c r="X107" s="29" t="str">
        <f t="shared" si="3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1"/>
        <v/>
      </c>
      <c r="M108" s="19" t="str">
        <f t="shared" si="32"/>
        <v/>
      </c>
      <c r="N108" s="19" t="str">
        <f t="shared" si="33"/>
        <v/>
      </c>
      <c r="O108" s="19" t="str">
        <f t="shared" si="41"/>
        <v/>
      </c>
      <c r="P108" s="19" t="str">
        <f t="shared" si="42"/>
        <v/>
      </c>
      <c r="Q108" s="19" t="str">
        <f t="shared" si="43"/>
        <v/>
      </c>
      <c r="R108" s="19" t="str">
        <f t="shared" si="40"/>
        <v/>
      </c>
      <c r="S108" s="27" t="str">
        <f t="shared" si="34"/>
        <v/>
      </c>
      <c r="T108" s="28" t="str">
        <f t="shared" si="35"/>
        <v/>
      </c>
      <c r="U108" s="28" t="str">
        <f t="shared" si="36"/>
        <v/>
      </c>
      <c r="V108" s="28" t="str">
        <f t="shared" si="37"/>
        <v/>
      </c>
      <c r="W108" s="28" t="str">
        <f t="shared" si="38"/>
        <v/>
      </c>
      <c r="X108" s="29" t="str">
        <f t="shared" si="3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1"/>
        <v/>
      </c>
      <c r="M109" s="19" t="str">
        <f t="shared" si="32"/>
        <v/>
      </c>
      <c r="N109" s="19" t="str">
        <f t="shared" si="33"/>
        <v/>
      </c>
      <c r="O109" s="19" t="str">
        <f t="shared" si="41"/>
        <v/>
      </c>
      <c r="P109" s="19" t="str">
        <f t="shared" si="42"/>
        <v/>
      </c>
      <c r="Q109" s="19" t="str">
        <f t="shared" si="43"/>
        <v/>
      </c>
      <c r="R109" s="19" t="str">
        <f t="shared" si="40"/>
        <v/>
      </c>
      <c r="S109" s="27" t="str">
        <f t="shared" si="34"/>
        <v/>
      </c>
      <c r="T109" s="28" t="str">
        <f t="shared" si="35"/>
        <v/>
      </c>
      <c r="U109" s="28" t="str">
        <f t="shared" si="36"/>
        <v/>
      </c>
      <c r="V109" s="28" t="str">
        <f t="shared" si="37"/>
        <v/>
      </c>
      <c r="W109" s="28" t="str">
        <f t="shared" si="38"/>
        <v/>
      </c>
      <c r="X109" s="29" t="str">
        <f t="shared" si="3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1"/>
        <v/>
      </c>
      <c r="M110" s="19" t="str">
        <f t="shared" si="32"/>
        <v/>
      </c>
      <c r="N110" s="19" t="str">
        <f t="shared" si="33"/>
        <v/>
      </c>
      <c r="O110" s="19" t="str">
        <f t="shared" si="41"/>
        <v/>
      </c>
      <c r="P110" s="19" t="str">
        <f t="shared" si="42"/>
        <v/>
      </c>
      <c r="Q110" s="19" t="str">
        <f t="shared" si="43"/>
        <v/>
      </c>
      <c r="R110" s="19" t="str">
        <f t="shared" si="40"/>
        <v/>
      </c>
      <c r="S110" s="27" t="str">
        <f t="shared" si="34"/>
        <v/>
      </c>
      <c r="T110" s="28" t="str">
        <f t="shared" si="35"/>
        <v/>
      </c>
      <c r="U110" s="28" t="str">
        <f t="shared" si="36"/>
        <v/>
      </c>
      <c r="V110" s="28" t="str">
        <f t="shared" si="37"/>
        <v/>
      </c>
      <c r="W110" s="28" t="str">
        <f t="shared" si="38"/>
        <v/>
      </c>
      <c r="X110" s="29" t="str">
        <f t="shared" si="3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1"/>
        <v/>
      </c>
      <c r="M111" s="19" t="str">
        <f t="shared" si="32"/>
        <v/>
      </c>
      <c r="N111" s="19" t="str">
        <f t="shared" si="33"/>
        <v/>
      </c>
      <c r="O111" s="19" t="str">
        <f t="shared" si="41"/>
        <v/>
      </c>
      <c r="P111" s="19" t="str">
        <f t="shared" si="42"/>
        <v/>
      </c>
      <c r="Q111" s="19" t="str">
        <f t="shared" si="43"/>
        <v/>
      </c>
      <c r="R111" s="19" t="str">
        <f t="shared" si="40"/>
        <v/>
      </c>
      <c r="S111" s="27" t="str">
        <f t="shared" si="34"/>
        <v/>
      </c>
      <c r="T111" s="28" t="str">
        <f t="shared" si="35"/>
        <v/>
      </c>
      <c r="U111" s="28" t="str">
        <f t="shared" si="36"/>
        <v/>
      </c>
      <c r="V111" s="28" t="str">
        <f t="shared" si="37"/>
        <v/>
      </c>
      <c r="W111" s="28" t="str">
        <f t="shared" si="38"/>
        <v/>
      </c>
      <c r="X111" s="29" t="str">
        <f t="shared" si="3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4">IF(ISBLANK(C112),"",(C112-C$16)*1000)</f>
        <v/>
      </c>
      <c r="M112" s="19" t="str">
        <f t="shared" ref="M112:M143" si="45">IF(ISBLANK(D112),"",(D112-D$16)*1000)</f>
        <v/>
      </c>
      <c r="N112" s="19" t="str">
        <f t="shared" ref="N112:N143" si="46">IF(ISBLANK(E112),"",(E112-E$16)*1000)</f>
        <v/>
      </c>
      <c r="O112" s="19" t="str">
        <f t="shared" si="41"/>
        <v/>
      </c>
      <c r="P112" s="19" t="str">
        <f t="shared" si="42"/>
        <v/>
      </c>
      <c r="Q112" s="19" t="str">
        <f t="shared" si="43"/>
        <v/>
      </c>
      <c r="R112" s="19" t="str">
        <f t="shared" si="40"/>
        <v/>
      </c>
      <c r="S112" s="27" t="str">
        <f t="shared" si="34"/>
        <v/>
      </c>
      <c r="T112" s="28" t="str">
        <f t="shared" si="35"/>
        <v/>
      </c>
      <c r="U112" s="28" t="str">
        <f t="shared" si="36"/>
        <v/>
      </c>
      <c r="V112" s="28" t="str">
        <f t="shared" si="37"/>
        <v/>
      </c>
      <c r="W112" s="28" t="str">
        <f t="shared" si="38"/>
        <v/>
      </c>
      <c r="X112" s="29" t="str">
        <f t="shared" si="3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4"/>
        <v/>
      </c>
      <c r="M113" s="19" t="str">
        <f t="shared" si="45"/>
        <v/>
      </c>
      <c r="N113" s="19" t="str">
        <f t="shared" si="46"/>
        <v/>
      </c>
      <c r="O113" s="19" t="str">
        <f t="shared" si="41"/>
        <v/>
      </c>
      <c r="P113" s="19" t="str">
        <f t="shared" si="42"/>
        <v/>
      </c>
      <c r="Q113" s="19" t="str">
        <f t="shared" si="43"/>
        <v/>
      </c>
      <c r="R113" s="19" t="str">
        <f t="shared" si="40"/>
        <v/>
      </c>
      <c r="S113" s="27" t="str">
        <f t="shared" ref="S113:S144" si="47">IF(C113="","",((C113-C112)*1000)/($B113-$B112))</f>
        <v/>
      </c>
      <c r="T113" s="28" t="str">
        <f t="shared" ref="T113:T144" si="48">IF(D113="","",((D113-D112)*1000)/($B113-$B112))</f>
        <v/>
      </c>
      <c r="U113" s="28" t="str">
        <f t="shared" ref="U113:U144" si="49">IF(E113="","",((E113-E112)*1000)/($B113-$B112))</f>
        <v/>
      </c>
      <c r="V113" s="28" t="str">
        <f t="shared" ref="V113:V144" si="50">IF(F113="","",((F113-F112)*1000)/($B113-$B112))</f>
        <v/>
      </c>
      <c r="W113" s="28" t="str">
        <f t="shared" ref="W113:W144" si="51">IF(G113="","",((G113-G112)*1000)/($B113-$B112))</f>
        <v/>
      </c>
      <c r="X113" s="29" t="str">
        <f t="shared" ref="X113:X144" si="52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4"/>
        <v/>
      </c>
      <c r="M114" s="19" t="str">
        <f t="shared" si="45"/>
        <v/>
      </c>
      <c r="N114" s="19" t="str">
        <f t="shared" si="46"/>
        <v/>
      </c>
      <c r="O114" s="19" t="str">
        <f t="shared" si="41"/>
        <v/>
      </c>
      <c r="P114" s="19" t="str">
        <f t="shared" si="42"/>
        <v/>
      </c>
      <c r="Q114" s="19" t="str">
        <f t="shared" si="43"/>
        <v/>
      </c>
      <c r="R114" s="19" t="str">
        <f t="shared" si="40"/>
        <v/>
      </c>
      <c r="S114" s="27" t="str">
        <f t="shared" si="47"/>
        <v/>
      </c>
      <c r="T114" s="28" t="str">
        <f t="shared" si="48"/>
        <v/>
      </c>
      <c r="U114" s="28" t="str">
        <f t="shared" si="49"/>
        <v/>
      </c>
      <c r="V114" s="28" t="str">
        <f t="shared" si="50"/>
        <v/>
      </c>
      <c r="W114" s="28" t="str">
        <f t="shared" si="51"/>
        <v/>
      </c>
      <c r="X114" s="29" t="str">
        <f t="shared" si="5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4"/>
        <v/>
      </c>
      <c r="M115" s="19" t="str">
        <f t="shared" si="45"/>
        <v/>
      </c>
      <c r="N115" s="19" t="str">
        <f t="shared" si="46"/>
        <v/>
      </c>
      <c r="O115" s="19" t="str">
        <f t="shared" si="41"/>
        <v/>
      </c>
      <c r="P115" s="19" t="str">
        <f t="shared" si="42"/>
        <v/>
      </c>
      <c r="Q115" s="19" t="str">
        <f t="shared" si="43"/>
        <v/>
      </c>
      <c r="R115" s="19" t="str">
        <f t="shared" si="40"/>
        <v/>
      </c>
      <c r="S115" s="27" t="str">
        <f t="shared" si="47"/>
        <v/>
      </c>
      <c r="T115" s="28" t="str">
        <f t="shared" si="48"/>
        <v/>
      </c>
      <c r="U115" s="28" t="str">
        <f t="shared" si="49"/>
        <v/>
      </c>
      <c r="V115" s="28" t="str">
        <f t="shared" si="50"/>
        <v/>
      </c>
      <c r="W115" s="28" t="str">
        <f t="shared" si="51"/>
        <v/>
      </c>
      <c r="X115" s="29" t="str">
        <f t="shared" si="5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4"/>
        <v/>
      </c>
      <c r="M116" s="19" t="str">
        <f t="shared" si="45"/>
        <v/>
      </c>
      <c r="N116" s="19" t="str">
        <f t="shared" si="46"/>
        <v/>
      </c>
      <c r="O116" s="19" t="str">
        <f t="shared" si="41"/>
        <v/>
      </c>
      <c r="P116" s="19" t="str">
        <f t="shared" si="42"/>
        <v/>
      </c>
      <c r="Q116" s="19" t="str">
        <f t="shared" si="43"/>
        <v/>
      </c>
      <c r="R116" s="19" t="str">
        <f t="shared" si="40"/>
        <v/>
      </c>
      <c r="S116" s="27" t="str">
        <f t="shared" si="47"/>
        <v/>
      </c>
      <c r="T116" s="28" t="str">
        <f t="shared" si="48"/>
        <v/>
      </c>
      <c r="U116" s="28" t="str">
        <f t="shared" si="49"/>
        <v/>
      </c>
      <c r="V116" s="28" t="str">
        <f t="shared" si="50"/>
        <v/>
      </c>
      <c r="W116" s="28" t="str">
        <f t="shared" si="51"/>
        <v/>
      </c>
      <c r="X116" s="29" t="str">
        <f t="shared" si="5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4"/>
        <v/>
      </c>
      <c r="M117" s="19" t="str">
        <f t="shared" si="45"/>
        <v/>
      </c>
      <c r="N117" s="19" t="str">
        <f t="shared" si="46"/>
        <v/>
      </c>
      <c r="O117" s="19" t="str">
        <f t="shared" si="41"/>
        <v/>
      </c>
      <c r="P117" s="19" t="str">
        <f t="shared" si="42"/>
        <v/>
      </c>
      <c r="Q117" s="19" t="str">
        <f t="shared" si="43"/>
        <v/>
      </c>
      <c r="R117" s="19" t="str">
        <f t="shared" si="40"/>
        <v/>
      </c>
      <c r="S117" s="27" t="str">
        <f t="shared" si="47"/>
        <v/>
      </c>
      <c r="T117" s="28" t="str">
        <f t="shared" si="48"/>
        <v/>
      </c>
      <c r="U117" s="28" t="str">
        <f t="shared" si="49"/>
        <v/>
      </c>
      <c r="V117" s="28" t="str">
        <f t="shared" si="50"/>
        <v/>
      </c>
      <c r="W117" s="28" t="str">
        <f t="shared" si="51"/>
        <v/>
      </c>
      <c r="X117" s="29" t="str">
        <f t="shared" si="5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4"/>
        <v/>
      </c>
      <c r="M118" s="19" t="str">
        <f t="shared" si="45"/>
        <v/>
      </c>
      <c r="N118" s="19" t="str">
        <f t="shared" si="46"/>
        <v/>
      </c>
      <c r="O118" s="19" t="str">
        <f t="shared" si="41"/>
        <v/>
      </c>
      <c r="P118" s="19" t="str">
        <f t="shared" si="42"/>
        <v/>
      </c>
      <c r="Q118" s="19" t="str">
        <f t="shared" si="43"/>
        <v/>
      </c>
      <c r="R118" s="19" t="str">
        <f t="shared" si="40"/>
        <v/>
      </c>
      <c r="S118" s="27" t="str">
        <f t="shared" si="47"/>
        <v/>
      </c>
      <c r="T118" s="28" t="str">
        <f t="shared" si="48"/>
        <v/>
      </c>
      <c r="U118" s="28" t="str">
        <f t="shared" si="49"/>
        <v/>
      </c>
      <c r="V118" s="28" t="str">
        <f t="shared" si="50"/>
        <v/>
      </c>
      <c r="W118" s="28" t="str">
        <f t="shared" si="51"/>
        <v/>
      </c>
      <c r="X118" s="29" t="str">
        <f t="shared" si="5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4"/>
        <v/>
      </c>
      <c r="M119" s="19" t="str">
        <f t="shared" si="45"/>
        <v/>
      </c>
      <c r="N119" s="19" t="str">
        <f t="shared" si="46"/>
        <v/>
      </c>
      <c r="O119" s="19" t="str">
        <f t="shared" si="41"/>
        <v/>
      </c>
      <c r="P119" s="19" t="str">
        <f t="shared" si="42"/>
        <v/>
      </c>
      <c r="Q119" s="19" t="str">
        <f t="shared" si="43"/>
        <v/>
      </c>
      <c r="R119" s="19" t="str">
        <f t="shared" si="40"/>
        <v/>
      </c>
      <c r="S119" s="27" t="str">
        <f t="shared" si="47"/>
        <v/>
      </c>
      <c r="T119" s="28" t="str">
        <f t="shared" si="48"/>
        <v/>
      </c>
      <c r="U119" s="28" t="str">
        <f t="shared" si="49"/>
        <v/>
      </c>
      <c r="V119" s="28" t="str">
        <f t="shared" si="50"/>
        <v/>
      </c>
      <c r="W119" s="28" t="str">
        <f t="shared" si="51"/>
        <v/>
      </c>
      <c r="X119" s="29" t="str">
        <f t="shared" si="5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4"/>
        <v/>
      </c>
      <c r="M120" s="19" t="str">
        <f t="shared" si="45"/>
        <v/>
      </c>
      <c r="N120" s="19" t="str">
        <f t="shared" si="46"/>
        <v/>
      </c>
      <c r="O120" s="19" t="str">
        <f t="shared" si="41"/>
        <v/>
      </c>
      <c r="P120" s="19" t="str">
        <f t="shared" si="42"/>
        <v/>
      </c>
      <c r="Q120" s="19" t="str">
        <f t="shared" si="43"/>
        <v/>
      </c>
      <c r="R120" s="19" t="str">
        <f t="shared" si="40"/>
        <v/>
      </c>
      <c r="S120" s="27" t="str">
        <f t="shared" si="47"/>
        <v/>
      </c>
      <c r="T120" s="28" t="str">
        <f t="shared" si="48"/>
        <v/>
      </c>
      <c r="U120" s="28" t="str">
        <f t="shared" si="49"/>
        <v/>
      </c>
      <c r="V120" s="28" t="str">
        <f t="shared" si="50"/>
        <v/>
      </c>
      <c r="W120" s="28" t="str">
        <f t="shared" si="51"/>
        <v/>
      </c>
      <c r="X120" s="29" t="str">
        <f t="shared" si="5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4"/>
        <v/>
      </c>
      <c r="M121" s="19" t="str">
        <f t="shared" si="45"/>
        <v/>
      </c>
      <c r="N121" s="19" t="str">
        <f t="shared" si="46"/>
        <v/>
      </c>
      <c r="O121" s="19" t="str">
        <f t="shared" si="41"/>
        <v/>
      </c>
      <c r="P121" s="19" t="str">
        <f t="shared" si="42"/>
        <v/>
      </c>
      <c r="Q121" s="19" t="str">
        <f t="shared" si="43"/>
        <v/>
      </c>
      <c r="R121" s="19" t="str">
        <f t="shared" si="40"/>
        <v/>
      </c>
      <c r="S121" s="27" t="str">
        <f t="shared" si="47"/>
        <v/>
      </c>
      <c r="T121" s="28" t="str">
        <f t="shared" si="48"/>
        <v/>
      </c>
      <c r="U121" s="28" t="str">
        <f t="shared" si="49"/>
        <v/>
      </c>
      <c r="V121" s="28" t="str">
        <f t="shared" si="50"/>
        <v/>
      </c>
      <c r="W121" s="28" t="str">
        <f t="shared" si="51"/>
        <v/>
      </c>
      <c r="X121" s="29" t="str">
        <f t="shared" si="5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4"/>
        <v/>
      </c>
      <c r="M122" s="19" t="str">
        <f t="shared" si="45"/>
        <v/>
      </c>
      <c r="N122" s="19" t="str">
        <f t="shared" si="46"/>
        <v/>
      </c>
      <c r="O122" s="19" t="str">
        <f t="shared" si="41"/>
        <v/>
      </c>
      <c r="P122" s="19" t="str">
        <f t="shared" si="42"/>
        <v/>
      </c>
      <c r="Q122" s="19" t="str">
        <f t="shared" si="43"/>
        <v/>
      </c>
      <c r="R122" s="19" t="str">
        <f t="shared" si="40"/>
        <v/>
      </c>
      <c r="S122" s="27" t="str">
        <f t="shared" si="47"/>
        <v/>
      </c>
      <c r="T122" s="28" t="str">
        <f t="shared" si="48"/>
        <v/>
      </c>
      <c r="U122" s="28" t="str">
        <f t="shared" si="49"/>
        <v/>
      </c>
      <c r="V122" s="28" t="str">
        <f t="shared" si="50"/>
        <v/>
      </c>
      <c r="W122" s="28" t="str">
        <f t="shared" si="51"/>
        <v/>
      </c>
      <c r="X122" s="29" t="str">
        <f t="shared" si="5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4"/>
        <v/>
      </c>
      <c r="M123" s="19" t="str">
        <f t="shared" si="45"/>
        <v/>
      </c>
      <c r="N123" s="19" t="str">
        <f t="shared" si="46"/>
        <v/>
      </c>
      <c r="O123" s="19" t="str">
        <f t="shared" si="41"/>
        <v/>
      </c>
      <c r="P123" s="19" t="str">
        <f t="shared" si="42"/>
        <v/>
      </c>
      <c r="Q123" s="19" t="str">
        <f t="shared" si="43"/>
        <v/>
      </c>
      <c r="R123" s="19" t="str">
        <f t="shared" si="40"/>
        <v/>
      </c>
      <c r="S123" s="27" t="str">
        <f t="shared" si="47"/>
        <v/>
      </c>
      <c r="T123" s="28" t="str">
        <f t="shared" si="48"/>
        <v/>
      </c>
      <c r="U123" s="28" t="str">
        <f t="shared" si="49"/>
        <v/>
      </c>
      <c r="V123" s="28" t="str">
        <f t="shared" si="50"/>
        <v/>
      </c>
      <c r="W123" s="28" t="str">
        <f t="shared" si="51"/>
        <v/>
      </c>
      <c r="X123" s="29" t="str">
        <f t="shared" si="5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4"/>
        <v/>
      </c>
      <c r="M124" s="19" t="str">
        <f t="shared" si="45"/>
        <v/>
      </c>
      <c r="N124" s="19" t="str">
        <f t="shared" si="46"/>
        <v/>
      </c>
      <c r="O124" s="19" t="str">
        <f t="shared" si="41"/>
        <v/>
      </c>
      <c r="P124" s="19" t="str">
        <f t="shared" si="42"/>
        <v/>
      </c>
      <c r="Q124" s="19" t="str">
        <f t="shared" si="43"/>
        <v/>
      </c>
      <c r="R124" s="19" t="str">
        <f t="shared" si="40"/>
        <v/>
      </c>
      <c r="S124" s="27" t="str">
        <f t="shared" si="47"/>
        <v/>
      </c>
      <c r="T124" s="28" t="str">
        <f t="shared" si="48"/>
        <v/>
      </c>
      <c r="U124" s="28" t="str">
        <f t="shared" si="49"/>
        <v/>
      </c>
      <c r="V124" s="28" t="str">
        <f t="shared" si="50"/>
        <v/>
      </c>
      <c r="W124" s="28" t="str">
        <f t="shared" si="51"/>
        <v/>
      </c>
      <c r="X124" s="29" t="str">
        <f t="shared" si="5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4"/>
        <v/>
      </c>
      <c r="M125" s="19" t="str">
        <f t="shared" si="45"/>
        <v/>
      </c>
      <c r="N125" s="19" t="str">
        <f t="shared" si="46"/>
        <v/>
      </c>
      <c r="O125" s="19" t="str">
        <f t="shared" si="41"/>
        <v/>
      </c>
      <c r="P125" s="19" t="str">
        <f t="shared" si="42"/>
        <v/>
      </c>
      <c r="Q125" s="19" t="str">
        <f t="shared" si="43"/>
        <v/>
      </c>
      <c r="R125" s="19" t="str">
        <f t="shared" si="40"/>
        <v/>
      </c>
      <c r="S125" s="27" t="str">
        <f t="shared" si="47"/>
        <v/>
      </c>
      <c r="T125" s="28" t="str">
        <f t="shared" si="48"/>
        <v/>
      </c>
      <c r="U125" s="28" t="str">
        <f t="shared" si="49"/>
        <v/>
      </c>
      <c r="V125" s="28" t="str">
        <f t="shared" si="50"/>
        <v/>
      </c>
      <c r="W125" s="28" t="str">
        <f t="shared" si="51"/>
        <v/>
      </c>
      <c r="X125" s="29" t="str">
        <f t="shared" si="5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4"/>
        <v/>
      </c>
      <c r="M126" s="19" t="str">
        <f t="shared" si="45"/>
        <v/>
      </c>
      <c r="N126" s="19" t="str">
        <f t="shared" si="46"/>
        <v/>
      </c>
      <c r="O126" s="19" t="str">
        <f t="shared" si="41"/>
        <v/>
      </c>
      <c r="P126" s="19" t="str">
        <f t="shared" si="42"/>
        <v/>
      </c>
      <c r="Q126" s="19" t="str">
        <f t="shared" si="43"/>
        <v/>
      </c>
      <c r="R126" s="19" t="str">
        <f t="shared" si="40"/>
        <v/>
      </c>
      <c r="S126" s="27" t="str">
        <f t="shared" si="47"/>
        <v/>
      </c>
      <c r="T126" s="28" t="str">
        <f t="shared" si="48"/>
        <v/>
      </c>
      <c r="U126" s="28" t="str">
        <f t="shared" si="49"/>
        <v/>
      </c>
      <c r="V126" s="28" t="str">
        <f t="shared" si="50"/>
        <v/>
      </c>
      <c r="W126" s="28" t="str">
        <f t="shared" si="51"/>
        <v/>
      </c>
      <c r="X126" s="29" t="str">
        <f t="shared" si="5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4"/>
        <v/>
      </c>
      <c r="M127" s="19" t="str">
        <f t="shared" si="45"/>
        <v/>
      </c>
      <c r="N127" s="19" t="str">
        <f t="shared" si="46"/>
        <v/>
      </c>
      <c r="O127" s="19" t="str">
        <f t="shared" si="41"/>
        <v/>
      </c>
      <c r="P127" s="19" t="str">
        <f t="shared" si="42"/>
        <v/>
      </c>
      <c r="Q127" s="19" t="str">
        <f t="shared" si="43"/>
        <v/>
      </c>
      <c r="R127" s="19" t="str">
        <f t="shared" si="40"/>
        <v/>
      </c>
      <c r="S127" s="27" t="str">
        <f t="shared" si="47"/>
        <v/>
      </c>
      <c r="T127" s="28" t="str">
        <f t="shared" si="48"/>
        <v/>
      </c>
      <c r="U127" s="28" t="str">
        <f t="shared" si="49"/>
        <v/>
      </c>
      <c r="V127" s="28" t="str">
        <f t="shared" si="50"/>
        <v/>
      </c>
      <c r="W127" s="28" t="str">
        <f t="shared" si="51"/>
        <v/>
      </c>
      <c r="X127" s="29" t="str">
        <f t="shared" si="5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4"/>
        <v/>
      </c>
      <c r="M128" s="19" t="str">
        <f t="shared" si="45"/>
        <v/>
      </c>
      <c r="N128" s="19" t="str">
        <f t="shared" si="46"/>
        <v/>
      </c>
      <c r="O128" s="19" t="str">
        <f t="shared" si="41"/>
        <v/>
      </c>
      <c r="P128" s="19" t="str">
        <f t="shared" si="42"/>
        <v/>
      </c>
      <c r="Q128" s="19" t="str">
        <f t="shared" si="43"/>
        <v/>
      </c>
      <c r="R128" s="19" t="str">
        <f t="shared" si="40"/>
        <v/>
      </c>
      <c r="S128" s="27" t="str">
        <f t="shared" si="47"/>
        <v/>
      </c>
      <c r="T128" s="28" t="str">
        <f t="shared" si="48"/>
        <v/>
      </c>
      <c r="U128" s="28" t="str">
        <f t="shared" si="49"/>
        <v/>
      </c>
      <c r="V128" s="28" t="str">
        <f t="shared" si="50"/>
        <v/>
      </c>
      <c r="W128" s="28" t="str">
        <f t="shared" si="51"/>
        <v/>
      </c>
      <c r="X128" s="29" t="str">
        <f t="shared" si="5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4"/>
        <v/>
      </c>
      <c r="M129" s="19" t="str">
        <f t="shared" si="45"/>
        <v/>
      </c>
      <c r="N129" s="19" t="str">
        <f t="shared" si="46"/>
        <v/>
      </c>
      <c r="O129" s="19" t="str">
        <f t="shared" si="41"/>
        <v/>
      </c>
      <c r="P129" s="19" t="str">
        <f t="shared" si="42"/>
        <v/>
      </c>
      <c r="Q129" s="19" t="str">
        <f t="shared" si="43"/>
        <v/>
      </c>
      <c r="R129" s="19" t="str">
        <f t="shared" ref="R129:R153" si="53">IF(ISBLANK(I129),"",(I129-I$16)*1000)</f>
        <v/>
      </c>
      <c r="S129" s="27" t="str">
        <f t="shared" si="47"/>
        <v/>
      </c>
      <c r="T129" s="28" t="str">
        <f t="shared" si="48"/>
        <v/>
      </c>
      <c r="U129" s="28" t="str">
        <f t="shared" si="49"/>
        <v/>
      </c>
      <c r="V129" s="28" t="str">
        <f t="shared" si="50"/>
        <v/>
      </c>
      <c r="W129" s="28" t="str">
        <f t="shared" si="51"/>
        <v/>
      </c>
      <c r="X129" s="29" t="str">
        <f t="shared" si="5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4"/>
        <v/>
      </c>
      <c r="M130" s="19" t="str">
        <f t="shared" si="45"/>
        <v/>
      </c>
      <c r="N130" s="19" t="str">
        <f t="shared" si="46"/>
        <v/>
      </c>
      <c r="O130" s="19" t="str">
        <f t="shared" si="41"/>
        <v/>
      </c>
      <c r="P130" s="19" t="str">
        <f t="shared" si="42"/>
        <v/>
      </c>
      <c r="Q130" s="19" t="str">
        <f t="shared" si="43"/>
        <v/>
      </c>
      <c r="R130" s="19" t="str">
        <f t="shared" si="53"/>
        <v/>
      </c>
      <c r="S130" s="27" t="str">
        <f t="shared" si="47"/>
        <v/>
      </c>
      <c r="T130" s="28" t="str">
        <f t="shared" si="48"/>
        <v/>
      </c>
      <c r="U130" s="28" t="str">
        <f t="shared" si="49"/>
        <v/>
      </c>
      <c r="V130" s="28" t="str">
        <f t="shared" si="50"/>
        <v/>
      </c>
      <c r="W130" s="28" t="str">
        <f t="shared" si="51"/>
        <v/>
      </c>
      <c r="X130" s="29" t="str">
        <f t="shared" si="5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4"/>
        <v/>
      </c>
      <c r="M131" s="19" t="str">
        <f t="shared" si="45"/>
        <v/>
      </c>
      <c r="N131" s="19" t="str">
        <f t="shared" si="46"/>
        <v/>
      </c>
      <c r="O131" s="19" t="str">
        <f t="shared" si="41"/>
        <v/>
      </c>
      <c r="P131" s="19" t="str">
        <f t="shared" si="42"/>
        <v/>
      </c>
      <c r="Q131" s="19" t="str">
        <f t="shared" si="43"/>
        <v/>
      </c>
      <c r="R131" s="19" t="str">
        <f t="shared" si="53"/>
        <v/>
      </c>
      <c r="S131" s="27" t="str">
        <f t="shared" si="47"/>
        <v/>
      </c>
      <c r="T131" s="28" t="str">
        <f t="shared" si="48"/>
        <v/>
      </c>
      <c r="U131" s="28" t="str">
        <f t="shared" si="49"/>
        <v/>
      </c>
      <c r="V131" s="28" t="str">
        <f t="shared" si="50"/>
        <v/>
      </c>
      <c r="W131" s="28" t="str">
        <f t="shared" si="51"/>
        <v/>
      </c>
      <c r="X131" s="29" t="str">
        <f t="shared" si="5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4"/>
        <v/>
      </c>
      <c r="M132" s="19" t="str">
        <f t="shared" si="45"/>
        <v/>
      </c>
      <c r="N132" s="19" t="str">
        <f t="shared" si="46"/>
        <v/>
      </c>
      <c r="O132" s="19" t="str">
        <f t="shared" si="41"/>
        <v/>
      </c>
      <c r="P132" s="19" t="str">
        <f t="shared" si="42"/>
        <v/>
      </c>
      <c r="Q132" s="19" t="str">
        <f t="shared" si="43"/>
        <v/>
      </c>
      <c r="R132" s="19" t="str">
        <f t="shared" si="53"/>
        <v/>
      </c>
      <c r="S132" s="27" t="str">
        <f t="shared" si="47"/>
        <v/>
      </c>
      <c r="T132" s="28" t="str">
        <f t="shared" si="48"/>
        <v/>
      </c>
      <c r="U132" s="28" t="str">
        <f t="shared" si="49"/>
        <v/>
      </c>
      <c r="V132" s="28" t="str">
        <f t="shared" si="50"/>
        <v/>
      </c>
      <c r="W132" s="28" t="str">
        <f t="shared" si="51"/>
        <v/>
      </c>
      <c r="X132" s="29" t="str">
        <f t="shared" si="5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4"/>
        <v/>
      </c>
      <c r="M133" s="19" t="str">
        <f t="shared" si="45"/>
        <v/>
      </c>
      <c r="N133" s="19" t="str">
        <f t="shared" si="46"/>
        <v/>
      </c>
      <c r="O133" s="19" t="str">
        <f t="shared" si="41"/>
        <v/>
      </c>
      <c r="P133" s="19" t="str">
        <f t="shared" si="42"/>
        <v/>
      </c>
      <c r="Q133" s="19" t="str">
        <f t="shared" si="43"/>
        <v/>
      </c>
      <c r="R133" s="19" t="str">
        <f t="shared" si="53"/>
        <v/>
      </c>
      <c r="S133" s="27" t="str">
        <f t="shared" si="47"/>
        <v/>
      </c>
      <c r="T133" s="28" t="str">
        <f t="shared" si="48"/>
        <v/>
      </c>
      <c r="U133" s="28" t="str">
        <f t="shared" si="49"/>
        <v/>
      </c>
      <c r="V133" s="28" t="str">
        <f t="shared" si="50"/>
        <v/>
      </c>
      <c r="W133" s="28" t="str">
        <f t="shared" si="51"/>
        <v/>
      </c>
      <c r="X133" s="29" t="str">
        <f t="shared" si="5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4"/>
        <v/>
      </c>
      <c r="M134" s="19" t="str">
        <f t="shared" si="45"/>
        <v/>
      </c>
      <c r="N134" s="19" t="str">
        <f t="shared" si="46"/>
        <v/>
      </c>
      <c r="O134" s="19" t="str">
        <f t="shared" si="41"/>
        <v/>
      </c>
      <c r="P134" s="19" t="str">
        <f t="shared" si="42"/>
        <v/>
      </c>
      <c r="Q134" s="19" t="str">
        <f t="shared" si="43"/>
        <v/>
      </c>
      <c r="R134" s="19" t="str">
        <f t="shared" si="53"/>
        <v/>
      </c>
      <c r="S134" s="27" t="str">
        <f t="shared" si="47"/>
        <v/>
      </c>
      <c r="T134" s="28" t="str">
        <f t="shared" si="48"/>
        <v/>
      </c>
      <c r="U134" s="28" t="str">
        <f t="shared" si="49"/>
        <v/>
      </c>
      <c r="V134" s="28" t="str">
        <f t="shared" si="50"/>
        <v/>
      </c>
      <c r="W134" s="28" t="str">
        <f t="shared" si="51"/>
        <v/>
      </c>
      <c r="X134" s="29" t="str">
        <f t="shared" si="5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4"/>
        <v/>
      </c>
      <c r="M135" s="19" t="str">
        <f t="shared" si="45"/>
        <v/>
      </c>
      <c r="N135" s="19" t="str">
        <f t="shared" si="46"/>
        <v/>
      </c>
      <c r="O135" s="19" t="str">
        <f t="shared" si="41"/>
        <v/>
      </c>
      <c r="P135" s="19" t="str">
        <f t="shared" si="42"/>
        <v/>
      </c>
      <c r="Q135" s="19" t="str">
        <f t="shared" si="43"/>
        <v/>
      </c>
      <c r="R135" s="19" t="str">
        <f t="shared" si="53"/>
        <v/>
      </c>
      <c r="S135" s="27" t="str">
        <f t="shared" si="47"/>
        <v/>
      </c>
      <c r="T135" s="28" t="str">
        <f t="shared" si="48"/>
        <v/>
      </c>
      <c r="U135" s="28" t="str">
        <f t="shared" si="49"/>
        <v/>
      </c>
      <c r="V135" s="28" t="str">
        <f t="shared" si="50"/>
        <v/>
      </c>
      <c r="W135" s="28" t="str">
        <f t="shared" si="51"/>
        <v/>
      </c>
      <c r="X135" s="29" t="str">
        <f t="shared" si="5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4"/>
        <v/>
      </c>
      <c r="M136" s="19" t="str">
        <f t="shared" si="45"/>
        <v/>
      </c>
      <c r="N136" s="19" t="str">
        <f t="shared" si="46"/>
        <v/>
      </c>
      <c r="O136" s="19" t="str">
        <f t="shared" si="41"/>
        <v/>
      </c>
      <c r="P136" s="19" t="str">
        <f t="shared" si="42"/>
        <v/>
      </c>
      <c r="Q136" s="19" t="str">
        <f t="shared" si="43"/>
        <v/>
      </c>
      <c r="R136" s="19" t="str">
        <f t="shared" si="53"/>
        <v/>
      </c>
      <c r="S136" s="27" t="str">
        <f t="shared" si="47"/>
        <v/>
      </c>
      <c r="T136" s="28" t="str">
        <f t="shared" si="48"/>
        <v/>
      </c>
      <c r="U136" s="28" t="str">
        <f t="shared" si="49"/>
        <v/>
      </c>
      <c r="V136" s="28" t="str">
        <f t="shared" si="50"/>
        <v/>
      </c>
      <c r="W136" s="28" t="str">
        <f t="shared" si="51"/>
        <v/>
      </c>
      <c r="X136" s="29" t="str">
        <f t="shared" si="5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4"/>
        <v/>
      </c>
      <c r="M137" s="19" t="str">
        <f t="shared" si="45"/>
        <v/>
      </c>
      <c r="N137" s="19" t="str">
        <f t="shared" si="46"/>
        <v/>
      </c>
      <c r="O137" s="19" t="str">
        <f t="shared" si="41"/>
        <v/>
      </c>
      <c r="P137" s="19" t="str">
        <f t="shared" si="42"/>
        <v/>
      </c>
      <c r="Q137" s="19" t="str">
        <f t="shared" si="43"/>
        <v/>
      </c>
      <c r="R137" s="19" t="str">
        <f t="shared" si="53"/>
        <v/>
      </c>
      <c r="S137" s="27" t="str">
        <f t="shared" si="47"/>
        <v/>
      </c>
      <c r="T137" s="28" t="str">
        <f t="shared" si="48"/>
        <v/>
      </c>
      <c r="U137" s="28" t="str">
        <f t="shared" si="49"/>
        <v/>
      </c>
      <c r="V137" s="28" t="str">
        <f t="shared" si="50"/>
        <v/>
      </c>
      <c r="W137" s="28" t="str">
        <f t="shared" si="51"/>
        <v/>
      </c>
      <c r="X137" s="29" t="str">
        <f t="shared" si="5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4"/>
        <v/>
      </c>
      <c r="M138" s="19" t="str">
        <f t="shared" si="45"/>
        <v/>
      </c>
      <c r="N138" s="19" t="str">
        <f t="shared" si="46"/>
        <v/>
      </c>
      <c r="O138" s="19" t="str">
        <f t="shared" si="41"/>
        <v/>
      </c>
      <c r="P138" s="19" t="str">
        <f t="shared" si="42"/>
        <v/>
      </c>
      <c r="Q138" s="19" t="str">
        <f t="shared" si="43"/>
        <v/>
      </c>
      <c r="R138" s="19" t="str">
        <f t="shared" si="53"/>
        <v/>
      </c>
      <c r="S138" s="27" t="str">
        <f t="shared" si="47"/>
        <v/>
      </c>
      <c r="T138" s="28" t="str">
        <f t="shared" si="48"/>
        <v/>
      </c>
      <c r="U138" s="28" t="str">
        <f t="shared" si="49"/>
        <v/>
      </c>
      <c r="V138" s="28" t="str">
        <f t="shared" si="50"/>
        <v/>
      </c>
      <c r="W138" s="28" t="str">
        <f t="shared" si="51"/>
        <v/>
      </c>
      <c r="X138" s="29" t="str">
        <f t="shared" si="5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4"/>
        <v/>
      </c>
      <c r="M139" s="19" t="str">
        <f t="shared" si="45"/>
        <v/>
      </c>
      <c r="N139" s="19" t="str">
        <f t="shared" si="46"/>
        <v/>
      </c>
      <c r="O139" s="19" t="str">
        <f t="shared" si="41"/>
        <v/>
      </c>
      <c r="P139" s="19" t="str">
        <f t="shared" si="42"/>
        <v/>
      </c>
      <c r="Q139" s="19" t="str">
        <f t="shared" si="43"/>
        <v/>
      </c>
      <c r="R139" s="19" t="str">
        <f t="shared" si="53"/>
        <v/>
      </c>
      <c r="S139" s="27" t="str">
        <f t="shared" si="47"/>
        <v/>
      </c>
      <c r="T139" s="28" t="str">
        <f t="shared" si="48"/>
        <v/>
      </c>
      <c r="U139" s="28" t="str">
        <f t="shared" si="49"/>
        <v/>
      </c>
      <c r="V139" s="28" t="str">
        <f t="shared" si="50"/>
        <v/>
      </c>
      <c r="W139" s="28" t="str">
        <f t="shared" si="51"/>
        <v/>
      </c>
      <c r="X139" s="29" t="str">
        <f t="shared" si="5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4"/>
        <v/>
      </c>
      <c r="M140" s="19" t="str">
        <f t="shared" si="45"/>
        <v/>
      </c>
      <c r="N140" s="19" t="str">
        <f t="shared" si="46"/>
        <v/>
      </c>
      <c r="O140" s="19" t="str">
        <f t="shared" si="41"/>
        <v/>
      </c>
      <c r="P140" s="19" t="str">
        <f t="shared" si="42"/>
        <v/>
      </c>
      <c r="Q140" s="19" t="str">
        <f t="shared" si="43"/>
        <v/>
      </c>
      <c r="R140" s="19" t="str">
        <f t="shared" si="53"/>
        <v/>
      </c>
      <c r="S140" s="27" t="str">
        <f t="shared" si="47"/>
        <v/>
      </c>
      <c r="T140" s="28" t="str">
        <f t="shared" si="48"/>
        <v/>
      </c>
      <c r="U140" s="28" t="str">
        <f t="shared" si="49"/>
        <v/>
      </c>
      <c r="V140" s="28" t="str">
        <f t="shared" si="50"/>
        <v/>
      </c>
      <c r="W140" s="28" t="str">
        <f t="shared" si="51"/>
        <v/>
      </c>
      <c r="X140" s="29" t="str">
        <f t="shared" si="5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4"/>
        <v/>
      </c>
      <c r="M141" s="19" t="str">
        <f t="shared" si="45"/>
        <v/>
      </c>
      <c r="N141" s="19" t="str">
        <f t="shared" si="46"/>
        <v/>
      </c>
      <c r="O141" s="19" t="str">
        <f t="shared" si="41"/>
        <v/>
      </c>
      <c r="P141" s="19" t="str">
        <f t="shared" si="42"/>
        <v/>
      </c>
      <c r="Q141" s="19" t="str">
        <f t="shared" si="43"/>
        <v/>
      </c>
      <c r="R141" s="19" t="str">
        <f t="shared" si="53"/>
        <v/>
      </c>
      <c r="S141" s="27" t="str">
        <f t="shared" si="47"/>
        <v/>
      </c>
      <c r="T141" s="28" t="str">
        <f t="shared" si="48"/>
        <v/>
      </c>
      <c r="U141" s="28" t="str">
        <f t="shared" si="49"/>
        <v/>
      </c>
      <c r="V141" s="28" t="str">
        <f t="shared" si="50"/>
        <v/>
      </c>
      <c r="W141" s="28" t="str">
        <f t="shared" si="51"/>
        <v/>
      </c>
      <c r="X141" s="29" t="str">
        <f t="shared" si="5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4"/>
        <v/>
      </c>
      <c r="M142" s="19" t="str">
        <f t="shared" si="45"/>
        <v/>
      </c>
      <c r="N142" s="19" t="str">
        <f t="shared" si="46"/>
        <v/>
      </c>
      <c r="O142" s="19" t="str">
        <f t="shared" si="41"/>
        <v/>
      </c>
      <c r="P142" s="19" t="str">
        <f t="shared" si="42"/>
        <v/>
      </c>
      <c r="Q142" s="19" t="str">
        <f t="shared" si="43"/>
        <v/>
      </c>
      <c r="R142" s="19" t="str">
        <f t="shared" si="53"/>
        <v/>
      </c>
      <c r="S142" s="27" t="str">
        <f t="shared" si="47"/>
        <v/>
      </c>
      <c r="T142" s="28" t="str">
        <f t="shared" si="48"/>
        <v/>
      </c>
      <c r="U142" s="28" t="str">
        <f t="shared" si="49"/>
        <v/>
      </c>
      <c r="V142" s="28" t="str">
        <f t="shared" si="50"/>
        <v/>
      </c>
      <c r="W142" s="28" t="str">
        <f t="shared" si="51"/>
        <v/>
      </c>
      <c r="X142" s="29" t="str">
        <f t="shared" si="5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4"/>
        <v/>
      </c>
      <c r="M143" s="19" t="str">
        <f t="shared" si="45"/>
        <v/>
      </c>
      <c r="N143" s="19" t="str">
        <f t="shared" si="46"/>
        <v/>
      </c>
      <c r="O143" s="19" t="str">
        <f t="shared" si="41"/>
        <v/>
      </c>
      <c r="P143" s="19" t="str">
        <f t="shared" si="42"/>
        <v/>
      </c>
      <c r="Q143" s="19" t="str">
        <f t="shared" si="43"/>
        <v/>
      </c>
      <c r="R143" s="19" t="str">
        <f t="shared" si="53"/>
        <v/>
      </c>
      <c r="S143" s="27" t="str">
        <f t="shared" si="47"/>
        <v/>
      </c>
      <c r="T143" s="28" t="str">
        <f t="shared" si="48"/>
        <v/>
      </c>
      <c r="U143" s="28" t="str">
        <f t="shared" si="49"/>
        <v/>
      </c>
      <c r="V143" s="28" t="str">
        <f t="shared" si="50"/>
        <v/>
      </c>
      <c r="W143" s="28" t="str">
        <f t="shared" si="51"/>
        <v/>
      </c>
      <c r="X143" s="29" t="str">
        <f t="shared" si="5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4">IF(ISBLANK(C144),"",(C144-C$16)*1000)</f>
        <v/>
      </c>
      <c r="M144" s="19" t="str">
        <f t="shared" ref="M144:M153" si="55">IF(ISBLANK(D144),"",(D144-D$16)*1000)</f>
        <v/>
      </c>
      <c r="N144" s="19" t="str">
        <f t="shared" ref="N144:N153" si="56">IF(ISBLANK(E144),"",(E144-E$16)*1000)</f>
        <v/>
      </c>
      <c r="O144" s="19" t="str">
        <f t="shared" si="41"/>
        <v/>
      </c>
      <c r="P144" s="19" t="str">
        <f t="shared" si="42"/>
        <v/>
      </c>
      <c r="Q144" s="19" t="str">
        <f t="shared" si="43"/>
        <v/>
      </c>
      <c r="R144" s="19" t="str">
        <f t="shared" si="53"/>
        <v/>
      </c>
      <c r="S144" s="27" t="str">
        <f t="shared" si="47"/>
        <v/>
      </c>
      <c r="T144" s="28" t="str">
        <f t="shared" si="48"/>
        <v/>
      </c>
      <c r="U144" s="28" t="str">
        <f t="shared" si="49"/>
        <v/>
      </c>
      <c r="V144" s="28" t="str">
        <f t="shared" si="50"/>
        <v/>
      </c>
      <c r="W144" s="28" t="str">
        <f t="shared" si="51"/>
        <v/>
      </c>
      <c r="X144" s="29" t="str">
        <f t="shared" si="5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4"/>
        <v/>
      </c>
      <c r="M145" s="19" t="str">
        <f t="shared" si="55"/>
        <v/>
      </c>
      <c r="N145" s="19" t="str">
        <f t="shared" si="56"/>
        <v/>
      </c>
      <c r="O145" s="19" t="str">
        <f t="shared" si="41"/>
        <v/>
      </c>
      <c r="P145" s="19" t="str">
        <f t="shared" si="42"/>
        <v/>
      </c>
      <c r="Q145" s="19" t="str">
        <f t="shared" si="43"/>
        <v/>
      </c>
      <c r="R145" s="19" t="str">
        <f t="shared" si="53"/>
        <v/>
      </c>
      <c r="S145" s="27" t="str">
        <f t="shared" ref="S145:S153" si="57">IF(C145="","",((C145-C144)*1000)/($B145-$B144))</f>
        <v/>
      </c>
      <c r="T145" s="28" t="str">
        <f t="shared" ref="T145:T153" si="58">IF(D145="","",((D145-D144)*1000)/($B145-$B144))</f>
        <v/>
      </c>
      <c r="U145" s="28" t="str">
        <f t="shared" ref="U145:U153" si="59">IF(E145="","",((E145-E144)*1000)/($B145-$B144))</f>
        <v/>
      </c>
      <c r="V145" s="28" t="str">
        <f t="shared" ref="V145:V153" si="60">IF(F145="","",((F145-F144)*1000)/($B145-$B144))</f>
        <v/>
      </c>
      <c r="W145" s="28" t="str">
        <f t="shared" ref="W145:W153" si="61">IF(G145="","",((G145-G144)*1000)/($B145-$B144))</f>
        <v/>
      </c>
      <c r="X145" s="29" t="str">
        <f t="shared" ref="X145:X153" si="62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4"/>
        <v/>
      </c>
      <c r="M146" s="19" t="str">
        <f t="shared" si="55"/>
        <v/>
      </c>
      <c r="N146" s="19" t="str">
        <f t="shared" si="56"/>
        <v/>
      </c>
      <c r="O146" s="19" t="str">
        <f t="shared" si="41"/>
        <v/>
      </c>
      <c r="P146" s="19" t="str">
        <f t="shared" si="42"/>
        <v/>
      </c>
      <c r="Q146" s="19" t="str">
        <f t="shared" si="43"/>
        <v/>
      </c>
      <c r="R146" s="19" t="str">
        <f t="shared" si="53"/>
        <v/>
      </c>
      <c r="S146" s="27" t="str">
        <f t="shared" si="57"/>
        <v/>
      </c>
      <c r="T146" s="28" t="str">
        <f t="shared" si="58"/>
        <v/>
      </c>
      <c r="U146" s="28" t="str">
        <f t="shared" si="59"/>
        <v/>
      </c>
      <c r="V146" s="28" t="str">
        <f t="shared" si="60"/>
        <v/>
      </c>
      <c r="W146" s="28" t="str">
        <f t="shared" si="61"/>
        <v/>
      </c>
      <c r="X146" s="29" t="str">
        <f t="shared" si="62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4"/>
        <v/>
      </c>
      <c r="M147" s="19" t="str">
        <f t="shared" si="55"/>
        <v/>
      </c>
      <c r="N147" s="19" t="str">
        <f t="shared" si="56"/>
        <v/>
      </c>
      <c r="O147" s="19" t="str">
        <f t="shared" si="41"/>
        <v/>
      </c>
      <c r="P147" s="19" t="str">
        <f t="shared" si="42"/>
        <v/>
      </c>
      <c r="Q147" s="19" t="str">
        <f t="shared" si="43"/>
        <v/>
      </c>
      <c r="R147" s="19" t="str">
        <f t="shared" si="53"/>
        <v/>
      </c>
      <c r="S147" s="27" t="str">
        <f t="shared" si="57"/>
        <v/>
      </c>
      <c r="T147" s="28" t="str">
        <f t="shared" si="58"/>
        <v/>
      </c>
      <c r="U147" s="28" t="str">
        <f t="shared" si="59"/>
        <v/>
      </c>
      <c r="V147" s="28" t="str">
        <f t="shared" si="60"/>
        <v/>
      </c>
      <c r="W147" s="28" t="str">
        <f t="shared" si="61"/>
        <v/>
      </c>
      <c r="X147" s="29" t="str">
        <f t="shared" si="62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4"/>
        <v/>
      </c>
      <c r="M148" s="19" t="str">
        <f t="shared" si="55"/>
        <v/>
      </c>
      <c r="N148" s="19" t="str">
        <f t="shared" si="56"/>
        <v/>
      </c>
      <c r="O148" s="19" t="str">
        <f t="shared" si="41"/>
        <v/>
      </c>
      <c r="P148" s="19" t="str">
        <f t="shared" si="42"/>
        <v/>
      </c>
      <c r="Q148" s="19" t="str">
        <f t="shared" si="43"/>
        <v/>
      </c>
      <c r="R148" s="19" t="str">
        <f t="shared" si="53"/>
        <v/>
      </c>
      <c r="S148" s="27" t="str">
        <f t="shared" si="57"/>
        <v/>
      </c>
      <c r="T148" s="28" t="str">
        <f t="shared" si="58"/>
        <v/>
      </c>
      <c r="U148" s="28" t="str">
        <f t="shared" si="59"/>
        <v/>
      </c>
      <c r="V148" s="28" t="str">
        <f t="shared" si="60"/>
        <v/>
      </c>
      <c r="W148" s="28" t="str">
        <f t="shared" si="61"/>
        <v/>
      </c>
      <c r="X148" s="29" t="str">
        <f t="shared" si="62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4"/>
        <v/>
      </c>
      <c r="M149" s="19" t="str">
        <f t="shared" si="55"/>
        <v/>
      </c>
      <c r="N149" s="19" t="str">
        <f t="shared" si="56"/>
        <v/>
      </c>
      <c r="O149" s="19" t="str">
        <f t="shared" si="41"/>
        <v/>
      </c>
      <c r="P149" s="19" t="str">
        <f t="shared" si="42"/>
        <v/>
      </c>
      <c r="Q149" s="19" t="str">
        <f t="shared" si="43"/>
        <v/>
      </c>
      <c r="R149" s="19" t="str">
        <f t="shared" si="53"/>
        <v/>
      </c>
      <c r="S149" s="27" t="str">
        <f t="shared" si="57"/>
        <v/>
      </c>
      <c r="T149" s="28" t="str">
        <f t="shared" si="58"/>
        <v/>
      </c>
      <c r="U149" s="28" t="str">
        <f t="shared" si="59"/>
        <v/>
      </c>
      <c r="V149" s="28" t="str">
        <f t="shared" si="60"/>
        <v/>
      </c>
      <c r="W149" s="28" t="str">
        <f t="shared" si="61"/>
        <v/>
      </c>
      <c r="X149" s="29" t="str">
        <f t="shared" si="62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4"/>
        <v/>
      </c>
      <c r="M150" s="19" t="str">
        <f t="shared" si="55"/>
        <v/>
      </c>
      <c r="N150" s="19" t="str">
        <f t="shared" si="56"/>
        <v/>
      </c>
      <c r="O150" s="19" t="str">
        <f t="shared" si="41"/>
        <v/>
      </c>
      <c r="P150" s="19" t="str">
        <f t="shared" si="42"/>
        <v/>
      </c>
      <c r="Q150" s="19" t="str">
        <f t="shared" si="43"/>
        <v/>
      </c>
      <c r="R150" s="19" t="str">
        <f t="shared" si="53"/>
        <v/>
      </c>
      <c r="S150" s="27" t="str">
        <f t="shared" si="57"/>
        <v/>
      </c>
      <c r="T150" s="28" t="str">
        <f t="shared" si="58"/>
        <v/>
      </c>
      <c r="U150" s="28" t="str">
        <f t="shared" si="59"/>
        <v/>
      </c>
      <c r="V150" s="28" t="str">
        <f t="shared" si="60"/>
        <v/>
      </c>
      <c r="W150" s="28" t="str">
        <f t="shared" si="61"/>
        <v/>
      </c>
      <c r="X150" s="29" t="str">
        <f t="shared" si="62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4"/>
        <v/>
      </c>
      <c r="M151" s="19" t="str">
        <f t="shared" si="55"/>
        <v/>
      </c>
      <c r="N151" s="19" t="str">
        <f t="shared" si="56"/>
        <v/>
      </c>
      <c r="O151" s="19" t="str">
        <f t="shared" si="41"/>
        <v/>
      </c>
      <c r="P151" s="19" t="str">
        <f t="shared" si="42"/>
        <v/>
      </c>
      <c r="Q151" s="19" t="str">
        <f t="shared" si="43"/>
        <v/>
      </c>
      <c r="R151" s="19" t="str">
        <f t="shared" si="53"/>
        <v/>
      </c>
      <c r="S151" s="27" t="str">
        <f t="shared" si="57"/>
        <v/>
      </c>
      <c r="T151" s="28" t="str">
        <f t="shared" si="58"/>
        <v/>
      </c>
      <c r="U151" s="28" t="str">
        <f t="shared" si="59"/>
        <v/>
      </c>
      <c r="V151" s="28" t="str">
        <f t="shared" si="60"/>
        <v/>
      </c>
      <c r="W151" s="28" t="str">
        <f t="shared" si="61"/>
        <v/>
      </c>
      <c r="X151" s="29" t="str">
        <f t="shared" si="62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4"/>
        <v/>
      </c>
      <c r="M152" s="19" t="str">
        <f t="shared" si="55"/>
        <v/>
      </c>
      <c r="N152" s="19" t="str">
        <f t="shared" si="56"/>
        <v/>
      </c>
      <c r="O152" s="19" t="str">
        <f t="shared" si="41"/>
        <v/>
      </c>
      <c r="P152" s="19" t="str">
        <f t="shared" si="42"/>
        <v/>
      </c>
      <c r="Q152" s="19" t="str">
        <f t="shared" si="43"/>
        <v/>
      </c>
      <c r="R152" s="19" t="str">
        <f t="shared" si="53"/>
        <v/>
      </c>
      <c r="S152" s="27" t="str">
        <f t="shared" si="57"/>
        <v/>
      </c>
      <c r="T152" s="28" t="str">
        <f t="shared" si="58"/>
        <v/>
      </c>
      <c r="U152" s="28" t="str">
        <f t="shared" si="59"/>
        <v/>
      </c>
      <c r="V152" s="28" t="str">
        <f t="shared" si="60"/>
        <v/>
      </c>
      <c r="W152" s="28" t="str">
        <f t="shared" si="61"/>
        <v/>
      </c>
      <c r="X152" s="29" t="str">
        <f t="shared" si="62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4"/>
        <v/>
      </c>
      <c r="M153" s="19" t="str">
        <f t="shared" si="55"/>
        <v/>
      </c>
      <c r="N153" s="19" t="str">
        <f t="shared" si="56"/>
        <v/>
      </c>
      <c r="O153" s="19" t="str">
        <f t="shared" si="41"/>
        <v/>
      </c>
      <c r="P153" s="19" t="str">
        <f t="shared" si="42"/>
        <v/>
      </c>
      <c r="Q153" s="19" t="str">
        <f t="shared" si="43"/>
        <v/>
      </c>
      <c r="R153" s="19" t="str">
        <f t="shared" si="53"/>
        <v/>
      </c>
      <c r="S153" s="27" t="str">
        <f t="shared" si="57"/>
        <v/>
      </c>
      <c r="T153" s="28" t="str">
        <f t="shared" si="58"/>
        <v/>
      </c>
      <c r="U153" s="28" t="str">
        <f t="shared" si="59"/>
        <v/>
      </c>
      <c r="V153" s="28" t="str">
        <f t="shared" si="60"/>
        <v/>
      </c>
      <c r="W153" s="28" t="str">
        <f t="shared" si="61"/>
        <v/>
      </c>
      <c r="X153" s="29" t="str">
        <f t="shared" si="62"/>
        <v/>
      </c>
      <c r="Y153" s="24"/>
    </row>
  </sheetData>
  <sheetProtection selectLockedCells="1"/>
  <mergeCells count="38">
    <mergeCell ref="B13:B15"/>
    <mergeCell ref="R8:V8"/>
    <mergeCell ref="W8:Y8"/>
    <mergeCell ref="E6:I6"/>
    <mergeCell ref="J6:Q6"/>
    <mergeCell ref="J14:K14"/>
    <mergeCell ref="C13:K13"/>
    <mergeCell ref="L13:R14"/>
    <mergeCell ref="S13:X14"/>
    <mergeCell ref="B10:J12"/>
    <mergeCell ref="K10:S12"/>
    <mergeCell ref="T10:Y12"/>
    <mergeCell ref="Y13:Y15"/>
    <mergeCell ref="C14:E14"/>
    <mergeCell ref="F14:H14"/>
    <mergeCell ref="I14:I15"/>
    <mergeCell ref="AA9:AI9"/>
    <mergeCell ref="B5:D8"/>
    <mergeCell ref="E5:I5"/>
    <mergeCell ref="J5:Q5"/>
    <mergeCell ref="R5:V5"/>
    <mergeCell ref="W5:Y5"/>
    <mergeCell ref="R7:V7"/>
    <mergeCell ref="W7:Y7"/>
    <mergeCell ref="E8:I8"/>
    <mergeCell ref="J8:Q8"/>
    <mergeCell ref="B9:O9"/>
    <mergeCell ref="P9:Y9"/>
    <mergeCell ref="R6:V6"/>
    <mergeCell ref="W6:Y6"/>
    <mergeCell ref="E7:I7"/>
    <mergeCell ref="J7:Q7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0">
    <pageSetUpPr fitToPage="1"/>
  </sheetPr>
  <dimension ref="A1:AI153"/>
  <sheetViews>
    <sheetView showGridLines="0" zoomScale="75" zoomScaleNormal="75" zoomScaleSheetLayoutView="40" workbookViewId="0">
      <pane ySplit="8" topLeftCell="A63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TZ-8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5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41626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>
        <v>50</v>
      </c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41626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35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39">
        <f>J8-258</f>
        <v>70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328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13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41628</v>
      </c>
      <c r="C16" s="35">
        <v>12.678000000000001</v>
      </c>
      <c r="D16" s="36">
        <v>7.5579999999999998</v>
      </c>
      <c r="E16" s="36">
        <v>8.1150000000000002</v>
      </c>
      <c r="F16" s="37"/>
      <c r="G16" s="37"/>
      <c r="H16" s="37"/>
      <c r="I16" s="41">
        <v>101.315</v>
      </c>
      <c r="J16" s="39">
        <v>329</v>
      </c>
      <c r="K16" s="18">
        <f t="shared" ref="K16:K26" si="0">IF(ISBLANK(J16),"",(J16-$J$8))</f>
        <v>1</v>
      </c>
      <c r="L16" s="19">
        <f t="shared" ref="L16:L47" si="1">IF(ISBLANK(C16),"",(C16-C$16)*1000)</f>
        <v>0</v>
      </c>
      <c r="M16" s="19">
        <f t="shared" ref="M16:M27" si="2">IF(ISBLANK(D16),"",(D16-D$16)*1000)</f>
        <v>0</v>
      </c>
      <c r="N16" s="19">
        <f t="shared" ref="N16:N27" si="3">IF(ISBLANK(E16),"",(E16-E$16)*1000)</f>
        <v>0</v>
      </c>
      <c r="O16" s="20"/>
      <c r="P16" s="20"/>
      <c r="Q16" s="20"/>
      <c r="R16" s="21">
        <f t="shared" ref="R16:R27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41635</v>
      </c>
      <c r="C17" s="25">
        <v>12.675000000000001</v>
      </c>
      <c r="D17" s="26">
        <v>7.56</v>
      </c>
      <c r="E17" s="26">
        <v>8.1129999999999995</v>
      </c>
      <c r="F17" s="16"/>
      <c r="G17" s="16"/>
      <c r="H17" s="16"/>
      <c r="I17" s="44">
        <v>101.312</v>
      </c>
      <c r="J17" s="32">
        <v>332</v>
      </c>
      <c r="K17" s="18">
        <f t="shared" si="0"/>
        <v>4</v>
      </c>
      <c r="L17" s="19">
        <f t="shared" si="1"/>
        <v>-3.0000000000001137</v>
      </c>
      <c r="M17" s="19">
        <f t="shared" si="2"/>
        <v>1.9999999999997797</v>
      </c>
      <c r="N17" s="19">
        <f t="shared" si="3"/>
        <v>-2.0000000000006679</v>
      </c>
      <c r="O17" s="19" t="str">
        <f t="shared" ref="O17:O48" si="5">IF(ISBLANK(F17),"",(F17-F$16)*1000)</f>
        <v/>
      </c>
      <c r="P17" s="19" t="str">
        <f t="shared" ref="P17:P48" si="6">IF(ISBLANK(G17),"",(G17-G$16)*1000)</f>
        <v/>
      </c>
      <c r="Q17" s="19" t="str">
        <f t="shared" ref="Q17:Q48" si="7">IF(ISBLANK(H17),"",(H17-H$16)*1000)</f>
        <v/>
      </c>
      <c r="R17" s="19">
        <f t="shared" si="4"/>
        <v>-3.0000000000001137</v>
      </c>
      <c r="S17" s="27">
        <f t="shared" ref="S17:S48" si="8">IF(C17="","",((C17-C16)*1000)/($B17-$B16))</f>
        <v>-0.42857142857144481</v>
      </c>
      <c r="T17" s="28">
        <f t="shared" ref="T17:T48" si="9">IF(D17="","",((D17-D16)*1000)/($B17-$B16))</f>
        <v>0.28571428571425422</v>
      </c>
      <c r="U17" s="28">
        <f t="shared" ref="U17:U48" si="10">IF(E17="","",((E17-E16)*1000)/($B17-$B16))</f>
        <v>-0.28571428571438112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41641</v>
      </c>
      <c r="C18" s="25">
        <v>12.673</v>
      </c>
      <c r="D18" s="26">
        <v>7.5590000000000002</v>
      </c>
      <c r="E18" s="26">
        <v>8.1129999999999995</v>
      </c>
      <c r="F18" s="16"/>
      <c r="G18" s="16"/>
      <c r="H18" s="16"/>
      <c r="I18" s="44">
        <v>101.312</v>
      </c>
      <c r="J18" s="32">
        <v>332</v>
      </c>
      <c r="K18" s="18">
        <f t="shared" si="0"/>
        <v>4</v>
      </c>
      <c r="L18" s="19">
        <f t="shared" si="1"/>
        <v>-5.0000000000007816</v>
      </c>
      <c r="M18" s="19">
        <f t="shared" si="2"/>
        <v>1.000000000000334</v>
      </c>
      <c r="N18" s="19">
        <f t="shared" si="3"/>
        <v>-2.0000000000006679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-3.0000000000001137</v>
      </c>
      <c r="S18" s="27">
        <f t="shared" si="8"/>
        <v>-0.33333333333344467</v>
      </c>
      <c r="T18" s="28">
        <f t="shared" si="9"/>
        <v>-0.16666666666657429</v>
      </c>
      <c r="U18" s="28">
        <f t="shared" si="10"/>
        <v>0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41646</v>
      </c>
      <c r="C19" s="25">
        <v>12.673</v>
      </c>
      <c r="D19" s="26">
        <v>7.5590000000000002</v>
      </c>
      <c r="E19" s="26">
        <v>8.1129999999999995</v>
      </c>
      <c r="F19" s="16"/>
      <c r="G19" s="16"/>
      <c r="H19" s="16"/>
      <c r="I19" s="44">
        <v>101.312</v>
      </c>
      <c r="J19" s="32">
        <v>332</v>
      </c>
      <c r="K19" s="18">
        <f t="shared" si="0"/>
        <v>4</v>
      </c>
      <c r="L19" s="19">
        <f t="shared" si="1"/>
        <v>-5.0000000000007816</v>
      </c>
      <c r="M19" s="19">
        <f t="shared" si="2"/>
        <v>1.000000000000334</v>
      </c>
      <c r="N19" s="19">
        <f t="shared" si="3"/>
        <v>-2.0000000000006679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-3.0000000000001137</v>
      </c>
      <c r="S19" s="27">
        <f t="shared" si="8"/>
        <v>0</v>
      </c>
      <c r="T19" s="28">
        <f t="shared" si="9"/>
        <v>0</v>
      </c>
      <c r="U19" s="28">
        <f t="shared" si="10"/>
        <v>0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41647</v>
      </c>
      <c r="C20" s="25">
        <v>12.67</v>
      </c>
      <c r="D20" s="26">
        <v>7.5570000000000004</v>
      </c>
      <c r="E20" s="26">
        <v>8.1129999999999995</v>
      </c>
      <c r="F20" s="16"/>
      <c r="G20" s="16"/>
      <c r="H20" s="16"/>
      <c r="I20" s="44">
        <v>101.312</v>
      </c>
      <c r="J20" s="32">
        <v>336</v>
      </c>
      <c r="K20" s="18">
        <f t="shared" si="0"/>
        <v>8</v>
      </c>
      <c r="L20" s="19">
        <f t="shared" si="1"/>
        <v>-8.0000000000008953</v>
      </c>
      <c r="M20" s="19">
        <f t="shared" si="2"/>
        <v>-0.99999999999944578</v>
      </c>
      <c r="N20" s="19">
        <f t="shared" si="3"/>
        <v>-2.0000000000006679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-3.0000000000001137</v>
      </c>
      <c r="S20" s="27">
        <f t="shared" si="8"/>
        <v>-3.0000000000001137</v>
      </c>
      <c r="T20" s="28">
        <f t="shared" si="9"/>
        <v>-1.9999999999997797</v>
      </c>
      <c r="U20" s="28">
        <f t="shared" si="10"/>
        <v>0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41648</v>
      </c>
      <c r="C21" s="25">
        <v>12.669</v>
      </c>
      <c r="D21" s="26">
        <v>7.5579999999999998</v>
      </c>
      <c r="E21" s="26">
        <v>8.1129999999999995</v>
      </c>
      <c r="F21" s="16"/>
      <c r="G21" s="16"/>
      <c r="H21" s="16"/>
      <c r="I21" s="44">
        <v>101.31100000000001</v>
      </c>
      <c r="J21" s="32">
        <v>340</v>
      </c>
      <c r="K21" s="18">
        <f t="shared" si="0"/>
        <v>12</v>
      </c>
      <c r="L21" s="19">
        <f t="shared" si="1"/>
        <v>-9.0000000000003411</v>
      </c>
      <c r="M21" s="19">
        <f t="shared" si="2"/>
        <v>0</v>
      </c>
      <c r="N21" s="19">
        <f t="shared" si="3"/>
        <v>-2.0000000000006679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-3.9999999999906777</v>
      </c>
      <c r="S21" s="27">
        <f t="shared" si="8"/>
        <v>-0.99999999999944578</v>
      </c>
      <c r="T21" s="28">
        <f t="shared" si="9"/>
        <v>0.99999999999944578</v>
      </c>
      <c r="U21" s="28">
        <f t="shared" si="10"/>
        <v>0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41649</v>
      </c>
      <c r="C22" s="25">
        <v>12.667999999999999</v>
      </c>
      <c r="D22" s="26">
        <v>7.5579999999999998</v>
      </c>
      <c r="E22" s="26">
        <v>8.1129999999999995</v>
      </c>
      <c r="F22" s="16"/>
      <c r="G22" s="16"/>
      <c r="H22" s="16"/>
      <c r="I22" s="44">
        <v>101.31100000000001</v>
      </c>
      <c r="J22" s="32">
        <v>348</v>
      </c>
      <c r="K22" s="18">
        <f t="shared" si="0"/>
        <v>20</v>
      </c>
      <c r="L22" s="19">
        <f t="shared" si="1"/>
        <v>-10.000000000001563</v>
      </c>
      <c r="M22" s="19">
        <f t="shared" si="2"/>
        <v>0</v>
      </c>
      <c r="N22" s="19">
        <f t="shared" si="3"/>
        <v>-2.0000000000006679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-3.9999999999906777</v>
      </c>
      <c r="S22" s="27">
        <f t="shared" si="8"/>
        <v>-1.0000000000012221</v>
      </c>
      <c r="T22" s="28">
        <f t="shared" si="9"/>
        <v>0</v>
      </c>
      <c r="U22" s="28">
        <f t="shared" si="10"/>
        <v>0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41652</v>
      </c>
      <c r="C23" s="25">
        <v>12.667</v>
      </c>
      <c r="D23" s="26">
        <v>7.5570000000000004</v>
      </c>
      <c r="E23" s="26">
        <v>8.1129999999999995</v>
      </c>
      <c r="F23" s="16"/>
      <c r="G23" s="16"/>
      <c r="H23" s="16"/>
      <c r="I23" s="44">
        <v>101.31</v>
      </c>
      <c r="J23" s="32">
        <v>353</v>
      </c>
      <c r="K23" s="18">
        <f t="shared" si="0"/>
        <v>25</v>
      </c>
      <c r="L23" s="19">
        <f t="shared" si="1"/>
        <v>-11.000000000001009</v>
      </c>
      <c r="M23" s="19">
        <f t="shared" si="2"/>
        <v>-0.99999999999944578</v>
      </c>
      <c r="N23" s="19">
        <f t="shared" si="3"/>
        <v>-2.0000000000006679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-4.9999999999954525</v>
      </c>
      <c r="S23" s="27">
        <f t="shared" si="8"/>
        <v>-0.33333333333314857</v>
      </c>
      <c r="T23" s="28">
        <f t="shared" si="9"/>
        <v>-0.33333333333314857</v>
      </c>
      <c r="U23" s="28">
        <f t="shared" si="10"/>
        <v>0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41653</v>
      </c>
      <c r="C24" s="25">
        <v>12.664999999999999</v>
      </c>
      <c r="D24" s="26">
        <v>7.5570000000000004</v>
      </c>
      <c r="E24" s="26">
        <v>8.1120000000000001</v>
      </c>
      <c r="F24" s="16"/>
      <c r="G24" s="16"/>
      <c r="H24" s="16"/>
      <c r="I24" s="44">
        <v>101.309</v>
      </c>
      <c r="J24" s="32">
        <v>359.5</v>
      </c>
      <c r="K24" s="18">
        <f t="shared" si="0"/>
        <v>31.5</v>
      </c>
      <c r="L24" s="19">
        <f t="shared" si="1"/>
        <v>-13.000000000001677</v>
      </c>
      <c r="M24" s="19">
        <f t="shared" si="2"/>
        <v>-0.99999999999944578</v>
      </c>
      <c r="N24" s="19">
        <f t="shared" si="3"/>
        <v>-3.0000000000001137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-6.0000000000002274</v>
      </c>
      <c r="S24" s="27">
        <f t="shared" si="8"/>
        <v>-2.0000000000006679</v>
      </c>
      <c r="T24" s="28">
        <f t="shared" si="9"/>
        <v>0</v>
      </c>
      <c r="U24" s="28">
        <f t="shared" si="10"/>
        <v>-0.99999999999944578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41654</v>
      </c>
      <c r="C25" s="25">
        <v>12.666</v>
      </c>
      <c r="D25" s="26">
        <v>7.5570000000000004</v>
      </c>
      <c r="E25" s="26">
        <v>8.1129999999999995</v>
      </c>
      <c r="F25" s="16"/>
      <c r="G25" s="16"/>
      <c r="H25" s="16"/>
      <c r="I25" s="44">
        <v>101.309</v>
      </c>
      <c r="J25" s="32">
        <v>366</v>
      </c>
      <c r="K25" s="18">
        <f t="shared" si="0"/>
        <v>38</v>
      </c>
      <c r="L25" s="19">
        <f t="shared" si="1"/>
        <v>-12.000000000000455</v>
      </c>
      <c r="M25" s="19">
        <f t="shared" si="2"/>
        <v>-0.99999999999944578</v>
      </c>
      <c r="N25" s="19">
        <f t="shared" si="3"/>
        <v>-2.0000000000006679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-6.0000000000002274</v>
      </c>
      <c r="S25" s="27">
        <f t="shared" si="8"/>
        <v>1.0000000000012221</v>
      </c>
      <c r="T25" s="28">
        <f t="shared" si="9"/>
        <v>0</v>
      </c>
      <c r="U25" s="28">
        <f t="shared" si="10"/>
        <v>0.99999999999944578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41655</v>
      </c>
      <c r="C26" s="25">
        <v>12.664999999999999</v>
      </c>
      <c r="D26" s="26">
        <v>7.5570000000000004</v>
      </c>
      <c r="E26" s="26">
        <v>8.1120000000000001</v>
      </c>
      <c r="F26" s="16"/>
      <c r="G26" s="16"/>
      <c r="H26" s="16"/>
      <c r="I26" s="44">
        <v>101.31</v>
      </c>
      <c r="J26" s="32">
        <v>373</v>
      </c>
      <c r="K26" s="18">
        <f t="shared" si="0"/>
        <v>45</v>
      </c>
      <c r="L26" s="19">
        <f t="shared" si="1"/>
        <v>-13.000000000001677</v>
      </c>
      <c r="M26" s="19">
        <f t="shared" si="2"/>
        <v>-0.99999999999944578</v>
      </c>
      <c r="N26" s="19">
        <f t="shared" si="3"/>
        <v>-3.0000000000001137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-4.9999999999954525</v>
      </c>
      <c r="S26" s="27">
        <f t="shared" si="8"/>
        <v>-1.0000000000012221</v>
      </c>
      <c r="T26" s="28">
        <f t="shared" si="9"/>
        <v>0</v>
      </c>
      <c r="U26" s="28">
        <f t="shared" si="10"/>
        <v>-0.99999999999944578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41656</v>
      </c>
      <c r="C27" s="25">
        <v>12.664</v>
      </c>
      <c r="D27" s="26">
        <v>7.5570000000000004</v>
      </c>
      <c r="E27" s="26">
        <v>8.1129999999999995</v>
      </c>
      <c r="F27" s="16"/>
      <c r="G27" s="16"/>
      <c r="H27" s="16"/>
      <c r="I27" s="44">
        <v>101.31100000000001</v>
      </c>
      <c r="J27" s="32">
        <v>376</v>
      </c>
      <c r="K27" s="18">
        <f t="shared" ref="K27:K42" si="14">IF(ISBLANK(J27),"",(J27-$J$8))</f>
        <v>48</v>
      </c>
      <c r="L27" s="19">
        <f t="shared" si="1"/>
        <v>-14.000000000001123</v>
      </c>
      <c r="M27" s="19">
        <f t="shared" si="2"/>
        <v>-0.99999999999944578</v>
      </c>
      <c r="N27" s="19">
        <f t="shared" si="3"/>
        <v>-2.0000000000006679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-3.9999999999906777</v>
      </c>
      <c r="S27" s="27">
        <f t="shared" si="8"/>
        <v>-0.99999999999944578</v>
      </c>
      <c r="T27" s="28">
        <f t="shared" si="9"/>
        <v>0</v>
      </c>
      <c r="U27" s="28">
        <f t="shared" si="10"/>
        <v>0.99999999999944578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41659</v>
      </c>
      <c r="C28" s="25">
        <v>12.664</v>
      </c>
      <c r="D28" s="45">
        <v>7.8239999999999998</v>
      </c>
      <c r="E28" s="45">
        <v>7.9320000000000004</v>
      </c>
      <c r="F28" s="16"/>
      <c r="G28" s="16"/>
      <c r="H28" s="16"/>
      <c r="I28" s="46">
        <v>101.354</v>
      </c>
      <c r="J28" s="32">
        <v>383</v>
      </c>
      <c r="K28" s="18">
        <f t="shared" si="14"/>
        <v>55</v>
      </c>
      <c r="L28" s="19">
        <f t="shared" si="1"/>
        <v>-14.000000000001123</v>
      </c>
      <c r="M28" s="19">
        <f>IF(ISBLANK(D28),"",((D28-D$28)*1000)+M$27)</f>
        <v>-0.99999999999944578</v>
      </c>
      <c r="N28" s="19">
        <f>IF(ISBLANK(E28),"",((E28-E$28)*1000)+N$27)</f>
        <v>-2.0000000000006679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>IF(ISBLANK(I28),"",((I28-I$28)*1000)+R$27)</f>
        <v>-3.9999999999906777</v>
      </c>
      <c r="S28" s="27">
        <f t="shared" si="8"/>
        <v>0</v>
      </c>
      <c r="T28" s="28">
        <f t="shared" si="9"/>
        <v>88.999999999999815</v>
      </c>
      <c r="U28" s="28">
        <f t="shared" si="10"/>
        <v>-60.333333333333051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49" t="s">
        <v>36</v>
      </c>
    </row>
    <row r="29" spans="2:25" ht="15" customHeight="1" x14ac:dyDescent="0.2">
      <c r="B29" s="31">
        <v>41660</v>
      </c>
      <c r="C29" s="25">
        <v>12.666</v>
      </c>
      <c r="D29" s="26">
        <v>7.8230000000000004</v>
      </c>
      <c r="E29" s="26">
        <v>7.9340000000000002</v>
      </c>
      <c r="F29" s="47"/>
      <c r="G29" s="47"/>
      <c r="H29" s="47"/>
      <c r="I29" s="48">
        <v>101.354</v>
      </c>
      <c r="J29" s="32">
        <v>387</v>
      </c>
      <c r="K29" s="18">
        <f t="shared" si="14"/>
        <v>59</v>
      </c>
      <c r="L29" s="19">
        <f t="shared" si="1"/>
        <v>-12.000000000000455</v>
      </c>
      <c r="M29" s="19">
        <f t="shared" ref="M29:M92" si="15">IF(ISBLANK(D29),"",((D29-D$28)*1000)+M$27)</f>
        <v>-1.9999999999988916</v>
      </c>
      <c r="N29" s="19">
        <f t="shared" ref="N29:N92" si="16">IF(ISBLANK(E29),"",((E29-E$28)*1000)+N$27)</f>
        <v>-8.8817841970012523E-13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ref="R29:R92" si="17">IF(ISBLANK(I29),"",((I29-I$28)*1000)+R$27)</f>
        <v>-3.9999999999906777</v>
      </c>
      <c r="S29" s="27">
        <f t="shared" si="8"/>
        <v>2.0000000000006679</v>
      </c>
      <c r="T29" s="28">
        <f t="shared" si="9"/>
        <v>-0.99999999999944578</v>
      </c>
      <c r="U29" s="28">
        <f t="shared" si="10"/>
        <v>1.9999999999997797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41661</v>
      </c>
      <c r="C30" s="25">
        <v>12.663</v>
      </c>
      <c r="D30" s="26">
        <v>7.8220000000000001</v>
      </c>
      <c r="E30" s="26">
        <v>7.9320000000000004</v>
      </c>
      <c r="F30" s="47"/>
      <c r="G30" s="47"/>
      <c r="H30" s="47"/>
      <c r="I30" s="48">
        <v>101.35299999999999</v>
      </c>
      <c r="J30" s="32">
        <v>388.5</v>
      </c>
      <c r="K30" s="18">
        <f t="shared" si="14"/>
        <v>60.5</v>
      </c>
      <c r="L30" s="19">
        <f t="shared" si="1"/>
        <v>-15.000000000000568</v>
      </c>
      <c r="M30" s="19">
        <f t="shared" si="15"/>
        <v>-2.9999999999992255</v>
      </c>
      <c r="N30" s="19">
        <f t="shared" si="16"/>
        <v>-2.0000000000006679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17"/>
        <v>-4.9999999999954525</v>
      </c>
      <c r="S30" s="27">
        <f t="shared" si="8"/>
        <v>-3.0000000000001137</v>
      </c>
      <c r="T30" s="28">
        <f t="shared" si="9"/>
        <v>-1.000000000000334</v>
      </c>
      <c r="U30" s="28">
        <f t="shared" si="10"/>
        <v>-1.9999999999997797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41662</v>
      </c>
      <c r="C31" s="25">
        <v>12.662000000000001</v>
      </c>
      <c r="D31" s="26">
        <v>7.8209999999999997</v>
      </c>
      <c r="E31" s="26">
        <v>7.9329999999999998</v>
      </c>
      <c r="F31" s="47"/>
      <c r="G31" s="47"/>
      <c r="H31" s="47"/>
      <c r="I31" s="48">
        <v>101.35299999999999</v>
      </c>
      <c r="J31" s="32">
        <v>392</v>
      </c>
      <c r="K31" s="18">
        <f t="shared" si="14"/>
        <v>64</v>
      </c>
      <c r="L31" s="19">
        <f t="shared" si="1"/>
        <v>-16.000000000000014</v>
      </c>
      <c r="M31" s="19">
        <f t="shared" si="15"/>
        <v>-3.9999999999995595</v>
      </c>
      <c r="N31" s="19">
        <f t="shared" si="16"/>
        <v>-1.0000000000012221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17"/>
        <v>-4.9999999999954525</v>
      </c>
      <c r="S31" s="27">
        <f t="shared" si="8"/>
        <v>-0.99999999999944578</v>
      </c>
      <c r="T31" s="28">
        <f t="shared" si="9"/>
        <v>-1.000000000000334</v>
      </c>
      <c r="U31" s="28">
        <f t="shared" si="10"/>
        <v>0.99999999999944578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41663</v>
      </c>
      <c r="C32" s="25">
        <v>12.662000000000001</v>
      </c>
      <c r="D32" s="26">
        <v>7.82</v>
      </c>
      <c r="E32" s="26">
        <v>7.9329999999999998</v>
      </c>
      <c r="F32" s="47"/>
      <c r="G32" s="47"/>
      <c r="H32" s="47"/>
      <c r="I32" s="48">
        <v>101.35299999999999</v>
      </c>
      <c r="J32" s="32">
        <v>393.5</v>
      </c>
      <c r="K32" s="18">
        <f t="shared" si="14"/>
        <v>65.5</v>
      </c>
      <c r="L32" s="19">
        <f t="shared" si="1"/>
        <v>-16.000000000000014</v>
      </c>
      <c r="M32" s="19">
        <f t="shared" si="15"/>
        <v>-4.9999999999990052</v>
      </c>
      <c r="N32" s="19">
        <f t="shared" si="16"/>
        <v>-1.0000000000012221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17"/>
        <v>-4.9999999999954525</v>
      </c>
      <c r="S32" s="27">
        <f t="shared" si="8"/>
        <v>0</v>
      </c>
      <c r="T32" s="28">
        <f t="shared" si="9"/>
        <v>-0.99999999999944578</v>
      </c>
      <c r="U32" s="28">
        <f t="shared" si="10"/>
        <v>0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/>
    </row>
    <row r="33" spans="2:25" ht="15" customHeight="1" x14ac:dyDescent="0.2">
      <c r="B33" s="31">
        <v>41666</v>
      </c>
      <c r="C33" s="25">
        <v>12.661</v>
      </c>
      <c r="D33" s="26">
        <v>7.82</v>
      </c>
      <c r="E33" s="26">
        <v>7.9329999999999998</v>
      </c>
      <c r="F33" s="47"/>
      <c r="G33" s="47"/>
      <c r="H33" s="47"/>
      <c r="I33" s="48">
        <v>101.35299999999999</v>
      </c>
      <c r="J33" s="32">
        <v>396.5</v>
      </c>
      <c r="K33" s="18">
        <f t="shared" si="14"/>
        <v>68.5</v>
      </c>
      <c r="L33" s="19">
        <f t="shared" si="1"/>
        <v>-17.000000000001236</v>
      </c>
      <c r="M33" s="19">
        <f t="shared" si="15"/>
        <v>-4.9999999999990052</v>
      </c>
      <c r="N33" s="19">
        <f t="shared" si="16"/>
        <v>-1.0000000000012221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si="17"/>
        <v>-4.9999999999954525</v>
      </c>
      <c r="S33" s="27">
        <f t="shared" si="8"/>
        <v>-0.33333333333374071</v>
      </c>
      <c r="T33" s="28">
        <f t="shared" si="9"/>
        <v>0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41667</v>
      </c>
      <c r="C34" s="25">
        <v>12.661</v>
      </c>
      <c r="D34" s="26">
        <v>7.8209999999999997</v>
      </c>
      <c r="E34" s="26">
        <v>7.9329999999999998</v>
      </c>
      <c r="F34" s="47"/>
      <c r="G34" s="47"/>
      <c r="H34" s="47"/>
      <c r="I34" s="48">
        <v>101.35299999999999</v>
      </c>
      <c r="J34" s="32">
        <v>398.5</v>
      </c>
      <c r="K34" s="18">
        <f t="shared" si="14"/>
        <v>70.5</v>
      </c>
      <c r="L34" s="19">
        <f t="shared" si="1"/>
        <v>-17.000000000001236</v>
      </c>
      <c r="M34" s="19">
        <f t="shared" si="15"/>
        <v>-3.9999999999995595</v>
      </c>
      <c r="N34" s="19">
        <f t="shared" si="16"/>
        <v>-1.0000000000012221</v>
      </c>
      <c r="O34" s="19" t="str">
        <f t="shared" si="5"/>
        <v/>
      </c>
      <c r="P34" s="19" t="str">
        <f t="shared" si="6"/>
        <v/>
      </c>
      <c r="Q34" s="19" t="str">
        <f t="shared" si="7"/>
        <v/>
      </c>
      <c r="R34" s="19">
        <f t="shared" si="17"/>
        <v>-4.9999999999954525</v>
      </c>
      <c r="S34" s="27">
        <f t="shared" si="8"/>
        <v>0</v>
      </c>
      <c r="T34" s="28">
        <f t="shared" si="9"/>
        <v>0.99999999999944578</v>
      </c>
      <c r="U34" s="28">
        <f t="shared" si="10"/>
        <v>0</v>
      </c>
      <c r="V34" s="28" t="str">
        <f t="shared" si="11"/>
        <v/>
      </c>
      <c r="W34" s="28" t="str">
        <f t="shared" si="12"/>
        <v/>
      </c>
      <c r="X34" s="29" t="str">
        <f t="shared" si="13"/>
        <v/>
      </c>
      <c r="Y34" s="24"/>
    </row>
    <row r="35" spans="2:25" ht="15" customHeight="1" x14ac:dyDescent="0.2">
      <c r="B35" s="31">
        <v>41668</v>
      </c>
      <c r="C35" s="25">
        <v>12.661</v>
      </c>
      <c r="D35" s="26">
        <v>7.8209999999999997</v>
      </c>
      <c r="E35" s="26">
        <v>7.9329999999999998</v>
      </c>
      <c r="F35" s="47"/>
      <c r="G35" s="47"/>
      <c r="H35" s="47"/>
      <c r="I35" s="48">
        <v>101.35299999999999</v>
      </c>
      <c r="J35" s="32">
        <v>402</v>
      </c>
      <c r="K35" s="18">
        <f t="shared" si="14"/>
        <v>74</v>
      </c>
      <c r="L35" s="19">
        <f t="shared" si="1"/>
        <v>-17.000000000001236</v>
      </c>
      <c r="M35" s="19">
        <f t="shared" si="15"/>
        <v>-3.9999999999995595</v>
      </c>
      <c r="N35" s="19">
        <f t="shared" si="16"/>
        <v>-1.0000000000012221</v>
      </c>
      <c r="O35" s="19" t="str">
        <f t="shared" si="5"/>
        <v/>
      </c>
      <c r="P35" s="19" t="str">
        <f t="shared" si="6"/>
        <v/>
      </c>
      <c r="Q35" s="19" t="str">
        <f t="shared" si="7"/>
        <v/>
      </c>
      <c r="R35" s="19">
        <f t="shared" si="17"/>
        <v>-4.9999999999954525</v>
      </c>
      <c r="S35" s="27">
        <f t="shared" si="8"/>
        <v>0</v>
      </c>
      <c r="T35" s="28">
        <f t="shared" si="9"/>
        <v>0</v>
      </c>
      <c r="U35" s="28">
        <f t="shared" si="10"/>
        <v>0</v>
      </c>
      <c r="V35" s="28" t="str">
        <f t="shared" si="11"/>
        <v/>
      </c>
      <c r="W35" s="28" t="str">
        <f t="shared" si="12"/>
        <v/>
      </c>
      <c r="X35" s="29" t="str">
        <f t="shared" si="13"/>
        <v/>
      </c>
      <c r="Y35" s="24"/>
    </row>
    <row r="36" spans="2:25" ht="15" customHeight="1" x14ac:dyDescent="0.2">
      <c r="B36" s="31">
        <v>41669</v>
      </c>
      <c r="C36" s="25">
        <v>12.661</v>
      </c>
      <c r="D36" s="26">
        <v>7.82</v>
      </c>
      <c r="E36" s="26">
        <v>7.9329999999999998</v>
      </c>
      <c r="F36" s="47"/>
      <c r="G36" s="47"/>
      <c r="H36" s="47"/>
      <c r="I36" s="48">
        <v>101.35299999999999</v>
      </c>
      <c r="J36" s="32">
        <v>411</v>
      </c>
      <c r="K36" s="18">
        <f t="shared" si="14"/>
        <v>83</v>
      </c>
      <c r="L36" s="19">
        <f t="shared" si="1"/>
        <v>-17.000000000001236</v>
      </c>
      <c r="M36" s="19">
        <f t="shared" si="15"/>
        <v>-4.9999999999990052</v>
      </c>
      <c r="N36" s="19">
        <f t="shared" si="16"/>
        <v>-1.0000000000012221</v>
      </c>
      <c r="O36" s="19" t="str">
        <f t="shared" si="5"/>
        <v/>
      </c>
      <c r="P36" s="19" t="str">
        <f t="shared" si="6"/>
        <v/>
      </c>
      <c r="Q36" s="19" t="str">
        <f t="shared" si="7"/>
        <v/>
      </c>
      <c r="R36" s="19">
        <f t="shared" si="17"/>
        <v>-4.9999999999954525</v>
      </c>
      <c r="S36" s="27">
        <f t="shared" si="8"/>
        <v>0</v>
      </c>
      <c r="T36" s="28">
        <f t="shared" si="9"/>
        <v>-0.99999999999944578</v>
      </c>
      <c r="U36" s="28">
        <f t="shared" si="10"/>
        <v>0</v>
      </c>
      <c r="V36" s="28" t="str">
        <f t="shared" si="11"/>
        <v/>
      </c>
      <c r="W36" s="28" t="str">
        <f t="shared" si="12"/>
        <v/>
      </c>
      <c r="X36" s="29" t="str">
        <f t="shared" si="13"/>
        <v/>
      </c>
      <c r="Y36" s="24"/>
    </row>
    <row r="37" spans="2:25" ht="15" customHeight="1" x14ac:dyDescent="0.2">
      <c r="B37" s="31">
        <v>41670</v>
      </c>
      <c r="C37" s="25">
        <v>12.661</v>
      </c>
      <c r="D37" s="26">
        <v>7.82</v>
      </c>
      <c r="E37" s="26">
        <v>7.9329999999999998</v>
      </c>
      <c r="F37" s="47"/>
      <c r="G37" s="47"/>
      <c r="H37" s="47"/>
      <c r="I37" s="48">
        <v>101.352</v>
      </c>
      <c r="J37" s="32">
        <v>418.5</v>
      </c>
      <c r="K37" s="18">
        <f t="shared" si="14"/>
        <v>90.5</v>
      </c>
      <c r="L37" s="19">
        <f t="shared" si="1"/>
        <v>-17.000000000001236</v>
      </c>
      <c r="M37" s="19">
        <f t="shared" si="15"/>
        <v>-4.9999999999990052</v>
      </c>
      <c r="N37" s="19">
        <f t="shared" si="16"/>
        <v>-1.0000000000012221</v>
      </c>
      <c r="O37" s="19" t="str">
        <f t="shared" si="5"/>
        <v/>
      </c>
      <c r="P37" s="19" t="str">
        <f t="shared" si="6"/>
        <v/>
      </c>
      <c r="Q37" s="19" t="str">
        <f t="shared" si="7"/>
        <v/>
      </c>
      <c r="R37" s="19">
        <f t="shared" si="17"/>
        <v>-5.9999999999860165</v>
      </c>
      <c r="S37" s="27">
        <f t="shared" si="8"/>
        <v>0</v>
      </c>
      <c r="T37" s="28">
        <f t="shared" si="9"/>
        <v>0</v>
      </c>
      <c r="U37" s="28">
        <f t="shared" si="10"/>
        <v>0</v>
      </c>
      <c r="V37" s="28" t="str">
        <f t="shared" si="11"/>
        <v/>
      </c>
      <c r="W37" s="28" t="str">
        <f t="shared" si="12"/>
        <v/>
      </c>
      <c r="X37" s="29" t="str">
        <f t="shared" si="13"/>
        <v/>
      </c>
      <c r="Y37" s="24"/>
    </row>
    <row r="38" spans="2:25" ht="15" customHeight="1" x14ac:dyDescent="0.2">
      <c r="B38" s="31">
        <v>41673</v>
      </c>
      <c r="C38" s="25">
        <v>12.662000000000001</v>
      </c>
      <c r="D38" s="26">
        <v>7.82</v>
      </c>
      <c r="E38" s="26">
        <v>7.9329999999999998</v>
      </c>
      <c r="F38" s="47"/>
      <c r="G38" s="47"/>
      <c r="H38" s="47"/>
      <c r="I38" s="48">
        <v>101.352</v>
      </c>
      <c r="J38" s="32">
        <v>430</v>
      </c>
      <c r="K38" s="18">
        <f t="shared" si="14"/>
        <v>102</v>
      </c>
      <c r="L38" s="19">
        <f t="shared" si="1"/>
        <v>-16.000000000000014</v>
      </c>
      <c r="M38" s="19">
        <f t="shared" si="15"/>
        <v>-4.9999999999990052</v>
      </c>
      <c r="N38" s="19">
        <f t="shared" si="16"/>
        <v>-1.0000000000012221</v>
      </c>
      <c r="O38" s="19" t="str">
        <f t="shared" si="5"/>
        <v/>
      </c>
      <c r="P38" s="19" t="str">
        <f t="shared" si="6"/>
        <v/>
      </c>
      <c r="Q38" s="19" t="str">
        <f t="shared" si="7"/>
        <v/>
      </c>
      <c r="R38" s="19">
        <f t="shared" si="17"/>
        <v>-5.9999999999860165</v>
      </c>
      <c r="S38" s="27">
        <f t="shared" si="8"/>
        <v>0.33333333333374071</v>
      </c>
      <c r="T38" s="28">
        <f t="shared" si="9"/>
        <v>0</v>
      </c>
      <c r="U38" s="28">
        <f t="shared" si="10"/>
        <v>0</v>
      </c>
      <c r="V38" s="28" t="str">
        <f t="shared" si="11"/>
        <v/>
      </c>
      <c r="W38" s="28" t="str">
        <f t="shared" si="12"/>
        <v/>
      </c>
      <c r="X38" s="29" t="str">
        <f t="shared" si="13"/>
        <v/>
      </c>
      <c r="Y38" s="24"/>
    </row>
    <row r="39" spans="2:25" ht="15" customHeight="1" x14ac:dyDescent="0.2">
      <c r="B39" s="31">
        <v>41674</v>
      </c>
      <c r="C39" s="25">
        <v>12.662000000000001</v>
      </c>
      <c r="D39" s="26">
        <v>7.82</v>
      </c>
      <c r="E39" s="26">
        <v>7.9320000000000004</v>
      </c>
      <c r="F39" s="47"/>
      <c r="G39" s="47"/>
      <c r="H39" s="47"/>
      <c r="I39" s="48">
        <v>101.352</v>
      </c>
      <c r="J39" s="32">
        <v>438</v>
      </c>
      <c r="K39" s="18">
        <f t="shared" si="14"/>
        <v>110</v>
      </c>
      <c r="L39" s="19">
        <f t="shared" si="1"/>
        <v>-16.000000000000014</v>
      </c>
      <c r="M39" s="19">
        <f t="shared" si="15"/>
        <v>-4.9999999999990052</v>
      </c>
      <c r="N39" s="19">
        <f t="shared" si="16"/>
        <v>-2.0000000000006679</v>
      </c>
      <c r="O39" s="19" t="str">
        <f t="shared" si="5"/>
        <v/>
      </c>
      <c r="P39" s="19" t="str">
        <f t="shared" si="6"/>
        <v/>
      </c>
      <c r="Q39" s="19" t="str">
        <f t="shared" si="7"/>
        <v/>
      </c>
      <c r="R39" s="19">
        <f t="shared" si="17"/>
        <v>-5.9999999999860165</v>
      </c>
      <c r="S39" s="27">
        <f t="shared" si="8"/>
        <v>0</v>
      </c>
      <c r="T39" s="28">
        <f t="shared" si="9"/>
        <v>0</v>
      </c>
      <c r="U39" s="28">
        <f t="shared" si="10"/>
        <v>-0.99999999999944578</v>
      </c>
      <c r="V39" s="28" t="str">
        <f t="shared" si="11"/>
        <v/>
      </c>
      <c r="W39" s="28" t="str">
        <f t="shared" si="12"/>
        <v/>
      </c>
      <c r="X39" s="29" t="str">
        <f t="shared" si="13"/>
        <v/>
      </c>
      <c r="Y39" s="24"/>
    </row>
    <row r="40" spans="2:25" ht="15" customHeight="1" x14ac:dyDescent="0.2">
      <c r="B40" s="31">
        <v>41675</v>
      </c>
      <c r="C40" s="25">
        <v>12.661</v>
      </c>
      <c r="D40" s="26">
        <v>7.82</v>
      </c>
      <c r="E40" s="26">
        <v>7.9320000000000004</v>
      </c>
      <c r="F40" s="47"/>
      <c r="G40" s="47"/>
      <c r="H40" s="47"/>
      <c r="I40" s="48">
        <v>101.352</v>
      </c>
      <c r="J40" s="32">
        <v>446</v>
      </c>
      <c r="K40" s="18">
        <f t="shared" si="14"/>
        <v>118</v>
      </c>
      <c r="L40" s="19">
        <f t="shared" si="1"/>
        <v>-17.000000000001236</v>
      </c>
      <c r="M40" s="19">
        <f t="shared" si="15"/>
        <v>-4.9999999999990052</v>
      </c>
      <c r="N40" s="19">
        <f t="shared" si="16"/>
        <v>-2.0000000000006679</v>
      </c>
      <c r="O40" s="19" t="str">
        <f t="shared" si="5"/>
        <v/>
      </c>
      <c r="P40" s="19" t="str">
        <f t="shared" si="6"/>
        <v/>
      </c>
      <c r="Q40" s="19" t="str">
        <f t="shared" si="7"/>
        <v/>
      </c>
      <c r="R40" s="19">
        <f t="shared" si="17"/>
        <v>-5.9999999999860165</v>
      </c>
      <c r="S40" s="27">
        <f t="shared" si="8"/>
        <v>-1.0000000000012221</v>
      </c>
      <c r="T40" s="28">
        <f t="shared" si="9"/>
        <v>0</v>
      </c>
      <c r="U40" s="28">
        <f t="shared" si="10"/>
        <v>0</v>
      </c>
      <c r="V40" s="28" t="str">
        <f t="shared" si="11"/>
        <v/>
      </c>
      <c r="W40" s="28" t="str">
        <f t="shared" si="12"/>
        <v/>
      </c>
      <c r="X40" s="29" t="str">
        <f t="shared" si="13"/>
        <v/>
      </c>
      <c r="Y40" s="24"/>
    </row>
    <row r="41" spans="2:25" ht="15" customHeight="1" x14ac:dyDescent="0.2">
      <c r="B41" s="31">
        <v>41676</v>
      </c>
      <c r="C41" s="25">
        <v>12.662000000000001</v>
      </c>
      <c r="D41" s="26">
        <v>7.82</v>
      </c>
      <c r="E41" s="26">
        <v>7.9320000000000004</v>
      </c>
      <c r="F41" s="47"/>
      <c r="G41" s="47"/>
      <c r="H41" s="47"/>
      <c r="I41" s="48">
        <v>101.352</v>
      </c>
      <c r="J41" s="32">
        <v>453</v>
      </c>
      <c r="K41" s="18">
        <f t="shared" si="14"/>
        <v>125</v>
      </c>
      <c r="L41" s="19">
        <f t="shared" si="1"/>
        <v>-16.000000000000014</v>
      </c>
      <c r="M41" s="19">
        <f t="shared" si="15"/>
        <v>-4.9999999999990052</v>
      </c>
      <c r="N41" s="19">
        <f t="shared" si="16"/>
        <v>-2.0000000000006679</v>
      </c>
      <c r="O41" s="19" t="str">
        <f t="shared" si="5"/>
        <v/>
      </c>
      <c r="P41" s="19" t="str">
        <f t="shared" si="6"/>
        <v/>
      </c>
      <c r="Q41" s="19" t="str">
        <f t="shared" si="7"/>
        <v/>
      </c>
      <c r="R41" s="19">
        <f t="shared" si="17"/>
        <v>-5.9999999999860165</v>
      </c>
      <c r="S41" s="27">
        <f t="shared" si="8"/>
        <v>1.0000000000012221</v>
      </c>
      <c r="T41" s="28">
        <f t="shared" si="9"/>
        <v>0</v>
      </c>
      <c r="U41" s="28">
        <f t="shared" si="10"/>
        <v>0</v>
      </c>
      <c r="V41" s="28" t="str">
        <f t="shared" si="11"/>
        <v/>
      </c>
      <c r="W41" s="28" t="str">
        <f t="shared" si="12"/>
        <v/>
      </c>
      <c r="X41" s="29" t="str">
        <f t="shared" si="13"/>
        <v/>
      </c>
      <c r="Y41" s="24"/>
    </row>
    <row r="42" spans="2:25" ht="15" customHeight="1" x14ac:dyDescent="0.2">
      <c r="B42" s="31">
        <v>41684</v>
      </c>
      <c r="C42" s="25">
        <v>12.662000000000001</v>
      </c>
      <c r="D42" s="26">
        <v>7.82</v>
      </c>
      <c r="E42" s="26">
        <v>7.9320000000000004</v>
      </c>
      <c r="F42" s="47"/>
      <c r="G42" s="47"/>
      <c r="H42" s="47"/>
      <c r="I42" s="48">
        <v>101.352</v>
      </c>
      <c r="J42" s="32">
        <v>477</v>
      </c>
      <c r="K42" s="18">
        <f t="shared" si="14"/>
        <v>149</v>
      </c>
      <c r="L42" s="19">
        <f t="shared" si="1"/>
        <v>-16.000000000000014</v>
      </c>
      <c r="M42" s="19">
        <f t="shared" si="15"/>
        <v>-4.9999999999990052</v>
      </c>
      <c r="N42" s="19">
        <f t="shared" si="16"/>
        <v>-2.0000000000006679</v>
      </c>
      <c r="O42" s="19" t="str">
        <f t="shared" si="5"/>
        <v/>
      </c>
      <c r="P42" s="19" t="str">
        <f t="shared" si="6"/>
        <v/>
      </c>
      <c r="Q42" s="19" t="str">
        <f t="shared" si="7"/>
        <v/>
      </c>
      <c r="R42" s="19">
        <f t="shared" si="17"/>
        <v>-5.9999999999860165</v>
      </c>
      <c r="S42" s="27">
        <f t="shared" si="8"/>
        <v>0</v>
      </c>
      <c r="T42" s="28">
        <f t="shared" si="9"/>
        <v>0</v>
      </c>
      <c r="U42" s="28">
        <f t="shared" si="10"/>
        <v>0</v>
      </c>
      <c r="V42" s="28" t="str">
        <f t="shared" si="11"/>
        <v/>
      </c>
      <c r="W42" s="28" t="str">
        <f t="shared" si="12"/>
        <v/>
      </c>
      <c r="X42" s="29" t="str">
        <f t="shared" si="13"/>
        <v/>
      </c>
      <c r="Y42" s="24"/>
    </row>
    <row r="43" spans="2:25" ht="15" customHeight="1" x14ac:dyDescent="0.2">
      <c r="B43" s="31">
        <v>41690</v>
      </c>
      <c r="C43" s="25">
        <v>12.662000000000001</v>
      </c>
      <c r="D43" s="26">
        <v>7.82</v>
      </c>
      <c r="E43" s="26">
        <v>7.9320000000000004</v>
      </c>
      <c r="F43" s="47"/>
      <c r="G43" s="47"/>
      <c r="H43" s="47"/>
      <c r="I43" s="48">
        <v>101.352</v>
      </c>
      <c r="J43" s="32">
        <v>510</v>
      </c>
      <c r="K43" s="18">
        <f t="shared" ref="K43:K60" si="18">IF(ISBLANK(J43),"",(J43-$J$8))</f>
        <v>182</v>
      </c>
      <c r="L43" s="19">
        <f t="shared" si="1"/>
        <v>-16.000000000000014</v>
      </c>
      <c r="M43" s="19">
        <f t="shared" si="15"/>
        <v>-4.9999999999990052</v>
      </c>
      <c r="N43" s="19">
        <f t="shared" si="16"/>
        <v>-2.0000000000006679</v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>
        <f t="shared" si="17"/>
        <v>-5.9999999999860165</v>
      </c>
      <c r="S43" s="27">
        <f t="shared" si="8"/>
        <v>0</v>
      </c>
      <c r="T43" s="28">
        <f t="shared" si="9"/>
        <v>0</v>
      </c>
      <c r="U43" s="28">
        <f t="shared" si="10"/>
        <v>0</v>
      </c>
      <c r="V43" s="28" t="str">
        <f t="shared" si="11"/>
        <v/>
      </c>
      <c r="W43" s="28" t="str">
        <f t="shared" si="12"/>
        <v/>
      </c>
      <c r="X43" s="29" t="str">
        <f t="shared" si="13"/>
        <v/>
      </c>
      <c r="Y43" s="24"/>
    </row>
    <row r="44" spans="2:25" ht="15" customHeight="1" x14ac:dyDescent="0.2">
      <c r="B44" s="31">
        <v>41697</v>
      </c>
      <c r="C44" s="25">
        <v>12.661</v>
      </c>
      <c r="D44" s="26">
        <v>7.82</v>
      </c>
      <c r="E44" s="26">
        <v>7.931</v>
      </c>
      <c r="F44" s="47"/>
      <c r="G44" s="47"/>
      <c r="H44" s="47"/>
      <c r="I44" s="48">
        <v>101.351</v>
      </c>
      <c r="J44" s="58">
        <v>547.5</v>
      </c>
      <c r="K44" s="18">
        <f t="shared" si="18"/>
        <v>219.5</v>
      </c>
      <c r="L44" s="19">
        <f t="shared" si="1"/>
        <v>-17.000000000001236</v>
      </c>
      <c r="M44" s="19">
        <f t="shared" si="15"/>
        <v>-4.9999999999990052</v>
      </c>
      <c r="N44" s="19">
        <f t="shared" si="16"/>
        <v>-3.0000000000010019</v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>
        <f t="shared" si="17"/>
        <v>-6.9999999999907914</v>
      </c>
      <c r="S44" s="27">
        <f t="shared" si="8"/>
        <v>-0.14285714285731746</v>
      </c>
      <c r="T44" s="28">
        <f t="shared" si="9"/>
        <v>0</v>
      </c>
      <c r="U44" s="28">
        <f t="shared" si="10"/>
        <v>-0.14285714285719056</v>
      </c>
      <c r="V44" s="28" t="str">
        <f t="shared" si="11"/>
        <v/>
      </c>
      <c r="W44" s="28" t="str">
        <f t="shared" si="12"/>
        <v/>
      </c>
      <c r="X44" s="29" t="str">
        <f t="shared" si="13"/>
        <v/>
      </c>
      <c r="Y44" s="24"/>
    </row>
    <row r="45" spans="2:25" ht="15" customHeight="1" x14ac:dyDescent="0.2">
      <c r="B45" s="31">
        <v>41723</v>
      </c>
      <c r="C45" s="25">
        <v>12.659000000000001</v>
      </c>
      <c r="D45" s="26">
        <v>7.819</v>
      </c>
      <c r="E45" s="26">
        <v>7.9320000000000004</v>
      </c>
      <c r="F45" s="47"/>
      <c r="G45" s="47"/>
      <c r="H45" s="47"/>
      <c r="I45" s="48">
        <v>101.352</v>
      </c>
      <c r="J45" s="32">
        <v>308</v>
      </c>
      <c r="K45" s="18">
        <f t="shared" si="18"/>
        <v>-20</v>
      </c>
      <c r="L45" s="19">
        <f t="shared" si="1"/>
        <v>-19.000000000000128</v>
      </c>
      <c r="M45" s="19">
        <f t="shared" si="15"/>
        <v>-5.9999999999993392</v>
      </c>
      <c r="N45" s="19">
        <f t="shared" si="16"/>
        <v>-2.0000000000006679</v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>
        <f t="shared" si="17"/>
        <v>-5.9999999999860165</v>
      </c>
      <c r="S45" s="27">
        <f t="shared" si="8"/>
        <v>-7.6923076923034295E-2</v>
      </c>
      <c r="T45" s="28">
        <f t="shared" si="9"/>
        <v>-3.8461538461551308E-2</v>
      </c>
      <c r="U45" s="28">
        <f t="shared" si="10"/>
        <v>3.8461538461551308E-2</v>
      </c>
      <c r="V45" s="28" t="str">
        <f t="shared" si="11"/>
        <v/>
      </c>
      <c r="W45" s="28" t="str">
        <f t="shared" si="12"/>
        <v/>
      </c>
      <c r="X45" s="29" t="str">
        <f t="shared" si="13"/>
        <v/>
      </c>
      <c r="Y45" s="24" t="s">
        <v>23</v>
      </c>
    </row>
    <row r="46" spans="2:25" ht="15" customHeight="1" x14ac:dyDescent="0.2">
      <c r="B46" s="31">
        <v>41724</v>
      </c>
      <c r="C46" s="25">
        <v>12.654</v>
      </c>
      <c r="D46" s="26">
        <v>7.8179999999999996</v>
      </c>
      <c r="E46" s="26">
        <v>7.931</v>
      </c>
      <c r="F46" s="47"/>
      <c r="G46" s="47"/>
      <c r="H46" s="47"/>
      <c r="I46" s="48">
        <v>101.34699999999999</v>
      </c>
      <c r="J46" s="32">
        <v>319</v>
      </c>
      <c r="K46" s="18">
        <f t="shared" si="18"/>
        <v>-9</v>
      </c>
      <c r="L46" s="19">
        <f t="shared" si="1"/>
        <v>-24.000000000000909</v>
      </c>
      <c r="M46" s="19">
        <f t="shared" si="15"/>
        <v>-6.9999999999996732</v>
      </c>
      <c r="N46" s="19">
        <f t="shared" si="16"/>
        <v>-3.0000000000010019</v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>
        <f t="shared" si="17"/>
        <v>-10.99999999999568</v>
      </c>
      <c r="S46" s="27">
        <f t="shared" si="8"/>
        <v>-5.0000000000007816</v>
      </c>
      <c r="T46" s="28">
        <f t="shared" si="9"/>
        <v>-1.000000000000334</v>
      </c>
      <c r="U46" s="28">
        <f t="shared" si="10"/>
        <v>-1.000000000000334</v>
      </c>
      <c r="V46" s="28" t="str">
        <f t="shared" si="11"/>
        <v/>
      </c>
      <c r="W46" s="28" t="str">
        <f t="shared" si="12"/>
        <v/>
      </c>
      <c r="X46" s="29" t="str">
        <f t="shared" si="13"/>
        <v/>
      </c>
      <c r="Y46" s="24"/>
    </row>
    <row r="47" spans="2:25" ht="15" customHeight="1" x14ac:dyDescent="0.2">
      <c r="B47" s="31">
        <v>41725</v>
      </c>
      <c r="C47" s="25">
        <v>12.64</v>
      </c>
      <c r="D47" s="26">
        <v>7.8159999999999998</v>
      </c>
      <c r="E47" s="26">
        <v>7.9279999999999999</v>
      </c>
      <c r="F47" s="47"/>
      <c r="G47" s="47"/>
      <c r="H47" s="47"/>
      <c r="I47" s="48">
        <v>101.345</v>
      </c>
      <c r="J47" s="32">
        <v>327</v>
      </c>
      <c r="K47" s="18">
        <f t="shared" si="18"/>
        <v>-1</v>
      </c>
      <c r="L47" s="19">
        <f t="shared" si="1"/>
        <v>-38.000000000000256</v>
      </c>
      <c r="M47" s="19">
        <f t="shared" si="15"/>
        <v>-8.9999999999994529</v>
      </c>
      <c r="N47" s="19">
        <f t="shared" si="16"/>
        <v>-6.0000000000011156</v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>
        <f t="shared" si="17"/>
        <v>-12.999999999991019</v>
      </c>
      <c r="S47" s="27">
        <f t="shared" si="8"/>
        <v>-13.999999999999346</v>
      </c>
      <c r="T47" s="28">
        <f t="shared" si="9"/>
        <v>-1.9999999999997797</v>
      </c>
      <c r="U47" s="28">
        <f t="shared" si="10"/>
        <v>-3.0000000000001137</v>
      </c>
      <c r="V47" s="28" t="str">
        <f t="shared" si="11"/>
        <v/>
      </c>
      <c r="W47" s="28" t="str">
        <f t="shared" si="12"/>
        <v/>
      </c>
      <c r="X47" s="29" t="str">
        <f t="shared" si="13"/>
        <v/>
      </c>
      <c r="Y47" s="24"/>
    </row>
    <row r="48" spans="2:25" ht="15" customHeight="1" x14ac:dyDescent="0.2">
      <c r="B48" s="31">
        <v>41726</v>
      </c>
      <c r="C48" s="25">
        <v>12.638999999999999</v>
      </c>
      <c r="D48" s="26">
        <v>7.8159999999999998</v>
      </c>
      <c r="E48" s="26">
        <v>7.9279999999999999</v>
      </c>
      <c r="F48" s="47"/>
      <c r="G48" s="47"/>
      <c r="H48" s="47"/>
      <c r="I48" s="48">
        <v>101.345</v>
      </c>
      <c r="J48" s="32">
        <v>340</v>
      </c>
      <c r="K48" s="18">
        <f t="shared" si="18"/>
        <v>12</v>
      </c>
      <c r="L48" s="19">
        <f t="shared" ref="L48:L79" si="19">IF(ISBLANK(C48),"",(C48-C$16)*1000)</f>
        <v>-39.000000000001478</v>
      </c>
      <c r="M48" s="19">
        <f t="shared" si="15"/>
        <v>-8.9999999999994529</v>
      </c>
      <c r="N48" s="19">
        <f t="shared" si="16"/>
        <v>-6.0000000000011156</v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>
        <f t="shared" si="17"/>
        <v>-12.999999999991019</v>
      </c>
      <c r="S48" s="27">
        <f t="shared" si="8"/>
        <v>-1.0000000000012221</v>
      </c>
      <c r="T48" s="28">
        <f t="shared" si="9"/>
        <v>0</v>
      </c>
      <c r="U48" s="28">
        <f t="shared" si="10"/>
        <v>0</v>
      </c>
      <c r="V48" s="28" t="str">
        <f t="shared" si="11"/>
        <v/>
      </c>
      <c r="W48" s="28" t="str">
        <f t="shared" si="12"/>
        <v/>
      </c>
      <c r="X48" s="29" t="str">
        <f t="shared" si="13"/>
        <v/>
      </c>
      <c r="Y48" s="24"/>
    </row>
    <row r="49" spans="2:25" ht="15" customHeight="1" x14ac:dyDescent="0.2">
      <c r="B49" s="31">
        <v>41729</v>
      </c>
      <c r="C49" s="25">
        <v>12.638</v>
      </c>
      <c r="D49" s="26">
        <v>7.8159999999999998</v>
      </c>
      <c r="E49" s="26">
        <v>7.9279999999999999</v>
      </c>
      <c r="F49" s="47">
        <v>13.263</v>
      </c>
      <c r="G49" s="47">
        <v>9.8879999999999999</v>
      </c>
      <c r="H49" s="47">
        <v>10.292</v>
      </c>
      <c r="I49" s="48">
        <v>101.343</v>
      </c>
      <c r="J49" s="32">
        <v>350</v>
      </c>
      <c r="K49" s="18">
        <f t="shared" si="18"/>
        <v>22</v>
      </c>
      <c r="L49" s="19">
        <f t="shared" si="19"/>
        <v>-40.000000000000924</v>
      </c>
      <c r="M49" s="19">
        <f t="shared" si="15"/>
        <v>-8.9999999999994529</v>
      </c>
      <c r="N49" s="19">
        <f t="shared" si="16"/>
        <v>-6.0000000000011156</v>
      </c>
      <c r="O49" s="19">
        <f>IF(ISBLANK(F49),"",((F49-F$49)*1000)+L$49)</f>
        <v>-40.000000000000924</v>
      </c>
      <c r="P49" s="19">
        <f>IF(ISBLANK(G49),"",((G49-G$49)*1000)+M$49)</f>
        <v>-8.9999999999994529</v>
      </c>
      <c r="Q49" s="19">
        <f>IF(ISBLANK(H49),"",((H49-H$49)*1000)+N$49)</f>
        <v>-6.0000000000011156</v>
      </c>
      <c r="R49" s="19">
        <f t="shared" si="17"/>
        <v>-14.999999999986358</v>
      </c>
      <c r="S49" s="27">
        <f t="shared" ref="S49:S80" si="20">IF(C49="","",((C49-C48)*1000)/($B49-$B48))</f>
        <v>-0.33333333333314857</v>
      </c>
      <c r="T49" s="28">
        <f t="shared" ref="T49:T80" si="21">IF(D49="","",((D49-D48)*1000)/($B49-$B48))</f>
        <v>0</v>
      </c>
      <c r="U49" s="28">
        <f t="shared" ref="U49:U80" si="22">IF(E49="","",((E49-E48)*1000)/($B49-$B48))</f>
        <v>0</v>
      </c>
      <c r="V49" s="28"/>
      <c r="W49" s="28"/>
      <c r="X49" s="29"/>
      <c r="Y49" s="24"/>
    </row>
    <row r="50" spans="2:25" ht="15" customHeight="1" x14ac:dyDescent="0.2">
      <c r="B50" s="31">
        <v>41730</v>
      </c>
      <c r="C50" s="25">
        <v>12.637</v>
      </c>
      <c r="D50" s="26">
        <v>7.8150000000000004</v>
      </c>
      <c r="E50" s="26">
        <v>7.9279999999999999</v>
      </c>
      <c r="F50" s="47">
        <v>13.262</v>
      </c>
      <c r="G50" s="47">
        <v>9.8870000000000005</v>
      </c>
      <c r="H50" s="47">
        <v>10.291</v>
      </c>
      <c r="I50" s="48">
        <v>101.342</v>
      </c>
      <c r="J50" s="32">
        <v>364</v>
      </c>
      <c r="K50" s="18">
        <f t="shared" si="18"/>
        <v>36</v>
      </c>
      <c r="L50" s="19">
        <f t="shared" si="19"/>
        <v>-41.000000000000369</v>
      </c>
      <c r="M50" s="19">
        <f t="shared" si="15"/>
        <v>-9.9999999999988987</v>
      </c>
      <c r="N50" s="19">
        <f t="shared" si="16"/>
        <v>-6.0000000000011156</v>
      </c>
      <c r="O50" s="19">
        <f t="shared" ref="O50:O113" si="23">IF(ISBLANK(F50),"",((F50-F$49)*1000)+L$49)</f>
        <v>-41.000000000000369</v>
      </c>
      <c r="P50" s="19">
        <f t="shared" ref="P50:P113" si="24">IF(ISBLANK(G50),"",((G50-G$49)*1000)+M$49)</f>
        <v>-9.9999999999988987</v>
      </c>
      <c r="Q50" s="19">
        <f t="shared" ref="Q50:Q113" si="25">IF(ISBLANK(H50),"",((H50-H$49)*1000)+N$49)</f>
        <v>-7.0000000000005613</v>
      </c>
      <c r="R50" s="19">
        <f t="shared" si="17"/>
        <v>-15.999999999991132</v>
      </c>
      <c r="S50" s="27">
        <f t="shared" si="20"/>
        <v>-0.99999999999944578</v>
      </c>
      <c r="T50" s="28">
        <f t="shared" si="21"/>
        <v>-0.99999999999944578</v>
      </c>
      <c r="U50" s="28">
        <f t="shared" si="22"/>
        <v>0</v>
      </c>
      <c r="V50" s="28">
        <f t="shared" ref="V50:V80" si="26">IF(F50="","",((F50-F49)*1000)/($B50-$B49))</f>
        <v>-0.99999999999944578</v>
      </c>
      <c r="W50" s="28">
        <f t="shared" ref="W50:W80" si="27">IF(G50="","",((G50-G49)*1000)/($B50-$B49))</f>
        <v>-0.99999999999944578</v>
      </c>
      <c r="X50" s="29">
        <f t="shared" ref="X50:X80" si="28">IF(H50="","",((H50-H49)*1000)/($B50-$B49))</f>
        <v>-0.99999999999944578</v>
      </c>
      <c r="Y50" s="24"/>
    </row>
    <row r="51" spans="2:25" ht="15" customHeight="1" x14ac:dyDescent="0.2">
      <c r="B51" s="31">
        <v>41731</v>
      </c>
      <c r="C51" s="25">
        <v>12.637</v>
      </c>
      <c r="D51" s="26">
        <v>7.8159999999999998</v>
      </c>
      <c r="E51" s="26">
        <v>7.9269999999999996</v>
      </c>
      <c r="F51" s="47">
        <v>13.263</v>
      </c>
      <c r="G51" s="47">
        <v>9.8879999999999999</v>
      </c>
      <c r="H51" s="47">
        <v>10.291</v>
      </c>
      <c r="I51" s="48">
        <v>101.342</v>
      </c>
      <c r="J51" s="32">
        <v>364</v>
      </c>
      <c r="K51" s="18">
        <f t="shared" si="18"/>
        <v>36</v>
      </c>
      <c r="L51" s="19">
        <f t="shared" si="19"/>
        <v>-41.000000000000369</v>
      </c>
      <c r="M51" s="19">
        <f t="shared" si="15"/>
        <v>-8.9999999999994529</v>
      </c>
      <c r="N51" s="19">
        <f t="shared" si="16"/>
        <v>-7.0000000000014495</v>
      </c>
      <c r="O51" s="19">
        <f t="shared" si="23"/>
        <v>-40.000000000000924</v>
      </c>
      <c r="P51" s="19">
        <f t="shared" si="24"/>
        <v>-8.9999999999994529</v>
      </c>
      <c r="Q51" s="19">
        <f t="shared" si="25"/>
        <v>-7.0000000000005613</v>
      </c>
      <c r="R51" s="19">
        <f t="shared" si="17"/>
        <v>-15.999999999991132</v>
      </c>
      <c r="S51" s="27">
        <f t="shared" si="20"/>
        <v>0</v>
      </c>
      <c r="T51" s="28">
        <f t="shared" si="21"/>
        <v>0.99999999999944578</v>
      </c>
      <c r="U51" s="28">
        <f t="shared" si="22"/>
        <v>-1.000000000000334</v>
      </c>
      <c r="V51" s="28">
        <f t="shared" si="26"/>
        <v>0.99999999999944578</v>
      </c>
      <c r="W51" s="28">
        <f t="shared" si="27"/>
        <v>0.99999999999944578</v>
      </c>
      <c r="X51" s="29">
        <f t="shared" si="28"/>
        <v>0</v>
      </c>
      <c r="Y51" s="24"/>
    </row>
    <row r="52" spans="2:25" ht="15" customHeight="1" x14ac:dyDescent="0.2">
      <c r="B52" s="31">
        <v>41732</v>
      </c>
      <c r="C52" s="25">
        <v>12.637</v>
      </c>
      <c r="D52" s="26">
        <v>7.8150000000000004</v>
      </c>
      <c r="E52" s="26">
        <v>7.9279999999999999</v>
      </c>
      <c r="F52" s="47">
        <v>13.262</v>
      </c>
      <c r="G52" s="47">
        <v>9.8879999999999999</v>
      </c>
      <c r="H52" s="47">
        <v>10.29</v>
      </c>
      <c r="I52" s="48">
        <v>101.342</v>
      </c>
      <c r="J52" s="32">
        <v>387</v>
      </c>
      <c r="K52" s="18">
        <f t="shared" si="18"/>
        <v>59</v>
      </c>
      <c r="L52" s="19">
        <f t="shared" si="19"/>
        <v>-41.000000000000369</v>
      </c>
      <c r="M52" s="19">
        <f t="shared" si="15"/>
        <v>-9.9999999999988987</v>
      </c>
      <c r="N52" s="19">
        <f t="shared" si="16"/>
        <v>-6.0000000000011156</v>
      </c>
      <c r="O52" s="19">
        <f t="shared" si="23"/>
        <v>-41.000000000000369</v>
      </c>
      <c r="P52" s="19">
        <f t="shared" si="24"/>
        <v>-8.9999999999994529</v>
      </c>
      <c r="Q52" s="19">
        <f t="shared" si="25"/>
        <v>-8.0000000000017835</v>
      </c>
      <c r="R52" s="19">
        <f t="shared" si="17"/>
        <v>-15.999999999991132</v>
      </c>
      <c r="S52" s="27">
        <f t="shared" si="20"/>
        <v>0</v>
      </c>
      <c r="T52" s="28">
        <f t="shared" si="21"/>
        <v>-0.99999999999944578</v>
      </c>
      <c r="U52" s="28">
        <f t="shared" si="22"/>
        <v>1.000000000000334</v>
      </c>
      <c r="V52" s="28">
        <f t="shared" si="26"/>
        <v>-0.99999999999944578</v>
      </c>
      <c r="W52" s="28">
        <f t="shared" si="27"/>
        <v>0</v>
      </c>
      <c r="X52" s="29">
        <f t="shared" si="28"/>
        <v>-1.0000000000012221</v>
      </c>
      <c r="Y52" s="24"/>
    </row>
    <row r="53" spans="2:25" ht="15" customHeight="1" x14ac:dyDescent="0.2">
      <c r="B53" s="31">
        <v>41733</v>
      </c>
      <c r="C53" s="25">
        <v>12.637</v>
      </c>
      <c r="D53" s="26">
        <v>7.8150000000000004</v>
      </c>
      <c r="E53" s="26">
        <v>7.9279999999999999</v>
      </c>
      <c r="F53" s="47">
        <v>13.262</v>
      </c>
      <c r="G53" s="47">
        <v>9.8879999999999999</v>
      </c>
      <c r="H53" s="47">
        <v>10.29</v>
      </c>
      <c r="I53" s="48">
        <v>101.342</v>
      </c>
      <c r="J53" s="32">
        <v>395</v>
      </c>
      <c r="K53" s="18">
        <f t="shared" si="18"/>
        <v>67</v>
      </c>
      <c r="L53" s="19">
        <f t="shared" si="19"/>
        <v>-41.000000000000369</v>
      </c>
      <c r="M53" s="19">
        <f t="shared" si="15"/>
        <v>-9.9999999999988987</v>
      </c>
      <c r="N53" s="19">
        <f t="shared" si="16"/>
        <v>-6.0000000000011156</v>
      </c>
      <c r="O53" s="19">
        <f t="shared" si="23"/>
        <v>-41.000000000000369</v>
      </c>
      <c r="P53" s="19">
        <f t="shared" si="24"/>
        <v>-8.9999999999994529</v>
      </c>
      <c r="Q53" s="19">
        <f t="shared" si="25"/>
        <v>-8.0000000000017835</v>
      </c>
      <c r="R53" s="19">
        <f t="shared" si="17"/>
        <v>-15.999999999991132</v>
      </c>
      <c r="S53" s="27">
        <f t="shared" si="20"/>
        <v>0</v>
      </c>
      <c r="T53" s="28">
        <f t="shared" si="21"/>
        <v>0</v>
      </c>
      <c r="U53" s="28">
        <f t="shared" si="22"/>
        <v>0</v>
      </c>
      <c r="V53" s="28">
        <f t="shared" si="26"/>
        <v>0</v>
      </c>
      <c r="W53" s="28">
        <f t="shared" si="27"/>
        <v>0</v>
      </c>
      <c r="X53" s="29">
        <f t="shared" si="28"/>
        <v>0</v>
      </c>
      <c r="Y53" s="24"/>
    </row>
    <row r="54" spans="2:25" ht="15" customHeight="1" x14ac:dyDescent="0.2">
      <c r="B54" s="31">
        <v>41736</v>
      </c>
      <c r="C54" s="25"/>
      <c r="D54" s="26"/>
      <c r="E54" s="26"/>
      <c r="F54" s="47">
        <v>13.262</v>
      </c>
      <c r="G54" s="47">
        <v>9.8879999999999999</v>
      </c>
      <c r="H54" s="47">
        <v>10.29</v>
      </c>
      <c r="I54" s="48">
        <v>101.342</v>
      </c>
      <c r="J54" s="32">
        <v>408</v>
      </c>
      <c r="K54" s="18">
        <f t="shared" si="18"/>
        <v>80</v>
      </c>
      <c r="L54" s="19" t="str">
        <f t="shared" si="19"/>
        <v/>
      </c>
      <c r="M54" s="19" t="str">
        <f t="shared" si="15"/>
        <v/>
      </c>
      <c r="N54" s="19" t="str">
        <f t="shared" si="16"/>
        <v/>
      </c>
      <c r="O54" s="19">
        <f t="shared" si="23"/>
        <v>-41.000000000000369</v>
      </c>
      <c r="P54" s="19">
        <f t="shared" si="24"/>
        <v>-8.9999999999994529</v>
      </c>
      <c r="Q54" s="19">
        <f t="shared" si="25"/>
        <v>-8.0000000000017835</v>
      </c>
      <c r="R54" s="19">
        <f t="shared" si="17"/>
        <v>-15.999999999991132</v>
      </c>
      <c r="S54" s="27" t="str">
        <f t="shared" si="20"/>
        <v/>
      </c>
      <c r="T54" s="28" t="str">
        <f t="shared" si="21"/>
        <v/>
      </c>
      <c r="U54" s="28" t="str">
        <f t="shared" si="22"/>
        <v/>
      </c>
      <c r="V54" s="28">
        <f t="shared" si="26"/>
        <v>0</v>
      </c>
      <c r="W54" s="28">
        <f t="shared" si="27"/>
        <v>0</v>
      </c>
      <c r="X54" s="29">
        <f t="shared" si="28"/>
        <v>0</v>
      </c>
      <c r="Y54" s="24"/>
    </row>
    <row r="55" spans="2:25" ht="15" customHeight="1" x14ac:dyDescent="0.2">
      <c r="B55" s="31">
        <v>41737</v>
      </c>
      <c r="C55" s="25"/>
      <c r="D55" s="26"/>
      <c r="E55" s="26"/>
      <c r="F55" s="47">
        <v>13.260999999999999</v>
      </c>
      <c r="G55" s="47">
        <v>9.8879999999999999</v>
      </c>
      <c r="H55" s="47">
        <v>10.29</v>
      </c>
      <c r="I55" s="48">
        <v>101.342</v>
      </c>
      <c r="J55" s="32">
        <v>436</v>
      </c>
      <c r="K55" s="18">
        <f t="shared" si="18"/>
        <v>108</v>
      </c>
      <c r="L55" s="19" t="str">
        <f t="shared" si="19"/>
        <v/>
      </c>
      <c r="M55" s="19" t="str">
        <f t="shared" si="15"/>
        <v/>
      </c>
      <c r="N55" s="19" t="str">
        <f t="shared" si="16"/>
        <v/>
      </c>
      <c r="O55" s="19">
        <f t="shared" si="23"/>
        <v>-42.000000000001592</v>
      </c>
      <c r="P55" s="19">
        <f t="shared" si="24"/>
        <v>-8.9999999999994529</v>
      </c>
      <c r="Q55" s="19">
        <f t="shared" si="25"/>
        <v>-8.0000000000017835</v>
      </c>
      <c r="R55" s="19">
        <f t="shared" si="17"/>
        <v>-15.999999999991132</v>
      </c>
      <c r="S55" s="27" t="str">
        <f t="shared" si="20"/>
        <v/>
      </c>
      <c r="T55" s="28" t="str">
        <f t="shared" si="21"/>
        <v/>
      </c>
      <c r="U55" s="28" t="str">
        <f t="shared" si="22"/>
        <v/>
      </c>
      <c r="V55" s="28">
        <f t="shared" si="26"/>
        <v>-1.0000000000012221</v>
      </c>
      <c r="W55" s="28">
        <f t="shared" si="27"/>
        <v>0</v>
      </c>
      <c r="X55" s="29">
        <f t="shared" si="28"/>
        <v>0</v>
      </c>
      <c r="Y55" s="24"/>
    </row>
    <row r="56" spans="2:25" ht="15" customHeight="1" x14ac:dyDescent="0.2">
      <c r="B56" s="31">
        <v>41738</v>
      </c>
      <c r="C56" s="25"/>
      <c r="D56" s="26"/>
      <c r="E56" s="26"/>
      <c r="F56" s="47">
        <v>13.260999999999999</v>
      </c>
      <c r="G56" s="47">
        <v>9.8879999999999999</v>
      </c>
      <c r="H56" s="47">
        <v>10.29</v>
      </c>
      <c r="I56" s="48">
        <v>101.342</v>
      </c>
      <c r="J56" s="32">
        <v>450</v>
      </c>
      <c r="K56" s="18">
        <f t="shared" si="18"/>
        <v>122</v>
      </c>
      <c r="L56" s="19" t="str">
        <f t="shared" si="19"/>
        <v/>
      </c>
      <c r="M56" s="19" t="str">
        <f t="shared" si="15"/>
        <v/>
      </c>
      <c r="N56" s="19" t="str">
        <f t="shared" si="16"/>
        <v/>
      </c>
      <c r="O56" s="19">
        <f t="shared" si="23"/>
        <v>-42.000000000001592</v>
      </c>
      <c r="P56" s="19">
        <f t="shared" si="24"/>
        <v>-8.9999999999994529</v>
      </c>
      <c r="Q56" s="19">
        <f t="shared" si="25"/>
        <v>-8.0000000000017835</v>
      </c>
      <c r="R56" s="19">
        <f t="shared" si="17"/>
        <v>-15.999999999991132</v>
      </c>
      <c r="S56" s="27" t="str">
        <f t="shared" si="20"/>
        <v/>
      </c>
      <c r="T56" s="28" t="str">
        <f t="shared" si="21"/>
        <v/>
      </c>
      <c r="U56" s="28" t="str">
        <f t="shared" si="22"/>
        <v/>
      </c>
      <c r="V56" s="28">
        <f t="shared" si="26"/>
        <v>0</v>
      </c>
      <c r="W56" s="28">
        <f t="shared" si="27"/>
        <v>0</v>
      </c>
      <c r="X56" s="29">
        <f t="shared" si="28"/>
        <v>0</v>
      </c>
      <c r="Y56" s="24"/>
    </row>
    <row r="57" spans="2:25" ht="15" customHeight="1" x14ac:dyDescent="0.2">
      <c r="B57" s="31">
        <v>41739</v>
      </c>
      <c r="C57" s="25"/>
      <c r="D57" s="26"/>
      <c r="E57" s="26"/>
      <c r="F57" s="47">
        <v>13.26</v>
      </c>
      <c r="G57" s="47">
        <v>9.8879999999999999</v>
      </c>
      <c r="H57" s="47">
        <v>10.29</v>
      </c>
      <c r="I57" s="48">
        <v>101.342</v>
      </c>
      <c r="J57" s="32">
        <v>457</v>
      </c>
      <c r="K57" s="18">
        <f t="shared" si="18"/>
        <v>129</v>
      </c>
      <c r="L57" s="19" t="str">
        <f t="shared" si="19"/>
        <v/>
      </c>
      <c r="M57" s="19" t="str">
        <f t="shared" si="15"/>
        <v/>
      </c>
      <c r="N57" s="19" t="str">
        <f t="shared" si="16"/>
        <v/>
      </c>
      <c r="O57" s="19">
        <f t="shared" si="23"/>
        <v>-43.000000000001037</v>
      </c>
      <c r="P57" s="19">
        <f t="shared" si="24"/>
        <v>-8.9999999999994529</v>
      </c>
      <c r="Q57" s="19">
        <f t="shared" si="25"/>
        <v>-8.0000000000017835</v>
      </c>
      <c r="R57" s="19">
        <f t="shared" si="17"/>
        <v>-15.999999999991132</v>
      </c>
      <c r="S57" s="27" t="str">
        <f t="shared" si="20"/>
        <v/>
      </c>
      <c r="T57" s="28" t="str">
        <f t="shared" si="21"/>
        <v/>
      </c>
      <c r="U57" s="28" t="str">
        <f t="shared" si="22"/>
        <v/>
      </c>
      <c r="V57" s="28">
        <f t="shared" si="26"/>
        <v>-0.99999999999944578</v>
      </c>
      <c r="W57" s="28">
        <f t="shared" si="27"/>
        <v>0</v>
      </c>
      <c r="X57" s="29">
        <f t="shared" si="28"/>
        <v>0</v>
      </c>
      <c r="Y57" s="24"/>
    </row>
    <row r="58" spans="2:25" ht="15" customHeight="1" x14ac:dyDescent="0.2">
      <c r="B58" s="31">
        <v>41745</v>
      </c>
      <c r="C58" s="25"/>
      <c r="D58" s="26"/>
      <c r="E58" s="26"/>
      <c r="F58" s="47">
        <v>13.260999999999999</v>
      </c>
      <c r="G58" s="47">
        <v>9.8870000000000005</v>
      </c>
      <c r="H58" s="47">
        <v>10.291</v>
      </c>
      <c r="I58" s="48">
        <v>101.342</v>
      </c>
      <c r="J58" s="32">
        <v>516</v>
      </c>
      <c r="K58" s="18">
        <f t="shared" si="18"/>
        <v>188</v>
      </c>
      <c r="L58" s="19" t="str">
        <f t="shared" si="19"/>
        <v/>
      </c>
      <c r="M58" s="19" t="str">
        <f t="shared" si="15"/>
        <v/>
      </c>
      <c r="N58" s="19" t="str">
        <f t="shared" si="16"/>
        <v/>
      </c>
      <c r="O58" s="19">
        <f t="shared" si="23"/>
        <v>-42.000000000001592</v>
      </c>
      <c r="P58" s="19">
        <f t="shared" si="24"/>
        <v>-9.9999999999988987</v>
      </c>
      <c r="Q58" s="19">
        <f t="shared" si="25"/>
        <v>-7.0000000000005613</v>
      </c>
      <c r="R58" s="19">
        <f t="shared" si="17"/>
        <v>-15.999999999991132</v>
      </c>
      <c r="S58" s="27" t="str">
        <f t="shared" si="20"/>
        <v/>
      </c>
      <c r="T58" s="28" t="str">
        <f t="shared" si="21"/>
        <v/>
      </c>
      <c r="U58" s="28" t="str">
        <f t="shared" si="22"/>
        <v/>
      </c>
      <c r="V58" s="28">
        <f t="shared" si="26"/>
        <v>0.16666666666657429</v>
      </c>
      <c r="W58" s="28">
        <f t="shared" si="27"/>
        <v>-0.16666666666657429</v>
      </c>
      <c r="X58" s="29">
        <f t="shared" si="28"/>
        <v>0.16666666666687036</v>
      </c>
      <c r="Y58" s="24"/>
    </row>
    <row r="59" spans="2:25" ht="15" customHeight="1" x14ac:dyDescent="0.2">
      <c r="B59" s="31">
        <v>41752</v>
      </c>
      <c r="C59" s="25"/>
      <c r="D59" s="26"/>
      <c r="E59" s="26"/>
      <c r="F59" s="47">
        <v>13.26</v>
      </c>
      <c r="G59" s="47">
        <v>9.8870000000000005</v>
      </c>
      <c r="H59" s="47">
        <v>10.291</v>
      </c>
      <c r="I59" s="48">
        <v>101.342</v>
      </c>
      <c r="J59" s="32">
        <v>534.5</v>
      </c>
      <c r="K59" s="18">
        <f t="shared" si="18"/>
        <v>206.5</v>
      </c>
      <c r="L59" s="19" t="str">
        <f t="shared" si="19"/>
        <v/>
      </c>
      <c r="M59" s="19" t="str">
        <f t="shared" si="15"/>
        <v/>
      </c>
      <c r="N59" s="19" t="str">
        <f t="shared" si="16"/>
        <v/>
      </c>
      <c r="O59" s="19">
        <f t="shared" si="23"/>
        <v>-43.000000000001037</v>
      </c>
      <c r="P59" s="19">
        <f t="shared" si="24"/>
        <v>-9.9999999999988987</v>
      </c>
      <c r="Q59" s="19">
        <f t="shared" si="25"/>
        <v>-7.0000000000005613</v>
      </c>
      <c r="R59" s="19">
        <f t="shared" si="17"/>
        <v>-15.999999999991132</v>
      </c>
      <c r="S59" s="27" t="str">
        <f t="shared" si="20"/>
        <v/>
      </c>
      <c r="T59" s="28" t="str">
        <f t="shared" si="21"/>
        <v/>
      </c>
      <c r="U59" s="28" t="str">
        <f t="shared" si="22"/>
        <v/>
      </c>
      <c r="V59" s="28">
        <f t="shared" si="26"/>
        <v>-0.14285714285706369</v>
      </c>
      <c r="W59" s="28">
        <f t="shared" si="27"/>
        <v>0</v>
      </c>
      <c r="X59" s="29">
        <f t="shared" si="28"/>
        <v>0</v>
      </c>
      <c r="Y59" s="24" t="s">
        <v>35</v>
      </c>
    </row>
    <row r="60" spans="2:25" ht="15" customHeight="1" x14ac:dyDescent="0.2">
      <c r="B60" s="31">
        <v>41759</v>
      </c>
      <c r="C60" s="25"/>
      <c r="D60" s="26"/>
      <c r="E60" s="26"/>
      <c r="F60" s="47">
        <v>13.260999999999999</v>
      </c>
      <c r="G60" s="47">
        <v>9.8870000000000005</v>
      </c>
      <c r="H60" s="47">
        <v>10.291</v>
      </c>
      <c r="I60" s="48">
        <v>101.342</v>
      </c>
      <c r="J60" s="32">
        <v>534.5</v>
      </c>
      <c r="K60" s="18">
        <f t="shared" si="18"/>
        <v>206.5</v>
      </c>
      <c r="L60" s="19" t="str">
        <f t="shared" si="19"/>
        <v/>
      </c>
      <c r="M60" s="19" t="str">
        <f t="shared" si="15"/>
        <v/>
      </c>
      <c r="N60" s="19" t="str">
        <f t="shared" si="16"/>
        <v/>
      </c>
      <c r="O60" s="19">
        <f t="shared" si="23"/>
        <v>-42.000000000001592</v>
      </c>
      <c r="P60" s="19">
        <f t="shared" si="24"/>
        <v>-9.9999999999988987</v>
      </c>
      <c r="Q60" s="19">
        <f t="shared" si="25"/>
        <v>-7.0000000000005613</v>
      </c>
      <c r="R60" s="19">
        <f t="shared" si="17"/>
        <v>-15.999999999991132</v>
      </c>
      <c r="S60" s="27" t="str">
        <f t="shared" si="20"/>
        <v/>
      </c>
      <c r="T60" s="28" t="str">
        <f t="shared" si="21"/>
        <v/>
      </c>
      <c r="U60" s="28" t="str">
        <f t="shared" si="22"/>
        <v/>
      </c>
      <c r="V60" s="28">
        <f t="shared" si="26"/>
        <v>0.14285714285706369</v>
      </c>
      <c r="W60" s="28">
        <f t="shared" si="27"/>
        <v>0</v>
      </c>
      <c r="X60" s="29">
        <f t="shared" si="28"/>
        <v>0</v>
      </c>
      <c r="Y60" s="24"/>
    </row>
    <row r="61" spans="2:25" ht="15" customHeight="1" x14ac:dyDescent="0.2">
      <c r="B61" s="31">
        <v>41781</v>
      </c>
      <c r="C61" s="25"/>
      <c r="D61" s="26"/>
      <c r="E61" s="26"/>
      <c r="F61" s="47">
        <v>13.260999999999999</v>
      </c>
      <c r="G61" s="47">
        <v>9.8859999999999992</v>
      </c>
      <c r="H61" s="47">
        <v>10.291</v>
      </c>
      <c r="I61" s="48">
        <v>101.342</v>
      </c>
      <c r="J61" s="58">
        <v>792</v>
      </c>
      <c r="K61" s="18">
        <f t="shared" ref="K61:K66" si="29">IF(ISBLANK(J61),"",(J61-$J$8))</f>
        <v>464</v>
      </c>
      <c r="L61" s="19" t="str">
        <f t="shared" si="19"/>
        <v/>
      </c>
      <c r="M61" s="19" t="str">
        <f t="shared" si="15"/>
        <v/>
      </c>
      <c r="N61" s="19" t="str">
        <f t="shared" si="16"/>
        <v/>
      </c>
      <c r="O61" s="19">
        <f t="shared" si="23"/>
        <v>-42.000000000001592</v>
      </c>
      <c r="P61" s="19">
        <f t="shared" si="24"/>
        <v>-11.000000000000121</v>
      </c>
      <c r="Q61" s="19">
        <f t="shared" si="25"/>
        <v>-7.0000000000005613</v>
      </c>
      <c r="R61" s="19">
        <f t="shared" si="17"/>
        <v>-15.999999999991132</v>
      </c>
      <c r="S61" s="27" t="str">
        <f t="shared" si="20"/>
        <v/>
      </c>
      <c r="T61" s="28" t="str">
        <f t="shared" si="21"/>
        <v/>
      </c>
      <c r="U61" s="28" t="str">
        <f t="shared" si="22"/>
        <v/>
      </c>
      <c r="V61" s="28">
        <f t="shared" si="26"/>
        <v>0</v>
      </c>
      <c r="W61" s="28">
        <f t="shared" si="27"/>
        <v>-4.5454545454601009E-2</v>
      </c>
      <c r="X61" s="29">
        <f t="shared" si="28"/>
        <v>0</v>
      </c>
      <c r="Y61" s="24"/>
    </row>
    <row r="62" spans="2:25" ht="15" customHeight="1" x14ac:dyDescent="0.2">
      <c r="B62" s="31">
        <v>41843</v>
      </c>
      <c r="C62" s="25"/>
      <c r="D62" s="26"/>
      <c r="E62" s="26"/>
      <c r="F62" s="47">
        <v>13.260999999999999</v>
      </c>
      <c r="G62" s="47">
        <v>9.8870000000000005</v>
      </c>
      <c r="H62" s="47">
        <v>10.291</v>
      </c>
      <c r="I62" s="48">
        <v>101.342</v>
      </c>
      <c r="J62" s="58">
        <v>943</v>
      </c>
      <c r="K62" s="18">
        <f t="shared" si="29"/>
        <v>615</v>
      </c>
      <c r="L62" s="19" t="str">
        <f t="shared" si="19"/>
        <v/>
      </c>
      <c r="M62" s="19" t="str">
        <f t="shared" si="15"/>
        <v/>
      </c>
      <c r="N62" s="19" t="str">
        <f t="shared" si="16"/>
        <v/>
      </c>
      <c r="O62" s="19">
        <f t="shared" si="23"/>
        <v>-42.000000000001592</v>
      </c>
      <c r="P62" s="19">
        <f t="shared" si="24"/>
        <v>-9.9999999999988987</v>
      </c>
      <c r="Q62" s="19">
        <f t="shared" si="25"/>
        <v>-7.0000000000005613</v>
      </c>
      <c r="R62" s="19">
        <f t="shared" si="17"/>
        <v>-15.999999999991132</v>
      </c>
      <c r="S62" s="27" t="str">
        <f t="shared" si="20"/>
        <v/>
      </c>
      <c r="T62" s="28" t="str">
        <f t="shared" si="21"/>
        <v/>
      </c>
      <c r="U62" s="28" t="str">
        <f t="shared" si="22"/>
        <v/>
      </c>
      <c r="V62" s="28">
        <f t="shared" si="26"/>
        <v>0</v>
      </c>
      <c r="W62" s="28">
        <f t="shared" si="27"/>
        <v>1.6129032258084229E-2</v>
      </c>
      <c r="X62" s="29">
        <f t="shared" si="28"/>
        <v>0</v>
      </c>
      <c r="Y62" s="24"/>
    </row>
    <row r="63" spans="2:25" ht="15" customHeight="1" x14ac:dyDescent="0.2">
      <c r="B63" s="31">
        <v>41933</v>
      </c>
      <c r="C63" s="25">
        <v>12.632999999999999</v>
      </c>
      <c r="D63" s="26">
        <v>7.8150000000000004</v>
      </c>
      <c r="E63" s="26">
        <v>7.9279999999999999</v>
      </c>
      <c r="F63" s="47">
        <v>13.26</v>
      </c>
      <c r="G63" s="47">
        <v>9.8870000000000005</v>
      </c>
      <c r="H63" s="47">
        <v>10.292</v>
      </c>
      <c r="I63" s="48">
        <v>101.342</v>
      </c>
      <c r="J63" s="58">
        <v>943</v>
      </c>
      <c r="K63" s="18">
        <f t="shared" si="29"/>
        <v>615</v>
      </c>
      <c r="L63" s="19">
        <f t="shared" si="19"/>
        <v>-45.000000000001705</v>
      </c>
      <c r="M63" s="19">
        <f t="shared" si="15"/>
        <v>-9.9999999999988987</v>
      </c>
      <c r="N63" s="19">
        <f t="shared" si="16"/>
        <v>-6.0000000000011156</v>
      </c>
      <c r="O63" s="19">
        <f t="shared" si="23"/>
        <v>-43.000000000001037</v>
      </c>
      <c r="P63" s="19">
        <f t="shared" si="24"/>
        <v>-9.9999999999988987</v>
      </c>
      <c r="Q63" s="19">
        <f t="shared" si="25"/>
        <v>-6.0000000000011156</v>
      </c>
      <c r="R63" s="19">
        <f t="shared" si="17"/>
        <v>-15.999999999991132</v>
      </c>
      <c r="S63" s="27"/>
      <c r="T63" s="28"/>
      <c r="U63" s="28"/>
      <c r="V63" s="28">
        <f t="shared" si="26"/>
        <v>-1.1111111111104953E-2</v>
      </c>
      <c r="W63" s="28">
        <f t="shared" si="27"/>
        <v>0</v>
      </c>
      <c r="X63" s="29">
        <f t="shared" si="28"/>
        <v>1.1111111111104953E-2</v>
      </c>
      <c r="Y63" s="24"/>
    </row>
    <row r="64" spans="2:25" ht="15" customHeight="1" x14ac:dyDescent="0.2">
      <c r="B64" s="31">
        <v>42025</v>
      </c>
      <c r="C64" s="25"/>
      <c r="D64" s="26"/>
      <c r="E64" s="26"/>
      <c r="F64" s="47">
        <v>13.260999999999999</v>
      </c>
      <c r="G64" s="47">
        <v>9.8870000000000005</v>
      </c>
      <c r="H64" s="47">
        <v>10.292</v>
      </c>
      <c r="I64" s="48">
        <v>101.342</v>
      </c>
      <c r="J64" s="58">
        <v>943</v>
      </c>
      <c r="K64" s="18">
        <f t="shared" si="29"/>
        <v>615</v>
      </c>
      <c r="L64" s="19" t="str">
        <f t="shared" si="19"/>
        <v/>
      </c>
      <c r="M64" s="19" t="str">
        <f t="shared" si="15"/>
        <v/>
      </c>
      <c r="N64" s="19" t="str">
        <f t="shared" si="16"/>
        <v/>
      </c>
      <c r="O64" s="19">
        <f t="shared" si="23"/>
        <v>-42.000000000001592</v>
      </c>
      <c r="P64" s="19">
        <f t="shared" si="24"/>
        <v>-9.9999999999988987</v>
      </c>
      <c r="Q64" s="19">
        <f t="shared" si="25"/>
        <v>-6.0000000000011156</v>
      </c>
      <c r="R64" s="19">
        <f t="shared" si="17"/>
        <v>-15.999999999991132</v>
      </c>
      <c r="S64" s="27" t="str">
        <f t="shared" si="20"/>
        <v/>
      </c>
      <c r="T64" s="28" t="str">
        <f t="shared" si="21"/>
        <v/>
      </c>
      <c r="U64" s="28" t="str">
        <f t="shared" si="22"/>
        <v/>
      </c>
      <c r="V64" s="28">
        <f t="shared" si="26"/>
        <v>1.0869565217385279E-2</v>
      </c>
      <c r="W64" s="28">
        <f t="shared" si="27"/>
        <v>0</v>
      </c>
      <c r="X64" s="29">
        <f t="shared" si="28"/>
        <v>0</v>
      </c>
      <c r="Y64" s="24"/>
    </row>
    <row r="65" spans="2:25" ht="15" customHeight="1" x14ac:dyDescent="0.2">
      <c r="B65" s="31">
        <v>42109</v>
      </c>
      <c r="C65" s="25"/>
      <c r="D65" s="26"/>
      <c r="E65" s="26"/>
      <c r="F65" s="47">
        <v>13.255000000000001</v>
      </c>
      <c r="G65" s="47">
        <v>9.8859999999999992</v>
      </c>
      <c r="H65" s="47">
        <v>10.289</v>
      </c>
      <c r="I65" s="48">
        <v>101.33799999999999</v>
      </c>
      <c r="J65" s="58">
        <v>943</v>
      </c>
      <c r="K65" s="18">
        <f t="shared" si="29"/>
        <v>615</v>
      </c>
      <c r="L65" s="19" t="str">
        <f t="shared" si="19"/>
        <v/>
      </c>
      <c r="M65" s="19" t="str">
        <f t="shared" si="15"/>
        <v/>
      </c>
      <c r="N65" s="19" t="str">
        <f t="shared" si="16"/>
        <v/>
      </c>
      <c r="O65" s="19">
        <f t="shared" si="23"/>
        <v>-48.000000000000043</v>
      </c>
      <c r="P65" s="19">
        <f t="shared" si="24"/>
        <v>-11.000000000000121</v>
      </c>
      <c r="Q65" s="19">
        <f t="shared" si="25"/>
        <v>-9.0000000000012292</v>
      </c>
      <c r="R65" s="19">
        <f t="shared" si="17"/>
        <v>-19.999999999996021</v>
      </c>
      <c r="S65" s="27" t="str">
        <f t="shared" si="20"/>
        <v/>
      </c>
      <c r="T65" s="28" t="str">
        <f t="shared" si="21"/>
        <v/>
      </c>
      <c r="U65" s="28" t="str">
        <f t="shared" si="22"/>
        <v/>
      </c>
      <c r="V65" s="28">
        <f t="shared" si="26"/>
        <v>-7.1428571428552995E-2</v>
      </c>
      <c r="W65" s="28">
        <f t="shared" si="27"/>
        <v>-1.1904761904776453E-2</v>
      </c>
      <c r="X65" s="29">
        <f t="shared" si="28"/>
        <v>-3.5714285714287065E-2</v>
      </c>
      <c r="Y65" s="24"/>
    </row>
    <row r="66" spans="2:25" ht="15" customHeight="1" x14ac:dyDescent="0.2">
      <c r="B66" s="31">
        <v>42221</v>
      </c>
      <c r="C66" s="33"/>
      <c r="D66" s="16"/>
      <c r="E66" s="16"/>
      <c r="F66" s="16">
        <v>13.257999999999999</v>
      </c>
      <c r="G66" s="16">
        <v>9.8849999999999998</v>
      </c>
      <c r="H66" s="16">
        <v>10.29</v>
      </c>
      <c r="I66" s="16">
        <v>101.339</v>
      </c>
      <c r="J66" s="32">
        <v>1253</v>
      </c>
      <c r="K66" s="18">
        <f t="shared" si="29"/>
        <v>925</v>
      </c>
      <c r="L66" s="19" t="str">
        <f t="shared" si="19"/>
        <v/>
      </c>
      <c r="M66" s="19" t="str">
        <f t="shared" si="15"/>
        <v/>
      </c>
      <c r="N66" s="19" t="str">
        <f t="shared" si="16"/>
        <v/>
      </c>
      <c r="O66" s="19">
        <f t="shared" si="23"/>
        <v>-45.000000000001705</v>
      </c>
      <c r="P66" s="19">
        <f t="shared" si="24"/>
        <v>-11.999999999999567</v>
      </c>
      <c r="Q66" s="19">
        <f t="shared" si="25"/>
        <v>-8.0000000000017835</v>
      </c>
      <c r="R66" s="19">
        <f t="shared" si="17"/>
        <v>-18.999999999991246</v>
      </c>
      <c r="S66" s="27" t="str">
        <f t="shared" si="20"/>
        <v/>
      </c>
      <c r="T66" s="28" t="str">
        <f t="shared" si="21"/>
        <v/>
      </c>
      <c r="U66" s="28" t="str">
        <f t="shared" si="22"/>
        <v/>
      </c>
      <c r="V66" s="28">
        <f t="shared" si="26"/>
        <v>2.6785714285699442E-2</v>
      </c>
      <c r="W66" s="28">
        <f t="shared" si="27"/>
        <v>-8.9285714285664806E-3</v>
      </c>
      <c r="X66" s="29">
        <f t="shared" si="28"/>
        <v>8.9285714285664806E-3</v>
      </c>
      <c r="Y66" s="24"/>
    </row>
    <row r="67" spans="2:25" ht="15" customHeight="1" x14ac:dyDescent="0.2">
      <c r="B67" s="31">
        <v>42317</v>
      </c>
      <c r="C67" s="33"/>
      <c r="D67" s="16"/>
      <c r="E67" s="16"/>
      <c r="F67" s="16">
        <v>13.257</v>
      </c>
      <c r="G67" s="16">
        <v>9.8849999999999998</v>
      </c>
      <c r="H67" s="16">
        <v>10.29</v>
      </c>
      <c r="I67" s="16">
        <v>101.337</v>
      </c>
      <c r="J67" s="32">
        <v>2215</v>
      </c>
      <c r="K67" s="18">
        <f t="shared" ref="K67:K69" si="30">IF(ISBLANK(J67),"",(J67-$J$8))</f>
        <v>1887</v>
      </c>
      <c r="L67" s="19" t="str">
        <f t="shared" si="19"/>
        <v/>
      </c>
      <c r="M67" s="19" t="str">
        <f t="shared" si="15"/>
        <v/>
      </c>
      <c r="N67" s="19" t="str">
        <f t="shared" si="16"/>
        <v/>
      </c>
      <c r="O67" s="19">
        <f t="shared" si="23"/>
        <v>-46.000000000001151</v>
      </c>
      <c r="P67" s="19">
        <f t="shared" si="24"/>
        <v>-11.999999999999567</v>
      </c>
      <c r="Q67" s="19">
        <f t="shared" si="25"/>
        <v>-8.0000000000017835</v>
      </c>
      <c r="R67" s="19">
        <f t="shared" si="17"/>
        <v>-20.999999999986585</v>
      </c>
      <c r="S67" s="27" t="str">
        <f t="shared" si="20"/>
        <v/>
      </c>
      <c r="T67" s="28" t="str">
        <f t="shared" si="21"/>
        <v/>
      </c>
      <c r="U67" s="28" t="str">
        <f t="shared" si="22"/>
        <v/>
      </c>
      <c r="V67" s="28">
        <f t="shared" si="26"/>
        <v>-1.0416666666660893E-2</v>
      </c>
      <c r="W67" s="28">
        <f t="shared" si="27"/>
        <v>0</v>
      </c>
      <c r="X67" s="29">
        <f t="shared" si="28"/>
        <v>0</v>
      </c>
      <c r="Y67" s="24"/>
    </row>
    <row r="68" spans="2:25" ht="15" customHeight="1" x14ac:dyDescent="0.2">
      <c r="B68" s="31">
        <v>42404</v>
      </c>
      <c r="C68" s="25">
        <v>12.631</v>
      </c>
      <c r="D68" s="26">
        <v>7.8129999999999997</v>
      </c>
      <c r="E68" s="26">
        <v>7.9260000000000002</v>
      </c>
      <c r="F68" s="16">
        <v>13.255000000000001</v>
      </c>
      <c r="G68" s="16">
        <v>9.8859999999999992</v>
      </c>
      <c r="H68" s="16">
        <v>10.289</v>
      </c>
      <c r="I68" s="16">
        <v>101.339</v>
      </c>
      <c r="J68" s="58">
        <v>2484</v>
      </c>
      <c r="K68" s="18">
        <f t="shared" si="30"/>
        <v>2156</v>
      </c>
      <c r="L68" s="19">
        <f t="shared" si="19"/>
        <v>-47.000000000000597</v>
      </c>
      <c r="M68" s="19">
        <f t="shared" si="15"/>
        <v>-11.999999999999567</v>
      </c>
      <c r="N68" s="19">
        <f t="shared" si="16"/>
        <v>-8.0000000000008953</v>
      </c>
      <c r="O68" s="19">
        <f t="shared" si="23"/>
        <v>-48.000000000000043</v>
      </c>
      <c r="P68" s="19">
        <f t="shared" si="24"/>
        <v>-11.000000000000121</v>
      </c>
      <c r="Q68" s="19">
        <f t="shared" si="25"/>
        <v>-9.0000000000012292</v>
      </c>
      <c r="R68" s="19">
        <f t="shared" si="17"/>
        <v>-18.999999999991246</v>
      </c>
      <c r="S68" s="27"/>
      <c r="T68" s="28"/>
      <c r="U68" s="28"/>
      <c r="V68" s="28">
        <f t="shared" si="26"/>
        <v>-2.2988505747113697E-2</v>
      </c>
      <c r="W68" s="28">
        <f t="shared" si="27"/>
        <v>1.1494252873556848E-2</v>
      </c>
      <c r="X68" s="29">
        <f t="shared" si="28"/>
        <v>-1.1494252873556848E-2</v>
      </c>
      <c r="Y68" s="24"/>
    </row>
    <row r="69" spans="2:25" ht="15" customHeight="1" x14ac:dyDescent="0.2">
      <c r="B69" s="31">
        <v>42529</v>
      </c>
      <c r="C69" s="25">
        <v>12.63</v>
      </c>
      <c r="D69" s="26">
        <v>7.8129999999999997</v>
      </c>
      <c r="E69" s="26">
        <v>7.9249999999999998</v>
      </c>
      <c r="F69" s="16">
        <v>13.254</v>
      </c>
      <c r="G69" s="16">
        <v>9.8840000000000003</v>
      </c>
      <c r="H69" s="16">
        <v>10.289</v>
      </c>
      <c r="I69" s="16">
        <v>101.33799999999999</v>
      </c>
      <c r="J69" s="58">
        <v>2603</v>
      </c>
      <c r="K69" s="18">
        <f t="shared" si="30"/>
        <v>2275</v>
      </c>
      <c r="L69" s="19">
        <f t="shared" si="19"/>
        <v>-48.000000000000043</v>
      </c>
      <c r="M69" s="19">
        <f t="shared" si="15"/>
        <v>-11.999999999999567</v>
      </c>
      <c r="N69" s="19">
        <f t="shared" si="16"/>
        <v>-9.0000000000012292</v>
      </c>
      <c r="O69" s="19">
        <f t="shared" si="23"/>
        <v>-49.000000000001265</v>
      </c>
      <c r="P69" s="19">
        <f t="shared" si="24"/>
        <v>-12.999999999999012</v>
      </c>
      <c r="Q69" s="19">
        <f t="shared" si="25"/>
        <v>-9.0000000000012292</v>
      </c>
      <c r="R69" s="19">
        <f t="shared" si="17"/>
        <v>-19.999999999996021</v>
      </c>
      <c r="S69" s="27">
        <f t="shared" si="20"/>
        <v>-7.9999999999955662E-3</v>
      </c>
      <c r="T69" s="28">
        <f t="shared" si="21"/>
        <v>0</v>
      </c>
      <c r="U69" s="28">
        <f t="shared" si="22"/>
        <v>-8.0000000000026716E-3</v>
      </c>
      <c r="V69" s="28">
        <f t="shared" si="26"/>
        <v>-8.0000000000097771E-3</v>
      </c>
      <c r="W69" s="28">
        <f t="shared" si="27"/>
        <v>-1.5999999999991132E-2</v>
      </c>
      <c r="X69" s="29">
        <f t="shared" si="28"/>
        <v>0</v>
      </c>
      <c r="Y69" s="24"/>
    </row>
    <row r="70" spans="2:25" ht="15" customHeight="1" x14ac:dyDescent="0.2">
      <c r="B70" s="31"/>
      <c r="C70" s="25"/>
      <c r="D70" s="26"/>
      <c r="E70" s="26"/>
      <c r="F70" s="16"/>
      <c r="G70" s="16"/>
      <c r="H70" s="16"/>
      <c r="I70" s="16"/>
      <c r="J70" s="58"/>
      <c r="K70" s="18"/>
      <c r="L70" s="19" t="str">
        <f t="shared" si="19"/>
        <v/>
      </c>
      <c r="M70" s="19" t="str">
        <f t="shared" si="15"/>
        <v/>
      </c>
      <c r="N70" s="19" t="str">
        <f t="shared" si="16"/>
        <v/>
      </c>
      <c r="O70" s="19" t="str">
        <f t="shared" si="23"/>
        <v/>
      </c>
      <c r="P70" s="19" t="str">
        <f t="shared" si="24"/>
        <v/>
      </c>
      <c r="Q70" s="19" t="str">
        <f t="shared" si="25"/>
        <v/>
      </c>
      <c r="R70" s="19" t="str">
        <f t="shared" si="17"/>
        <v/>
      </c>
      <c r="S70" s="27" t="str">
        <f t="shared" si="20"/>
        <v/>
      </c>
      <c r="T70" s="28" t="str">
        <f t="shared" si="21"/>
        <v/>
      </c>
      <c r="U70" s="28" t="str">
        <f t="shared" si="22"/>
        <v/>
      </c>
      <c r="V70" s="28" t="str">
        <f t="shared" si="26"/>
        <v/>
      </c>
      <c r="W70" s="28" t="str">
        <f t="shared" si="27"/>
        <v/>
      </c>
      <c r="X70" s="29" t="str">
        <f t="shared" si="28"/>
        <v/>
      </c>
      <c r="Y70" s="24"/>
    </row>
    <row r="71" spans="2:25" ht="15" customHeight="1" x14ac:dyDescent="0.2">
      <c r="B71" s="31"/>
      <c r="C71" s="25"/>
      <c r="D71" s="26"/>
      <c r="E71" s="26"/>
      <c r="F71" s="16"/>
      <c r="G71" s="16"/>
      <c r="H71" s="16"/>
      <c r="I71" s="16"/>
      <c r="J71" s="58"/>
      <c r="K71" s="18"/>
      <c r="L71" s="19" t="str">
        <f t="shared" si="19"/>
        <v/>
      </c>
      <c r="M71" s="19" t="str">
        <f t="shared" si="15"/>
        <v/>
      </c>
      <c r="N71" s="19" t="str">
        <f t="shared" si="16"/>
        <v/>
      </c>
      <c r="O71" s="19" t="str">
        <f t="shared" si="23"/>
        <v/>
      </c>
      <c r="P71" s="19" t="str">
        <f t="shared" si="24"/>
        <v/>
      </c>
      <c r="Q71" s="19" t="str">
        <f t="shared" si="25"/>
        <v/>
      </c>
      <c r="R71" s="19" t="str">
        <f t="shared" si="17"/>
        <v/>
      </c>
      <c r="S71" s="27" t="str">
        <f t="shared" si="20"/>
        <v/>
      </c>
      <c r="T71" s="28" t="str">
        <f t="shared" si="21"/>
        <v/>
      </c>
      <c r="U71" s="28" t="str">
        <f t="shared" si="22"/>
        <v/>
      </c>
      <c r="V71" s="28" t="str">
        <f t="shared" si="26"/>
        <v/>
      </c>
      <c r="W71" s="28" t="str">
        <f t="shared" si="27"/>
        <v/>
      </c>
      <c r="X71" s="29" t="str">
        <f t="shared" si="2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9"/>
        <v/>
      </c>
      <c r="M72" s="19" t="str">
        <f t="shared" si="15"/>
        <v/>
      </c>
      <c r="N72" s="19" t="str">
        <f t="shared" si="16"/>
        <v/>
      </c>
      <c r="O72" s="19" t="str">
        <f t="shared" si="23"/>
        <v/>
      </c>
      <c r="P72" s="19" t="str">
        <f t="shared" si="24"/>
        <v/>
      </c>
      <c r="Q72" s="19" t="str">
        <f t="shared" si="25"/>
        <v/>
      </c>
      <c r="R72" s="19" t="str">
        <f t="shared" si="17"/>
        <v/>
      </c>
      <c r="S72" s="27" t="str">
        <f t="shared" si="20"/>
        <v/>
      </c>
      <c r="T72" s="28" t="str">
        <f t="shared" si="21"/>
        <v/>
      </c>
      <c r="U72" s="28" t="str">
        <f t="shared" si="22"/>
        <v/>
      </c>
      <c r="V72" s="28" t="str">
        <f t="shared" si="26"/>
        <v/>
      </c>
      <c r="W72" s="28" t="str">
        <f t="shared" si="27"/>
        <v/>
      </c>
      <c r="X72" s="29" t="str">
        <f t="shared" si="2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9"/>
        <v/>
      </c>
      <c r="M73" s="19" t="str">
        <f t="shared" si="15"/>
        <v/>
      </c>
      <c r="N73" s="19" t="str">
        <f t="shared" si="16"/>
        <v/>
      </c>
      <c r="O73" s="19" t="str">
        <f t="shared" si="23"/>
        <v/>
      </c>
      <c r="P73" s="19" t="str">
        <f t="shared" si="24"/>
        <v/>
      </c>
      <c r="Q73" s="19" t="str">
        <f t="shared" si="25"/>
        <v/>
      </c>
      <c r="R73" s="19" t="str">
        <f t="shared" si="17"/>
        <v/>
      </c>
      <c r="S73" s="27" t="str">
        <f t="shared" si="20"/>
        <v/>
      </c>
      <c r="T73" s="28" t="str">
        <f t="shared" si="21"/>
        <v/>
      </c>
      <c r="U73" s="28" t="str">
        <f t="shared" si="22"/>
        <v/>
      </c>
      <c r="V73" s="28" t="str">
        <f t="shared" si="26"/>
        <v/>
      </c>
      <c r="W73" s="28" t="str">
        <f t="shared" si="27"/>
        <v/>
      </c>
      <c r="X73" s="29" t="str">
        <f t="shared" si="2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9"/>
        <v/>
      </c>
      <c r="M74" s="19" t="str">
        <f t="shared" si="15"/>
        <v/>
      </c>
      <c r="N74" s="19" t="str">
        <f t="shared" si="16"/>
        <v/>
      </c>
      <c r="O74" s="19" t="str">
        <f t="shared" si="23"/>
        <v/>
      </c>
      <c r="P74" s="19" t="str">
        <f t="shared" si="24"/>
        <v/>
      </c>
      <c r="Q74" s="19" t="str">
        <f t="shared" si="25"/>
        <v/>
      </c>
      <c r="R74" s="19" t="str">
        <f t="shared" si="17"/>
        <v/>
      </c>
      <c r="S74" s="27" t="str">
        <f t="shared" si="20"/>
        <v/>
      </c>
      <c r="T74" s="28" t="str">
        <f t="shared" si="21"/>
        <v/>
      </c>
      <c r="U74" s="28" t="str">
        <f t="shared" si="22"/>
        <v/>
      </c>
      <c r="V74" s="28" t="str">
        <f t="shared" si="26"/>
        <v/>
      </c>
      <c r="W74" s="28" t="str">
        <f t="shared" si="27"/>
        <v/>
      </c>
      <c r="X74" s="29" t="str">
        <f t="shared" si="2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9"/>
        <v/>
      </c>
      <c r="M75" s="19" t="str">
        <f t="shared" si="15"/>
        <v/>
      </c>
      <c r="N75" s="19" t="str">
        <f t="shared" si="16"/>
        <v/>
      </c>
      <c r="O75" s="19" t="str">
        <f t="shared" si="23"/>
        <v/>
      </c>
      <c r="P75" s="19" t="str">
        <f t="shared" si="24"/>
        <v/>
      </c>
      <c r="Q75" s="19" t="str">
        <f t="shared" si="25"/>
        <v/>
      </c>
      <c r="R75" s="19" t="str">
        <f t="shared" si="17"/>
        <v/>
      </c>
      <c r="S75" s="27" t="str">
        <f t="shared" si="20"/>
        <v/>
      </c>
      <c r="T75" s="28" t="str">
        <f t="shared" si="21"/>
        <v/>
      </c>
      <c r="U75" s="28" t="str">
        <f t="shared" si="22"/>
        <v/>
      </c>
      <c r="V75" s="28" t="str">
        <f t="shared" si="26"/>
        <v/>
      </c>
      <c r="W75" s="28" t="str">
        <f t="shared" si="27"/>
        <v/>
      </c>
      <c r="X75" s="29" t="str">
        <f t="shared" si="2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9"/>
        <v/>
      </c>
      <c r="M76" s="19" t="str">
        <f t="shared" si="15"/>
        <v/>
      </c>
      <c r="N76" s="19" t="str">
        <f t="shared" si="16"/>
        <v/>
      </c>
      <c r="O76" s="19" t="str">
        <f t="shared" si="23"/>
        <v/>
      </c>
      <c r="P76" s="19" t="str">
        <f t="shared" si="24"/>
        <v/>
      </c>
      <c r="Q76" s="19" t="str">
        <f t="shared" si="25"/>
        <v/>
      </c>
      <c r="R76" s="19" t="str">
        <f t="shared" si="17"/>
        <v/>
      </c>
      <c r="S76" s="27" t="str">
        <f t="shared" si="20"/>
        <v/>
      </c>
      <c r="T76" s="28" t="str">
        <f t="shared" si="21"/>
        <v/>
      </c>
      <c r="U76" s="28" t="str">
        <f t="shared" si="22"/>
        <v/>
      </c>
      <c r="V76" s="28" t="str">
        <f t="shared" si="26"/>
        <v/>
      </c>
      <c r="W76" s="28" t="str">
        <f t="shared" si="27"/>
        <v/>
      </c>
      <c r="X76" s="29" t="str">
        <f t="shared" si="2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9"/>
        <v/>
      </c>
      <c r="M77" s="19" t="str">
        <f t="shared" si="15"/>
        <v/>
      </c>
      <c r="N77" s="19" t="str">
        <f t="shared" si="16"/>
        <v/>
      </c>
      <c r="O77" s="19" t="str">
        <f t="shared" si="23"/>
        <v/>
      </c>
      <c r="P77" s="19" t="str">
        <f t="shared" si="24"/>
        <v/>
      </c>
      <c r="Q77" s="19" t="str">
        <f t="shared" si="25"/>
        <v/>
      </c>
      <c r="R77" s="19" t="str">
        <f t="shared" si="17"/>
        <v/>
      </c>
      <c r="S77" s="27" t="str">
        <f t="shared" si="20"/>
        <v/>
      </c>
      <c r="T77" s="28" t="str">
        <f t="shared" si="21"/>
        <v/>
      </c>
      <c r="U77" s="28" t="str">
        <f t="shared" si="22"/>
        <v/>
      </c>
      <c r="V77" s="28" t="str">
        <f t="shared" si="26"/>
        <v/>
      </c>
      <c r="W77" s="28" t="str">
        <f t="shared" si="27"/>
        <v/>
      </c>
      <c r="X77" s="29" t="str">
        <f t="shared" si="2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9"/>
        <v/>
      </c>
      <c r="M78" s="19" t="str">
        <f t="shared" si="15"/>
        <v/>
      </c>
      <c r="N78" s="19" t="str">
        <f t="shared" si="16"/>
        <v/>
      </c>
      <c r="O78" s="19" t="str">
        <f t="shared" si="23"/>
        <v/>
      </c>
      <c r="P78" s="19" t="str">
        <f t="shared" si="24"/>
        <v/>
      </c>
      <c r="Q78" s="19" t="str">
        <f t="shared" si="25"/>
        <v/>
      </c>
      <c r="R78" s="19" t="str">
        <f t="shared" si="17"/>
        <v/>
      </c>
      <c r="S78" s="27" t="str">
        <f t="shared" si="20"/>
        <v/>
      </c>
      <c r="T78" s="28" t="str">
        <f t="shared" si="21"/>
        <v/>
      </c>
      <c r="U78" s="28" t="str">
        <f t="shared" si="22"/>
        <v/>
      </c>
      <c r="V78" s="28" t="str">
        <f t="shared" si="26"/>
        <v/>
      </c>
      <c r="W78" s="28" t="str">
        <f t="shared" si="27"/>
        <v/>
      </c>
      <c r="X78" s="29" t="str">
        <f t="shared" si="2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9"/>
        <v/>
      </c>
      <c r="M79" s="19" t="str">
        <f t="shared" si="15"/>
        <v/>
      </c>
      <c r="N79" s="19" t="str">
        <f t="shared" si="16"/>
        <v/>
      </c>
      <c r="O79" s="19" t="str">
        <f t="shared" si="23"/>
        <v/>
      </c>
      <c r="P79" s="19" t="str">
        <f t="shared" si="24"/>
        <v/>
      </c>
      <c r="Q79" s="19" t="str">
        <f t="shared" si="25"/>
        <v/>
      </c>
      <c r="R79" s="19" t="str">
        <f t="shared" si="17"/>
        <v/>
      </c>
      <c r="S79" s="27" t="str">
        <f t="shared" si="20"/>
        <v/>
      </c>
      <c r="T79" s="28" t="str">
        <f t="shared" si="21"/>
        <v/>
      </c>
      <c r="U79" s="28" t="str">
        <f t="shared" si="22"/>
        <v/>
      </c>
      <c r="V79" s="28" t="str">
        <f t="shared" si="26"/>
        <v/>
      </c>
      <c r="W79" s="28" t="str">
        <f t="shared" si="27"/>
        <v/>
      </c>
      <c r="X79" s="29" t="str">
        <f t="shared" si="2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1">IF(ISBLANK(C80),"",(C80-C$16)*1000)</f>
        <v/>
      </c>
      <c r="M80" s="19" t="str">
        <f t="shared" si="15"/>
        <v/>
      </c>
      <c r="N80" s="19" t="str">
        <f t="shared" si="16"/>
        <v/>
      </c>
      <c r="O80" s="19" t="str">
        <f t="shared" si="23"/>
        <v/>
      </c>
      <c r="P80" s="19" t="str">
        <f t="shared" si="24"/>
        <v/>
      </c>
      <c r="Q80" s="19" t="str">
        <f t="shared" si="25"/>
        <v/>
      </c>
      <c r="R80" s="19" t="str">
        <f t="shared" si="17"/>
        <v/>
      </c>
      <c r="S80" s="27" t="str">
        <f t="shared" si="20"/>
        <v/>
      </c>
      <c r="T80" s="28" t="str">
        <f t="shared" si="21"/>
        <v/>
      </c>
      <c r="U80" s="28" t="str">
        <f t="shared" si="22"/>
        <v/>
      </c>
      <c r="V80" s="28" t="str">
        <f t="shared" si="26"/>
        <v/>
      </c>
      <c r="W80" s="28" t="str">
        <f t="shared" si="27"/>
        <v/>
      </c>
      <c r="X80" s="29" t="str">
        <f t="shared" si="2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1"/>
        <v/>
      </c>
      <c r="M81" s="19" t="str">
        <f t="shared" si="15"/>
        <v/>
      </c>
      <c r="N81" s="19" t="str">
        <f t="shared" si="16"/>
        <v/>
      </c>
      <c r="O81" s="19" t="str">
        <f t="shared" si="23"/>
        <v/>
      </c>
      <c r="P81" s="19" t="str">
        <f t="shared" si="24"/>
        <v/>
      </c>
      <c r="Q81" s="19" t="str">
        <f t="shared" si="25"/>
        <v/>
      </c>
      <c r="R81" s="19" t="str">
        <f t="shared" si="17"/>
        <v/>
      </c>
      <c r="S81" s="27" t="str">
        <f t="shared" ref="S81:S112" si="32">IF(C81="","",((C81-C80)*1000)/($B81-$B80))</f>
        <v/>
      </c>
      <c r="T81" s="28" t="str">
        <f t="shared" ref="T81:T112" si="33">IF(D81="","",((D81-D80)*1000)/($B81-$B80))</f>
        <v/>
      </c>
      <c r="U81" s="28" t="str">
        <f t="shared" ref="U81:U112" si="34">IF(E81="","",((E81-E80)*1000)/($B81-$B80))</f>
        <v/>
      </c>
      <c r="V81" s="28" t="str">
        <f t="shared" ref="V81:V112" si="35">IF(F81="","",((F81-F80)*1000)/($B81-$B80))</f>
        <v/>
      </c>
      <c r="W81" s="28" t="str">
        <f t="shared" ref="W81:W112" si="36">IF(G81="","",((G81-G80)*1000)/($B81-$B80))</f>
        <v/>
      </c>
      <c r="X81" s="29" t="str">
        <f t="shared" ref="X81:X112" si="37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1"/>
        <v/>
      </c>
      <c r="M82" s="19" t="str">
        <f t="shared" si="15"/>
        <v/>
      </c>
      <c r="N82" s="19" t="str">
        <f t="shared" si="16"/>
        <v/>
      </c>
      <c r="O82" s="19" t="str">
        <f t="shared" si="23"/>
        <v/>
      </c>
      <c r="P82" s="19" t="str">
        <f t="shared" si="24"/>
        <v/>
      </c>
      <c r="Q82" s="19" t="str">
        <f t="shared" si="25"/>
        <v/>
      </c>
      <c r="R82" s="19" t="str">
        <f t="shared" si="17"/>
        <v/>
      </c>
      <c r="S82" s="27" t="str">
        <f t="shared" si="32"/>
        <v/>
      </c>
      <c r="T82" s="28" t="str">
        <f t="shared" si="33"/>
        <v/>
      </c>
      <c r="U82" s="28" t="str">
        <f t="shared" si="34"/>
        <v/>
      </c>
      <c r="V82" s="28" t="str">
        <f t="shared" si="35"/>
        <v/>
      </c>
      <c r="W82" s="28" t="str">
        <f t="shared" si="36"/>
        <v/>
      </c>
      <c r="X82" s="29" t="str">
        <f t="shared" si="3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1"/>
        <v/>
      </c>
      <c r="M83" s="19" t="str">
        <f t="shared" si="15"/>
        <v/>
      </c>
      <c r="N83" s="19" t="str">
        <f t="shared" si="16"/>
        <v/>
      </c>
      <c r="O83" s="19" t="str">
        <f t="shared" si="23"/>
        <v/>
      </c>
      <c r="P83" s="19" t="str">
        <f t="shared" si="24"/>
        <v/>
      </c>
      <c r="Q83" s="19" t="str">
        <f t="shared" si="25"/>
        <v/>
      </c>
      <c r="R83" s="19" t="str">
        <f t="shared" si="17"/>
        <v/>
      </c>
      <c r="S83" s="27" t="str">
        <f t="shared" si="32"/>
        <v/>
      </c>
      <c r="T83" s="28" t="str">
        <f t="shared" si="33"/>
        <v/>
      </c>
      <c r="U83" s="28" t="str">
        <f t="shared" si="34"/>
        <v/>
      </c>
      <c r="V83" s="28" t="str">
        <f t="shared" si="35"/>
        <v/>
      </c>
      <c r="W83" s="28" t="str">
        <f t="shared" si="36"/>
        <v/>
      </c>
      <c r="X83" s="29" t="str">
        <f t="shared" si="3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1"/>
        <v/>
      </c>
      <c r="M84" s="19" t="str">
        <f t="shared" si="15"/>
        <v/>
      </c>
      <c r="N84" s="19" t="str">
        <f t="shared" si="16"/>
        <v/>
      </c>
      <c r="O84" s="19" t="str">
        <f t="shared" si="23"/>
        <v/>
      </c>
      <c r="P84" s="19" t="str">
        <f t="shared" si="24"/>
        <v/>
      </c>
      <c r="Q84" s="19" t="str">
        <f t="shared" si="25"/>
        <v/>
      </c>
      <c r="R84" s="19" t="str">
        <f t="shared" si="17"/>
        <v/>
      </c>
      <c r="S84" s="27" t="str">
        <f t="shared" si="32"/>
        <v/>
      </c>
      <c r="T84" s="28" t="str">
        <f t="shared" si="33"/>
        <v/>
      </c>
      <c r="U84" s="28" t="str">
        <f t="shared" si="34"/>
        <v/>
      </c>
      <c r="V84" s="28" t="str">
        <f t="shared" si="35"/>
        <v/>
      </c>
      <c r="W84" s="28" t="str">
        <f t="shared" si="36"/>
        <v/>
      </c>
      <c r="X84" s="29" t="str">
        <f t="shared" si="3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1"/>
        <v/>
      </c>
      <c r="M85" s="19" t="str">
        <f t="shared" si="15"/>
        <v/>
      </c>
      <c r="N85" s="19" t="str">
        <f t="shared" si="16"/>
        <v/>
      </c>
      <c r="O85" s="19" t="str">
        <f t="shared" si="23"/>
        <v/>
      </c>
      <c r="P85" s="19" t="str">
        <f t="shared" si="24"/>
        <v/>
      </c>
      <c r="Q85" s="19" t="str">
        <f t="shared" si="25"/>
        <v/>
      </c>
      <c r="R85" s="19" t="str">
        <f t="shared" si="17"/>
        <v/>
      </c>
      <c r="S85" s="27" t="str">
        <f t="shared" si="32"/>
        <v/>
      </c>
      <c r="T85" s="28" t="str">
        <f t="shared" si="33"/>
        <v/>
      </c>
      <c r="U85" s="28" t="str">
        <f t="shared" si="34"/>
        <v/>
      </c>
      <c r="V85" s="28" t="str">
        <f t="shared" si="35"/>
        <v/>
      </c>
      <c r="W85" s="28" t="str">
        <f t="shared" si="36"/>
        <v/>
      </c>
      <c r="X85" s="29" t="str">
        <f t="shared" si="3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1"/>
        <v/>
      </c>
      <c r="M86" s="19" t="str">
        <f t="shared" si="15"/>
        <v/>
      </c>
      <c r="N86" s="19" t="str">
        <f t="shared" si="16"/>
        <v/>
      </c>
      <c r="O86" s="19" t="str">
        <f t="shared" si="23"/>
        <v/>
      </c>
      <c r="P86" s="19" t="str">
        <f t="shared" si="24"/>
        <v/>
      </c>
      <c r="Q86" s="19" t="str">
        <f t="shared" si="25"/>
        <v/>
      </c>
      <c r="R86" s="19" t="str">
        <f t="shared" si="17"/>
        <v/>
      </c>
      <c r="S86" s="27" t="str">
        <f t="shared" si="32"/>
        <v/>
      </c>
      <c r="T86" s="28" t="str">
        <f t="shared" si="33"/>
        <v/>
      </c>
      <c r="U86" s="28" t="str">
        <f t="shared" si="34"/>
        <v/>
      </c>
      <c r="V86" s="28" t="str">
        <f t="shared" si="35"/>
        <v/>
      </c>
      <c r="W86" s="28" t="str">
        <f t="shared" si="36"/>
        <v/>
      </c>
      <c r="X86" s="29" t="str">
        <f t="shared" si="3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1"/>
        <v/>
      </c>
      <c r="M87" s="19" t="str">
        <f t="shared" si="15"/>
        <v/>
      </c>
      <c r="N87" s="19" t="str">
        <f t="shared" si="16"/>
        <v/>
      </c>
      <c r="O87" s="19" t="str">
        <f t="shared" si="23"/>
        <v/>
      </c>
      <c r="P87" s="19" t="str">
        <f t="shared" si="24"/>
        <v/>
      </c>
      <c r="Q87" s="19" t="str">
        <f t="shared" si="25"/>
        <v/>
      </c>
      <c r="R87" s="19" t="str">
        <f t="shared" si="17"/>
        <v/>
      </c>
      <c r="S87" s="27" t="str">
        <f t="shared" si="32"/>
        <v/>
      </c>
      <c r="T87" s="28" t="str">
        <f t="shared" si="33"/>
        <v/>
      </c>
      <c r="U87" s="28" t="str">
        <f t="shared" si="34"/>
        <v/>
      </c>
      <c r="V87" s="28" t="str">
        <f t="shared" si="35"/>
        <v/>
      </c>
      <c r="W87" s="28" t="str">
        <f t="shared" si="36"/>
        <v/>
      </c>
      <c r="X87" s="29" t="str">
        <f t="shared" si="3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1"/>
        <v/>
      </c>
      <c r="M88" s="19" t="str">
        <f t="shared" si="15"/>
        <v/>
      </c>
      <c r="N88" s="19" t="str">
        <f t="shared" si="16"/>
        <v/>
      </c>
      <c r="O88" s="19" t="str">
        <f t="shared" si="23"/>
        <v/>
      </c>
      <c r="P88" s="19" t="str">
        <f t="shared" si="24"/>
        <v/>
      </c>
      <c r="Q88" s="19" t="str">
        <f t="shared" si="25"/>
        <v/>
      </c>
      <c r="R88" s="19" t="str">
        <f t="shared" si="17"/>
        <v/>
      </c>
      <c r="S88" s="27" t="str">
        <f t="shared" si="32"/>
        <v/>
      </c>
      <c r="T88" s="28" t="str">
        <f t="shared" si="33"/>
        <v/>
      </c>
      <c r="U88" s="28" t="str">
        <f t="shared" si="34"/>
        <v/>
      </c>
      <c r="V88" s="28" t="str">
        <f t="shared" si="35"/>
        <v/>
      </c>
      <c r="W88" s="28" t="str">
        <f t="shared" si="36"/>
        <v/>
      </c>
      <c r="X88" s="29" t="str">
        <f t="shared" si="3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1"/>
        <v/>
      </c>
      <c r="M89" s="19" t="str">
        <f t="shared" si="15"/>
        <v/>
      </c>
      <c r="N89" s="19" t="str">
        <f t="shared" si="16"/>
        <v/>
      </c>
      <c r="O89" s="19" t="str">
        <f t="shared" si="23"/>
        <v/>
      </c>
      <c r="P89" s="19" t="str">
        <f t="shared" si="24"/>
        <v/>
      </c>
      <c r="Q89" s="19" t="str">
        <f t="shared" si="25"/>
        <v/>
      </c>
      <c r="R89" s="19" t="str">
        <f t="shared" si="17"/>
        <v/>
      </c>
      <c r="S89" s="27" t="str">
        <f t="shared" si="32"/>
        <v/>
      </c>
      <c r="T89" s="28" t="str">
        <f t="shared" si="33"/>
        <v/>
      </c>
      <c r="U89" s="28" t="str">
        <f t="shared" si="34"/>
        <v/>
      </c>
      <c r="V89" s="28" t="str">
        <f t="shared" si="35"/>
        <v/>
      </c>
      <c r="W89" s="28" t="str">
        <f t="shared" si="36"/>
        <v/>
      </c>
      <c r="X89" s="29" t="str">
        <f t="shared" si="3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1"/>
        <v/>
      </c>
      <c r="M90" s="19" t="str">
        <f t="shared" si="15"/>
        <v/>
      </c>
      <c r="N90" s="19" t="str">
        <f t="shared" si="16"/>
        <v/>
      </c>
      <c r="O90" s="19" t="str">
        <f t="shared" si="23"/>
        <v/>
      </c>
      <c r="P90" s="19" t="str">
        <f t="shared" si="24"/>
        <v/>
      </c>
      <c r="Q90" s="19" t="str">
        <f t="shared" si="25"/>
        <v/>
      </c>
      <c r="R90" s="19" t="str">
        <f t="shared" si="17"/>
        <v/>
      </c>
      <c r="S90" s="27" t="str">
        <f t="shared" si="32"/>
        <v/>
      </c>
      <c r="T90" s="28" t="str">
        <f t="shared" si="33"/>
        <v/>
      </c>
      <c r="U90" s="28" t="str">
        <f t="shared" si="34"/>
        <v/>
      </c>
      <c r="V90" s="28" t="str">
        <f t="shared" si="35"/>
        <v/>
      </c>
      <c r="W90" s="28" t="str">
        <f t="shared" si="36"/>
        <v/>
      </c>
      <c r="X90" s="29" t="str">
        <f t="shared" si="3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1"/>
        <v/>
      </c>
      <c r="M91" s="19" t="str">
        <f t="shared" si="15"/>
        <v/>
      </c>
      <c r="N91" s="19" t="str">
        <f t="shared" si="16"/>
        <v/>
      </c>
      <c r="O91" s="19" t="str">
        <f t="shared" si="23"/>
        <v/>
      </c>
      <c r="P91" s="19" t="str">
        <f t="shared" si="24"/>
        <v/>
      </c>
      <c r="Q91" s="19" t="str">
        <f t="shared" si="25"/>
        <v/>
      </c>
      <c r="R91" s="19" t="str">
        <f t="shared" si="17"/>
        <v/>
      </c>
      <c r="S91" s="27" t="str">
        <f t="shared" si="32"/>
        <v/>
      </c>
      <c r="T91" s="28" t="str">
        <f t="shared" si="33"/>
        <v/>
      </c>
      <c r="U91" s="28" t="str">
        <f t="shared" si="34"/>
        <v/>
      </c>
      <c r="V91" s="28" t="str">
        <f t="shared" si="35"/>
        <v/>
      </c>
      <c r="W91" s="28" t="str">
        <f t="shared" si="36"/>
        <v/>
      </c>
      <c r="X91" s="29" t="str">
        <f t="shared" si="3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1"/>
        <v/>
      </c>
      <c r="M92" s="19" t="str">
        <f t="shared" si="15"/>
        <v/>
      </c>
      <c r="N92" s="19" t="str">
        <f t="shared" si="16"/>
        <v/>
      </c>
      <c r="O92" s="19" t="str">
        <f t="shared" si="23"/>
        <v/>
      </c>
      <c r="P92" s="19" t="str">
        <f t="shared" si="24"/>
        <v/>
      </c>
      <c r="Q92" s="19" t="str">
        <f t="shared" si="25"/>
        <v/>
      </c>
      <c r="R92" s="19" t="str">
        <f t="shared" si="17"/>
        <v/>
      </c>
      <c r="S92" s="27" t="str">
        <f t="shared" si="32"/>
        <v/>
      </c>
      <c r="T92" s="28" t="str">
        <f t="shared" si="33"/>
        <v/>
      </c>
      <c r="U92" s="28" t="str">
        <f t="shared" si="34"/>
        <v/>
      </c>
      <c r="V92" s="28" t="str">
        <f t="shared" si="35"/>
        <v/>
      </c>
      <c r="W92" s="28" t="str">
        <f t="shared" si="36"/>
        <v/>
      </c>
      <c r="X92" s="29" t="str">
        <f t="shared" si="3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1"/>
        <v/>
      </c>
      <c r="M93" s="19" t="str">
        <f t="shared" ref="M93:M153" si="38">IF(ISBLANK(D93),"",((D93-D$28)*1000)+M$27)</f>
        <v/>
      </c>
      <c r="N93" s="19" t="str">
        <f t="shared" ref="N93:N153" si="39">IF(ISBLANK(E93),"",((E93-E$28)*1000)+N$27)</f>
        <v/>
      </c>
      <c r="O93" s="19" t="str">
        <f t="shared" si="23"/>
        <v/>
      </c>
      <c r="P93" s="19" t="str">
        <f t="shared" si="24"/>
        <v/>
      </c>
      <c r="Q93" s="19" t="str">
        <f t="shared" si="25"/>
        <v/>
      </c>
      <c r="R93" s="19" t="str">
        <f t="shared" ref="R93:R153" si="40">IF(ISBLANK(I93),"",((I93-I$28)*1000)+R$27)</f>
        <v/>
      </c>
      <c r="S93" s="27" t="str">
        <f t="shared" si="32"/>
        <v/>
      </c>
      <c r="T93" s="28" t="str">
        <f t="shared" si="33"/>
        <v/>
      </c>
      <c r="U93" s="28" t="str">
        <f t="shared" si="34"/>
        <v/>
      </c>
      <c r="V93" s="28" t="str">
        <f t="shared" si="35"/>
        <v/>
      </c>
      <c r="W93" s="28" t="str">
        <f t="shared" si="36"/>
        <v/>
      </c>
      <c r="X93" s="29" t="str">
        <f t="shared" si="3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1"/>
        <v/>
      </c>
      <c r="M94" s="19" t="str">
        <f t="shared" si="38"/>
        <v/>
      </c>
      <c r="N94" s="19" t="str">
        <f t="shared" si="39"/>
        <v/>
      </c>
      <c r="O94" s="19" t="str">
        <f t="shared" si="23"/>
        <v/>
      </c>
      <c r="P94" s="19" t="str">
        <f t="shared" si="24"/>
        <v/>
      </c>
      <c r="Q94" s="19" t="str">
        <f t="shared" si="25"/>
        <v/>
      </c>
      <c r="R94" s="19" t="str">
        <f t="shared" si="40"/>
        <v/>
      </c>
      <c r="S94" s="27" t="str">
        <f t="shared" si="32"/>
        <v/>
      </c>
      <c r="T94" s="28" t="str">
        <f t="shared" si="33"/>
        <v/>
      </c>
      <c r="U94" s="28" t="str">
        <f t="shared" si="34"/>
        <v/>
      </c>
      <c r="V94" s="28" t="str">
        <f t="shared" si="35"/>
        <v/>
      </c>
      <c r="W94" s="28" t="str">
        <f t="shared" si="36"/>
        <v/>
      </c>
      <c r="X94" s="29" t="str">
        <f t="shared" si="3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1"/>
        <v/>
      </c>
      <c r="M95" s="19" t="str">
        <f t="shared" si="38"/>
        <v/>
      </c>
      <c r="N95" s="19" t="str">
        <f t="shared" si="39"/>
        <v/>
      </c>
      <c r="O95" s="19" t="str">
        <f t="shared" si="23"/>
        <v/>
      </c>
      <c r="P95" s="19" t="str">
        <f t="shared" si="24"/>
        <v/>
      </c>
      <c r="Q95" s="19" t="str">
        <f t="shared" si="25"/>
        <v/>
      </c>
      <c r="R95" s="19" t="str">
        <f t="shared" si="40"/>
        <v/>
      </c>
      <c r="S95" s="27" t="str">
        <f t="shared" si="32"/>
        <v/>
      </c>
      <c r="T95" s="28" t="str">
        <f t="shared" si="33"/>
        <v/>
      </c>
      <c r="U95" s="28" t="str">
        <f t="shared" si="34"/>
        <v/>
      </c>
      <c r="V95" s="28" t="str">
        <f t="shared" si="35"/>
        <v/>
      </c>
      <c r="W95" s="28" t="str">
        <f t="shared" si="36"/>
        <v/>
      </c>
      <c r="X95" s="29" t="str">
        <f t="shared" si="3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1"/>
        <v/>
      </c>
      <c r="M96" s="19" t="str">
        <f t="shared" si="38"/>
        <v/>
      </c>
      <c r="N96" s="19" t="str">
        <f t="shared" si="39"/>
        <v/>
      </c>
      <c r="O96" s="19" t="str">
        <f t="shared" si="23"/>
        <v/>
      </c>
      <c r="P96" s="19" t="str">
        <f t="shared" si="24"/>
        <v/>
      </c>
      <c r="Q96" s="19" t="str">
        <f t="shared" si="25"/>
        <v/>
      </c>
      <c r="R96" s="19" t="str">
        <f t="shared" si="40"/>
        <v/>
      </c>
      <c r="S96" s="27" t="str">
        <f t="shared" si="32"/>
        <v/>
      </c>
      <c r="T96" s="28" t="str">
        <f t="shared" si="33"/>
        <v/>
      </c>
      <c r="U96" s="28" t="str">
        <f t="shared" si="34"/>
        <v/>
      </c>
      <c r="V96" s="28" t="str">
        <f t="shared" si="35"/>
        <v/>
      </c>
      <c r="W96" s="28" t="str">
        <f t="shared" si="36"/>
        <v/>
      </c>
      <c r="X96" s="29" t="str">
        <f t="shared" si="3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1"/>
        <v/>
      </c>
      <c r="M97" s="19" t="str">
        <f t="shared" si="38"/>
        <v/>
      </c>
      <c r="N97" s="19" t="str">
        <f t="shared" si="39"/>
        <v/>
      </c>
      <c r="O97" s="19" t="str">
        <f t="shared" si="23"/>
        <v/>
      </c>
      <c r="P97" s="19" t="str">
        <f t="shared" si="24"/>
        <v/>
      </c>
      <c r="Q97" s="19" t="str">
        <f t="shared" si="25"/>
        <v/>
      </c>
      <c r="R97" s="19" t="str">
        <f t="shared" si="40"/>
        <v/>
      </c>
      <c r="S97" s="27" t="str">
        <f t="shared" si="32"/>
        <v/>
      </c>
      <c r="T97" s="28" t="str">
        <f t="shared" si="33"/>
        <v/>
      </c>
      <c r="U97" s="28" t="str">
        <f t="shared" si="34"/>
        <v/>
      </c>
      <c r="V97" s="28" t="str">
        <f t="shared" si="35"/>
        <v/>
      </c>
      <c r="W97" s="28" t="str">
        <f t="shared" si="36"/>
        <v/>
      </c>
      <c r="X97" s="29" t="str">
        <f t="shared" si="37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1"/>
        <v/>
      </c>
      <c r="M98" s="19" t="str">
        <f t="shared" si="38"/>
        <v/>
      </c>
      <c r="N98" s="19" t="str">
        <f t="shared" si="39"/>
        <v/>
      </c>
      <c r="O98" s="19" t="str">
        <f t="shared" si="23"/>
        <v/>
      </c>
      <c r="P98" s="19" t="str">
        <f t="shared" si="24"/>
        <v/>
      </c>
      <c r="Q98" s="19" t="str">
        <f t="shared" si="25"/>
        <v/>
      </c>
      <c r="R98" s="19" t="str">
        <f t="shared" si="40"/>
        <v/>
      </c>
      <c r="S98" s="27" t="str">
        <f t="shared" si="32"/>
        <v/>
      </c>
      <c r="T98" s="28" t="str">
        <f t="shared" si="33"/>
        <v/>
      </c>
      <c r="U98" s="28" t="str">
        <f t="shared" si="34"/>
        <v/>
      </c>
      <c r="V98" s="28" t="str">
        <f t="shared" si="35"/>
        <v/>
      </c>
      <c r="W98" s="28" t="str">
        <f t="shared" si="36"/>
        <v/>
      </c>
      <c r="X98" s="29" t="str">
        <f t="shared" si="37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1"/>
        <v/>
      </c>
      <c r="M99" s="19" t="str">
        <f t="shared" si="38"/>
        <v/>
      </c>
      <c r="N99" s="19" t="str">
        <f t="shared" si="39"/>
        <v/>
      </c>
      <c r="O99" s="19" t="str">
        <f t="shared" si="23"/>
        <v/>
      </c>
      <c r="P99" s="19" t="str">
        <f t="shared" si="24"/>
        <v/>
      </c>
      <c r="Q99" s="19" t="str">
        <f t="shared" si="25"/>
        <v/>
      </c>
      <c r="R99" s="19" t="str">
        <f t="shared" si="40"/>
        <v/>
      </c>
      <c r="S99" s="27" t="str">
        <f t="shared" si="32"/>
        <v/>
      </c>
      <c r="T99" s="28" t="str">
        <f t="shared" si="33"/>
        <v/>
      </c>
      <c r="U99" s="28" t="str">
        <f t="shared" si="34"/>
        <v/>
      </c>
      <c r="V99" s="28" t="str">
        <f t="shared" si="35"/>
        <v/>
      </c>
      <c r="W99" s="28" t="str">
        <f t="shared" si="36"/>
        <v/>
      </c>
      <c r="X99" s="29" t="str">
        <f t="shared" si="37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1"/>
        <v/>
      </c>
      <c r="M100" s="19" t="str">
        <f t="shared" si="38"/>
        <v/>
      </c>
      <c r="N100" s="19" t="str">
        <f t="shared" si="39"/>
        <v/>
      </c>
      <c r="O100" s="19" t="str">
        <f t="shared" si="23"/>
        <v/>
      </c>
      <c r="P100" s="19" t="str">
        <f t="shared" si="24"/>
        <v/>
      </c>
      <c r="Q100" s="19" t="str">
        <f t="shared" si="25"/>
        <v/>
      </c>
      <c r="R100" s="19" t="str">
        <f t="shared" si="40"/>
        <v/>
      </c>
      <c r="S100" s="27" t="str">
        <f t="shared" si="32"/>
        <v/>
      </c>
      <c r="T100" s="28" t="str">
        <f t="shared" si="33"/>
        <v/>
      </c>
      <c r="U100" s="28" t="str">
        <f t="shared" si="34"/>
        <v/>
      </c>
      <c r="V100" s="28" t="str">
        <f t="shared" si="35"/>
        <v/>
      </c>
      <c r="W100" s="28" t="str">
        <f t="shared" si="36"/>
        <v/>
      </c>
      <c r="X100" s="29" t="str">
        <f t="shared" si="37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1"/>
        <v/>
      </c>
      <c r="M101" s="19" t="str">
        <f t="shared" si="38"/>
        <v/>
      </c>
      <c r="N101" s="19" t="str">
        <f t="shared" si="39"/>
        <v/>
      </c>
      <c r="O101" s="19" t="str">
        <f t="shared" si="23"/>
        <v/>
      </c>
      <c r="P101" s="19" t="str">
        <f t="shared" si="24"/>
        <v/>
      </c>
      <c r="Q101" s="19" t="str">
        <f t="shared" si="25"/>
        <v/>
      </c>
      <c r="R101" s="19" t="str">
        <f t="shared" si="40"/>
        <v/>
      </c>
      <c r="S101" s="27" t="str">
        <f t="shared" si="32"/>
        <v/>
      </c>
      <c r="T101" s="28" t="str">
        <f t="shared" si="33"/>
        <v/>
      </c>
      <c r="U101" s="28" t="str">
        <f t="shared" si="34"/>
        <v/>
      </c>
      <c r="V101" s="28" t="str">
        <f t="shared" si="35"/>
        <v/>
      </c>
      <c r="W101" s="28" t="str">
        <f t="shared" si="36"/>
        <v/>
      </c>
      <c r="X101" s="29" t="str">
        <f t="shared" si="37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1"/>
        <v/>
      </c>
      <c r="M102" s="19" t="str">
        <f t="shared" si="38"/>
        <v/>
      </c>
      <c r="N102" s="19" t="str">
        <f t="shared" si="39"/>
        <v/>
      </c>
      <c r="O102" s="19" t="str">
        <f t="shared" si="23"/>
        <v/>
      </c>
      <c r="P102" s="19" t="str">
        <f t="shared" si="24"/>
        <v/>
      </c>
      <c r="Q102" s="19" t="str">
        <f t="shared" si="25"/>
        <v/>
      </c>
      <c r="R102" s="19" t="str">
        <f t="shared" si="40"/>
        <v/>
      </c>
      <c r="S102" s="27" t="str">
        <f t="shared" si="32"/>
        <v/>
      </c>
      <c r="T102" s="28" t="str">
        <f t="shared" si="33"/>
        <v/>
      </c>
      <c r="U102" s="28" t="str">
        <f t="shared" si="34"/>
        <v/>
      </c>
      <c r="V102" s="28" t="str">
        <f t="shared" si="35"/>
        <v/>
      </c>
      <c r="W102" s="28" t="str">
        <f t="shared" si="36"/>
        <v/>
      </c>
      <c r="X102" s="29" t="str">
        <f t="shared" si="37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1"/>
        <v/>
      </c>
      <c r="M103" s="19" t="str">
        <f t="shared" si="38"/>
        <v/>
      </c>
      <c r="N103" s="19" t="str">
        <f t="shared" si="39"/>
        <v/>
      </c>
      <c r="O103" s="19" t="str">
        <f t="shared" si="23"/>
        <v/>
      </c>
      <c r="P103" s="19" t="str">
        <f t="shared" si="24"/>
        <v/>
      </c>
      <c r="Q103" s="19" t="str">
        <f t="shared" si="25"/>
        <v/>
      </c>
      <c r="R103" s="19" t="str">
        <f t="shared" si="40"/>
        <v/>
      </c>
      <c r="S103" s="27" t="str">
        <f t="shared" si="32"/>
        <v/>
      </c>
      <c r="T103" s="28" t="str">
        <f t="shared" si="33"/>
        <v/>
      </c>
      <c r="U103" s="28" t="str">
        <f t="shared" si="34"/>
        <v/>
      </c>
      <c r="V103" s="28" t="str">
        <f t="shared" si="35"/>
        <v/>
      </c>
      <c r="W103" s="28" t="str">
        <f t="shared" si="36"/>
        <v/>
      </c>
      <c r="X103" s="29" t="str">
        <f t="shared" si="37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1"/>
        <v/>
      </c>
      <c r="M104" s="19" t="str">
        <f t="shared" si="38"/>
        <v/>
      </c>
      <c r="N104" s="19" t="str">
        <f t="shared" si="39"/>
        <v/>
      </c>
      <c r="O104" s="19" t="str">
        <f t="shared" si="23"/>
        <v/>
      </c>
      <c r="P104" s="19" t="str">
        <f t="shared" si="24"/>
        <v/>
      </c>
      <c r="Q104" s="19" t="str">
        <f t="shared" si="25"/>
        <v/>
      </c>
      <c r="R104" s="19" t="str">
        <f t="shared" si="40"/>
        <v/>
      </c>
      <c r="S104" s="27" t="str">
        <f t="shared" si="32"/>
        <v/>
      </c>
      <c r="T104" s="28" t="str">
        <f t="shared" si="33"/>
        <v/>
      </c>
      <c r="U104" s="28" t="str">
        <f t="shared" si="34"/>
        <v/>
      </c>
      <c r="V104" s="28" t="str">
        <f t="shared" si="35"/>
        <v/>
      </c>
      <c r="W104" s="28" t="str">
        <f t="shared" si="36"/>
        <v/>
      </c>
      <c r="X104" s="29" t="str">
        <f t="shared" si="37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1"/>
        <v/>
      </c>
      <c r="M105" s="19" t="str">
        <f t="shared" si="38"/>
        <v/>
      </c>
      <c r="N105" s="19" t="str">
        <f t="shared" si="39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40"/>
        <v/>
      </c>
      <c r="S105" s="27" t="str">
        <f t="shared" si="32"/>
        <v/>
      </c>
      <c r="T105" s="28" t="str">
        <f t="shared" si="33"/>
        <v/>
      </c>
      <c r="U105" s="28" t="str">
        <f t="shared" si="34"/>
        <v/>
      </c>
      <c r="V105" s="28" t="str">
        <f t="shared" si="35"/>
        <v/>
      </c>
      <c r="W105" s="28" t="str">
        <f t="shared" si="36"/>
        <v/>
      </c>
      <c r="X105" s="29" t="str">
        <f t="shared" si="37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1"/>
        <v/>
      </c>
      <c r="M106" s="19" t="str">
        <f t="shared" si="38"/>
        <v/>
      </c>
      <c r="N106" s="19" t="str">
        <f t="shared" si="39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40"/>
        <v/>
      </c>
      <c r="S106" s="27" t="str">
        <f t="shared" si="32"/>
        <v/>
      </c>
      <c r="T106" s="28" t="str">
        <f t="shared" si="33"/>
        <v/>
      </c>
      <c r="U106" s="28" t="str">
        <f t="shared" si="34"/>
        <v/>
      </c>
      <c r="V106" s="28" t="str">
        <f t="shared" si="35"/>
        <v/>
      </c>
      <c r="W106" s="28" t="str">
        <f t="shared" si="36"/>
        <v/>
      </c>
      <c r="X106" s="29" t="str">
        <f t="shared" si="37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1"/>
        <v/>
      </c>
      <c r="M107" s="19" t="str">
        <f t="shared" si="38"/>
        <v/>
      </c>
      <c r="N107" s="19" t="str">
        <f t="shared" si="39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40"/>
        <v/>
      </c>
      <c r="S107" s="27" t="str">
        <f t="shared" si="32"/>
        <v/>
      </c>
      <c r="T107" s="28" t="str">
        <f t="shared" si="33"/>
        <v/>
      </c>
      <c r="U107" s="28" t="str">
        <f t="shared" si="34"/>
        <v/>
      </c>
      <c r="V107" s="28" t="str">
        <f t="shared" si="35"/>
        <v/>
      </c>
      <c r="W107" s="28" t="str">
        <f t="shared" si="36"/>
        <v/>
      </c>
      <c r="X107" s="29" t="str">
        <f t="shared" si="37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1"/>
        <v/>
      </c>
      <c r="M108" s="19" t="str">
        <f t="shared" si="38"/>
        <v/>
      </c>
      <c r="N108" s="19" t="str">
        <f t="shared" si="39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40"/>
        <v/>
      </c>
      <c r="S108" s="27" t="str">
        <f t="shared" si="32"/>
        <v/>
      </c>
      <c r="T108" s="28" t="str">
        <f t="shared" si="33"/>
        <v/>
      </c>
      <c r="U108" s="28" t="str">
        <f t="shared" si="34"/>
        <v/>
      </c>
      <c r="V108" s="28" t="str">
        <f t="shared" si="35"/>
        <v/>
      </c>
      <c r="W108" s="28" t="str">
        <f t="shared" si="36"/>
        <v/>
      </c>
      <c r="X108" s="29" t="str">
        <f t="shared" si="37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1"/>
        <v/>
      </c>
      <c r="M109" s="19" t="str">
        <f t="shared" si="38"/>
        <v/>
      </c>
      <c r="N109" s="19" t="str">
        <f t="shared" si="39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40"/>
        <v/>
      </c>
      <c r="S109" s="27" t="str">
        <f t="shared" si="32"/>
        <v/>
      </c>
      <c r="T109" s="28" t="str">
        <f t="shared" si="33"/>
        <v/>
      </c>
      <c r="U109" s="28" t="str">
        <f t="shared" si="34"/>
        <v/>
      </c>
      <c r="V109" s="28" t="str">
        <f t="shared" si="35"/>
        <v/>
      </c>
      <c r="W109" s="28" t="str">
        <f t="shared" si="36"/>
        <v/>
      </c>
      <c r="X109" s="29" t="str">
        <f t="shared" si="37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1"/>
        <v/>
      </c>
      <c r="M110" s="19" t="str">
        <f t="shared" si="38"/>
        <v/>
      </c>
      <c r="N110" s="19" t="str">
        <f t="shared" si="39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40"/>
        <v/>
      </c>
      <c r="S110" s="27" t="str">
        <f t="shared" si="32"/>
        <v/>
      </c>
      <c r="T110" s="28" t="str">
        <f t="shared" si="33"/>
        <v/>
      </c>
      <c r="U110" s="28" t="str">
        <f t="shared" si="34"/>
        <v/>
      </c>
      <c r="V110" s="28" t="str">
        <f t="shared" si="35"/>
        <v/>
      </c>
      <c r="W110" s="28" t="str">
        <f t="shared" si="36"/>
        <v/>
      </c>
      <c r="X110" s="29" t="str">
        <f t="shared" si="37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1"/>
        <v/>
      </c>
      <c r="M111" s="19" t="str">
        <f t="shared" si="38"/>
        <v/>
      </c>
      <c r="N111" s="19" t="str">
        <f t="shared" si="39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40"/>
        <v/>
      </c>
      <c r="S111" s="27" t="str">
        <f t="shared" si="32"/>
        <v/>
      </c>
      <c r="T111" s="28" t="str">
        <f t="shared" si="33"/>
        <v/>
      </c>
      <c r="U111" s="28" t="str">
        <f t="shared" si="34"/>
        <v/>
      </c>
      <c r="V111" s="28" t="str">
        <f t="shared" si="35"/>
        <v/>
      </c>
      <c r="W111" s="28" t="str">
        <f t="shared" si="36"/>
        <v/>
      </c>
      <c r="X111" s="29" t="str">
        <f t="shared" si="37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1">IF(ISBLANK(C112),"",(C112-C$16)*1000)</f>
        <v/>
      </c>
      <c r="M112" s="19" t="str">
        <f t="shared" si="38"/>
        <v/>
      </c>
      <c r="N112" s="19" t="str">
        <f t="shared" si="39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40"/>
        <v/>
      </c>
      <c r="S112" s="27" t="str">
        <f t="shared" si="32"/>
        <v/>
      </c>
      <c r="T112" s="28" t="str">
        <f t="shared" si="33"/>
        <v/>
      </c>
      <c r="U112" s="28" t="str">
        <f t="shared" si="34"/>
        <v/>
      </c>
      <c r="V112" s="28" t="str">
        <f t="shared" si="35"/>
        <v/>
      </c>
      <c r="W112" s="28" t="str">
        <f t="shared" si="36"/>
        <v/>
      </c>
      <c r="X112" s="29" t="str">
        <f t="shared" si="37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1"/>
        <v/>
      </c>
      <c r="M113" s="19" t="str">
        <f t="shared" si="38"/>
        <v/>
      </c>
      <c r="N113" s="19" t="str">
        <f t="shared" si="39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40"/>
        <v/>
      </c>
      <c r="S113" s="27" t="str">
        <f t="shared" ref="S113:S144" si="42">IF(C113="","",((C113-C112)*1000)/($B113-$B112))</f>
        <v/>
      </c>
      <c r="T113" s="28" t="str">
        <f t="shared" ref="T113:T144" si="43">IF(D113="","",((D113-D112)*1000)/($B113-$B112))</f>
        <v/>
      </c>
      <c r="U113" s="28" t="str">
        <f t="shared" ref="U113:U144" si="44">IF(E113="","",((E113-E112)*1000)/($B113-$B112))</f>
        <v/>
      </c>
      <c r="V113" s="28" t="str">
        <f t="shared" ref="V113:V144" si="45">IF(F113="","",((F113-F112)*1000)/($B113-$B112))</f>
        <v/>
      </c>
      <c r="W113" s="28" t="str">
        <f t="shared" ref="W113:W144" si="46">IF(G113="","",((G113-G112)*1000)/($B113-$B112))</f>
        <v/>
      </c>
      <c r="X113" s="29" t="str">
        <f t="shared" ref="X113:X144" si="47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1"/>
        <v/>
      </c>
      <c r="M114" s="19" t="str">
        <f t="shared" si="38"/>
        <v/>
      </c>
      <c r="N114" s="19" t="str">
        <f t="shared" si="39"/>
        <v/>
      </c>
      <c r="O114" s="19" t="str">
        <f t="shared" ref="O114:O153" si="48">IF(ISBLANK(F114),"",((F114-F$49)*1000)+L$49)</f>
        <v/>
      </c>
      <c r="P114" s="19" t="str">
        <f t="shared" ref="P114:P153" si="49">IF(ISBLANK(G114),"",((G114-G$49)*1000)+M$49)</f>
        <v/>
      </c>
      <c r="Q114" s="19" t="str">
        <f t="shared" ref="Q114:Q153" si="50">IF(ISBLANK(H114),"",((H114-H$49)*1000)+N$49)</f>
        <v/>
      </c>
      <c r="R114" s="19" t="str">
        <f t="shared" si="40"/>
        <v/>
      </c>
      <c r="S114" s="27" t="str">
        <f t="shared" si="42"/>
        <v/>
      </c>
      <c r="T114" s="28" t="str">
        <f t="shared" si="43"/>
        <v/>
      </c>
      <c r="U114" s="28" t="str">
        <f t="shared" si="44"/>
        <v/>
      </c>
      <c r="V114" s="28" t="str">
        <f t="shared" si="45"/>
        <v/>
      </c>
      <c r="W114" s="28" t="str">
        <f t="shared" si="46"/>
        <v/>
      </c>
      <c r="X114" s="29" t="str">
        <f t="shared" si="4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1"/>
        <v/>
      </c>
      <c r="M115" s="19" t="str">
        <f t="shared" si="38"/>
        <v/>
      </c>
      <c r="N115" s="19" t="str">
        <f t="shared" si="39"/>
        <v/>
      </c>
      <c r="O115" s="19" t="str">
        <f t="shared" si="48"/>
        <v/>
      </c>
      <c r="P115" s="19" t="str">
        <f t="shared" si="49"/>
        <v/>
      </c>
      <c r="Q115" s="19" t="str">
        <f t="shared" si="50"/>
        <v/>
      </c>
      <c r="R115" s="19" t="str">
        <f t="shared" si="40"/>
        <v/>
      </c>
      <c r="S115" s="27" t="str">
        <f t="shared" si="42"/>
        <v/>
      </c>
      <c r="T115" s="28" t="str">
        <f t="shared" si="43"/>
        <v/>
      </c>
      <c r="U115" s="28" t="str">
        <f t="shared" si="44"/>
        <v/>
      </c>
      <c r="V115" s="28" t="str">
        <f t="shared" si="45"/>
        <v/>
      </c>
      <c r="W115" s="28" t="str">
        <f t="shared" si="46"/>
        <v/>
      </c>
      <c r="X115" s="29" t="str">
        <f t="shared" si="4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1"/>
        <v/>
      </c>
      <c r="M116" s="19" t="str">
        <f t="shared" si="38"/>
        <v/>
      </c>
      <c r="N116" s="19" t="str">
        <f t="shared" si="39"/>
        <v/>
      </c>
      <c r="O116" s="19" t="str">
        <f t="shared" si="48"/>
        <v/>
      </c>
      <c r="P116" s="19" t="str">
        <f t="shared" si="49"/>
        <v/>
      </c>
      <c r="Q116" s="19" t="str">
        <f t="shared" si="50"/>
        <v/>
      </c>
      <c r="R116" s="19" t="str">
        <f t="shared" si="40"/>
        <v/>
      </c>
      <c r="S116" s="27" t="str">
        <f t="shared" si="42"/>
        <v/>
      </c>
      <c r="T116" s="28" t="str">
        <f t="shared" si="43"/>
        <v/>
      </c>
      <c r="U116" s="28" t="str">
        <f t="shared" si="44"/>
        <v/>
      </c>
      <c r="V116" s="28" t="str">
        <f t="shared" si="45"/>
        <v/>
      </c>
      <c r="W116" s="28" t="str">
        <f t="shared" si="46"/>
        <v/>
      </c>
      <c r="X116" s="29" t="str">
        <f t="shared" si="4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1"/>
        <v/>
      </c>
      <c r="M117" s="19" t="str">
        <f t="shared" si="38"/>
        <v/>
      </c>
      <c r="N117" s="19" t="str">
        <f t="shared" si="39"/>
        <v/>
      </c>
      <c r="O117" s="19" t="str">
        <f t="shared" si="48"/>
        <v/>
      </c>
      <c r="P117" s="19" t="str">
        <f t="shared" si="49"/>
        <v/>
      </c>
      <c r="Q117" s="19" t="str">
        <f t="shared" si="50"/>
        <v/>
      </c>
      <c r="R117" s="19" t="str">
        <f t="shared" si="40"/>
        <v/>
      </c>
      <c r="S117" s="27" t="str">
        <f t="shared" si="42"/>
        <v/>
      </c>
      <c r="T117" s="28" t="str">
        <f t="shared" si="43"/>
        <v/>
      </c>
      <c r="U117" s="28" t="str">
        <f t="shared" si="44"/>
        <v/>
      </c>
      <c r="V117" s="28" t="str">
        <f t="shared" si="45"/>
        <v/>
      </c>
      <c r="W117" s="28" t="str">
        <f t="shared" si="46"/>
        <v/>
      </c>
      <c r="X117" s="29" t="str">
        <f t="shared" si="4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1"/>
        <v/>
      </c>
      <c r="M118" s="19" t="str">
        <f t="shared" si="38"/>
        <v/>
      </c>
      <c r="N118" s="19" t="str">
        <f t="shared" si="39"/>
        <v/>
      </c>
      <c r="O118" s="19" t="str">
        <f t="shared" si="48"/>
        <v/>
      </c>
      <c r="P118" s="19" t="str">
        <f t="shared" si="49"/>
        <v/>
      </c>
      <c r="Q118" s="19" t="str">
        <f t="shared" si="50"/>
        <v/>
      </c>
      <c r="R118" s="19" t="str">
        <f t="shared" si="40"/>
        <v/>
      </c>
      <c r="S118" s="27" t="str">
        <f t="shared" si="42"/>
        <v/>
      </c>
      <c r="T118" s="28" t="str">
        <f t="shared" si="43"/>
        <v/>
      </c>
      <c r="U118" s="28" t="str">
        <f t="shared" si="44"/>
        <v/>
      </c>
      <c r="V118" s="28" t="str">
        <f t="shared" si="45"/>
        <v/>
      </c>
      <c r="W118" s="28" t="str">
        <f t="shared" si="46"/>
        <v/>
      </c>
      <c r="X118" s="29" t="str">
        <f t="shared" si="4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1"/>
        <v/>
      </c>
      <c r="M119" s="19" t="str">
        <f t="shared" si="38"/>
        <v/>
      </c>
      <c r="N119" s="19" t="str">
        <f t="shared" si="39"/>
        <v/>
      </c>
      <c r="O119" s="19" t="str">
        <f t="shared" si="48"/>
        <v/>
      </c>
      <c r="P119" s="19" t="str">
        <f t="shared" si="49"/>
        <v/>
      </c>
      <c r="Q119" s="19" t="str">
        <f t="shared" si="50"/>
        <v/>
      </c>
      <c r="R119" s="19" t="str">
        <f t="shared" si="40"/>
        <v/>
      </c>
      <c r="S119" s="27" t="str">
        <f t="shared" si="42"/>
        <v/>
      </c>
      <c r="T119" s="28" t="str">
        <f t="shared" si="43"/>
        <v/>
      </c>
      <c r="U119" s="28" t="str">
        <f t="shared" si="44"/>
        <v/>
      </c>
      <c r="V119" s="28" t="str">
        <f t="shared" si="45"/>
        <v/>
      </c>
      <c r="W119" s="28" t="str">
        <f t="shared" si="46"/>
        <v/>
      </c>
      <c r="X119" s="29" t="str">
        <f t="shared" si="4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1"/>
        <v/>
      </c>
      <c r="M120" s="19" t="str">
        <f t="shared" si="38"/>
        <v/>
      </c>
      <c r="N120" s="19" t="str">
        <f t="shared" si="39"/>
        <v/>
      </c>
      <c r="O120" s="19" t="str">
        <f t="shared" si="48"/>
        <v/>
      </c>
      <c r="P120" s="19" t="str">
        <f t="shared" si="49"/>
        <v/>
      </c>
      <c r="Q120" s="19" t="str">
        <f t="shared" si="50"/>
        <v/>
      </c>
      <c r="R120" s="19" t="str">
        <f t="shared" si="40"/>
        <v/>
      </c>
      <c r="S120" s="27" t="str">
        <f t="shared" si="42"/>
        <v/>
      </c>
      <c r="T120" s="28" t="str">
        <f t="shared" si="43"/>
        <v/>
      </c>
      <c r="U120" s="28" t="str">
        <f t="shared" si="44"/>
        <v/>
      </c>
      <c r="V120" s="28" t="str">
        <f t="shared" si="45"/>
        <v/>
      </c>
      <c r="W120" s="28" t="str">
        <f t="shared" si="46"/>
        <v/>
      </c>
      <c r="X120" s="29" t="str">
        <f t="shared" si="4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1"/>
        <v/>
      </c>
      <c r="M121" s="19" t="str">
        <f t="shared" si="38"/>
        <v/>
      </c>
      <c r="N121" s="19" t="str">
        <f t="shared" si="39"/>
        <v/>
      </c>
      <c r="O121" s="19" t="str">
        <f t="shared" si="48"/>
        <v/>
      </c>
      <c r="P121" s="19" t="str">
        <f t="shared" si="49"/>
        <v/>
      </c>
      <c r="Q121" s="19" t="str">
        <f t="shared" si="50"/>
        <v/>
      </c>
      <c r="R121" s="19" t="str">
        <f t="shared" si="40"/>
        <v/>
      </c>
      <c r="S121" s="27" t="str">
        <f t="shared" si="42"/>
        <v/>
      </c>
      <c r="T121" s="28" t="str">
        <f t="shared" si="43"/>
        <v/>
      </c>
      <c r="U121" s="28" t="str">
        <f t="shared" si="44"/>
        <v/>
      </c>
      <c r="V121" s="28" t="str">
        <f t="shared" si="45"/>
        <v/>
      </c>
      <c r="W121" s="28" t="str">
        <f t="shared" si="46"/>
        <v/>
      </c>
      <c r="X121" s="29" t="str">
        <f t="shared" si="4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1"/>
        <v/>
      </c>
      <c r="M122" s="19" t="str">
        <f t="shared" si="38"/>
        <v/>
      </c>
      <c r="N122" s="19" t="str">
        <f t="shared" si="39"/>
        <v/>
      </c>
      <c r="O122" s="19" t="str">
        <f t="shared" si="48"/>
        <v/>
      </c>
      <c r="P122" s="19" t="str">
        <f t="shared" si="49"/>
        <v/>
      </c>
      <c r="Q122" s="19" t="str">
        <f t="shared" si="50"/>
        <v/>
      </c>
      <c r="R122" s="19" t="str">
        <f t="shared" si="40"/>
        <v/>
      </c>
      <c r="S122" s="27" t="str">
        <f t="shared" si="42"/>
        <v/>
      </c>
      <c r="T122" s="28" t="str">
        <f t="shared" si="43"/>
        <v/>
      </c>
      <c r="U122" s="28" t="str">
        <f t="shared" si="44"/>
        <v/>
      </c>
      <c r="V122" s="28" t="str">
        <f t="shared" si="45"/>
        <v/>
      </c>
      <c r="W122" s="28" t="str">
        <f t="shared" si="46"/>
        <v/>
      </c>
      <c r="X122" s="29" t="str">
        <f t="shared" si="4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1"/>
        <v/>
      </c>
      <c r="M123" s="19" t="str">
        <f t="shared" si="38"/>
        <v/>
      </c>
      <c r="N123" s="19" t="str">
        <f t="shared" si="39"/>
        <v/>
      </c>
      <c r="O123" s="19" t="str">
        <f t="shared" si="48"/>
        <v/>
      </c>
      <c r="P123" s="19" t="str">
        <f t="shared" si="49"/>
        <v/>
      </c>
      <c r="Q123" s="19" t="str">
        <f t="shared" si="50"/>
        <v/>
      </c>
      <c r="R123" s="19" t="str">
        <f t="shared" si="40"/>
        <v/>
      </c>
      <c r="S123" s="27" t="str">
        <f t="shared" si="42"/>
        <v/>
      </c>
      <c r="T123" s="28" t="str">
        <f t="shared" si="43"/>
        <v/>
      </c>
      <c r="U123" s="28" t="str">
        <f t="shared" si="44"/>
        <v/>
      </c>
      <c r="V123" s="28" t="str">
        <f t="shared" si="45"/>
        <v/>
      </c>
      <c r="W123" s="28" t="str">
        <f t="shared" si="46"/>
        <v/>
      </c>
      <c r="X123" s="29" t="str">
        <f t="shared" si="4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1"/>
        <v/>
      </c>
      <c r="M124" s="19" t="str">
        <f t="shared" si="38"/>
        <v/>
      </c>
      <c r="N124" s="19" t="str">
        <f t="shared" si="39"/>
        <v/>
      </c>
      <c r="O124" s="19" t="str">
        <f t="shared" si="48"/>
        <v/>
      </c>
      <c r="P124" s="19" t="str">
        <f t="shared" si="49"/>
        <v/>
      </c>
      <c r="Q124" s="19" t="str">
        <f t="shared" si="50"/>
        <v/>
      </c>
      <c r="R124" s="19" t="str">
        <f t="shared" si="40"/>
        <v/>
      </c>
      <c r="S124" s="27" t="str">
        <f t="shared" si="42"/>
        <v/>
      </c>
      <c r="T124" s="28" t="str">
        <f t="shared" si="43"/>
        <v/>
      </c>
      <c r="U124" s="28" t="str">
        <f t="shared" si="44"/>
        <v/>
      </c>
      <c r="V124" s="28" t="str">
        <f t="shared" si="45"/>
        <v/>
      </c>
      <c r="W124" s="28" t="str">
        <f t="shared" si="46"/>
        <v/>
      </c>
      <c r="X124" s="29" t="str">
        <f t="shared" si="4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1"/>
        <v/>
      </c>
      <c r="M125" s="19" t="str">
        <f t="shared" si="38"/>
        <v/>
      </c>
      <c r="N125" s="19" t="str">
        <f t="shared" si="39"/>
        <v/>
      </c>
      <c r="O125" s="19" t="str">
        <f t="shared" si="48"/>
        <v/>
      </c>
      <c r="P125" s="19" t="str">
        <f t="shared" si="49"/>
        <v/>
      </c>
      <c r="Q125" s="19" t="str">
        <f t="shared" si="50"/>
        <v/>
      </c>
      <c r="R125" s="19" t="str">
        <f t="shared" si="40"/>
        <v/>
      </c>
      <c r="S125" s="27" t="str">
        <f t="shared" si="42"/>
        <v/>
      </c>
      <c r="T125" s="28" t="str">
        <f t="shared" si="43"/>
        <v/>
      </c>
      <c r="U125" s="28" t="str">
        <f t="shared" si="44"/>
        <v/>
      </c>
      <c r="V125" s="28" t="str">
        <f t="shared" si="45"/>
        <v/>
      </c>
      <c r="W125" s="28" t="str">
        <f t="shared" si="46"/>
        <v/>
      </c>
      <c r="X125" s="29" t="str">
        <f t="shared" si="4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1"/>
        <v/>
      </c>
      <c r="M126" s="19" t="str">
        <f t="shared" si="38"/>
        <v/>
      </c>
      <c r="N126" s="19" t="str">
        <f t="shared" si="39"/>
        <v/>
      </c>
      <c r="O126" s="19" t="str">
        <f t="shared" si="48"/>
        <v/>
      </c>
      <c r="P126" s="19" t="str">
        <f t="shared" si="49"/>
        <v/>
      </c>
      <c r="Q126" s="19" t="str">
        <f t="shared" si="50"/>
        <v/>
      </c>
      <c r="R126" s="19" t="str">
        <f t="shared" si="40"/>
        <v/>
      </c>
      <c r="S126" s="27" t="str">
        <f t="shared" si="42"/>
        <v/>
      </c>
      <c r="T126" s="28" t="str">
        <f t="shared" si="43"/>
        <v/>
      </c>
      <c r="U126" s="28" t="str">
        <f t="shared" si="44"/>
        <v/>
      </c>
      <c r="V126" s="28" t="str">
        <f t="shared" si="45"/>
        <v/>
      </c>
      <c r="W126" s="28" t="str">
        <f t="shared" si="46"/>
        <v/>
      </c>
      <c r="X126" s="29" t="str">
        <f t="shared" si="4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1"/>
        <v/>
      </c>
      <c r="M127" s="19" t="str">
        <f t="shared" si="38"/>
        <v/>
      </c>
      <c r="N127" s="19" t="str">
        <f t="shared" si="39"/>
        <v/>
      </c>
      <c r="O127" s="19" t="str">
        <f t="shared" si="48"/>
        <v/>
      </c>
      <c r="P127" s="19" t="str">
        <f t="shared" si="49"/>
        <v/>
      </c>
      <c r="Q127" s="19" t="str">
        <f t="shared" si="50"/>
        <v/>
      </c>
      <c r="R127" s="19" t="str">
        <f t="shared" si="40"/>
        <v/>
      </c>
      <c r="S127" s="27" t="str">
        <f t="shared" si="42"/>
        <v/>
      </c>
      <c r="T127" s="28" t="str">
        <f t="shared" si="43"/>
        <v/>
      </c>
      <c r="U127" s="28" t="str">
        <f t="shared" si="44"/>
        <v/>
      </c>
      <c r="V127" s="28" t="str">
        <f t="shared" si="45"/>
        <v/>
      </c>
      <c r="W127" s="28" t="str">
        <f t="shared" si="46"/>
        <v/>
      </c>
      <c r="X127" s="29" t="str">
        <f t="shared" si="4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1"/>
        <v/>
      </c>
      <c r="M128" s="19" t="str">
        <f t="shared" si="38"/>
        <v/>
      </c>
      <c r="N128" s="19" t="str">
        <f t="shared" si="39"/>
        <v/>
      </c>
      <c r="O128" s="19" t="str">
        <f t="shared" si="48"/>
        <v/>
      </c>
      <c r="P128" s="19" t="str">
        <f t="shared" si="49"/>
        <v/>
      </c>
      <c r="Q128" s="19" t="str">
        <f t="shared" si="50"/>
        <v/>
      </c>
      <c r="R128" s="19" t="str">
        <f t="shared" si="40"/>
        <v/>
      </c>
      <c r="S128" s="27" t="str">
        <f t="shared" si="42"/>
        <v/>
      </c>
      <c r="T128" s="28" t="str">
        <f t="shared" si="43"/>
        <v/>
      </c>
      <c r="U128" s="28" t="str">
        <f t="shared" si="44"/>
        <v/>
      </c>
      <c r="V128" s="28" t="str">
        <f t="shared" si="45"/>
        <v/>
      </c>
      <c r="W128" s="28" t="str">
        <f t="shared" si="46"/>
        <v/>
      </c>
      <c r="X128" s="29" t="str">
        <f t="shared" si="4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1"/>
        <v/>
      </c>
      <c r="M129" s="19" t="str">
        <f t="shared" si="38"/>
        <v/>
      </c>
      <c r="N129" s="19" t="str">
        <f t="shared" si="39"/>
        <v/>
      </c>
      <c r="O129" s="19" t="str">
        <f t="shared" si="48"/>
        <v/>
      </c>
      <c r="P129" s="19" t="str">
        <f t="shared" si="49"/>
        <v/>
      </c>
      <c r="Q129" s="19" t="str">
        <f t="shared" si="50"/>
        <v/>
      </c>
      <c r="R129" s="19" t="str">
        <f t="shared" si="40"/>
        <v/>
      </c>
      <c r="S129" s="27" t="str">
        <f t="shared" si="42"/>
        <v/>
      </c>
      <c r="T129" s="28" t="str">
        <f t="shared" si="43"/>
        <v/>
      </c>
      <c r="U129" s="28" t="str">
        <f t="shared" si="44"/>
        <v/>
      </c>
      <c r="V129" s="28" t="str">
        <f t="shared" si="45"/>
        <v/>
      </c>
      <c r="W129" s="28" t="str">
        <f t="shared" si="46"/>
        <v/>
      </c>
      <c r="X129" s="29" t="str">
        <f t="shared" si="4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1"/>
        <v/>
      </c>
      <c r="M130" s="19" t="str">
        <f t="shared" si="38"/>
        <v/>
      </c>
      <c r="N130" s="19" t="str">
        <f t="shared" si="39"/>
        <v/>
      </c>
      <c r="O130" s="19" t="str">
        <f t="shared" si="48"/>
        <v/>
      </c>
      <c r="P130" s="19" t="str">
        <f t="shared" si="49"/>
        <v/>
      </c>
      <c r="Q130" s="19" t="str">
        <f t="shared" si="50"/>
        <v/>
      </c>
      <c r="R130" s="19" t="str">
        <f t="shared" si="40"/>
        <v/>
      </c>
      <c r="S130" s="27" t="str">
        <f t="shared" si="42"/>
        <v/>
      </c>
      <c r="T130" s="28" t="str">
        <f t="shared" si="43"/>
        <v/>
      </c>
      <c r="U130" s="28" t="str">
        <f t="shared" si="44"/>
        <v/>
      </c>
      <c r="V130" s="28" t="str">
        <f t="shared" si="45"/>
        <v/>
      </c>
      <c r="W130" s="28" t="str">
        <f t="shared" si="46"/>
        <v/>
      </c>
      <c r="X130" s="29" t="str">
        <f t="shared" si="4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1"/>
        <v/>
      </c>
      <c r="M131" s="19" t="str">
        <f t="shared" si="38"/>
        <v/>
      </c>
      <c r="N131" s="19" t="str">
        <f t="shared" si="39"/>
        <v/>
      </c>
      <c r="O131" s="19" t="str">
        <f t="shared" si="48"/>
        <v/>
      </c>
      <c r="P131" s="19" t="str">
        <f t="shared" si="49"/>
        <v/>
      </c>
      <c r="Q131" s="19" t="str">
        <f t="shared" si="50"/>
        <v/>
      </c>
      <c r="R131" s="19" t="str">
        <f t="shared" si="40"/>
        <v/>
      </c>
      <c r="S131" s="27" t="str">
        <f t="shared" si="42"/>
        <v/>
      </c>
      <c r="T131" s="28" t="str">
        <f t="shared" si="43"/>
        <v/>
      </c>
      <c r="U131" s="28" t="str">
        <f t="shared" si="44"/>
        <v/>
      </c>
      <c r="V131" s="28" t="str">
        <f t="shared" si="45"/>
        <v/>
      </c>
      <c r="W131" s="28" t="str">
        <f t="shared" si="46"/>
        <v/>
      </c>
      <c r="X131" s="29" t="str">
        <f t="shared" si="4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1"/>
        <v/>
      </c>
      <c r="M132" s="19" t="str">
        <f t="shared" si="38"/>
        <v/>
      </c>
      <c r="N132" s="19" t="str">
        <f t="shared" si="39"/>
        <v/>
      </c>
      <c r="O132" s="19" t="str">
        <f t="shared" si="48"/>
        <v/>
      </c>
      <c r="P132" s="19" t="str">
        <f t="shared" si="49"/>
        <v/>
      </c>
      <c r="Q132" s="19" t="str">
        <f t="shared" si="50"/>
        <v/>
      </c>
      <c r="R132" s="19" t="str">
        <f t="shared" si="40"/>
        <v/>
      </c>
      <c r="S132" s="27" t="str">
        <f t="shared" si="42"/>
        <v/>
      </c>
      <c r="T132" s="28" t="str">
        <f t="shared" si="43"/>
        <v/>
      </c>
      <c r="U132" s="28" t="str">
        <f t="shared" si="44"/>
        <v/>
      </c>
      <c r="V132" s="28" t="str">
        <f t="shared" si="45"/>
        <v/>
      </c>
      <c r="W132" s="28" t="str">
        <f t="shared" si="46"/>
        <v/>
      </c>
      <c r="X132" s="29" t="str">
        <f t="shared" si="4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1"/>
        <v/>
      </c>
      <c r="M133" s="19" t="str">
        <f t="shared" si="38"/>
        <v/>
      </c>
      <c r="N133" s="19" t="str">
        <f t="shared" si="39"/>
        <v/>
      </c>
      <c r="O133" s="19" t="str">
        <f t="shared" si="48"/>
        <v/>
      </c>
      <c r="P133" s="19" t="str">
        <f t="shared" si="49"/>
        <v/>
      </c>
      <c r="Q133" s="19" t="str">
        <f t="shared" si="50"/>
        <v/>
      </c>
      <c r="R133" s="19" t="str">
        <f t="shared" si="40"/>
        <v/>
      </c>
      <c r="S133" s="27" t="str">
        <f t="shared" si="42"/>
        <v/>
      </c>
      <c r="T133" s="28" t="str">
        <f t="shared" si="43"/>
        <v/>
      </c>
      <c r="U133" s="28" t="str">
        <f t="shared" si="44"/>
        <v/>
      </c>
      <c r="V133" s="28" t="str">
        <f t="shared" si="45"/>
        <v/>
      </c>
      <c r="W133" s="28" t="str">
        <f t="shared" si="46"/>
        <v/>
      </c>
      <c r="X133" s="29" t="str">
        <f t="shared" si="4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1"/>
        <v/>
      </c>
      <c r="M134" s="19" t="str">
        <f t="shared" si="38"/>
        <v/>
      </c>
      <c r="N134" s="19" t="str">
        <f t="shared" si="39"/>
        <v/>
      </c>
      <c r="O134" s="19" t="str">
        <f t="shared" si="48"/>
        <v/>
      </c>
      <c r="P134" s="19" t="str">
        <f t="shared" si="49"/>
        <v/>
      </c>
      <c r="Q134" s="19" t="str">
        <f t="shared" si="50"/>
        <v/>
      </c>
      <c r="R134" s="19" t="str">
        <f t="shared" si="40"/>
        <v/>
      </c>
      <c r="S134" s="27" t="str">
        <f t="shared" si="42"/>
        <v/>
      </c>
      <c r="T134" s="28" t="str">
        <f t="shared" si="43"/>
        <v/>
      </c>
      <c r="U134" s="28" t="str">
        <f t="shared" si="44"/>
        <v/>
      </c>
      <c r="V134" s="28" t="str">
        <f t="shared" si="45"/>
        <v/>
      </c>
      <c r="W134" s="28" t="str">
        <f t="shared" si="46"/>
        <v/>
      </c>
      <c r="X134" s="29" t="str">
        <f t="shared" si="4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1"/>
        <v/>
      </c>
      <c r="M135" s="19" t="str">
        <f t="shared" si="38"/>
        <v/>
      </c>
      <c r="N135" s="19" t="str">
        <f t="shared" si="39"/>
        <v/>
      </c>
      <c r="O135" s="19" t="str">
        <f t="shared" si="48"/>
        <v/>
      </c>
      <c r="P135" s="19" t="str">
        <f t="shared" si="49"/>
        <v/>
      </c>
      <c r="Q135" s="19" t="str">
        <f t="shared" si="50"/>
        <v/>
      </c>
      <c r="R135" s="19" t="str">
        <f t="shared" si="40"/>
        <v/>
      </c>
      <c r="S135" s="27" t="str">
        <f t="shared" si="42"/>
        <v/>
      </c>
      <c r="T135" s="28" t="str">
        <f t="shared" si="43"/>
        <v/>
      </c>
      <c r="U135" s="28" t="str">
        <f t="shared" si="44"/>
        <v/>
      </c>
      <c r="V135" s="28" t="str">
        <f t="shared" si="45"/>
        <v/>
      </c>
      <c r="W135" s="28" t="str">
        <f t="shared" si="46"/>
        <v/>
      </c>
      <c r="X135" s="29" t="str">
        <f t="shared" si="4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1"/>
        <v/>
      </c>
      <c r="M136" s="19" t="str">
        <f t="shared" si="38"/>
        <v/>
      </c>
      <c r="N136" s="19" t="str">
        <f t="shared" si="39"/>
        <v/>
      </c>
      <c r="O136" s="19" t="str">
        <f t="shared" si="48"/>
        <v/>
      </c>
      <c r="P136" s="19" t="str">
        <f t="shared" si="49"/>
        <v/>
      </c>
      <c r="Q136" s="19" t="str">
        <f t="shared" si="50"/>
        <v/>
      </c>
      <c r="R136" s="19" t="str">
        <f t="shared" si="40"/>
        <v/>
      </c>
      <c r="S136" s="27" t="str">
        <f t="shared" si="42"/>
        <v/>
      </c>
      <c r="T136" s="28" t="str">
        <f t="shared" si="43"/>
        <v/>
      </c>
      <c r="U136" s="28" t="str">
        <f t="shared" si="44"/>
        <v/>
      </c>
      <c r="V136" s="28" t="str">
        <f t="shared" si="45"/>
        <v/>
      </c>
      <c r="W136" s="28" t="str">
        <f t="shared" si="46"/>
        <v/>
      </c>
      <c r="X136" s="29" t="str">
        <f t="shared" si="4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1"/>
        <v/>
      </c>
      <c r="M137" s="19" t="str">
        <f t="shared" si="38"/>
        <v/>
      </c>
      <c r="N137" s="19" t="str">
        <f t="shared" si="39"/>
        <v/>
      </c>
      <c r="O137" s="19" t="str">
        <f t="shared" si="48"/>
        <v/>
      </c>
      <c r="P137" s="19" t="str">
        <f t="shared" si="49"/>
        <v/>
      </c>
      <c r="Q137" s="19" t="str">
        <f t="shared" si="50"/>
        <v/>
      </c>
      <c r="R137" s="19" t="str">
        <f t="shared" si="40"/>
        <v/>
      </c>
      <c r="S137" s="27" t="str">
        <f t="shared" si="42"/>
        <v/>
      </c>
      <c r="T137" s="28" t="str">
        <f t="shared" si="43"/>
        <v/>
      </c>
      <c r="U137" s="28" t="str">
        <f t="shared" si="44"/>
        <v/>
      </c>
      <c r="V137" s="28" t="str">
        <f t="shared" si="45"/>
        <v/>
      </c>
      <c r="W137" s="28" t="str">
        <f t="shared" si="46"/>
        <v/>
      </c>
      <c r="X137" s="29" t="str">
        <f t="shared" si="4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1"/>
        <v/>
      </c>
      <c r="M138" s="19" t="str">
        <f t="shared" si="38"/>
        <v/>
      </c>
      <c r="N138" s="19" t="str">
        <f t="shared" si="39"/>
        <v/>
      </c>
      <c r="O138" s="19" t="str">
        <f t="shared" si="48"/>
        <v/>
      </c>
      <c r="P138" s="19" t="str">
        <f t="shared" si="49"/>
        <v/>
      </c>
      <c r="Q138" s="19" t="str">
        <f t="shared" si="50"/>
        <v/>
      </c>
      <c r="R138" s="19" t="str">
        <f t="shared" si="40"/>
        <v/>
      </c>
      <c r="S138" s="27" t="str">
        <f t="shared" si="42"/>
        <v/>
      </c>
      <c r="T138" s="28" t="str">
        <f t="shared" si="43"/>
        <v/>
      </c>
      <c r="U138" s="28" t="str">
        <f t="shared" si="44"/>
        <v/>
      </c>
      <c r="V138" s="28" t="str">
        <f t="shared" si="45"/>
        <v/>
      </c>
      <c r="W138" s="28" t="str">
        <f t="shared" si="46"/>
        <v/>
      </c>
      <c r="X138" s="29" t="str">
        <f t="shared" si="4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1"/>
        <v/>
      </c>
      <c r="M139" s="19" t="str">
        <f t="shared" si="38"/>
        <v/>
      </c>
      <c r="N139" s="19" t="str">
        <f t="shared" si="39"/>
        <v/>
      </c>
      <c r="O139" s="19" t="str">
        <f t="shared" si="48"/>
        <v/>
      </c>
      <c r="P139" s="19" t="str">
        <f t="shared" si="49"/>
        <v/>
      </c>
      <c r="Q139" s="19" t="str">
        <f t="shared" si="50"/>
        <v/>
      </c>
      <c r="R139" s="19" t="str">
        <f t="shared" si="40"/>
        <v/>
      </c>
      <c r="S139" s="27" t="str">
        <f t="shared" si="42"/>
        <v/>
      </c>
      <c r="T139" s="28" t="str">
        <f t="shared" si="43"/>
        <v/>
      </c>
      <c r="U139" s="28" t="str">
        <f t="shared" si="44"/>
        <v/>
      </c>
      <c r="V139" s="28" t="str">
        <f t="shared" si="45"/>
        <v/>
      </c>
      <c r="W139" s="28" t="str">
        <f t="shared" si="46"/>
        <v/>
      </c>
      <c r="X139" s="29" t="str">
        <f t="shared" si="4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1"/>
        <v/>
      </c>
      <c r="M140" s="19" t="str">
        <f t="shared" si="38"/>
        <v/>
      </c>
      <c r="N140" s="19" t="str">
        <f t="shared" si="39"/>
        <v/>
      </c>
      <c r="O140" s="19" t="str">
        <f t="shared" si="48"/>
        <v/>
      </c>
      <c r="P140" s="19" t="str">
        <f t="shared" si="49"/>
        <v/>
      </c>
      <c r="Q140" s="19" t="str">
        <f t="shared" si="50"/>
        <v/>
      </c>
      <c r="R140" s="19" t="str">
        <f t="shared" si="40"/>
        <v/>
      </c>
      <c r="S140" s="27" t="str">
        <f t="shared" si="42"/>
        <v/>
      </c>
      <c r="T140" s="28" t="str">
        <f t="shared" si="43"/>
        <v/>
      </c>
      <c r="U140" s="28" t="str">
        <f t="shared" si="44"/>
        <v/>
      </c>
      <c r="V140" s="28" t="str">
        <f t="shared" si="45"/>
        <v/>
      </c>
      <c r="W140" s="28" t="str">
        <f t="shared" si="46"/>
        <v/>
      </c>
      <c r="X140" s="29" t="str">
        <f t="shared" si="4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1"/>
        <v/>
      </c>
      <c r="M141" s="19" t="str">
        <f t="shared" si="38"/>
        <v/>
      </c>
      <c r="N141" s="19" t="str">
        <f t="shared" si="39"/>
        <v/>
      </c>
      <c r="O141" s="19" t="str">
        <f t="shared" si="48"/>
        <v/>
      </c>
      <c r="P141" s="19" t="str">
        <f t="shared" si="49"/>
        <v/>
      </c>
      <c r="Q141" s="19" t="str">
        <f t="shared" si="50"/>
        <v/>
      </c>
      <c r="R141" s="19" t="str">
        <f t="shared" si="40"/>
        <v/>
      </c>
      <c r="S141" s="27" t="str">
        <f t="shared" si="42"/>
        <v/>
      </c>
      <c r="T141" s="28" t="str">
        <f t="shared" si="43"/>
        <v/>
      </c>
      <c r="U141" s="28" t="str">
        <f t="shared" si="44"/>
        <v/>
      </c>
      <c r="V141" s="28" t="str">
        <f t="shared" si="45"/>
        <v/>
      </c>
      <c r="W141" s="28" t="str">
        <f t="shared" si="46"/>
        <v/>
      </c>
      <c r="X141" s="29" t="str">
        <f t="shared" si="4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1"/>
        <v/>
      </c>
      <c r="M142" s="19" t="str">
        <f t="shared" si="38"/>
        <v/>
      </c>
      <c r="N142" s="19" t="str">
        <f t="shared" si="39"/>
        <v/>
      </c>
      <c r="O142" s="19" t="str">
        <f t="shared" si="48"/>
        <v/>
      </c>
      <c r="P142" s="19" t="str">
        <f t="shared" si="49"/>
        <v/>
      </c>
      <c r="Q142" s="19" t="str">
        <f t="shared" si="50"/>
        <v/>
      </c>
      <c r="R142" s="19" t="str">
        <f t="shared" si="40"/>
        <v/>
      </c>
      <c r="S142" s="27" t="str">
        <f t="shared" si="42"/>
        <v/>
      </c>
      <c r="T142" s="28" t="str">
        <f t="shared" si="43"/>
        <v/>
      </c>
      <c r="U142" s="28" t="str">
        <f t="shared" si="44"/>
        <v/>
      </c>
      <c r="V142" s="28" t="str">
        <f t="shared" si="45"/>
        <v/>
      </c>
      <c r="W142" s="28" t="str">
        <f t="shared" si="46"/>
        <v/>
      </c>
      <c r="X142" s="29" t="str">
        <f t="shared" si="4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1"/>
        <v/>
      </c>
      <c r="M143" s="19" t="str">
        <f t="shared" si="38"/>
        <v/>
      </c>
      <c r="N143" s="19" t="str">
        <f t="shared" si="39"/>
        <v/>
      </c>
      <c r="O143" s="19" t="str">
        <f t="shared" si="48"/>
        <v/>
      </c>
      <c r="P143" s="19" t="str">
        <f t="shared" si="49"/>
        <v/>
      </c>
      <c r="Q143" s="19" t="str">
        <f t="shared" si="50"/>
        <v/>
      </c>
      <c r="R143" s="19" t="str">
        <f t="shared" si="40"/>
        <v/>
      </c>
      <c r="S143" s="27" t="str">
        <f t="shared" si="42"/>
        <v/>
      </c>
      <c r="T143" s="28" t="str">
        <f t="shared" si="43"/>
        <v/>
      </c>
      <c r="U143" s="28" t="str">
        <f t="shared" si="44"/>
        <v/>
      </c>
      <c r="V143" s="28" t="str">
        <f t="shared" si="45"/>
        <v/>
      </c>
      <c r="W143" s="28" t="str">
        <f t="shared" si="46"/>
        <v/>
      </c>
      <c r="X143" s="29" t="str">
        <f t="shared" si="4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1">IF(ISBLANK(C144),"",(C144-C$16)*1000)</f>
        <v/>
      </c>
      <c r="M144" s="19" t="str">
        <f t="shared" si="38"/>
        <v/>
      </c>
      <c r="N144" s="19" t="str">
        <f t="shared" si="39"/>
        <v/>
      </c>
      <c r="O144" s="19" t="str">
        <f t="shared" si="48"/>
        <v/>
      </c>
      <c r="P144" s="19" t="str">
        <f t="shared" si="49"/>
        <v/>
      </c>
      <c r="Q144" s="19" t="str">
        <f t="shared" si="50"/>
        <v/>
      </c>
      <c r="R144" s="19" t="str">
        <f t="shared" si="40"/>
        <v/>
      </c>
      <c r="S144" s="27" t="str">
        <f t="shared" si="42"/>
        <v/>
      </c>
      <c r="T144" s="28" t="str">
        <f t="shared" si="43"/>
        <v/>
      </c>
      <c r="U144" s="28" t="str">
        <f t="shared" si="44"/>
        <v/>
      </c>
      <c r="V144" s="28" t="str">
        <f t="shared" si="45"/>
        <v/>
      </c>
      <c r="W144" s="28" t="str">
        <f t="shared" si="46"/>
        <v/>
      </c>
      <c r="X144" s="29" t="str">
        <f t="shared" si="4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1"/>
        <v/>
      </c>
      <c r="M145" s="19" t="str">
        <f t="shared" si="38"/>
        <v/>
      </c>
      <c r="N145" s="19" t="str">
        <f t="shared" si="39"/>
        <v/>
      </c>
      <c r="O145" s="19" t="str">
        <f t="shared" si="48"/>
        <v/>
      </c>
      <c r="P145" s="19" t="str">
        <f t="shared" si="49"/>
        <v/>
      </c>
      <c r="Q145" s="19" t="str">
        <f t="shared" si="50"/>
        <v/>
      </c>
      <c r="R145" s="19" t="str">
        <f t="shared" si="40"/>
        <v/>
      </c>
      <c r="S145" s="27" t="str">
        <f t="shared" ref="S145:S153" si="52">IF(C145="","",((C145-C144)*1000)/($B145-$B144))</f>
        <v/>
      </c>
      <c r="T145" s="28" t="str">
        <f t="shared" ref="T145:T153" si="53">IF(D145="","",((D145-D144)*1000)/($B145-$B144))</f>
        <v/>
      </c>
      <c r="U145" s="28" t="str">
        <f t="shared" ref="U145:U153" si="54">IF(E145="","",((E145-E144)*1000)/($B145-$B144))</f>
        <v/>
      </c>
      <c r="V145" s="28" t="str">
        <f t="shared" ref="V145:V153" si="55">IF(F145="","",((F145-F144)*1000)/($B145-$B144))</f>
        <v/>
      </c>
      <c r="W145" s="28" t="str">
        <f t="shared" ref="W145:W153" si="56">IF(G145="","",((G145-G144)*1000)/($B145-$B144))</f>
        <v/>
      </c>
      <c r="X145" s="29" t="str">
        <f t="shared" ref="X145:X153" si="57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1"/>
        <v/>
      </c>
      <c r="M146" s="19" t="str">
        <f t="shared" si="38"/>
        <v/>
      </c>
      <c r="N146" s="19" t="str">
        <f t="shared" si="39"/>
        <v/>
      </c>
      <c r="O146" s="19" t="str">
        <f t="shared" si="48"/>
        <v/>
      </c>
      <c r="P146" s="19" t="str">
        <f t="shared" si="49"/>
        <v/>
      </c>
      <c r="Q146" s="19" t="str">
        <f t="shared" si="50"/>
        <v/>
      </c>
      <c r="R146" s="19" t="str">
        <f t="shared" si="40"/>
        <v/>
      </c>
      <c r="S146" s="27" t="str">
        <f t="shared" si="52"/>
        <v/>
      </c>
      <c r="T146" s="28" t="str">
        <f t="shared" si="53"/>
        <v/>
      </c>
      <c r="U146" s="28" t="str">
        <f t="shared" si="54"/>
        <v/>
      </c>
      <c r="V146" s="28" t="str">
        <f t="shared" si="55"/>
        <v/>
      </c>
      <c r="W146" s="28" t="str">
        <f t="shared" si="56"/>
        <v/>
      </c>
      <c r="X146" s="29" t="str">
        <f t="shared" si="57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1"/>
        <v/>
      </c>
      <c r="M147" s="19" t="str">
        <f t="shared" si="38"/>
        <v/>
      </c>
      <c r="N147" s="19" t="str">
        <f t="shared" si="39"/>
        <v/>
      </c>
      <c r="O147" s="19" t="str">
        <f t="shared" si="48"/>
        <v/>
      </c>
      <c r="P147" s="19" t="str">
        <f t="shared" si="49"/>
        <v/>
      </c>
      <c r="Q147" s="19" t="str">
        <f t="shared" si="50"/>
        <v/>
      </c>
      <c r="R147" s="19" t="str">
        <f t="shared" si="40"/>
        <v/>
      </c>
      <c r="S147" s="27" t="str">
        <f t="shared" si="52"/>
        <v/>
      </c>
      <c r="T147" s="28" t="str">
        <f t="shared" si="53"/>
        <v/>
      </c>
      <c r="U147" s="28" t="str">
        <f t="shared" si="54"/>
        <v/>
      </c>
      <c r="V147" s="28" t="str">
        <f t="shared" si="55"/>
        <v/>
      </c>
      <c r="W147" s="28" t="str">
        <f t="shared" si="56"/>
        <v/>
      </c>
      <c r="X147" s="29" t="str">
        <f t="shared" si="57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1"/>
        <v/>
      </c>
      <c r="M148" s="19" t="str">
        <f t="shared" si="38"/>
        <v/>
      </c>
      <c r="N148" s="19" t="str">
        <f t="shared" si="39"/>
        <v/>
      </c>
      <c r="O148" s="19" t="str">
        <f t="shared" si="48"/>
        <v/>
      </c>
      <c r="P148" s="19" t="str">
        <f t="shared" si="49"/>
        <v/>
      </c>
      <c r="Q148" s="19" t="str">
        <f t="shared" si="50"/>
        <v/>
      </c>
      <c r="R148" s="19" t="str">
        <f t="shared" si="40"/>
        <v/>
      </c>
      <c r="S148" s="27" t="str">
        <f t="shared" si="52"/>
        <v/>
      </c>
      <c r="T148" s="28" t="str">
        <f t="shared" si="53"/>
        <v/>
      </c>
      <c r="U148" s="28" t="str">
        <f t="shared" si="54"/>
        <v/>
      </c>
      <c r="V148" s="28" t="str">
        <f t="shared" si="55"/>
        <v/>
      </c>
      <c r="W148" s="28" t="str">
        <f t="shared" si="56"/>
        <v/>
      </c>
      <c r="X148" s="29" t="str">
        <f t="shared" si="57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1"/>
        <v/>
      </c>
      <c r="M149" s="19" t="str">
        <f t="shared" si="38"/>
        <v/>
      </c>
      <c r="N149" s="19" t="str">
        <f t="shared" si="39"/>
        <v/>
      </c>
      <c r="O149" s="19" t="str">
        <f t="shared" si="48"/>
        <v/>
      </c>
      <c r="P149" s="19" t="str">
        <f t="shared" si="49"/>
        <v/>
      </c>
      <c r="Q149" s="19" t="str">
        <f t="shared" si="50"/>
        <v/>
      </c>
      <c r="R149" s="19" t="str">
        <f t="shared" si="40"/>
        <v/>
      </c>
      <c r="S149" s="27" t="str">
        <f t="shared" si="52"/>
        <v/>
      </c>
      <c r="T149" s="28" t="str">
        <f t="shared" si="53"/>
        <v/>
      </c>
      <c r="U149" s="28" t="str">
        <f t="shared" si="54"/>
        <v/>
      </c>
      <c r="V149" s="28" t="str">
        <f t="shared" si="55"/>
        <v/>
      </c>
      <c r="W149" s="28" t="str">
        <f t="shared" si="56"/>
        <v/>
      </c>
      <c r="X149" s="29" t="str">
        <f t="shared" si="57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1"/>
        <v/>
      </c>
      <c r="M150" s="19" t="str">
        <f t="shared" si="38"/>
        <v/>
      </c>
      <c r="N150" s="19" t="str">
        <f t="shared" si="39"/>
        <v/>
      </c>
      <c r="O150" s="19" t="str">
        <f t="shared" si="48"/>
        <v/>
      </c>
      <c r="P150" s="19" t="str">
        <f t="shared" si="49"/>
        <v/>
      </c>
      <c r="Q150" s="19" t="str">
        <f t="shared" si="50"/>
        <v/>
      </c>
      <c r="R150" s="19" t="str">
        <f t="shared" si="40"/>
        <v/>
      </c>
      <c r="S150" s="27" t="str">
        <f t="shared" si="52"/>
        <v/>
      </c>
      <c r="T150" s="28" t="str">
        <f t="shared" si="53"/>
        <v/>
      </c>
      <c r="U150" s="28" t="str">
        <f t="shared" si="54"/>
        <v/>
      </c>
      <c r="V150" s="28" t="str">
        <f t="shared" si="55"/>
        <v/>
      </c>
      <c r="W150" s="28" t="str">
        <f t="shared" si="56"/>
        <v/>
      </c>
      <c r="X150" s="29" t="str">
        <f t="shared" si="57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1"/>
        <v/>
      </c>
      <c r="M151" s="19" t="str">
        <f t="shared" si="38"/>
        <v/>
      </c>
      <c r="N151" s="19" t="str">
        <f t="shared" si="39"/>
        <v/>
      </c>
      <c r="O151" s="19" t="str">
        <f t="shared" si="48"/>
        <v/>
      </c>
      <c r="P151" s="19" t="str">
        <f t="shared" si="49"/>
        <v/>
      </c>
      <c r="Q151" s="19" t="str">
        <f t="shared" si="50"/>
        <v/>
      </c>
      <c r="R151" s="19" t="str">
        <f t="shared" si="40"/>
        <v/>
      </c>
      <c r="S151" s="27" t="str">
        <f t="shared" si="52"/>
        <v/>
      </c>
      <c r="T151" s="28" t="str">
        <f t="shared" si="53"/>
        <v/>
      </c>
      <c r="U151" s="28" t="str">
        <f t="shared" si="54"/>
        <v/>
      </c>
      <c r="V151" s="28" t="str">
        <f t="shared" si="55"/>
        <v/>
      </c>
      <c r="W151" s="28" t="str">
        <f t="shared" si="56"/>
        <v/>
      </c>
      <c r="X151" s="29" t="str">
        <f t="shared" si="57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1"/>
        <v/>
      </c>
      <c r="M152" s="19" t="str">
        <f t="shared" si="38"/>
        <v/>
      </c>
      <c r="N152" s="19" t="str">
        <f t="shared" si="39"/>
        <v/>
      </c>
      <c r="O152" s="19" t="str">
        <f t="shared" si="48"/>
        <v/>
      </c>
      <c r="P152" s="19" t="str">
        <f t="shared" si="49"/>
        <v/>
      </c>
      <c r="Q152" s="19" t="str">
        <f t="shared" si="50"/>
        <v/>
      </c>
      <c r="R152" s="19" t="str">
        <f t="shared" si="40"/>
        <v/>
      </c>
      <c r="S152" s="27" t="str">
        <f t="shared" si="52"/>
        <v/>
      </c>
      <c r="T152" s="28" t="str">
        <f t="shared" si="53"/>
        <v/>
      </c>
      <c r="U152" s="28" t="str">
        <f t="shared" si="54"/>
        <v/>
      </c>
      <c r="V152" s="28" t="str">
        <f t="shared" si="55"/>
        <v/>
      </c>
      <c r="W152" s="28" t="str">
        <f t="shared" si="56"/>
        <v/>
      </c>
      <c r="X152" s="29" t="str">
        <f t="shared" si="57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1"/>
        <v/>
      </c>
      <c r="M153" s="19" t="str">
        <f t="shared" si="38"/>
        <v/>
      </c>
      <c r="N153" s="19" t="str">
        <f t="shared" si="39"/>
        <v/>
      </c>
      <c r="O153" s="19" t="str">
        <f t="shared" si="48"/>
        <v/>
      </c>
      <c r="P153" s="19" t="str">
        <f t="shared" si="49"/>
        <v/>
      </c>
      <c r="Q153" s="19" t="str">
        <f t="shared" si="50"/>
        <v/>
      </c>
      <c r="R153" s="19" t="str">
        <f t="shared" si="40"/>
        <v/>
      </c>
      <c r="S153" s="27" t="str">
        <f t="shared" si="52"/>
        <v/>
      </c>
      <c r="T153" s="28" t="str">
        <f t="shared" si="53"/>
        <v/>
      </c>
      <c r="U153" s="28" t="str">
        <f t="shared" si="54"/>
        <v/>
      </c>
      <c r="V153" s="28" t="str">
        <f t="shared" si="55"/>
        <v/>
      </c>
      <c r="W153" s="28" t="str">
        <f t="shared" si="56"/>
        <v/>
      </c>
      <c r="X153" s="29" t="str">
        <f t="shared" si="57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3:B15"/>
    <mergeCell ref="C13:K13"/>
    <mergeCell ref="L13:R14"/>
    <mergeCell ref="E7:I7"/>
    <mergeCell ref="J7:Q7"/>
    <mergeCell ref="B10:J12"/>
    <mergeCell ref="K10:S12"/>
    <mergeCell ref="B9:O9"/>
    <mergeCell ref="P9:Y9"/>
    <mergeCell ref="T10:Y12"/>
    <mergeCell ref="S13:X14"/>
    <mergeCell ref="Y13:Y15"/>
    <mergeCell ref="C14:E14"/>
    <mergeCell ref="F14:H14"/>
    <mergeCell ref="I14:I15"/>
    <mergeCell ref="J14:K14"/>
    <mergeCell ref="W6:Y6"/>
    <mergeCell ref="AA9:AI9"/>
    <mergeCell ref="B5:D8"/>
    <mergeCell ref="E5:I5"/>
    <mergeCell ref="J5:Q5"/>
    <mergeCell ref="R5:V5"/>
    <mergeCell ref="W5:Y5"/>
    <mergeCell ref="E6:I6"/>
    <mergeCell ref="J6:Q6"/>
    <mergeCell ref="R6:V6"/>
    <mergeCell ref="E8:I8"/>
    <mergeCell ref="R7:V7"/>
    <mergeCell ref="W7:Y7"/>
    <mergeCell ref="J8:Q8"/>
    <mergeCell ref="R8:V8"/>
    <mergeCell ref="W8:Y8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>
    <pageSetUpPr fitToPage="1"/>
  </sheetPr>
  <dimension ref="A1:AI153"/>
  <sheetViews>
    <sheetView showGridLines="0" zoomScale="75" zoomScaleNormal="75" zoomScaleSheetLayoutView="40" workbookViewId="0">
      <pane ySplit="8" topLeftCell="A58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TZ-10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37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41649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>
        <v>36</v>
      </c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41650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35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39">
        <f>J8-258</f>
        <v>90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348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13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4">
        <v>41652</v>
      </c>
      <c r="C16" s="35">
        <v>12.766999999999999</v>
      </c>
      <c r="D16" s="36">
        <v>7.48</v>
      </c>
      <c r="E16" s="36">
        <v>8.202</v>
      </c>
      <c r="F16" s="37"/>
      <c r="G16" s="37"/>
      <c r="H16" s="37"/>
      <c r="I16" s="38">
        <v>101.529</v>
      </c>
      <c r="J16" s="39">
        <v>353</v>
      </c>
      <c r="K16" s="18">
        <f t="shared" ref="K16:K21" si="0">IF(ISBLANK(J16),"",(J16-$J$8))</f>
        <v>5</v>
      </c>
      <c r="L16" s="19">
        <f t="shared" ref="L16:L47" si="1">IF(ISBLANK(C16),"",(C16-C$16)*1000)</f>
        <v>0</v>
      </c>
      <c r="M16" s="19">
        <f t="shared" ref="M16:M47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41653</v>
      </c>
      <c r="C17" s="25">
        <v>12.766</v>
      </c>
      <c r="D17" s="26">
        <v>7.4790000000000001</v>
      </c>
      <c r="E17" s="26">
        <v>8.202</v>
      </c>
      <c r="F17" s="16"/>
      <c r="G17" s="16"/>
      <c r="H17" s="16"/>
      <c r="I17" s="17">
        <v>101.529</v>
      </c>
      <c r="J17" s="32">
        <v>359.5</v>
      </c>
      <c r="K17" s="18">
        <f t="shared" si="0"/>
        <v>11.5</v>
      </c>
      <c r="L17" s="19">
        <f t="shared" si="1"/>
        <v>-0.99999999999944578</v>
      </c>
      <c r="M17" s="19">
        <f t="shared" si="2"/>
        <v>-1.000000000000334</v>
      </c>
      <c r="N17" s="19">
        <f t="shared" si="3"/>
        <v>0</v>
      </c>
      <c r="O17" s="19" t="str">
        <f t="shared" ref="O17:O40" si="5">IF(ISBLANK(F17),"",(F17-F$16)*1000)</f>
        <v/>
      </c>
      <c r="P17" s="19" t="str">
        <f t="shared" ref="P17:P40" si="6">IF(ISBLANK(G17),"",(G17-G$16)*1000)</f>
        <v/>
      </c>
      <c r="Q17" s="19" t="str">
        <f t="shared" ref="Q17:Q40" si="7">IF(ISBLANK(H17),"",(H17-H$16)*1000)</f>
        <v/>
      </c>
      <c r="R17" s="19">
        <f t="shared" si="4"/>
        <v>0</v>
      </c>
      <c r="S17" s="27">
        <f t="shared" ref="S17:S48" si="8">IF(C17="","",((C17-C16)*1000)/($B17-$B16))</f>
        <v>-0.99999999999944578</v>
      </c>
      <c r="T17" s="28">
        <f t="shared" ref="T17:T48" si="9">IF(D17="","",((D17-D16)*1000)/($B17-$B16))</f>
        <v>-1.000000000000334</v>
      </c>
      <c r="U17" s="28">
        <f t="shared" ref="U17:U48" si="10">IF(E17="","",((E17-E16)*1000)/($B17-$B16))</f>
        <v>0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41654</v>
      </c>
      <c r="C18" s="25">
        <v>12.766999999999999</v>
      </c>
      <c r="D18" s="26">
        <v>7.4790000000000001</v>
      </c>
      <c r="E18" s="26">
        <v>8.202</v>
      </c>
      <c r="F18" s="16"/>
      <c r="G18" s="16"/>
      <c r="H18" s="16"/>
      <c r="I18" s="17">
        <v>101.529</v>
      </c>
      <c r="J18" s="32">
        <v>366</v>
      </c>
      <c r="K18" s="18">
        <f t="shared" si="0"/>
        <v>18</v>
      </c>
      <c r="L18" s="19">
        <f t="shared" si="1"/>
        <v>0</v>
      </c>
      <c r="M18" s="19">
        <f t="shared" si="2"/>
        <v>-1.000000000000334</v>
      </c>
      <c r="N18" s="19">
        <f t="shared" si="3"/>
        <v>0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0</v>
      </c>
      <c r="S18" s="27">
        <f t="shared" si="8"/>
        <v>0.99999999999944578</v>
      </c>
      <c r="T18" s="28">
        <f t="shared" si="9"/>
        <v>0</v>
      </c>
      <c r="U18" s="28">
        <f t="shared" si="10"/>
        <v>0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41655</v>
      </c>
      <c r="C19" s="25">
        <v>12.763999999999999</v>
      </c>
      <c r="D19" s="26">
        <v>7.4779999999999998</v>
      </c>
      <c r="E19" s="26">
        <v>8.1999999999999993</v>
      </c>
      <c r="F19" s="16"/>
      <c r="G19" s="16"/>
      <c r="H19" s="16"/>
      <c r="I19" s="17">
        <v>101.529</v>
      </c>
      <c r="J19" s="32">
        <v>373</v>
      </c>
      <c r="K19" s="18">
        <f t="shared" si="0"/>
        <v>25</v>
      </c>
      <c r="L19" s="19">
        <f t="shared" si="1"/>
        <v>-3.0000000000001137</v>
      </c>
      <c r="M19" s="19">
        <f t="shared" si="2"/>
        <v>-2.0000000000006679</v>
      </c>
      <c r="N19" s="19">
        <f t="shared" si="3"/>
        <v>-2.0000000000006679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0</v>
      </c>
      <c r="S19" s="27">
        <f t="shared" si="8"/>
        <v>-3.0000000000001137</v>
      </c>
      <c r="T19" s="28">
        <f t="shared" si="9"/>
        <v>-1.000000000000334</v>
      </c>
      <c r="U19" s="28">
        <f t="shared" si="10"/>
        <v>-2.0000000000006679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41656</v>
      </c>
      <c r="C20" s="25">
        <v>12.765000000000001</v>
      </c>
      <c r="D20" s="26">
        <v>7.4779999999999998</v>
      </c>
      <c r="E20" s="26">
        <v>8.2010000000000005</v>
      </c>
      <c r="F20" s="16"/>
      <c r="G20" s="16"/>
      <c r="H20" s="16"/>
      <c r="I20" s="17">
        <v>101.529</v>
      </c>
      <c r="J20" s="32">
        <v>376</v>
      </c>
      <c r="K20" s="18">
        <f t="shared" si="0"/>
        <v>28</v>
      </c>
      <c r="L20" s="19">
        <f t="shared" si="1"/>
        <v>-1.9999999999988916</v>
      </c>
      <c r="M20" s="19">
        <f t="shared" si="2"/>
        <v>-2.0000000000006679</v>
      </c>
      <c r="N20" s="19">
        <f t="shared" si="3"/>
        <v>-0.99999999999944578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0</v>
      </c>
      <c r="S20" s="27">
        <f t="shared" si="8"/>
        <v>1.0000000000012221</v>
      </c>
      <c r="T20" s="28">
        <f t="shared" si="9"/>
        <v>0</v>
      </c>
      <c r="U20" s="28">
        <f t="shared" si="10"/>
        <v>1.0000000000012221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41659</v>
      </c>
      <c r="C21" s="25">
        <v>12.763</v>
      </c>
      <c r="D21" s="26">
        <v>7.4779999999999998</v>
      </c>
      <c r="E21" s="26">
        <v>8.1999999999999993</v>
      </c>
      <c r="F21" s="16"/>
      <c r="G21" s="16"/>
      <c r="H21" s="16"/>
      <c r="I21" s="17">
        <v>101.529</v>
      </c>
      <c r="J21" s="32">
        <v>383</v>
      </c>
      <c r="K21" s="18">
        <f t="shared" si="0"/>
        <v>35</v>
      </c>
      <c r="L21" s="19">
        <f t="shared" si="1"/>
        <v>-3.9999999999995595</v>
      </c>
      <c r="M21" s="19">
        <f t="shared" si="2"/>
        <v>-2.0000000000006679</v>
      </c>
      <c r="N21" s="19">
        <f t="shared" si="3"/>
        <v>-2.0000000000006679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0</v>
      </c>
      <c r="S21" s="27">
        <f t="shared" si="8"/>
        <v>-0.66666666666688934</v>
      </c>
      <c r="T21" s="28">
        <f t="shared" si="9"/>
        <v>0</v>
      </c>
      <c r="U21" s="28">
        <f t="shared" si="10"/>
        <v>-0.33333333333374071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41660</v>
      </c>
      <c r="C22" s="25">
        <v>12.763</v>
      </c>
      <c r="D22" s="26">
        <v>7.476</v>
      </c>
      <c r="E22" s="26">
        <v>8.1980000000000004</v>
      </c>
      <c r="F22" s="16"/>
      <c r="G22" s="16"/>
      <c r="H22" s="16"/>
      <c r="I22" s="17">
        <v>101.52500000000001</v>
      </c>
      <c r="J22" s="32">
        <v>387</v>
      </c>
      <c r="K22" s="18">
        <f t="shared" ref="K22:K35" si="14">IF(ISBLANK(J22),"",(J22-$J$8))</f>
        <v>39</v>
      </c>
      <c r="L22" s="19">
        <f t="shared" si="1"/>
        <v>-3.9999999999995595</v>
      </c>
      <c r="M22" s="19">
        <f t="shared" si="2"/>
        <v>-4.0000000000004476</v>
      </c>
      <c r="N22" s="19">
        <f t="shared" si="3"/>
        <v>-3.9999999999995595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-3.9999999999906777</v>
      </c>
      <c r="S22" s="27">
        <f t="shared" si="8"/>
        <v>0</v>
      </c>
      <c r="T22" s="28">
        <f t="shared" si="9"/>
        <v>-1.9999999999997797</v>
      </c>
      <c r="U22" s="28">
        <f t="shared" si="10"/>
        <v>-1.9999999999988916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41661</v>
      </c>
      <c r="C23" s="25">
        <v>12.762</v>
      </c>
      <c r="D23" s="26">
        <v>7.4770000000000003</v>
      </c>
      <c r="E23" s="26">
        <v>8.1999999999999993</v>
      </c>
      <c r="F23" s="16"/>
      <c r="G23" s="16"/>
      <c r="H23" s="16"/>
      <c r="I23" s="17">
        <v>101.526</v>
      </c>
      <c r="J23" s="32">
        <v>388.5</v>
      </c>
      <c r="K23" s="18">
        <f t="shared" si="14"/>
        <v>40.5</v>
      </c>
      <c r="L23" s="19">
        <f t="shared" si="1"/>
        <v>-4.9999999999990052</v>
      </c>
      <c r="M23" s="19">
        <f t="shared" si="2"/>
        <v>-3.0000000000001137</v>
      </c>
      <c r="N23" s="19">
        <f t="shared" si="3"/>
        <v>-2.0000000000006679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-3.0000000000001137</v>
      </c>
      <c r="S23" s="27">
        <f t="shared" si="8"/>
        <v>-0.99999999999944578</v>
      </c>
      <c r="T23" s="28">
        <f t="shared" si="9"/>
        <v>1.000000000000334</v>
      </c>
      <c r="U23" s="28">
        <f t="shared" si="10"/>
        <v>1.9999999999988916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41662</v>
      </c>
      <c r="C24" s="25">
        <v>12.760999999999999</v>
      </c>
      <c r="D24" s="26">
        <v>7.476</v>
      </c>
      <c r="E24" s="26">
        <v>8.1999999999999993</v>
      </c>
      <c r="F24" s="16"/>
      <c r="G24" s="16"/>
      <c r="H24" s="16"/>
      <c r="I24" s="17">
        <v>101.526</v>
      </c>
      <c r="J24" s="32">
        <v>392</v>
      </c>
      <c r="K24" s="18">
        <f t="shared" si="14"/>
        <v>44</v>
      </c>
      <c r="L24" s="19">
        <f t="shared" si="1"/>
        <v>-6.0000000000002274</v>
      </c>
      <c r="M24" s="19">
        <f t="shared" si="2"/>
        <v>-4.0000000000004476</v>
      </c>
      <c r="N24" s="19">
        <f t="shared" si="3"/>
        <v>-2.0000000000006679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-3.0000000000001137</v>
      </c>
      <c r="S24" s="27">
        <f t="shared" si="8"/>
        <v>-1.0000000000012221</v>
      </c>
      <c r="T24" s="28">
        <f t="shared" si="9"/>
        <v>-1.000000000000334</v>
      </c>
      <c r="U24" s="28">
        <f t="shared" si="10"/>
        <v>0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41663</v>
      </c>
      <c r="C25" s="25">
        <v>12.760999999999999</v>
      </c>
      <c r="D25" s="26">
        <v>7.476</v>
      </c>
      <c r="E25" s="26">
        <v>8.1999999999999993</v>
      </c>
      <c r="F25" s="16"/>
      <c r="G25" s="16"/>
      <c r="H25" s="16"/>
      <c r="I25" s="17">
        <v>101.526</v>
      </c>
      <c r="J25" s="32">
        <v>393.5</v>
      </c>
      <c r="K25" s="18">
        <f t="shared" si="14"/>
        <v>45.5</v>
      </c>
      <c r="L25" s="19">
        <f t="shared" si="1"/>
        <v>-6.0000000000002274</v>
      </c>
      <c r="M25" s="19">
        <f t="shared" si="2"/>
        <v>-4.0000000000004476</v>
      </c>
      <c r="N25" s="19">
        <f t="shared" si="3"/>
        <v>-2.0000000000006679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-3.0000000000001137</v>
      </c>
      <c r="S25" s="27">
        <f t="shared" si="8"/>
        <v>0</v>
      </c>
      <c r="T25" s="28">
        <f t="shared" si="9"/>
        <v>0</v>
      </c>
      <c r="U25" s="28">
        <f t="shared" si="10"/>
        <v>0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41666</v>
      </c>
      <c r="C26" s="25">
        <v>12.760999999999999</v>
      </c>
      <c r="D26" s="26">
        <v>7.476</v>
      </c>
      <c r="E26" s="26">
        <v>8.1999999999999993</v>
      </c>
      <c r="F26" s="16"/>
      <c r="G26" s="16"/>
      <c r="H26" s="16"/>
      <c r="I26" s="17">
        <v>101.526</v>
      </c>
      <c r="J26" s="32">
        <v>396.5</v>
      </c>
      <c r="K26" s="18">
        <f t="shared" si="14"/>
        <v>48.5</v>
      </c>
      <c r="L26" s="19">
        <f t="shared" si="1"/>
        <v>-6.0000000000002274</v>
      </c>
      <c r="M26" s="19">
        <f t="shared" si="2"/>
        <v>-4.0000000000004476</v>
      </c>
      <c r="N26" s="19">
        <f t="shared" si="3"/>
        <v>-2.0000000000006679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-3.0000000000001137</v>
      </c>
      <c r="S26" s="27">
        <f t="shared" si="8"/>
        <v>0</v>
      </c>
      <c r="T26" s="28">
        <f t="shared" si="9"/>
        <v>0</v>
      </c>
      <c r="U26" s="28">
        <f t="shared" si="10"/>
        <v>0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41667</v>
      </c>
      <c r="C27" s="25">
        <v>12.760999999999999</v>
      </c>
      <c r="D27" s="26">
        <v>7.4749999999999996</v>
      </c>
      <c r="E27" s="26">
        <v>8.1999999999999993</v>
      </c>
      <c r="F27" s="16"/>
      <c r="G27" s="16"/>
      <c r="H27" s="16"/>
      <c r="I27" s="17">
        <v>101.526</v>
      </c>
      <c r="J27" s="32">
        <v>398.5</v>
      </c>
      <c r="K27" s="18">
        <f t="shared" si="14"/>
        <v>50.5</v>
      </c>
      <c r="L27" s="19">
        <f t="shared" si="1"/>
        <v>-6.0000000000002274</v>
      </c>
      <c r="M27" s="19">
        <f t="shared" si="2"/>
        <v>-5.0000000000007816</v>
      </c>
      <c r="N27" s="19">
        <f t="shared" si="3"/>
        <v>-2.0000000000006679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-3.0000000000001137</v>
      </c>
      <c r="S27" s="27">
        <f t="shared" si="8"/>
        <v>0</v>
      </c>
      <c r="T27" s="28">
        <f t="shared" si="9"/>
        <v>-1.000000000000334</v>
      </c>
      <c r="U27" s="28">
        <f t="shared" si="10"/>
        <v>0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41668</v>
      </c>
      <c r="C28" s="25">
        <v>12.760999999999999</v>
      </c>
      <c r="D28" s="26">
        <v>7.4740000000000002</v>
      </c>
      <c r="E28" s="26">
        <v>8.1999999999999993</v>
      </c>
      <c r="F28" s="16"/>
      <c r="G28" s="16"/>
      <c r="H28" s="16"/>
      <c r="I28" s="17">
        <v>101.526</v>
      </c>
      <c r="J28" s="32">
        <v>402</v>
      </c>
      <c r="K28" s="18">
        <f t="shared" si="14"/>
        <v>54</v>
      </c>
      <c r="L28" s="19">
        <f t="shared" si="1"/>
        <v>-6.0000000000002274</v>
      </c>
      <c r="M28" s="19">
        <f t="shared" si="2"/>
        <v>-6.0000000000002274</v>
      </c>
      <c r="N28" s="19">
        <f t="shared" si="3"/>
        <v>-2.0000000000006679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 t="shared" si="4"/>
        <v>-3.0000000000001137</v>
      </c>
      <c r="S28" s="27">
        <f t="shared" si="8"/>
        <v>0</v>
      </c>
      <c r="T28" s="28">
        <f t="shared" si="9"/>
        <v>-0.99999999999944578</v>
      </c>
      <c r="U28" s="28">
        <f t="shared" si="10"/>
        <v>0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24"/>
    </row>
    <row r="29" spans="2:25" ht="15" customHeight="1" x14ac:dyDescent="0.2">
      <c r="B29" s="31">
        <v>41669</v>
      </c>
      <c r="C29" s="25">
        <v>12.760999999999999</v>
      </c>
      <c r="D29" s="26">
        <v>7.4740000000000002</v>
      </c>
      <c r="E29" s="26">
        <v>8.1999999999999993</v>
      </c>
      <c r="F29" s="16"/>
      <c r="G29" s="16"/>
      <c r="H29" s="16"/>
      <c r="I29" s="17">
        <v>101.526</v>
      </c>
      <c r="J29" s="32">
        <v>411</v>
      </c>
      <c r="K29" s="18">
        <f t="shared" si="14"/>
        <v>63</v>
      </c>
      <c r="L29" s="19">
        <f t="shared" si="1"/>
        <v>-6.0000000000002274</v>
      </c>
      <c r="M29" s="19">
        <f t="shared" si="2"/>
        <v>-6.0000000000002274</v>
      </c>
      <c r="N29" s="19">
        <f t="shared" si="3"/>
        <v>-2.0000000000006679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si="4"/>
        <v>-3.0000000000001137</v>
      </c>
      <c r="S29" s="27">
        <f t="shared" si="8"/>
        <v>0</v>
      </c>
      <c r="T29" s="28">
        <f t="shared" si="9"/>
        <v>0</v>
      </c>
      <c r="U29" s="28">
        <f t="shared" si="10"/>
        <v>0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41670</v>
      </c>
      <c r="C30" s="25">
        <v>12.760999999999999</v>
      </c>
      <c r="D30" s="26">
        <v>7.4740000000000002</v>
      </c>
      <c r="E30" s="26">
        <v>8.1999999999999993</v>
      </c>
      <c r="F30" s="16"/>
      <c r="G30" s="16"/>
      <c r="H30" s="16"/>
      <c r="I30" s="17">
        <v>101.526</v>
      </c>
      <c r="J30" s="32">
        <v>418.5</v>
      </c>
      <c r="K30" s="18">
        <f t="shared" si="14"/>
        <v>70.5</v>
      </c>
      <c r="L30" s="19">
        <f t="shared" si="1"/>
        <v>-6.0000000000002274</v>
      </c>
      <c r="M30" s="19">
        <f t="shared" si="2"/>
        <v>-6.0000000000002274</v>
      </c>
      <c r="N30" s="19">
        <f t="shared" si="3"/>
        <v>-2.0000000000006679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4"/>
        <v>-3.0000000000001137</v>
      </c>
      <c r="S30" s="27">
        <f t="shared" si="8"/>
        <v>0</v>
      </c>
      <c r="T30" s="28">
        <f t="shared" si="9"/>
        <v>0</v>
      </c>
      <c r="U30" s="28">
        <f t="shared" si="10"/>
        <v>0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41673</v>
      </c>
      <c r="C31" s="25">
        <v>12.760999999999999</v>
      </c>
      <c r="D31" s="26">
        <v>7.4749999999999996</v>
      </c>
      <c r="E31" s="26">
        <v>8.1999999999999993</v>
      </c>
      <c r="F31" s="16"/>
      <c r="G31" s="16"/>
      <c r="H31" s="16"/>
      <c r="I31" s="17">
        <v>101.526</v>
      </c>
      <c r="J31" s="32">
        <v>430</v>
      </c>
      <c r="K31" s="18">
        <f t="shared" si="14"/>
        <v>82</v>
      </c>
      <c r="L31" s="19">
        <f t="shared" si="1"/>
        <v>-6.0000000000002274</v>
      </c>
      <c r="M31" s="19">
        <f t="shared" si="2"/>
        <v>-5.0000000000007816</v>
      </c>
      <c r="N31" s="19">
        <f t="shared" si="3"/>
        <v>-2.0000000000006679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4"/>
        <v>-3.0000000000001137</v>
      </c>
      <c r="S31" s="27">
        <f t="shared" si="8"/>
        <v>0</v>
      </c>
      <c r="T31" s="28">
        <f t="shared" si="9"/>
        <v>0.33333333333314857</v>
      </c>
      <c r="U31" s="28">
        <f t="shared" si="10"/>
        <v>0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41674</v>
      </c>
      <c r="C32" s="25">
        <v>12.760999999999999</v>
      </c>
      <c r="D32" s="26">
        <v>7.4749999999999996</v>
      </c>
      <c r="E32" s="26">
        <v>8.1999999999999993</v>
      </c>
      <c r="F32" s="16"/>
      <c r="G32" s="16"/>
      <c r="H32" s="16"/>
      <c r="I32" s="17">
        <v>101.526</v>
      </c>
      <c r="J32" s="32">
        <v>438</v>
      </c>
      <c r="K32" s="18">
        <f t="shared" si="14"/>
        <v>90</v>
      </c>
      <c r="L32" s="19">
        <f t="shared" si="1"/>
        <v>-6.0000000000002274</v>
      </c>
      <c r="M32" s="19">
        <f t="shared" si="2"/>
        <v>-5.0000000000007816</v>
      </c>
      <c r="N32" s="19">
        <f t="shared" si="3"/>
        <v>-2.0000000000006679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4"/>
        <v>-3.0000000000001137</v>
      </c>
      <c r="S32" s="27">
        <f t="shared" si="8"/>
        <v>0</v>
      </c>
      <c r="T32" s="28">
        <f t="shared" si="9"/>
        <v>0</v>
      </c>
      <c r="U32" s="28">
        <f t="shared" si="10"/>
        <v>0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/>
    </row>
    <row r="33" spans="2:25" ht="15" customHeight="1" x14ac:dyDescent="0.2">
      <c r="B33" s="31">
        <v>41675</v>
      </c>
      <c r="C33" s="25">
        <v>12.760999999999999</v>
      </c>
      <c r="D33" s="26">
        <v>7.4749999999999996</v>
      </c>
      <c r="E33" s="26">
        <v>8.1999999999999993</v>
      </c>
      <c r="F33" s="16"/>
      <c r="G33" s="16"/>
      <c r="H33" s="16"/>
      <c r="I33" s="17">
        <v>101.526</v>
      </c>
      <c r="J33" s="32">
        <v>446</v>
      </c>
      <c r="K33" s="18">
        <f t="shared" si="14"/>
        <v>98</v>
      </c>
      <c r="L33" s="19">
        <f t="shared" si="1"/>
        <v>-6.0000000000002274</v>
      </c>
      <c r="M33" s="19">
        <f t="shared" si="2"/>
        <v>-5.0000000000007816</v>
      </c>
      <c r="N33" s="19">
        <f t="shared" si="3"/>
        <v>-2.0000000000006679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ref="R33:R64" si="15">IF(ISBLANK(I33),"",(I33-I$16)*1000)</f>
        <v>-3.0000000000001137</v>
      </c>
      <c r="S33" s="27">
        <f t="shared" si="8"/>
        <v>0</v>
      </c>
      <c r="T33" s="28">
        <f t="shared" si="9"/>
        <v>0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41676</v>
      </c>
      <c r="C34" s="25">
        <v>12.760999999999999</v>
      </c>
      <c r="D34" s="26">
        <v>7.4749999999999996</v>
      </c>
      <c r="E34" s="26">
        <v>8.1999999999999993</v>
      </c>
      <c r="F34" s="16"/>
      <c r="G34" s="16"/>
      <c r="H34" s="16"/>
      <c r="I34" s="17">
        <v>101.526</v>
      </c>
      <c r="J34" s="32">
        <v>453</v>
      </c>
      <c r="K34" s="18">
        <f t="shared" si="14"/>
        <v>105</v>
      </c>
      <c r="L34" s="19">
        <f t="shared" si="1"/>
        <v>-6.0000000000002274</v>
      </c>
      <c r="M34" s="19">
        <f t="shared" si="2"/>
        <v>-5.0000000000007816</v>
      </c>
      <c r="N34" s="19">
        <f t="shared" si="3"/>
        <v>-2.0000000000006679</v>
      </c>
      <c r="O34" s="19" t="str">
        <f t="shared" si="5"/>
        <v/>
      </c>
      <c r="P34" s="19" t="str">
        <f t="shared" si="6"/>
        <v/>
      </c>
      <c r="Q34" s="19" t="str">
        <f t="shared" si="7"/>
        <v/>
      </c>
      <c r="R34" s="19">
        <f t="shared" si="15"/>
        <v>-3.0000000000001137</v>
      </c>
      <c r="S34" s="27">
        <f t="shared" si="8"/>
        <v>0</v>
      </c>
      <c r="T34" s="28">
        <f t="shared" si="9"/>
        <v>0</v>
      </c>
      <c r="U34" s="28">
        <f t="shared" si="10"/>
        <v>0</v>
      </c>
      <c r="V34" s="28" t="str">
        <f t="shared" si="11"/>
        <v/>
      </c>
      <c r="W34" s="28" t="str">
        <f t="shared" si="12"/>
        <v/>
      </c>
      <c r="X34" s="29" t="str">
        <f t="shared" si="13"/>
        <v/>
      </c>
      <c r="Y34" s="24"/>
    </row>
    <row r="35" spans="2:25" ht="15" customHeight="1" x14ac:dyDescent="0.2">
      <c r="B35" s="31">
        <v>41684</v>
      </c>
      <c r="C35" s="25">
        <v>12.76</v>
      </c>
      <c r="D35" s="26">
        <v>7.4749999999999996</v>
      </c>
      <c r="E35" s="26">
        <v>8.1989999999999998</v>
      </c>
      <c r="F35" s="16"/>
      <c r="G35" s="16"/>
      <c r="H35" s="16"/>
      <c r="I35" s="17">
        <v>101.526</v>
      </c>
      <c r="J35" s="32">
        <v>477</v>
      </c>
      <c r="K35" s="18">
        <f t="shared" si="14"/>
        <v>129</v>
      </c>
      <c r="L35" s="19">
        <f t="shared" si="1"/>
        <v>-6.9999999999996732</v>
      </c>
      <c r="M35" s="19">
        <f t="shared" si="2"/>
        <v>-5.0000000000007816</v>
      </c>
      <c r="N35" s="19">
        <f t="shared" si="3"/>
        <v>-3.0000000000001137</v>
      </c>
      <c r="O35" s="19" t="str">
        <f t="shared" si="5"/>
        <v/>
      </c>
      <c r="P35" s="19" t="str">
        <f t="shared" si="6"/>
        <v/>
      </c>
      <c r="Q35" s="19" t="str">
        <f t="shared" si="7"/>
        <v/>
      </c>
      <c r="R35" s="19">
        <f t="shared" si="15"/>
        <v>-3.0000000000001137</v>
      </c>
      <c r="S35" s="27">
        <f t="shared" si="8"/>
        <v>-0.12499999999993072</v>
      </c>
      <c r="T35" s="28">
        <f t="shared" si="9"/>
        <v>0</v>
      </c>
      <c r="U35" s="28">
        <f t="shared" si="10"/>
        <v>-0.12499999999993072</v>
      </c>
      <c r="V35" s="28" t="str">
        <f t="shared" si="11"/>
        <v/>
      </c>
      <c r="W35" s="28" t="str">
        <f t="shared" si="12"/>
        <v/>
      </c>
      <c r="X35" s="29" t="str">
        <f t="shared" si="13"/>
        <v/>
      </c>
      <c r="Y35" s="24"/>
    </row>
    <row r="36" spans="2:25" ht="15" customHeight="1" x14ac:dyDescent="0.2">
      <c r="B36" s="31">
        <v>41690</v>
      </c>
      <c r="C36" s="25">
        <v>12.759</v>
      </c>
      <c r="D36" s="26">
        <v>7.4749999999999996</v>
      </c>
      <c r="E36" s="26">
        <v>8.1989999999999998</v>
      </c>
      <c r="F36" s="16"/>
      <c r="G36" s="16"/>
      <c r="H36" s="16"/>
      <c r="I36" s="17">
        <v>101.526</v>
      </c>
      <c r="J36" s="32">
        <v>510</v>
      </c>
      <c r="K36" s="18">
        <f t="shared" ref="K36:K52" si="16">IF(ISBLANK(J36),"",(J36-$J$8))</f>
        <v>162</v>
      </c>
      <c r="L36" s="19">
        <f t="shared" si="1"/>
        <v>-7.9999999999991189</v>
      </c>
      <c r="M36" s="19">
        <f t="shared" si="2"/>
        <v>-5.0000000000007816</v>
      </c>
      <c r="N36" s="19">
        <f t="shared" si="3"/>
        <v>-3.0000000000001137</v>
      </c>
      <c r="O36" s="19" t="str">
        <f t="shared" si="5"/>
        <v/>
      </c>
      <c r="P36" s="19" t="str">
        <f t="shared" si="6"/>
        <v/>
      </c>
      <c r="Q36" s="19" t="str">
        <f t="shared" si="7"/>
        <v/>
      </c>
      <c r="R36" s="19">
        <f t="shared" si="15"/>
        <v>-3.0000000000001137</v>
      </c>
      <c r="S36" s="27">
        <f t="shared" si="8"/>
        <v>-0.16666666666657429</v>
      </c>
      <c r="T36" s="28">
        <f t="shared" si="9"/>
        <v>0</v>
      </c>
      <c r="U36" s="28">
        <f t="shared" si="10"/>
        <v>0</v>
      </c>
      <c r="V36" s="28" t="str">
        <f t="shared" si="11"/>
        <v/>
      </c>
      <c r="W36" s="28" t="str">
        <f t="shared" si="12"/>
        <v/>
      </c>
      <c r="X36" s="29" t="str">
        <f t="shared" si="13"/>
        <v/>
      </c>
      <c r="Y36" s="24"/>
    </row>
    <row r="37" spans="2:25" ht="15" customHeight="1" x14ac:dyDescent="0.2">
      <c r="B37" s="31">
        <v>41697</v>
      </c>
      <c r="C37" s="25">
        <v>12.759</v>
      </c>
      <c r="D37" s="26">
        <v>7.4749999999999996</v>
      </c>
      <c r="E37" s="26">
        <v>8.1980000000000004</v>
      </c>
      <c r="F37" s="16"/>
      <c r="G37" s="16"/>
      <c r="H37" s="16"/>
      <c r="I37" s="17">
        <v>101.526</v>
      </c>
      <c r="J37" s="58">
        <v>547.5</v>
      </c>
      <c r="K37" s="18">
        <f t="shared" si="16"/>
        <v>199.5</v>
      </c>
      <c r="L37" s="19">
        <f t="shared" si="1"/>
        <v>-7.9999999999991189</v>
      </c>
      <c r="M37" s="19">
        <f t="shared" si="2"/>
        <v>-5.0000000000007816</v>
      </c>
      <c r="N37" s="19">
        <f t="shared" si="3"/>
        <v>-3.9999999999995595</v>
      </c>
      <c r="O37" s="19" t="str">
        <f t="shared" si="5"/>
        <v/>
      </c>
      <c r="P37" s="19" t="str">
        <f t="shared" si="6"/>
        <v/>
      </c>
      <c r="Q37" s="19" t="str">
        <f t="shared" si="7"/>
        <v/>
      </c>
      <c r="R37" s="19">
        <f t="shared" si="15"/>
        <v>-3.0000000000001137</v>
      </c>
      <c r="S37" s="27">
        <f t="shared" si="8"/>
        <v>0</v>
      </c>
      <c r="T37" s="28">
        <f t="shared" si="9"/>
        <v>0</v>
      </c>
      <c r="U37" s="28">
        <f t="shared" si="10"/>
        <v>-0.14285714285706369</v>
      </c>
      <c r="V37" s="28" t="str">
        <f t="shared" si="11"/>
        <v/>
      </c>
      <c r="W37" s="28" t="str">
        <f t="shared" si="12"/>
        <v/>
      </c>
      <c r="X37" s="29" t="str">
        <f t="shared" si="13"/>
        <v/>
      </c>
      <c r="Y37" s="24"/>
    </row>
    <row r="38" spans="2:25" ht="15" customHeight="1" x14ac:dyDescent="0.2">
      <c r="B38" s="31">
        <v>41723</v>
      </c>
      <c r="C38" s="25">
        <v>12.759</v>
      </c>
      <c r="D38" s="26">
        <v>7.476</v>
      </c>
      <c r="E38" s="26">
        <v>8.1980000000000004</v>
      </c>
      <c r="F38" s="16"/>
      <c r="G38" s="16"/>
      <c r="H38" s="16"/>
      <c r="I38" s="17">
        <v>101.526</v>
      </c>
      <c r="J38" s="32">
        <v>308</v>
      </c>
      <c r="K38" s="18">
        <f t="shared" si="16"/>
        <v>-40</v>
      </c>
      <c r="L38" s="19">
        <f t="shared" si="1"/>
        <v>-7.9999999999991189</v>
      </c>
      <c r="M38" s="19">
        <f t="shared" si="2"/>
        <v>-4.0000000000004476</v>
      </c>
      <c r="N38" s="19">
        <f t="shared" si="3"/>
        <v>-3.9999999999995595</v>
      </c>
      <c r="O38" s="19" t="str">
        <f t="shared" si="5"/>
        <v/>
      </c>
      <c r="P38" s="19" t="str">
        <f t="shared" si="6"/>
        <v/>
      </c>
      <c r="Q38" s="19" t="str">
        <f t="shared" si="7"/>
        <v/>
      </c>
      <c r="R38" s="19">
        <f t="shared" si="15"/>
        <v>-3.0000000000001137</v>
      </c>
      <c r="S38" s="27">
        <f t="shared" si="8"/>
        <v>0</v>
      </c>
      <c r="T38" s="28">
        <f t="shared" si="9"/>
        <v>3.8461538461551308E-2</v>
      </c>
      <c r="U38" s="28">
        <f t="shared" si="10"/>
        <v>0</v>
      </c>
      <c r="V38" s="28" t="str">
        <f t="shared" si="11"/>
        <v/>
      </c>
      <c r="W38" s="28" t="str">
        <f t="shared" si="12"/>
        <v/>
      </c>
      <c r="X38" s="29" t="str">
        <f t="shared" si="13"/>
        <v/>
      </c>
      <c r="Y38" s="24" t="s">
        <v>23</v>
      </c>
    </row>
    <row r="39" spans="2:25" ht="15" customHeight="1" x14ac:dyDescent="0.2">
      <c r="B39" s="31">
        <v>41725</v>
      </c>
      <c r="C39" s="25">
        <v>12.757</v>
      </c>
      <c r="D39" s="26">
        <v>7.4749999999999996</v>
      </c>
      <c r="E39" s="26">
        <v>8.1980000000000004</v>
      </c>
      <c r="F39" s="16"/>
      <c r="G39" s="16"/>
      <c r="H39" s="16"/>
      <c r="I39" s="17">
        <v>101.521</v>
      </c>
      <c r="J39" s="32">
        <v>327</v>
      </c>
      <c r="K39" s="18">
        <f t="shared" si="16"/>
        <v>-21</v>
      </c>
      <c r="L39" s="19">
        <f t="shared" si="1"/>
        <v>-9.9999999999997868</v>
      </c>
      <c r="M39" s="19">
        <f t="shared" si="2"/>
        <v>-5.0000000000007816</v>
      </c>
      <c r="N39" s="19">
        <f t="shared" si="3"/>
        <v>-3.9999999999995595</v>
      </c>
      <c r="O39" s="19" t="str">
        <f t="shared" si="5"/>
        <v/>
      </c>
      <c r="P39" s="19" t="str">
        <f t="shared" si="6"/>
        <v/>
      </c>
      <c r="Q39" s="19" t="str">
        <f t="shared" si="7"/>
        <v/>
      </c>
      <c r="R39" s="19">
        <f t="shared" si="15"/>
        <v>-7.9999999999955662</v>
      </c>
      <c r="S39" s="27">
        <f t="shared" si="8"/>
        <v>-1.000000000000334</v>
      </c>
      <c r="T39" s="28">
        <f t="shared" si="9"/>
        <v>-0.50000000000016698</v>
      </c>
      <c r="U39" s="28">
        <f t="shared" si="10"/>
        <v>0</v>
      </c>
      <c r="V39" s="28" t="str">
        <f t="shared" si="11"/>
        <v/>
      </c>
      <c r="W39" s="28" t="str">
        <f t="shared" si="12"/>
        <v/>
      </c>
      <c r="X39" s="29" t="str">
        <f t="shared" si="13"/>
        <v/>
      </c>
      <c r="Y39" s="24"/>
    </row>
    <row r="40" spans="2:25" ht="15" customHeight="1" x14ac:dyDescent="0.2">
      <c r="B40" s="31">
        <v>41726</v>
      </c>
      <c r="C40" s="25">
        <v>12.757</v>
      </c>
      <c r="D40" s="26">
        <v>7.4749999999999996</v>
      </c>
      <c r="E40" s="26">
        <v>8.1980000000000004</v>
      </c>
      <c r="F40" s="16"/>
      <c r="G40" s="16"/>
      <c r="H40" s="16"/>
      <c r="I40" s="17">
        <v>101.521</v>
      </c>
      <c r="J40" s="32">
        <v>340</v>
      </c>
      <c r="K40" s="18">
        <f t="shared" si="16"/>
        <v>-8</v>
      </c>
      <c r="L40" s="19">
        <f t="shared" si="1"/>
        <v>-9.9999999999997868</v>
      </c>
      <c r="M40" s="19">
        <f t="shared" si="2"/>
        <v>-5.0000000000007816</v>
      </c>
      <c r="N40" s="19">
        <f t="shared" si="3"/>
        <v>-3.9999999999995595</v>
      </c>
      <c r="O40" s="19" t="str">
        <f t="shared" si="5"/>
        <v/>
      </c>
      <c r="P40" s="19" t="str">
        <f t="shared" si="6"/>
        <v/>
      </c>
      <c r="Q40" s="19" t="str">
        <f t="shared" si="7"/>
        <v/>
      </c>
      <c r="R40" s="19">
        <f t="shared" si="15"/>
        <v>-7.9999999999955662</v>
      </c>
      <c r="S40" s="27">
        <f t="shared" si="8"/>
        <v>0</v>
      </c>
      <c r="T40" s="28">
        <f t="shared" si="9"/>
        <v>0</v>
      </c>
      <c r="U40" s="28">
        <f t="shared" si="10"/>
        <v>0</v>
      </c>
      <c r="V40" s="28" t="str">
        <f t="shared" si="11"/>
        <v/>
      </c>
      <c r="W40" s="28" t="str">
        <f t="shared" si="12"/>
        <v/>
      </c>
      <c r="X40" s="29" t="str">
        <f t="shared" si="13"/>
        <v/>
      </c>
      <c r="Y40" s="24"/>
    </row>
    <row r="41" spans="2:25" ht="15" customHeight="1" x14ac:dyDescent="0.2">
      <c r="B41" s="31">
        <v>41729</v>
      </c>
      <c r="C41" s="64">
        <v>12.747999999999999</v>
      </c>
      <c r="D41" s="65">
        <v>7.4720000000000004</v>
      </c>
      <c r="E41" s="65">
        <v>8.1969999999999992</v>
      </c>
      <c r="F41" s="16">
        <v>12.989000000000001</v>
      </c>
      <c r="G41" s="16">
        <v>10.045</v>
      </c>
      <c r="H41" s="16">
        <v>10.657999999999999</v>
      </c>
      <c r="I41" s="17">
        <v>101.518</v>
      </c>
      <c r="J41" s="32">
        <v>350</v>
      </c>
      <c r="K41" s="18">
        <f t="shared" si="16"/>
        <v>2</v>
      </c>
      <c r="L41" s="19">
        <f t="shared" si="1"/>
        <v>-19.000000000000128</v>
      </c>
      <c r="M41" s="19">
        <f t="shared" si="2"/>
        <v>-8.0000000000000071</v>
      </c>
      <c r="N41" s="19">
        <f t="shared" si="3"/>
        <v>-5.0000000000007816</v>
      </c>
      <c r="O41" s="19">
        <f>IF(ISBLANK(F41),"",((F41-F$41)*1000)+L$41)</f>
        <v>-19.000000000000128</v>
      </c>
      <c r="P41" s="19">
        <f>IF(ISBLANK(G41),"",((G41-G$41)*1000)+M$41)</f>
        <v>-8.0000000000000071</v>
      </c>
      <c r="Q41" s="19">
        <f>IF(ISBLANK(H41),"",((H41-H$41)*1000)+N$41)</f>
        <v>-5.0000000000007816</v>
      </c>
      <c r="R41" s="19">
        <f t="shared" si="15"/>
        <v>-10.99999999999568</v>
      </c>
      <c r="S41" s="27">
        <f t="shared" si="8"/>
        <v>-3.0000000000001137</v>
      </c>
      <c r="T41" s="28">
        <f t="shared" si="9"/>
        <v>-0.99999999999974187</v>
      </c>
      <c r="U41" s="28">
        <f t="shared" si="10"/>
        <v>-0.33333333333374071</v>
      </c>
      <c r="V41" s="28"/>
      <c r="W41" s="28"/>
      <c r="X41" s="29"/>
      <c r="Y41" s="24"/>
    </row>
    <row r="42" spans="2:25" ht="15" customHeight="1" x14ac:dyDescent="0.2">
      <c r="B42" s="31">
        <v>41730</v>
      </c>
      <c r="C42" s="25">
        <v>12.747999999999999</v>
      </c>
      <c r="D42" s="26">
        <v>7.4720000000000004</v>
      </c>
      <c r="E42" s="26">
        <v>8.1969999999999992</v>
      </c>
      <c r="F42" s="16">
        <v>12.989000000000001</v>
      </c>
      <c r="G42" s="16">
        <v>10.045</v>
      </c>
      <c r="H42" s="16">
        <v>10.657999999999999</v>
      </c>
      <c r="I42" s="17">
        <v>101.518</v>
      </c>
      <c r="J42" s="32">
        <v>364</v>
      </c>
      <c r="K42" s="18">
        <f t="shared" si="16"/>
        <v>16</v>
      </c>
      <c r="L42" s="19">
        <f t="shared" si="1"/>
        <v>-19.000000000000128</v>
      </c>
      <c r="M42" s="19">
        <f t="shared" si="2"/>
        <v>-8.0000000000000071</v>
      </c>
      <c r="N42" s="19">
        <f t="shared" si="3"/>
        <v>-5.0000000000007816</v>
      </c>
      <c r="O42" s="19">
        <f t="shared" ref="O42:O105" si="17">IF(ISBLANK(F42),"",((F42-F$41)*1000)+L$41)</f>
        <v>-19.000000000000128</v>
      </c>
      <c r="P42" s="19">
        <f t="shared" ref="P42:P105" si="18">IF(ISBLANK(G42),"",((G42-G$41)*1000)+M$41)</f>
        <v>-8.0000000000000071</v>
      </c>
      <c r="Q42" s="19">
        <f t="shared" ref="Q42:Q105" si="19">IF(ISBLANK(H42),"",((H42-H$41)*1000)+N$41)</f>
        <v>-5.0000000000007816</v>
      </c>
      <c r="R42" s="19">
        <f t="shared" si="15"/>
        <v>-10.99999999999568</v>
      </c>
      <c r="S42" s="27">
        <f t="shared" si="8"/>
        <v>0</v>
      </c>
      <c r="T42" s="28">
        <f t="shared" si="9"/>
        <v>0</v>
      </c>
      <c r="U42" s="28">
        <f t="shared" si="10"/>
        <v>0</v>
      </c>
      <c r="V42" s="28">
        <f t="shared" si="11"/>
        <v>0</v>
      </c>
      <c r="W42" s="28">
        <f t="shared" si="12"/>
        <v>0</v>
      </c>
      <c r="X42" s="29">
        <f t="shared" si="13"/>
        <v>0</v>
      </c>
      <c r="Y42" s="24"/>
    </row>
    <row r="43" spans="2:25" ht="15" customHeight="1" x14ac:dyDescent="0.2">
      <c r="B43" s="31">
        <v>41731</v>
      </c>
      <c r="C43" s="25"/>
      <c r="D43" s="26"/>
      <c r="E43" s="26"/>
      <c r="F43" s="16">
        <v>12.989000000000001</v>
      </c>
      <c r="G43" s="16">
        <v>10.045</v>
      </c>
      <c r="H43" s="16">
        <v>10.657999999999999</v>
      </c>
      <c r="I43" s="17">
        <v>101.518</v>
      </c>
      <c r="J43" s="32">
        <v>375</v>
      </c>
      <c r="K43" s="18">
        <f t="shared" si="16"/>
        <v>27</v>
      </c>
      <c r="L43" s="19" t="str">
        <f t="shared" si="1"/>
        <v/>
      </c>
      <c r="M43" s="19" t="str">
        <f t="shared" si="2"/>
        <v/>
      </c>
      <c r="N43" s="19" t="str">
        <f t="shared" si="3"/>
        <v/>
      </c>
      <c r="O43" s="19">
        <f t="shared" si="17"/>
        <v>-19.000000000000128</v>
      </c>
      <c r="P43" s="19">
        <f t="shared" si="18"/>
        <v>-8.0000000000000071</v>
      </c>
      <c r="Q43" s="19">
        <f t="shared" si="19"/>
        <v>-5.0000000000007816</v>
      </c>
      <c r="R43" s="19">
        <f t="shared" si="15"/>
        <v>-10.99999999999568</v>
      </c>
      <c r="S43" s="27" t="str">
        <f t="shared" si="8"/>
        <v/>
      </c>
      <c r="T43" s="28" t="str">
        <f t="shared" si="9"/>
        <v/>
      </c>
      <c r="U43" s="28" t="str">
        <f t="shared" si="10"/>
        <v/>
      </c>
      <c r="V43" s="28">
        <f t="shared" si="11"/>
        <v>0</v>
      </c>
      <c r="W43" s="28">
        <f t="shared" si="12"/>
        <v>0</v>
      </c>
      <c r="X43" s="29">
        <f t="shared" si="13"/>
        <v>0</v>
      </c>
      <c r="Y43" s="24"/>
    </row>
    <row r="44" spans="2:25" ht="15" customHeight="1" x14ac:dyDescent="0.2">
      <c r="B44" s="31">
        <v>41732</v>
      </c>
      <c r="C44" s="25"/>
      <c r="D44" s="26"/>
      <c r="E44" s="26"/>
      <c r="F44" s="16">
        <v>12.988</v>
      </c>
      <c r="G44" s="16">
        <v>10.045</v>
      </c>
      <c r="H44" s="16">
        <v>10.657</v>
      </c>
      <c r="I44" s="17">
        <v>101.518</v>
      </c>
      <c r="J44" s="32">
        <v>387</v>
      </c>
      <c r="K44" s="18">
        <f t="shared" si="16"/>
        <v>39</v>
      </c>
      <c r="L44" s="19" t="str">
        <f t="shared" si="1"/>
        <v/>
      </c>
      <c r="M44" s="19" t="str">
        <f t="shared" si="2"/>
        <v/>
      </c>
      <c r="N44" s="19" t="str">
        <f t="shared" si="3"/>
        <v/>
      </c>
      <c r="O44" s="19">
        <f t="shared" si="17"/>
        <v>-20.00000000000135</v>
      </c>
      <c r="P44" s="19">
        <f t="shared" si="18"/>
        <v>-8.0000000000000071</v>
      </c>
      <c r="Q44" s="19">
        <f t="shared" si="19"/>
        <v>-6.0000000000002274</v>
      </c>
      <c r="R44" s="19">
        <f t="shared" si="15"/>
        <v>-10.99999999999568</v>
      </c>
      <c r="S44" s="27" t="str">
        <f t="shared" si="8"/>
        <v/>
      </c>
      <c r="T44" s="28" t="str">
        <f t="shared" si="9"/>
        <v/>
      </c>
      <c r="U44" s="28" t="str">
        <f t="shared" si="10"/>
        <v/>
      </c>
      <c r="V44" s="28">
        <f t="shared" si="11"/>
        <v>-1.0000000000012221</v>
      </c>
      <c r="W44" s="28">
        <f t="shared" si="12"/>
        <v>0</v>
      </c>
      <c r="X44" s="29">
        <f t="shared" si="13"/>
        <v>-0.99999999999944578</v>
      </c>
      <c r="Y44" s="24"/>
    </row>
    <row r="45" spans="2:25" ht="15" customHeight="1" x14ac:dyDescent="0.2">
      <c r="B45" s="31">
        <v>41733</v>
      </c>
      <c r="C45" s="25"/>
      <c r="D45" s="26"/>
      <c r="E45" s="26"/>
      <c r="F45" s="16">
        <v>12.988</v>
      </c>
      <c r="G45" s="16">
        <v>10.045</v>
      </c>
      <c r="H45" s="16">
        <v>10.657</v>
      </c>
      <c r="I45" s="17">
        <v>101.518</v>
      </c>
      <c r="J45" s="32">
        <v>395</v>
      </c>
      <c r="K45" s="18">
        <f t="shared" si="16"/>
        <v>47</v>
      </c>
      <c r="L45" s="19" t="str">
        <f t="shared" si="1"/>
        <v/>
      </c>
      <c r="M45" s="19" t="str">
        <f t="shared" si="2"/>
        <v/>
      </c>
      <c r="N45" s="19" t="str">
        <f t="shared" si="3"/>
        <v/>
      </c>
      <c r="O45" s="19">
        <f t="shared" si="17"/>
        <v>-20.00000000000135</v>
      </c>
      <c r="P45" s="19">
        <f t="shared" si="18"/>
        <v>-8.0000000000000071</v>
      </c>
      <c r="Q45" s="19">
        <f t="shared" si="19"/>
        <v>-6.0000000000002274</v>
      </c>
      <c r="R45" s="19">
        <f t="shared" si="15"/>
        <v>-10.99999999999568</v>
      </c>
      <c r="S45" s="27" t="str">
        <f t="shared" si="8"/>
        <v/>
      </c>
      <c r="T45" s="28" t="str">
        <f t="shared" si="9"/>
        <v/>
      </c>
      <c r="U45" s="28" t="str">
        <f t="shared" si="10"/>
        <v/>
      </c>
      <c r="V45" s="28">
        <f t="shared" si="11"/>
        <v>0</v>
      </c>
      <c r="W45" s="28">
        <f t="shared" si="12"/>
        <v>0</v>
      </c>
      <c r="X45" s="29">
        <f t="shared" si="13"/>
        <v>0</v>
      </c>
      <c r="Y45" s="24"/>
    </row>
    <row r="46" spans="2:25" ht="15" customHeight="1" x14ac:dyDescent="0.2">
      <c r="B46" s="31">
        <v>41736</v>
      </c>
      <c r="C46" s="25"/>
      <c r="D46" s="26"/>
      <c r="E46" s="26"/>
      <c r="F46" s="16">
        <v>12.988</v>
      </c>
      <c r="G46" s="16">
        <v>10.045</v>
      </c>
      <c r="H46" s="16">
        <v>10.657</v>
      </c>
      <c r="I46" s="17">
        <v>101.518</v>
      </c>
      <c r="J46" s="32">
        <v>408</v>
      </c>
      <c r="K46" s="18">
        <f t="shared" si="16"/>
        <v>60</v>
      </c>
      <c r="L46" s="19" t="str">
        <f t="shared" si="1"/>
        <v/>
      </c>
      <c r="M46" s="19" t="str">
        <f t="shared" si="2"/>
        <v/>
      </c>
      <c r="N46" s="19" t="str">
        <f t="shared" si="3"/>
        <v/>
      </c>
      <c r="O46" s="19">
        <f t="shared" si="17"/>
        <v>-20.00000000000135</v>
      </c>
      <c r="P46" s="19">
        <f t="shared" si="18"/>
        <v>-8.0000000000000071</v>
      </c>
      <c r="Q46" s="19">
        <f t="shared" si="19"/>
        <v>-6.0000000000002274</v>
      </c>
      <c r="R46" s="19">
        <f t="shared" si="15"/>
        <v>-10.99999999999568</v>
      </c>
      <c r="S46" s="27" t="str">
        <f t="shared" si="8"/>
        <v/>
      </c>
      <c r="T46" s="28" t="str">
        <f t="shared" si="9"/>
        <v/>
      </c>
      <c r="U46" s="28" t="str">
        <f t="shared" si="10"/>
        <v/>
      </c>
      <c r="V46" s="28">
        <f t="shared" si="11"/>
        <v>0</v>
      </c>
      <c r="W46" s="28">
        <f t="shared" si="12"/>
        <v>0</v>
      </c>
      <c r="X46" s="29">
        <f t="shared" si="13"/>
        <v>0</v>
      </c>
      <c r="Y46" s="24"/>
    </row>
    <row r="47" spans="2:25" ht="15" customHeight="1" x14ac:dyDescent="0.2">
      <c r="B47" s="31">
        <v>41737</v>
      </c>
      <c r="C47" s="25"/>
      <c r="D47" s="26"/>
      <c r="E47" s="26"/>
      <c r="F47" s="16">
        <v>12.988</v>
      </c>
      <c r="G47" s="16">
        <v>10.045</v>
      </c>
      <c r="H47" s="16">
        <v>10.657999999999999</v>
      </c>
      <c r="I47" s="17">
        <v>101.518</v>
      </c>
      <c r="J47" s="32">
        <v>436</v>
      </c>
      <c r="K47" s="18">
        <f t="shared" si="16"/>
        <v>88</v>
      </c>
      <c r="L47" s="19" t="str">
        <f t="shared" si="1"/>
        <v/>
      </c>
      <c r="M47" s="19" t="str">
        <f t="shared" si="2"/>
        <v/>
      </c>
      <c r="N47" s="19" t="str">
        <f t="shared" si="3"/>
        <v/>
      </c>
      <c r="O47" s="19">
        <f t="shared" si="17"/>
        <v>-20.00000000000135</v>
      </c>
      <c r="P47" s="19">
        <f t="shared" si="18"/>
        <v>-8.0000000000000071</v>
      </c>
      <c r="Q47" s="19">
        <f t="shared" si="19"/>
        <v>-5.0000000000007816</v>
      </c>
      <c r="R47" s="19">
        <f t="shared" si="15"/>
        <v>-10.99999999999568</v>
      </c>
      <c r="S47" s="27" t="str">
        <f t="shared" si="8"/>
        <v/>
      </c>
      <c r="T47" s="28" t="str">
        <f t="shared" si="9"/>
        <v/>
      </c>
      <c r="U47" s="28" t="str">
        <f t="shared" si="10"/>
        <v/>
      </c>
      <c r="V47" s="28">
        <f t="shared" si="11"/>
        <v>0</v>
      </c>
      <c r="W47" s="28">
        <f t="shared" si="12"/>
        <v>0</v>
      </c>
      <c r="X47" s="29">
        <f t="shared" si="13"/>
        <v>0.99999999999944578</v>
      </c>
      <c r="Y47" s="24"/>
    </row>
    <row r="48" spans="2:25" ht="15" customHeight="1" x14ac:dyDescent="0.2">
      <c r="B48" s="31">
        <v>41738</v>
      </c>
      <c r="C48" s="25"/>
      <c r="D48" s="26"/>
      <c r="E48" s="26"/>
      <c r="F48" s="16">
        <v>12.988</v>
      </c>
      <c r="G48" s="16">
        <v>10.045</v>
      </c>
      <c r="H48" s="16">
        <v>10.657999999999999</v>
      </c>
      <c r="I48" s="17">
        <v>101.518</v>
      </c>
      <c r="J48" s="32">
        <v>450</v>
      </c>
      <c r="K48" s="18">
        <f t="shared" si="16"/>
        <v>102</v>
      </c>
      <c r="L48" s="19" t="str">
        <f t="shared" ref="L48:L79" si="20">IF(ISBLANK(C48),"",(C48-C$16)*1000)</f>
        <v/>
      </c>
      <c r="M48" s="19" t="str">
        <f t="shared" ref="M48:M79" si="21">IF(ISBLANK(D48),"",(D48-D$16)*1000)</f>
        <v/>
      </c>
      <c r="N48" s="19" t="str">
        <f t="shared" ref="N48:N79" si="22">IF(ISBLANK(E48),"",(E48-E$16)*1000)</f>
        <v/>
      </c>
      <c r="O48" s="19">
        <f t="shared" si="17"/>
        <v>-20.00000000000135</v>
      </c>
      <c r="P48" s="19">
        <f t="shared" si="18"/>
        <v>-8.0000000000000071</v>
      </c>
      <c r="Q48" s="19">
        <f t="shared" si="19"/>
        <v>-5.0000000000007816</v>
      </c>
      <c r="R48" s="19">
        <f t="shared" si="15"/>
        <v>-10.99999999999568</v>
      </c>
      <c r="S48" s="27" t="str">
        <f t="shared" si="8"/>
        <v/>
      </c>
      <c r="T48" s="28" t="str">
        <f t="shared" si="9"/>
        <v/>
      </c>
      <c r="U48" s="28" t="str">
        <f t="shared" si="10"/>
        <v/>
      </c>
      <c r="V48" s="28">
        <f t="shared" si="11"/>
        <v>0</v>
      </c>
      <c r="W48" s="28">
        <f t="shared" si="12"/>
        <v>0</v>
      </c>
      <c r="X48" s="29">
        <f t="shared" si="13"/>
        <v>0</v>
      </c>
      <c r="Y48" s="24"/>
    </row>
    <row r="49" spans="2:25" ht="15" customHeight="1" x14ac:dyDescent="0.2">
      <c r="B49" s="31">
        <v>41739</v>
      </c>
      <c r="C49" s="25"/>
      <c r="D49" s="26"/>
      <c r="E49" s="26"/>
      <c r="F49" s="16">
        <v>12.988</v>
      </c>
      <c r="G49" s="16">
        <v>10.045</v>
      </c>
      <c r="H49" s="16">
        <v>10.657999999999999</v>
      </c>
      <c r="I49" s="17">
        <v>101.518</v>
      </c>
      <c r="J49" s="32">
        <v>457</v>
      </c>
      <c r="K49" s="18">
        <f t="shared" si="16"/>
        <v>109</v>
      </c>
      <c r="L49" s="19" t="str">
        <f t="shared" si="20"/>
        <v/>
      </c>
      <c r="M49" s="19" t="str">
        <f t="shared" si="21"/>
        <v/>
      </c>
      <c r="N49" s="19" t="str">
        <f t="shared" si="22"/>
        <v/>
      </c>
      <c r="O49" s="19">
        <f t="shared" si="17"/>
        <v>-20.00000000000135</v>
      </c>
      <c r="P49" s="19">
        <f t="shared" si="18"/>
        <v>-8.0000000000000071</v>
      </c>
      <c r="Q49" s="19">
        <f t="shared" si="19"/>
        <v>-5.0000000000007816</v>
      </c>
      <c r="R49" s="19">
        <f t="shared" si="15"/>
        <v>-10.99999999999568</v>
      </c>
      <c r="S49" s="27" t="str">
        <f t="shared" ref="S49:S80" si="23">IF(C49="","",((C49-C48)*1000)/($B49-$B48))</f>
        <v/>
      </c>
      <c r="T49" s="28" t="str">
        <f t="shared" ref="T49:T80" si="24">IF(D49="","",((D49-D48)*1000)/($B49-$B48))</f>
        <v/>
      </c>
      <c r="U49" s="28" t="str">
        <f t="shared" ref="U49:U80" si="25">IF(E49="","",((E49-E48)*1000)/($B49-$B48))</f>
        <v/>
      </c>
      <c r="V49" s="28">
        <f t="shared" ref="V49:V80" si="26">IF(F49="","",((F49-F48)*1000)/($B49-$B48))</f>
        <v>0</v>
      </c>
      <c r="W49" s="28">
        <f t="shared" ref="W49:W80" si="27">IF(G49="","",((G49-G48)*1000)/($B49-$B48))</f>
        <v>0</v>
      </c>
      <c r="X49" s="29">
        <f t="shared" ref="X49:X80" si="28">IF(H49="","",((H49-H48)*1000)/($B49-$B48))</f>
        <v>0</v>
      </c>
      <c r="Y49" s="24"/>
    </row>
    <row r="50" spans="2:25" ht="15" customHeight="1" x14ac:dyDescent="0.2">
      <c r="B50" s="31">
        <v>41745</v>
      </c>
      <c r="C50" s="25"/>
      <c r="D50" s="26"/>
      <c r="E50" s="26"/>
      <c r="F50" s="16">
        <v>12.988</v>
      </c>
      <c r="G50" s="16">
        <v>10.045</v>
      </c>
      <c r="H50" s="16">
        <v>10.657999999999999</v>
      </c>
      <c r="I50" s="17">
        <v>101.518</v>
      </c>
      <c r="J50" s="32">
        <v>516</v>
      </c>
      <c r="K50" s="18">
        <f t="shared" si="16"/>
        <v>168</v>
      </c>
      <c r="L50" s="19" t="str">
        <f t="shared" si="20"/>
        <v/>
      </c>
      <c r="M50" s="19" t="str">
        <f t="shared" si="21"/>
        <v/>
      </c>
      <c r="N50" s="19" t="str">
        <f t="shared" si="22"/>
        <v/>
      </c>
      <c r="O50" s="19">
        <f t="shared" si="17"/>
        <v>-20.00000000000135</v>
      </c>
      <c r="P50" s="19">
        <f t="shared" si="18"/>
        <v>-8.0000000000000071</v>
      </c>
      <c r="Q50" s="19">
        <f t="shared" si="19"/>
        <v>-5.0000000000007816</v>
      </c>
      <c r="R50" s="19">
        <f t="shared" si="15"/>
        <v>-10.99999999999568</v>
      </c>
      <c r="S50" s="27" t="str">
        <f t="shared" si="23"/>
        <v/>
      </c>
      <c r="T50" s="28" t="str">
        <f t="shared" si="24"/>
        <v/>
      </c>
      <c r="U50" s="28" t="str">
        <f t="shared" si="25"/>
        <v/>
      </c>
      <c r="V50" s="28">
        <f t="shared" si="26"/>
        <v>0</v>
      </c>
      <c r="W50" s="28">
        <f t="shared" si="27"/>
        <v>0</v>
      </c>
      <c r="X50" s="29">
        <f t="shared" si="28"/>
        <v>0</v>
      </c>
      <c r="Y50" s="24"/>
    </row>
    <row r="51" spans="2:25" ht="15" customHeight="1" x14ac:dyDescent="0.2">
      <c r="B51" s="31">
        <v>41752</v>
      </c>
      <c r="C51" s="25"/>
      <c r="D51" s="26"/>
      <c r="E51" s="26"/>
      <c r="F51" s="16">
        <v>12.988</v>
      </c>
      <c r="G51" s="16">
        <v>10.045</v>
      </c>
      <c r="H51" s="16">
        <v>10.657999999999999</v>
      </c>
      <c r="I51" s="17">
        <v>101.518</v>
      </c>
      <c r="J51" s="32">
        <v>534.5</v>
      </c>
      <c r="K51" s="18">
        <f t="shared" si="16"/>
        <v>186.5</v>
      </c>
      <c r="L51" s="19" t="str">
        <f t="shared" si="20"/>
        <v/>
      </c>
      <c r="M51" s="19" t="str">
        <f t="shared" si="21"/>
        <v/>
      </c>
      <c r="N51" s="19" t="str">
        <f t="shared" si="22"/>
        <v/>
      </c>
      <c r="O51" s="19">
        <f t="shared" si="17"/>
        <v>-20.00000000000135</v>
      </c>
      <c r="P51" s="19">
        <f t="shared" si="18"/>
        <v>-8.0000000000000071</v>
      </c>
      <c r="Q51" s="19">
        <f t="shared" si="19"/>
        <v>-5.0000000000007816</v>
      </c>
      <c r="R51" s="19">
        <f t="shared" si="15"/>
        <v>-10.99999999999568</v>
      </c>
      <c r="S51" s="27" t="str">
        <f t="shared" si="23"/>
        <v/>
      </c>
      <c r="T51" s="28" t="str">
        <f t="shared" si="24"/>
        <v/>
      </c>
      <c r="U51" s="28" t="str">
        <f t="shared" si="25"/>
        <v/>
      </c>
      <c r="V51" s="28">
        <f t="shared" si="26"/>
        <v>0</v>
      </c>
      <c r="W51" s="28">
        <f t="shared" si="27"/>
        <v>0</v>
      </c>
      <c r="X51" s="29">
        <f t="shared" si="28"/>
        <v>0</v>
      </c>
      <c r="Y51" s="24" t="s">
        <v>35</v>
      </c>
    </row>
    <row r="52" spans="2:25" ht="15" customHeight="1" x14ac:dyDescent="0.2">
      <c r="B52" s="31">
        <v>41759</v>
      </c>
      <c r="C52" s="25"/>
      <c r="D52" s="26"/>
      <c r="E52" s="26"/>
      <c r="F52" s="16">
        <v>12.988</v>
      </c>
      <c r="G52" s="16">
        <v>10.045</v>
      </c>
      <c r="H52" s="16">
        <v>10.657999999999999</v>
      </c>
      <c r="I52" s="17">
        <v>101.518</v>
      </c>
      <c r="J52" s="32">
        <v>534.5</v>
      </c>
      <c r="K52" s="18">
        <f t="shared" si="16"/>
        <v>186.5</v>
      </c>
      <c r="L52" s="19" t="str">
        <f t="shared" si="20"/>
        <v/>
      </c>
      <c r="M52" s="19" t="str">
        <f t="shared" si="21"/>
        <v/>
      </c>
      <c r="N52" s="19" t="str">
        <f t="shared" si="22"/>
        <v/>
      </c>
      <c r="O52" s="19">
        <f t="shared" si="17"/>
        <v>-20.00000000000135</v>
      </c>
      <c r="P52" s="19">
        <f t="shared" si="18"/>
        <v>-8.0000000000000071</v>
      </c>
      <c r="Q52" s="19">
        <f t="shared" si="19"/>
        <v>-5.0000000000007816</v>
      </c>
      <c r="R52" s="19">
        <f t="shared" si="15"/>
        <v>-10.99999999999568</v>
      </c>
      <c r="S52" s="27" t="str">
        <f t="shared" si="23"/>
        <v/>
      </c>
      <c r="T52" s="28" t="str">
        <f t="shared" si="24"/>
        <v/>
      </c>
      <c r="U52" s="28" t="str">
        <f t="shared" si="25"/>
        <v/>
      </c>
      <c r="V52" s="28">
        <f t="shared" si="26"/>
        <v>0</v>
      </c>
      <c r="W52" s="28">
        <f t="shared" si="27"/>
        <v>0</v>
      </c>
      <c r="X52" s="29">
        <f t="shared" si="28"/>
        <v>0</v>
      </c>
      <c r="Y52" s="24"/>
    </row>
    <row r="53" spans="2:25" ht="15" customHeight="1" x14ac:dyDescent="0.2">
      <c r="B53" s="31">
        <v>41781</v>
      </c>
      <c r="C53" s="25"/>
      <c r="D53" s="26"/>
      <c r="E53" s="26"/>
      <c r="F53" s="16">
        <v>12.988</v>
      </c>
      <c r="G53" s="16">
        <v>10.045</v>
      </c>
      <c r="H53" s="16">
        <v>10.657999999999999</v>
      </c>
      <c r="I53" s="17">
        <v>101.518</v>
      </c>
      <c r="J53" s="58">
        <v>792</v>
      </c>
      <c r="K53" s="18">
        <f t="shared" ref="K53:K58" si="29">IF(ISBLANK(J53),"",(J53-$J$8))</f>
        <v>444</v>
      </c>
      <c r="L53" s="19" t="str">
        <f t="shared" si="20"/>
        <v/>
      </c>
      <c r="M53" s="19" t="str">
        <f t="shared" si="21"/>
        <v/>
      </c>
      <c r="N53" s="19" t="str">
        <f t="shared" si="22"/>
        <v/>
      </c>
      <c r="O53" s="19">
        <f t="shared" si="17"/>
        <v>-20.00000000000135</v>
      </c>
      <c r="P53" s="19">
        <f t="shared" si="18"/>
        <v>-8.0000000000000071</v>
      </c>
      <c r="Q53" s="19">
        <f t="shared" si="19"/>
        <v>-5.0000000000007816</v>
      </c>
      <c r="R53" s="19">
        <f t="shared" si="15"/>
        <v>-10.99999999999568</v>
      </c>
      <c r="S53" s="27" t="str">
        <f t="shared" si="23"/>
        <v/>
      </c>
      <c r="T53" s="28" t="str">
        <f t="shared" si="24"/>
        <v/>
      </c>
      <c r="U53" s="28" t="str">
        <f t="shared" si="25"/>
        <v/>
      </c>
      <c r="V53" s="28">
        <f t="shared" si="26"/>
        <v>0</v>
      </c>
      <c r="W53" s="28">
        <f t="shared" si="27"/>
        <v>0</v>
      </c>
      <c r="X53" s="29">
        <f t="shared" si="28"/>
        <v>0</v>
      </c>
      <c r="Y53" s="24"/>
    </row>
    <row r="54" spans="2:25" ht="15" customHeight="1" x14ac:dyDescent="0.2">
      <c r="B54" s="31">
        <v>41843</v>
      </c>
      <c r="C54" s="25"/>
      <c r="D54" s="26"/>
      <c r="E54" s="26"/>
      <c r="F54" s="16">
        <v>12.987</v>
      </c>
      <c r="G54" s="16">
        <v>10.044</v>
      </c>
      <c r="H54" s="16">
        <v>10.657999999999999</v>
      </c>
      <c r="I54" s="17">
        <v>101.517</v>
      </c>
      <c r="J54" s="58">
        <v>943</v>
      </c>
      <c r="K54" s="18">
        <f t="shared" si="29"/>
        <v>595</v>
      </c>
      <c r="L54" s="19" t="str">
        <f t="shared" si="20"/>
        <v/>
      </c>
      <c r="M54" s="19" t="str">
        <f t="shared" si="21"/>
        <v/>
      </c>
      <c r="N54" s="19" t="str">
        <f t="shared" si="22"/>
        <v/>
      </c>
      <c r="O54" s="19">
        <f t="shared" si="17"/>
        <v>-21.000000000000796</v>
      </c>
      <c r="P54" s="19">
        <f t="shared" si="18"/>
        <v>-8.9999999999994529</v>
      </c>
      <c r="Q54" s="19">
        <f t="shared" si="19"/>
        <v>-5.0000000000007816</v>
      </c>
      <c r="R54" s="19">
        <f t="shared" si="15"/>
        <v>-12.000000000000455</v>
      </c>
      <c r="S54" s="27" t="str">
        <f t="shared" si="23"/>
        <v/>
      </c>
      <c r="T54" s="28" t="str">
        <f t="shared" si="24"/>
        <v/>
      </c>
      <c r="U54" s="28" t="str">
        <f t="shared" si="25"/>
        <v/>
      </c>
      <c r="V54" s="28">
        <f t="shared" si="26"/>
        <v>-1.6129032258055578E-2</v>
      </c>
      <c r="W54" s="28">
        <f t="shared" si="27"/>
        <v>-1.6129032258055578E-2</v>
      </c>
      <c r="X54" s="29">
        <f t="shared" si="28"/>
        <v>0</v>
      </c>
      <c r="Y54" s="24"/>
    </row>
    <row r="55" spans="2:25" ht="15" customHeight="1" x14ac:dyDescent="0.2">
      <c r="B55" s="31">
        <v>41933</v>
      </c>
      <c r="C55" s="25">
        <v>12.744999999999999</v>
      </c>
      <c r="D55" s="26">
        <v>7.4710000000000001</v>
      </c>
      <c r="E55" s="26">
        <v>8.1940000000000008</v>
      </c>
      <c r="F55" s="16">
        <v>12.987</v>
      </c>
      <c r="G55" s="16">
        <v>10.044</v>
      </c>
      <c r="H55" s="16">
        <v>10.657</v>
      </c>
      <c r="I55" s="17">
        <v>101.517</v>
      </c>
      <c r="J55" s="58">
        <v>943</v>
      </c>
      <c r="K55" s="18">
        <f t="shared" si="29"/>
        <v>595</v>
      </c>
      <c r="L55" s="19">
        <f t="shared" si="20"/>
        <v>-22.000000000000242</v>
      </c>
      <c r="M55" s="19">
        <f t="shared" si="21"/>
        <v>-9.0000000000003411</v>
      </c>
      <c r="N55" s="19">
        <f t="shared" si="22"/>
        <v>-7.9999999999991189</v>
      </c>
      <c r="O55" s="19">
        <f t="shared" si="17"/>
        <v>-21.000000000000796</v>
      </c>
      <c r="P55" s="19">
        <f t="shared" si="18"/>
        <v>-8.9999999999994529</v>
      </c>
      <c r="Q55" s="19">
        <f t="shared" si="19"/>
        <v>-6.0000000000002274</v>
      </c>
      <c r="R55" s="19">
        <f t="shared" si="15"/>
        <v>-12.000000000000455</v>
      </c>
      <c r="S55" s="27"/>
      <c r="T55" s="28"/>
      <c r="U55" s="28"/>
      <c r="V55" s="28">
        <f t="shared" si="26"/>
        <v>0</v>
      </c>
      <c r="W55" s="28">
        <f t="shared" si="27"/>
        <v>0</v>
      </c>
      <c r="X55" s="29">
        <f t="shared" si="28"/>
        <v>-1.1111111111104953E-2</v>
      </c>
      <c r="Y55" s="24"/>
    </row>
    <row r="56" spans="2:25" ht="15" customHeight="1" x14ac:dyDescent="0.2">
      <c r="B56" s="31">
        <v>42025</v>
      </c>
      <c r="C56" s="25"/>
      <c r="D56" s="26"/>
      <c r="E56" s="26"/>
      <c r="F56" s="16">
        <v>12.988</v>
      </c>
      <c r="G56" s="16">
        <v>10.045</v>
      </c>
      <c r="H56" s="16">
        <v>10.657</v>
      </c>
      <c r="I56" s="17">
        <v>101.517</v>
      </c>
      <c r="J56" s="58">
        <v>943</v>
      </c>
      <c r="K56" s="18">
        <f t="shared" si="29"/>
        <v>595</v>
      </c>
      <c r="L56" s="19" t="str">
        <f t="shared" si="20"/>
        <v/>
      </c>
      <c r="M56" s="19" t="str">
        <f t="shared" si="21"/>
        <v/>
      </c>
      <c r="N56" s="19" t="str">
        <f t="shared" si="22"/>
        <v/>
      </c>
      <c r="O56" s="19">
        <f t="shared" si="17"/>
        <v>-20.00000000000135</v>
      </c>
      <c r="P56" s="19">
        <f t="shared" si="18"/>
        <v>-8.0000000000000071</v>
      </c>
      <c r="Q56" s="19">
        <f t="shared" si="19"/>
        <v>-6.0000000000002274</v>
      </c>
      <c r="R56" s="19">
        <f t="shared" si="15"/>
        <v>-12.000000000000455</v>
      </c>
      <c r="S56" s="27" t="str">
        <f t="shared" si="23"/>
        <v/>
      </c>
      <c r="T56" s="28" t="str">
        <f t="shared" si="24"/>
        <v/>
      </c>
      <c r="U56" s="28" t="str">
        <f t="shared" si="25"/>
        <v/>
      </c>
      <c r="V56" s="28">
        <f t="shared" si="26"/>
        <v>1.0869565217385279E-2</v>
      </c>
      <c r="W56" s="28">
        <f t="shared" si="27"/>
        <v>1.0869565217385279E-2</v>
      </c>
      <c r="X56" s="29">
        <f t="shared" si="28"/>
        <v>0</v>
      </c>
      <c r="Y56" s="24"/>
    </row>
    <row r="57" spans="2:25" ht="15" customHeight="1" x14ac:dyDescent="0.2">
      <c r="B57" s="31">
        <v>42109</v>
      </c>
      <c r="C57" s="25"/>
      <c r="D57" s="26"/>
      <c r="E57" s="26"/>
      <c r="F57" s="16">
        <v>12.987</v>
      </c>
      <c r="G57" s="16">
        <v>10.045</v>
      </c>
      <c r="H57" s="16">
        <v>10.657</v>
      </c>
      <c r="I57" s="17">
        <v>101.517</v>
      </c>
      <c r="J57" s="58">
        <v>943</v>
      </c>
      <c r="K57" s="18">
        <f t="shared" si="29"/>
        <v>595</v>
      </c>
      <c r="L57" s="19" t="str">
        <f t="shared" si="20"/>
        <v/>
      </c>
      <c r="M57" s="19" t="str">
        <f t="shared" si="21"/>
        <v/>
      </c>
      <c r="N57" s="19" t="str">
        <f t="shared" si="22"/>
        <v/>
      </c>
      <c r="O57" s="19">
        <f t="shared" si="17"/>
        <v>-21.000000000000796</v>
      </c>
      <c r="P57" s="19">
        <f t="shared" si="18"/>
        <v>-8.0000000000000071</v>
      </c>
      <c r="Q57" s="19">
        <f t="shared" si="19"/>
        <v>-6.0000000000002274</v>
      </c>
      <c r="R57" s="19">
        <f t="shared" si="15"/>
        <v>-12.000000000000455</v>
      </c>
      <c r="S57" s="27" t="str">
        <f t="shared" si="23"/>
        <v/>
      </c>
      <c r="T57" s="28" t="str">
        <f t="shared" si="24"/>
        <v/>
      </c>
      <c r="U57" s="28" t="str">
        <f t="shared" si="25"/>
        <v/>
      </c>
      <c r="V57" s="28">
        <f t="shared" si="26"/>
        <v>-1.1904761904755307E-2</v>
      </c>
      <c r="W57" s="28">
        <f t="shared" si="27"/>
        <v>0</v>
      </c>
      <c r="X57" s="29">
        <f t="shared" si="28"/>
        <v>0</v>
      </c>
      <c r="Y57" s="24"/>
    </row>
    <row r="58" spans="2:25" ht="15" customHeight="1" x14ac:dyDescent="0.2">
      <c r="B58" s="31">
        <v>42221</v>
      </c>
      <c r="C58" s="33"/>
      <c r="D58" s="16"/>
      <c r="E58" s="16"/>
      <c r="F58" s="16">
        <v>12.986000000000001</v>
      </c>
      <c r="G58" s="16">
        <v>10.045</v>
      </c>
      <c r="H58" s="16">
        <v>10.656000000000001</v>
      </c>
      <c r="I58" s="16">
        <v>101.517</v>
      </c>
      <c r="J58" s="32">
        <v>1253</v>
      </c>
      <c r="K58" s="18">
        <f t="shared" si="29"/>
        <v>905</v>
      </c>
      <c r="L58" s="19" t="str">
        <f t="shared" si="20"/>
        <v/>
      </c>
      <c r="M58" s="19" t="str">
        <f t="shared" si="21"/>
        <v/>
      </c>
      <c r="N58" s="19" t="str">
        <f t="shared" si="22"/>
        <v/>
      </c>
      <c r="O58" s="19">
        <f t="shared" si="17"/>
        <v>-22.000000000000242</v>
      </c>
      <c r="P58" s="19">
        <f t="shared" si="18"/>
        <v>-8.0000000000000071</v>
      </c>
      <c r="Q58" s="19">
        <f t="shared" si="19"/>
        <v>-6.9999999999996732</v>
      </c>
      <c r="R58" s="19">
        <f t="shared" si="15"/>
        <v>-12.000000000000455</v>
      </c>
      <c r="S58" s="27" t="str">
        <f t="shared" si="23"/>
        <v/>
      </c>
      <c r="T58" s="28" t="str">
        <f t="shared" si="24"/>
        <v/>
      </c>
      <c r="U58" s="28" t="str">
        <f t="shared" si="25"/>
        <v/>
      </c>
      <c r="V58" s="28">
        <f t="shared" si="26"/>
        <v>-8.9285714285664806E-3</v>
      </c>
      <c r="W58" s="28">
        <f t="shared" si="27"/>
        <v>0</v>
      </c>
      <c r="X58" s="29">
        <f t="shared" si="28"/>
        <v>-8.9285714285664806E-3</v>
      </c>
      <c r="Y58" s="24"/>
    </row>
    <row r="59" spans="2:25" ht="15" customHeight="1" x14ac:dyDescent="0.2">
      <c r="B59" s="31">
        <v>42317</v>
      </c>
      <c r="C59" s="33"/>
      <c r="D59" s="16"/>
      <c r="E59" s="16"/>
      <c r="F59" s="16">
        <v>12.986000000000001</v>
      </c>
      <c r="G59" s="16">
        <v>10.045</v>
      </c>
      <c r="H59" s="16">
        <v>10.656000000000001</v>
      </c>
      <c r="I59" s="16">
        <v>101.517</v>
      </c>
      <c r="J59" s="32">
        <v>2215</v>
      </c>
      <c r="K59" s="18">
        <f t="shared" ref="K59:K61" si="30">IF(ISBLANK(J59),"",(J59-$J$8))</f>
        <v>1867</v>
      </c>
      <c r="L59" s="19" t="str">
        <f t="shared" si="20"/>
        <v/>
      </c>
      <c r="M59" s="19" t="str">
        <f t="shared" si="21"/>
        <v/>
      </c>
      <c r="N59" s="19" t="str">
        <f t="shared" si="22"/>
        <v/>
      </c>
      <c r="O59" s="19">
        <f t="shared" si="17"/>
        <v>-22.000000000000242</v>
      </c>
      <c r="P59" s="19">
        <f t="shared" si="18"/>
        <v>-8.0000000000000071</v>
      </c>
      <c r="Q59" s="19">
        <f t="shared" si="19"/>
        <v>-6.9999999999996732</v>
      </c>
      <c r="R59" s="19">
        <f t="shared" si="15"/>
        <v>-12.000000000000455</v>
      </c>
      <c r="S59" s="27" t="str">
        <f t="shared" si="23"/>
        <v/>
      </c>
      <c r="T59" s="28" t="str">
        <f t="shared" si="24"/>
        <v/>
      </c>
      <c r="U59" s="28" t="str">
        <f t="shared" si="25"/>
        <v/>
      </c>
      <c r="V59" s="28">
        <f t="shared" si="26"/>
        <v>0</v>
      </c>
      <c r="W59" s="28">
        <f t="shared" si="27"/>
        <v>0</v>
      </c>
      <c r="X59" s="29">
        <f t="shared" si="28"/>
        <v>0</v>
      </c>
      <c r="Y59" s="24"/>
    </row>
    <row r="60" spans="2:25" ht="15" customHeight="1" x14ac:dyDescent="0.2">
      <c r="B60" s="31">
        <v>42404</v>
      </c>
      <c r="C60" s="25">
        <v>12.742000000000001</v>
      </c>
      <c r="D60" s="26">
        <v>7.4720000000000004</v>
      </c>
      <c r="E60" s="26">
        <v>8.1920000000000002</v>
      </c>
      <c r="F60" s="16">
        <v>12.986000000000001</v>
      </c>
      <c r="G60" s="16">
        <v>10.044</v>
      </c>
      <c r="H60" s="16">
        <v>10.654999999999999</v>
      </c>
      <c r="I60" s="16">
        <v>101.517</v>
      </c>
      <c r="J60" s="58">
        <v>2484</v>
      </c>
      <c r="K60" s="18">
        <f t="shared" si="30"/>
        <v>2136</v>
      </c>
      <c r="L60" s="19">
        <f t="shared" si="20"/>
        <v>-24.999999999998579</v>
      </c>
      <c r="M60" s="19">
        <f t="shared" si="21"/>
        <v>-8.0000000000000071</v>
      </c>
      <c r="N60" s="19">
        <f t="shared" si="22"/>
        <v>-9.9999999999997868</v>
      </c>
      <c r="O60" s="19">
        <f t="shared" si="17"/>
        <v>-22.000000000000242</v>
      </c>
      <c r="P60" s="19">
        <f t="shared" si="18"/>
        <v>-8.9999999999994529</v>
      </c>
      <c r="Q60" s="19">
        <f t="shared" si="19"/>
        <v>-8.0000000000008953</v>
      </c>
      <c r="R60" s="19">
        <f t="shared" si="15"/>
        <v>-12.000000000000455</v>
      </c>
      <c r="S60" s="27"/>
      <c r="T60" s="28"/>
      <c r="U60" s="28"/>
      <c r="V60" s="28">
        <f t="shared" si="26"/>
        <v>0</v>
      </c>
      <c r="W60" s="28">
        <f t="shared" si="27"/>
        <v>-1.1494252873556848E-2</v>
      </c>
      <c r="X60" s="29">
        <f t="shared" si="28"/>
        <v>-1.1494252873577266E-2</v>
      </c>
      <c r="Y60" s="24"/>
    </row>
    <row r="61" spans="2:25" ht="15" customHeight="1" x14ac:dyDescent="0.2">
      <c r="B61" s="31">
        <v>42529</v>
      </c>
      <c r="C61" s="25"/>
      <c r="D61" s="26"/>
      <c r="E61" s="26"/>
      <c r="F61" s="16">
        <v>12.984999999999999</v>
      </c>
      <c r="G61" s="16">
        <v>10.044</v>
      </c>
      <c r="H61" s="16">
        <v>10.654</v>
      </c>
      <c r="I61" s="16">
        <v>101.517</v>
      </c>
      <c r="J61" s="58">
        <v>2603</v>
      </c>
      <c r="K61" s="18">
        <f t="shared" si="30"/>
        <v>2255</v>
      </c>
      <c r="L61" s="19" t="str">
        <f t="shared" si="20"/>
        <v/>
      </c>
      <c r="M61" s="19" t="str">
        <f t="shared" si="21"/>
        <v/>
      </c>
      <c r="N61" s="19" t="str">
        <f t="shared" si="22"/>
        <v/>
      </c>
      <c r="O61" s="19">
        <f t="shared" si="17"/>
        <v>-23.000000000001464</v>
      </c>
      <c r="P61" s="19">
        <f t="shared" si="18"/>
        <v>-8.9999999999994529</v>
      </c>
      <c r="Q61" s="19">
        <f t="shared" si="19"/>
        <v>-9.0000000000003411</v>
      </c>
      <c r="R61" s="19">
        <f t="shared" si="15"/>
        <v>-12.000000000000455</v>
      </c>
      <c r="S61" s="27" t="str">
        <f t="shared" si="23"/>
        <v/>
      </c>
      <c r="T61" s="28" t="str">
        <f t="shared" si="24"/>
        <v/>
      </c>
      <c r="U61" s="28" t="str">
        <f t="shared" si="25"/>
        <v/>
      </c>
      <c r="V61" s="28">
        <f t="shared" si="26"/>
        <v>-8.0000000000097771E-3</v>
      </c>
      <c r="W61" s="28">
        <f t="shared" si="27"/>
        <v>0</v>
      </c>
      <c r="X61" s="29">
        <f t="shared" si="28"/>
        <v>-7.9999999999955662E-3</v>
      </c>
      <c r="Y61" s="24"/>
    </row>
    <row r="62" spans="2:25" ht="15" customHeight="1" x14ac:dyDescent="0.2">
      <c r="B62" s="31"/>
      <c r="C62" s="25"/>
      <c r="D62" s="26"/>
      <c r="E62" s="26"/>
      <c r="F62" s="16"/>
      <c r="G62" s="16"/>
      <c r="H62" s="16"/>
      <c r="I62" s="16"/>
      <c r="J62" s="58"/>
      <c r="K62" s="18"/>
      <c r="L62" s="19" t="str">
        <f t="shared" si="20"/>
        <v/>
      </c>
      <c r="M62" s="19" t="str">
        <f t="shared" si="21"/>
        <v/>
      </c>
      <c r="N62" s="19" t="str">
        <f t="shared" si="22"/>
        <v/>
      </c>
      <c r="O62" s="19" t="str">
        <f t="shared" si="17"/>
        <v/>
      </c>
      <c r="P62" s="19" t="str">
        <f t="shared" si="18"/>
        <v/>
      </c>
      <c r="Q62" s="19" t="str">
        <f t="shared" si="19"/>
        <v/>
      </c>
      <c r="R62" s="19" t="str">
        <f t="shared" si="15"/>
        <v/>
      </c>
      <c r="S62" s="27" t="str">
        <f t="shared" si="23"/>
        <v/>
      </c>
      <c r="T62" s="28" t="str">
        <f t="shared" si="24"/>
        <v/>
      </c>
      <c r="U62" s="28" t="str">
        <f t="shared" si="25"/>
        <v/>
      </c>
      <c r="V62" s="28" t="str">
        <f t="shared" si="26"/>
        <v/>
      </c>
      <c r="W62" s="28" t="str">
        <f t="shared" si="27"/>
        <v/>
      </c>
      <c r="X62" s="29" t="str">
        <f t="shared" si="28"/>
        <v/>
      </c>
      <c r="Y62" s="24"/>
    </row>
    <row r="63" spans="2:25" ht="15" customHeight="1" x14ac:dyDescent="0.2">
      <c r="B63" s="31"/>
      <c r="C63" s="25"/>
      <c r="D63" s="26"/>
      <c r="E63" s="26"/>
      <c r="F63" s="16"/>
      <c r="G63" s="16"/>
      <c r="H63" s="16"/>
      <c r="I63" s="16"/>
      <c r="J63" s="58"/>
      <c r="K63" s="18"/>
      <c r="L63" s="19" t="str">
        <f t="shared" si="20"/>
        <v/>
      </c>
      <c r="M63" s="19" t="str">
        <f t="shared" si="21"/>
        <v/>
      </c>
      <c r="N63" s="19" t="str">
        <f t="shared" si="22"/>
        <v/>
      </c>
      <c r="O63" s="19" t="str">
        <f t="shared" si="17"/>
        <v/>
      </c>
      <c r="P63" s="19" t="str">
        <f t="shared" si="18"/>
        <v/>
      </c>
      <c r="Q63" s="19" t="str">
        <f t="shared" si="19"/>
        <v/>
      </c>
      <c r="R63" s="19" t="str">
        <f t="shared" si="15"/>
        <v/>
      </c>
      <c r="S63" s="27" t="str">
        <f t="shared" si="23"/>
        <v/>
      </c>
      <c r="T63" s="28" t="str">
        <f t="shared" si="24"/>
        <v/>
      </c>
      <c r="U63" s="28" t="str">
        <f t="shared" si="25"/>
        <v/>
      </c>
      <c r="V63" s="28" t="str">
        <f t="shared" si="26"/>
        <v/>
      </c>
      <c r="W63" s="28" t="str">
        <f t="shared" si="27"/>
        <v/>
      </c>
      <c r="X63" s="29" t="str">
        <f t="shared" si="28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20"/>
        <v/>
      </c>
      <c r="M64" s="19" t="str">
        <f t="shared" si="21"/>
        <v/>
      </c>
      <c r="N64" s="19" t="str">
        <f t="shared" si="22"/>
        <v/>
      </c>
      <c r="O64" s="19" t="str">
        <f t="shared" si="17"/>
        <v/>
      </c>
      <c r="P64" s="19" t="str">
        <f t="shared" si="18"/>
        <v/>
      </c>
      <c r="Q64" s="19" t="str">
        <f t="shared" si="19"/>
        <v/>
      </c>
      <c r="R64" s="19" t="str">
        <f t="shared" si="15"/>
        <v/>
      </c>
      <c r="S64" s="27" t="str">
        <f t="shared" si="23"/>
        <v/>
      </c>
      <c r="T64" s="28" t="str">
        <f t="shared" si="24"/>
        <v/>
      </c>
      <c r="U64" s="28" t="str">
        <f t="shared" si="25"/>
        <v/>
      </c>
      <c r="V64" s="28" t="str">
        <f t="shared" si="26"/>
        <v/>
      </c>
      <c r="W64" s="28" t="str">
        <f t="shared" si="27"/>
        <v/>
      </c>
      <c r="X64" s="29" t="str">
        <f t="shared" si="28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20"/>
        <v/>
      </c>
      <c r="M65" s="19" t="str">
        <f t="shared" si="21"/>
        <v/>
      </c>
      <c r="N65" s="19" t="str">
        <f t="shared" si="22"/>
        <v/>
      </c>
      <c r="O65" s="19" t="str">
        <f t="shared" si="17"/>
        <v/>
      </c>
      <c r="P65" s="19" t="str">
        <f t="shared" si="18"/>
        <v/>
      </c>
      <c r="Q65" s="19" t="str">
        <f t="shared" si="19"/>
        <v/>
      </c>
      <c r="R65" s="19" t="str">
        <f t="shared" ref="R65:R96" si="31">IF(ISBLANK(I65),"",(I65-I$16)*1000)</f>
        <v/>
      </c>
      <c r="S65" s="27" t="str">
        <f t="shared" si="23"/>
        <v/>
      </c>
      <c r="T65" s="28" t="str">
        <f t="shared" si="24"/>
        <v/>
      </c>
      <c r="U65" s="28" t="str">
        <f t="shared" si="25"/>
        <v/>
      </c>
      <c r="V65" s="28" t="str">
        <f t="shared" si="26"/>
        <v/>
      </c>
      <c r="W65" s="28" t="str">
        <f t="shared" si="27"/>
        <v/>
      </c>
      <c r="X65" s="29" t="str">
        <f t="shared" si="28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20"/>
        <v/>
      </c>
      <c r="M66" s="19" t="str">
        <f t="shared" si="21"/>
        <v/>
      </c>
      <c r="N66" s="19" t="str">
        <f t="shared" si="22"/>
        <v/>
      </c>
      <c r="O66" s="19" t="str">
        <f t="shared" si="17"/>
        <v/>
      </c>
      <c r="P66" s="19" t="str">
        <f t="shared" si="18"/>
        <v/>
      </c>
      <c r="Q66" s="19" t="str">
        <f t="shared" si="19"/>
        <v/>
      </c>
      <c r="R66" s="19" t="str">
        <f t="shared" si="31"/>
        <v/>
      </c>
      <c r="S66" s="27" t="str">
        <f t="shared" si="23"/>
        <v/>
      </c>
      <c r="T66" s="28" t="str">
        <f t="shared" si="24"/>
        <v/>
      </c>
      <c r="U66" s="28" t="str">
        <f t="shared" si="25"/>
        <v/>
      </c>
      <c r="V66" s="28" t="str">
        <f t="shared" si="26"/>
        <v/>
      </c>
      <c r="W66" s="28" t="str">
        <f t="shared" si="27"/>
        <v/>
      </c>
      <c r="X66" s="29" t="str">
        <f t="shared" si="28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20"/>
        <v/>
      </c>
      <c r="M67" s="19" t="str">
        <f t="shared" si="21"/>
        <v/>
      </c>
      <c r="N67" s="19" t="str">
        <f t="shared" si="22"/>
        <v/>
      </c>
      <c r="O67" s="19" t="str">
        <f t="shared" si="17"/>
        <v/>
      </c>
      <c r="P67" s="19" t="str">
        <f t="shared" si="18"/>
        <v/>
      </c>
      <c r="Q67" s="19" t="str">
        <f t="shared" si="19"/>
        <v/>
      </c>
      <c r="R67" s="19" t="str">
        <f t="shared" si="31"/>
        <v/>
      </c>
      <c r="S67" s="27" t="str">
        <f t="shared" si="23"/>
        <v/>
      </c>
      <c r="T67" s="28" t="str">
        <f t="shared" si="24"/>
        <v/>
      </c>
      <c r="U67" s="28" t="str">
        <f t="shared" si="25"/>
        <v/>
      </c>
      <c r="V67" s="28" t="str">
        <f t="shared" si="26"/>
        <v/>
      </c>
      <c r="W67" s="28" t="str">
        <f t="shared" si="27"/>
        <v/>
      </c>
      <c r="X67" s="29" t="str">
        <f t="shared" si="28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20"/>
        <v/>
      </c>
      <c r="M68" s="19" t="str">
        <f t="shared" si="21"/>
        <v/>
      </c>
      <c r="N68" s="19" t="str">
        <f t="shared" si="22"/>
        <v/>
      </c>
      <c r="O68" s="19" t="str">
        <f t="shared" si="17"/>
        <v/>
      </c>
      <c r="P68" s="19" t="str">
        <f t="shared" si="18"/>
        <v/>
      </c>
      <c r="Q68" s="19" t="str">
        <f t="shared" si="19"/>
        <v/>
      </c>
      <c r="R68" s="19" t="str">
        <f t="shared" si="31"/>
        <v/>
      </c>
      <c r="S68" s="27" t="str">
        <f t="shared" si="23"/>
        <v/>
      </c>
      <c r="T68" s="28" t="str">
        <f t="shared" si="24"/>
        <v/>
      </c>
      <c r="U68" s="28" t="str">
        <f t="shared" si="25"/>
        <v/>
      </c>
      <c r="V68" s="28" t="str">
        <f t="shared" si="26"/>
        <v/>
      </c>
      <c r="W68" s="28" t="str">
        <f t="shared" si="27"/>
        <v/>
      </c>
      <c r="X68" s="29" t="str">
        <f t="shared" si="28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20"/>
        <v/>
      </c>
      <c r="M69" s="19" t="str">
        <f t="shared" si="21"/>
        <v/>
      </c>
      <c r="N69" s="19" t="str">
        <f t="shared" si="22"/>
        <v/>
      </c>
      <c r="O69" s="19" t="str">
        <f t="shared" si="17"/>
        <v/>
      </c>
      <c r="P69" s="19" t="str">
        <f t="shared" si="18"/>
        <v/>
      </c>
      <c r="Q69" s="19" t="str">
        <f t="shared" si="19"/>
        <v/>
      </c>
      <c r="R69" s="19" t="str">
        <f t="shared" si="31"/>
        <v/>
      </c>
      <c r="S69" s="27" t="str">
        <f t="shared" si="23"/>
        <v/>
      </c>
      <c r="T69" s="28" t="str">
        <f t="shared" si="24"/>
        <v/>
      </c>
      <c r="U69" s="28" t="str">
        <f t="shared" si="25"/>
        <v/>
      </c>
      <c r="V69" s="28" t="str">
        <f t="shared" si="26"/>
        <v/>
      </c>
      <c r="W69" s="28" t="str">
        <f t="shared" si="27"/>
        <v/>
      </c>
      <c r="X69" s="29" t="str">
        <f t="shared" si="28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0"/>
        <v/>
      </c>
      <c r="M70" s="19" t="str">
        <f t="shared" si="21"/>
        <v/>
      </c>
      <c r="N70" s="19" t="str">
        <f t="shared" si="22"/>
        <v/>
      </c>
      <c r="O70" s="19" t="str">
        <f t="shared" si="17"/>
        <v/>
      </c>
      <c r="P70" s="19" t="str">
        <f t="shared" si="18"/>
        <v/>
      </c>
      <c r="Q70" s="19" t="str">
        <f t="shared" si="19"/>
        <v/>
      </c>
      <c r="R70" s="19" t="str">
        <f t="shared" si="31"/>
        <v/>
      </c>
      <c r="S70" s="27" t="str">
        <f t="shared" si="23"/>
        <v/>
      </c>
      <c r="T70" s="28" t="str">
        <f t="shared" si="24"/>
        <v/>
      </c>
      <c r="U70" s="28" t="str">
        <f t="shared" si="25"/>
        <v/>
      </c>
      <c r="V70" s="28" t="str">
        <f t="shared" si="26"/>
        <v/>
      </c>
      <c r="W70" s="28" t="str">
        <f t="shared" si="27"/>
        <v/>
      </c>
      <c r="X70" s="29" t="str">
        <f t="shared" si="28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0"/>
        <v/>
      </c>
      <c r="M71" s="19" t="str">
        <f t="shared" si="21"/>
        <v/>
      </c>
      <c r="N71" s="19" t="str">
        <f t="shared" si="22"/>
        <v/>
      </c>
      <c r="O71" s="19" t="str">
        <f t="shared" si="17"/>
        <v/>
      </c>
      <c r="P71" s="19" t="str">
        <f t="shared" si="18"/>
        <v/>
      </c>
      <c r="Q71" s="19" t="str">
        <f t="shared" si="19"/>
        <v/>
      </c>
      <c r="R71" s="19" t="str">
        <f t="shared" si="31"/>
        <v/>
      </c>
      <c r="S71" s="27" t="str">
        <f t="shared" si="23"/>
        <v/>
      </c>
      <c r="T71" s="28" t="str">
        <f t="shared" si="24"/>
        <v/>
      </c>
      <c r="U71" s="28" t="str">
        <f t="shared" si="25"/>
        <v/>
      </c>
      <c r="V71" s="28" t="str">
        <f t="shared" si="26"/>
        <v/>
      </c>
      <c r="W71" s="28" t="str">
        <f t="shared" si="27"/>
        <v/>
      </c>
      <c r="X71" s="29" t="str">
        <f t="shared" si="2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0"/>
        <v/>
      </c>
      <c r="M72" s="19" t="str">
        <f t="shared" si="21"/>
        <v/>
      </c>
      <c r="N72" s="19" t="str">
        <f t="shared" si="22"/>
        <v/>
      </c>
      <c r="O72" s="19" t="str">
        <f t="shared" si="17"/>
        <v/>
      </c>
      <c r="P72" s="19" t="str">
        <f t="shared" si="18"/>
        <v/>
      </c>
      <c r="Q72" s="19" t="str">
        <f t="shared" si="19"/>
        <v/>
      </c>
      <c r="R72" s="19" t="str">
        <f t="shared" si="31"/>
        <v/>
      </c>
      <c r="S72" s="27" t="str">
        <f t="shared" si="23"/>
        <v/>
      </c>
      <c r="T72" s="28" t="str">
        <f t="shared" si="24"/>
        <v/>
      </c>
      <c r="U72" s="28" t="str">
        <f t="shared" si="25"/>
        <v/>
      </c>
      <c r="V72" s="28" t="str">
        <f t="shared" si="26"/>
        <v/>
      </c>
      <c r="W72" s="28" t="str">
        <f t="shared" si="27"/>
        <v/>
      </c>
      <c r="X72" s="29" t="str">
        <f t="shared" si="2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0"/>
        <v/>
      </c>
      <c r="M73" s="19" t="str">
        <f t="shared" si="21"/>
        <v/>
      </c>
      <c r="N73" s="19" t="str">
        <f t="shared" si="22"/>
        <v/>
      </c>
      <c r="O73" s="19" t="str">
        <f t="shared" si="17"/>
        <v/>
      </c>
      <c r="P73" s="19" t="str">
        <f t="shared" si="18"/>
        <v/>
      </c>
      <c r="Q73" s="19" t="str">
        <f t="shared" si="19"/>
        <v/>
      </c>
      <c r="R73" s="19" t="str">
        <f t="shared" si="31"/>
        <v/>
      </c>
      <c r="S73" s="27" t="str">
        <f t="shared" si="23"/>
        <v/>
      </c>
      <c r="T73" s="28" t="str">
        <f t="shared" si="24"/>
        <v/>
      </c>
      <c r="U73" s="28" t="str">
        <f t="shared" si="25"/>
        <v/>
      </c>
      <c r="V73" s="28" t="str">
        <f t="shared" si="26"/>
        <v/>
      </c>
      <c r="W73" s="28" t="str">
        <f t="shared" si="27"/>
        <v/>
      </c>
      <c r="X73" s="29" t="str">
        <f t="shared" si="2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0"/>
        <v/>
      </c>
      <c r="M74" s="19" t="str">
        <f t="shared" si="21"/>
        <v/>
      </c>
      <c r="N74" s="19" t="str">
        <f t="shared" si="22"/>
        <v/>
      </c>
      <c r="O74" s="19" t="str">
        <f t="shared" si="17"/>
        <v/>
      </c>
      <c r="P74" s="19" t="str">
        <f t="shared" si="18"/>
        <v/>
      </c>
      <c r="Q74" s="19" t="str">
        <f t="shared" si="19"/>
        <v/>
      </c>
      <c r="R74" s="19" t="str">
        <f t="shared" si="31"/>
        <v/>
      </c>
      <c r="S74" s="27" t="str">
        <f t="shared" si="23"/>
        <v/>
      </c>
      <c r="T74" s="28" t="str">
        <f t="shared" si="24"/>
        <v/>
      </c>
      <c r="U74" s="28" t="str">
        <f t="shared" si="25"/>
        <v/>
      </c>
      <c r="V74" s="28" t="str">
        <f t="shared" si="26"/>
        <v/>
      </c>
      <c r="W74" s="28" t="str">
        <f t="shared" si="27"/>
        <v/>
      </c>
      <c r="X74" s="29" t="str">
        <f t="shared" si="2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0"/>
        <v/>
      </c>
      <c r="M75" s="19" t="str">
        <f t="shared" si="21"/>
        <v/>
      </c>
      <c r="N75" s="19" t="str">
        <f t="shared" si="22"/>
        <v/>
      </c>
      <c r="O75" s="19" t="str">
        <f t="shared" si="17"/>
        <v/>
      </c>
      <c r="P75" s="19" t="str">
        <f t="shared" si="18"/>
        <v/>
      </c>
      <c r="Q75" s="19" t="str">
        <f t="shared" si="19"/>
        <v/>
      </c>
      <c r="R75" s="19" t="str">
        <f t="shared" si="31"/>
        <v/>
      </c>
      <c r="S75" s="27" t="str">
        <f t="shared" si="23"/>
        <v/>
      </c>
      <c r="T75" s="28" t="str">
        <f t="shared" si="24"/>
        <v/>
      </c>
      <c r="U75" s="28" t="str">
        <f t="shared" si="25"/>
        <v/>
      </c>
      <c r="V75" s="28" t="str">
        <f t="shared" si="26"/>
        <v/>
      </c>
      <c r="W75" s="28" t="str">
        <f t="shared" si="27"/>
        <v/>
      </c>
      <c r="X75" s="29" t="str">
        <f t="shared" si="2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0"/>
        <v/>
      </c>
      <c r="M76" s="19" t="str">
        <f t="shared" si="21"/>
        <v/>
      </c>
      <c r="N76" s="19" t="str">
        <f t="shared" si="22"/>
        <v/>
      </c>
      <c r="O76" s="19" t="str">
        <f t="shared" si="17"/>
        <v/>
      </c>
      <c r="P76" s="19" t="str">
        <f t="shared" si="18"/>
        <v/>
      </c>
      <c r="Q76" s="19" t="str">
        <f t="shared" si="19"/>
        <v/>
      </c>
      <c r="R76" s="19" t="str">
        <f t="shared" si="31"/>
        <v/>
      </c>
      <c r="S76" s="27" t="str">
        <f t="shared" si="23"/>
        <v/>
      </c>
      <c r="T76" s="28" t="str">
        <f t="shared" si="24"/>
        <v/>
      </c>
      <c r="U76" s="28" t="str">
        <f t="shared" si="25"/>
        <v/>
      </c>
      <c r="V76" s="28" t="str">
        <f t="shared" si="26"/>
        <v/>
      </c>
      <c r="W76" s="28" t="str">
        <f t="shared" si="27"/>
        <v/>
      </c>
      <c r="X76" s="29" t="str">
        <f t="shared" si="2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0"/>
        <v/>
      </c>
      <c r="M77" s="19" t="str">
        <f t="shared" si="21"/>
        <v/>
      </c>
      <c r="N77" s="19" t="str">
        <f t="shared" si="22"/>
        <v/>
      </c>
      <c r="O77" s="19" t="str">
        <f t="shared" si="17"/>
        <v/>
      </c>
      <c r="P77" s="19" t="str">
        <f t="shared" si="18"/>
        <v/>
      </c>
      <c r="Q77" s="19" t="str">
        <f t="shared" si="19"/>
        <v/>
      </c>
      <c r="R77" s="19" t="str">
        <f t="shared" si="31"/>
        <v/>
      </c>
      <c r="S77" s="27" t="str">
        <f t="shared" si="23"/>
        <v/>
      </c>
      <c r="T77" s="28" t="str">
        <f t="shared" si="24"/>
        <v/>
      </c>
      <c r="U77" s="28" t="str">
        <f t="shared" si="25"/>
        <v/>
      </c>
      <c r="V77" s="28" t="str">
        <f t="shared" si="26"/>
        <v/>
      </c>
      <c r="W77" s="28" t="str">
        <f t="shared" si="27"/>
        <v/>
      </c>
      <c r="X77" s="29" t="str">
        <f t="shared" si="2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0"/>
        <v/>
      </c>
      <c r="M78" s="19" t="str">
        <f t="shared" si="21"/>
        <v/>
      </c>
      <c r="N78" s="19" t="str">
        <f t="shared" si="22"/>
        <v/>
      </c>
      <c r="O78" s="19" t="str">
        <f t="shared" si="17"/>
        <v/>
      </c>
      <c r="P78" s="19" t="str">
        <f t="shared" si="18"/>
        <v/>
      </c>
      <c r="Q78" s="19" t="str">
        <f t="shared" si="19"/>
        <v/>
      </c>
      <c r="R78" s="19" t="str">
        <f t="shared" si="31"/>
        <v/>
      </c>
      <c r="S78" s="27" t="str">
        <f t="shared" si="23"/>
        <v/>
      </c>
      <c r="T78" s="28" t="str">
        <f t="shared" si="24"/>
        <v/>
      </c>
      <c r="U78" s="28" t="str">
        <f t="shared" si="25"/>
        <v/>
      </c>
      <c r="V78" s="28" t="str">
        <f t="shared" si="26"/>
        <v/>
      </c>
      <c r="W78" s="28" t="str">
        <f t="shared" si="27"/>
        <v/>
      </c>
      <c r="X78" s="29" t="str">
        <f t="shared" si="2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0"/>
        <v/>
      </c>
      <c r="M79" s="19" t="str">
        <f t="shared" si="21"/>
        <v/>
      </c>
      <c r="N79" s="19" t="str">
        <f t="shared" si="22"/>
        <v/>
      </c>
      <c r="O79" s="19" t="str">
        <f t="shared" si="17"/>
        <v/>
      </c>
      <c r="P79" s="19" t="str">
        <f t="shared" si="18"/>
        <v/>
      </c>
      <c r="Q79" s="19" t="str">
        <f t="shared" si="19"/>
        <v/>
      </c>
      <c r="R79" s="19" t="str">
        <f t="shared" si="31"/>
        <v/>
      </c>
      <c r="S79" s="27" t="str">
        <f t="shared" si="23"/>
        <v/>
      </c>
      <c r="T79" s="28" t="str">
        <f t="shared" si="24"/>
        <v/>
      </c>
      <c r="U79" s="28" t="str">
        <f t="shared" si="25"/>
        <v/>
      </c>
      <c r="V79" s="28" t="str">
        <f t="shared" si="26"/>
        <v/>
      </c>
      <c r="W79" s="28" t="str">
        <f t="shared" si="27"/>
        <v/>
      </c>
      <c r="X79" s="29" t="str">
        <f t="shared" si="2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2">IF(ISBLANK(C80),"",(C80-C$16)*1000)</f>
        <v/>
      </c>
      <c r="M80" s="19" t="str">
        <f t="shared" ref="M80:M111" si="33">IF(ISBLANK(D80),"",(D80-D$16)*1000)</f>
        <v/>
      </c>
      <c r="N80" s="19" t="str">
        <f t="shared" ref="N80:N111" si="34">IF(ISBLANK(E80),"",(E80-E$16)*1000)</f>
        <v/>
      </c>
      <c r="O80" s="19" t="str">
        <f t="shared" si="17"/>
        <v/>
      </c>
      <c r="P80" s="19" t="str">
        <f t="shared" si="18"/>
        <v/>
      </c>
      <c r="Q80" s="19" t="str">
        <f t="shared" si="19"/>
        <v/>
      </c>
      <c r="R80" s="19" t="str">
        <f t="shared" si="31"/>
        <v/>
      </c>
      <c r="S80" s="27" t="str">
        <f t="shared" si="23"/>
        <v/>
      </c>
      <c r="T80" s="28" t="str">
        <f t="shared" si="24"/>
        <v/>
      </c>
      <c r="U80" s="28" t="str">
        <f t="shared" si="25"/>
        <v/>
      </c>
      <c r="V80" s="28" t="str">
        <f t="shared" si="26"/>
        <v/>
      </c>
      <c r="W80" s="28" t="str">
        <f t="shared" si="27"/>
        <v/>
      </c>
      <c r="X80" s="29" t="str">
        <f t="shared" si="2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2"/>
        <v/>
      </c>
      <c r="M81" s="19" t="str">
        <f t="shared" si="33"/>
        <v/>
      </c>
      <c r="N81" s="19" t="str">
        <f t="shared" si="34"/>
        <v/>
      </c>
      <c r="O81" s="19" t="str">
        <f t="shared" si="17"/>
        <v/>
      </c>
      <c r="P81" s="19" t="str">
        <f t="shared" si="18"/>
        <v/>
      </c>
      <c r="Q81" s="19" t="str">
        <f t="shared" si="19"/>
        <v/>
      </c>
      <c r="R81" s="19" t="str">
        <f t="shared" si="31"/>
        <v/>
      </c>
      <c r="S81" s="27" t="str">
        <f t="shared" ref="S81:S112" si="35">IF(C81="","",((C81-C80)*1000)/($B81-$B80))</f>
        <v/>
      </c>
      <c r="T81" s="28" t="str">
        <f t="shared" ref="T81:T112" si="36">IF(D81="","",((D81-D80)*1000)/($B81-$B80))</f>
        <v/>
      </c>
      <c r="U81" s="28" t="str">
        <f t="shared" ref="U81:U112" si="37">IF(E81="","",((E81-E80)*1000)/($B81-$B80))</f>
        <v/>
      </c>
      <c r="V81" s="28" t="str">
        <f t="shared" ref="V81:V112" si="38">IF(F81="","",((F81-F80)*1000)/($B81-$B80))</f>
        <v/>
      </c>
      <c r="W81" s="28" t="str">
        <f t="shared" ref="W81:W112" si="39">IF(G81="","",((G81-G80)*1000)/($B81-$B80))</f>
        <v/>
      </c>
      <c r="X81" s="29" t="str">
        <f t="shared" ref="X81:X112" si="40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2"/>
        <v/>
      </c>
      <c r="M82" s="19" t="str">
        <f t="shared" si="33"/>
        <v/>
      </c>
      <c r="N82" s="19" t="str">
        <f t="shared" si="34"/>
        <v/>
      </c>
      <c r="O82" s="19" t="str">
        <f t="shared" si="17"/>
        <v/>
      </c>
      <c r="P82" s="19" t="str">
        <f t="shared" si="18"/>
        <v/>
      </c>
      <c r="Q82" s="19" t="str">
        <f t="shared" si="19"/>
        <v/>
      </c>
      <c r="R82" s="19" t="str">
        <f t="shared" si="31"/>
        <v/>
      </c>
      <c r="S82" s="27" t="str">
        <f t="shared" si="35"/>
        <v/>
      </c>
      <c r="T82" s="28" t="str">
        <f t="shared" si="36"/>
        <v/>
      </c>
      <c r="U82" s="28" t="str">
        <f t="shared" si="37"/>
        <v/>
      </c>
      <c r="V82" s="28" t="str">
        <f t="shared" si="38"/>
        <v/>
      </c>
      <c r="W82" s="28" t="str">
        <f t="shared" si="39"/>
        <v/>
      </c>
      <c r="X82" s="29" t="str">
        <f t="shared" si="40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2"/>
        <v/>
      </c>
      <c r="M83" s="19" t="str">
        <f t="shared" si="33"/>
        <v/>
      </c>
      <c r="N83" s="19" t="str">
        <f t="shared" si="34"/>
        <v/>
      </c>
      <c r="O83" s="19" t="str">
        <f t="shared" si="17"/>
        <v/>
      </c>
      <c r="P83" s="19" t="str">
        <f t="shared" si="18"/>
        <v/>
      </c>
      <c r="Q83" s="19" t="str">
        <f t="shared" si="19"/>
        <v/>
      </c>
      <c r="R83" s="19" t="str">
        <f t="shared" si="31"/>
        <v/>
      </c>
      <c r="S83" s="27" t="str">
        <f t="shared" si="35"/>
        <v/>
      </c>
      <c r="T83" s="28" t="str">
        <f t="shared" si="36"/>
        <v/>
      </c>
      <c r="U83" s="28" t="str">
        <f t="shared" si="37"/>
        <v/>
      </c>
      <c r="V83" s="28" t="str">
        <f t="shared" si="38"/>
        <v/>
      </c>
      <c r="W83" s="28" t="str">
        <f t="shared" si="39"/>
        <v/>
      </c>
      <c r="X83" s="29" t="str">
        <f t="shared" si="40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2"/>
        <v/>
      </c>
      <c r="M84" s="19" t="str">
        <f t="shared" si="33"/>
        <v/>
      </c>
      <c r="N84" s="19" t="str">
        <f t="shared" si="34"/>
        <v/>
      </c>
      <c r="O84" s="19" t="str">
        <f t="shared" si="17"/>
        <v/>
      </c>
      <c r="P84" s="19" t="str">
        <f t="shared" si="18"/>
        <v/>
      </c>
      <c r="Q84" s="19" t="str">
        <f t="shared" si="19"/>
        <v/>
      </c>
      <c r="R84" s="19" t="str">
        <f t="shared" si="31"/>
        <v/>
      </c>
      <c r="S84" s="27" t="str">
        <f t="shared" si="35"/>
        <v/>
      </c>
      <c r="T84" s="28" t="str">
        <f t="shared" si="36"/>
        <v/>
      </c>
      <c r="U84" s="28" t="str">
        <f t="shared" si="37"/>
        <v/>
      </c>
      <c r="V84" s="28" t="str">
        <f t="shared" si="38"/>
        <v/>
      </c>
      <c r="W84" s="28" t="str">
        <f t="shared" si="39"/>
        <v/>
      </c>
      <c r="X84" s="29" t="str">
        <f t="shared" si="40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2"/>
        <v/>
      </c>
      <c r="M85" s="19" t="str">
        <f t="shared" si="33"/>
        <v/>
      </c>
      <c r="N85" s="19" t="str">
        <f t="shared" si="34"/>
        <v/>
      </c>
      <c r="O85" s="19" t="str">
        <f t="shared" si="17"/>
        <v/>
      </c>
      <c r="P85" s="19" t="str">
        <f t="shared" si="18"/>
        <v/>
      </c>
      <c r="Q85" s="19" t="str">
        <f t="shared" si="19"/>
        <v/>
      </c>
      <c r="R85" s="19" t="str">
        <f t="shared" si="31"/>
        <v/>
      </c>
      <c r="S85" s="27" t="str">
        <f t="shared" si="35"/>
        <v/>
      </c>
      <c r="T85" s="28" t="str">
        <f t="shared" si="36"/>
        <v/>
      </c>
      <c r="U85" s="28" t="str">
        <f t="shared" si="37"/>
        <v/>
      </c>
      <c r="V85" s="28" t="str">
        <f t="shared" si="38"/>
        <v/>
      </c>
      <c r="W85" s="28" t="str">
        <f t="shared" si="39"/>
        <v/>
      </c>
      <c r="X85" s="29" t="str">
        <f t="shared" si="40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2"/>
        <v/>
      </c>
      <c r="M86" s="19" t="str">
        <f t="shared" si="33"/>
        <v/>
      </c>
      <c r="N86" s="19" t="str">
        <f t="shared" si="34"/>
        <v/>
      </c>
      <c r="O86" s="19" t="str">
        <f t="shared" si="17"/>
        <v/>
      </c>
      <c r="P86" s="19" t="str">
        <f t="shared" si="18"/>
        <v/>
      </c>
      <c r="Q86" s="19" t="str">
        <f t="shared" si="19"/>
        <v/>
      </c>
      <c r="R86" s="19" t="str">
        <f t="shared" si="31"/>
        <v/>
      </c>
      <c r="S86" s="27" t="str">
        <f t="shared" si="35"/>
        <v/>
      </c>
      <c r="T86" s="28" t="str">
        <f t="shared" si="36"/>
        <v/>
      </c>
      <c r="U86" s="28" t="str">
        <f t="shared" si="37"/>
        <v/>
      </c>
      <c r="V86" s="28" t="str">
        <f t="shared" si="38"/>
        <v/>
      </c>
      <c r="W86" s="28" t="str">
        <f t="shared" si="39"/>
        <v/>
      </c>
      <c r="X86" s="29" t="str">
        <f t="shared" si="40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2"/>
        <v/>
      </c>
      <c r="M87" s="19" t="str">
        <f t="shared" si="33"/>
        <v/>
      </c>
      <c r="N87" s="19" t="str">
        <f t="shared" si="34"/>
        <v/>
      </c>
      <c r="O87" s="19" t="str">
        <f t="shared" si="17"/>
        <v/>
      </c>
      <c r="P87" s="19" t="str">
        <f t="shared" si="18"/>
        <v/>
      </c>
      <c r="Q87" s="19" t="str">
        <f t="shared" si="19"/>
        <v/>
      </c>
      <c r="R87" s="19" t="str">
        <f t="shared" si="31"/>
        <v/>
      </c>
      <c r="S87" s="27" t="str">
        <f t="shared" si="35"/>
        <v/>
      </c>
      <c r="T87" s="28" t="str">
        <f t="shared" si="36"/>
        <v/>
      </c>
      <c r="U87" s="28" t="str">
        <f t="shared" si="37"/>
        <v/>
      </c>
      <c r="V87" s="28" t="str">
        <f t="shared" si="38"/>
        <v/>
      </c>
      <c r="W87" s="28" t="str">
        <f t="shared" si="39"/>
        <v/>
      </c>
      <c r="X87" s="29" t="str">
        <f t="shared" si="40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2"/>
        <v/>
      </c>
      <c r="M88" s="19" t="str">
        <f t="shared" si="33"/>
        <v/>
      </c>
      <c r="N88" s="19" t="str">
        <f t="shared" si="34"/>
        <v/>
      </c>
      <c r="O88" s="19" t="str">
        <f t="shared" si="17"/>
        <v/>
      </c>
      <c r="P88" s="19" t="str">
        <f t="shared" si="18"/>
        <v/>
      </c>
      <c r="Q88" s="19" t="str">
        <f t="shared" si="19"/>
        <v/>
      </c>
      <c r="R88" s="19" t="str">
        <f t="shared" si="31"/>
        <v/>
      </c>
      <c r="S88" s="27" t="str">
        <f t="shared" si="35"/>
        <v/>
      </c>
      <c r="T88" s="28" t="str">
        <f t="shared" si="36"/>
        <v/>
      </c>
      <c r="U88" s="28" t="str">
        <f t="shared" si="37"/>
        <v/>
      </c>
      <c r="V88" s="28" t="str">
        <f t="shared" si="38"/>
        <v/>
      </c>
      <c r="W88" s="28" t="str">
        <f t="shared" si="39"/>
        <v/>
      </c>
      <c r="X88" s="29" t="str">
        <f t="shared" si="40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2"/>
        <v/>
      </c>
      <c r="M89" s="19" t="str">
        <f t="shared" si="33"/>
        <v/>
      </c>
      <c r="N89" s="19" t="str">
        <f t="shared" si="34"/>
        <v/>
      </c>
      <c r="O89" s="19" t="str">
        <f t="shared" si="17"/>
        <v/>
      </c>
      <c r="P89" s="19" t="str">
        <f t="shared" si="18"/>
        <v/>
      </c>
      <c r="Q89" s="19" t="str">
        <f t="shared" si="19"/>
        <v/>
      </c>
      <c r="R89" s="19" t="str">
        <f t="shared" si="31"/>
        <v/>
      </c>
      <c r="S89" s="27" t="str">
        <f t="shared" si="35"/>
        <v/>
      </c>
      <c r="T89" s="28" t="str">
        <f t="shared" si="36"/>
        <v/>
      </c>
      <c r="U89" s="28" t="str">
        <f t="shared" si="37"/>
        <v/>
      </c>
      <c r="V89" s="28" t="str">
        <f t="shared" si="38"/>
        <v/>
      </c>
      <c r="W89" s="28" t="str">
        <f t="shared" si="39"/>
        <v/>
      </c>
      <c r="X89" s="29" t="str">
        <f t="shared" si="40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2"/>
        <v/>
      </c>
      <c r="M90" s="19" t="str">
        <f t="shared" si="33"/>
        <v/>
      </c>
      <c r="N90" s="19" t="str">
        <f t="shared" si="34"/>
        <v/>
      </c>
      <c r="O90" s="19" t="str">
        <f t="shared" si="17"/>
        <v/>
      </c>
      <c r="P90" s="19" t="str">
        <f t="shared" si="18"/>
        <v/>
      </c>
      <c r="Q90" s="19" t="str">
        <f t="shared" si="19"/>
        <v/>
      </c>
      <c r="R90" s="19" t="str">
        <f t="shared" si="31"/>
        <v/>
      </c>
      <c r="S90" s="27" t="str">
        <f t="shared" si="35"/>
        <v/>
      </c>
      <c r="T90" s="28" t="str">
        <f t="shared" si="36"/>
        <v/>
      </c>
      <c r="U90" s="28" t="str">
        <f t="shared" si="37"/>
        <v/>
      </c>
      <c r="V90" s="28" t="str">
        <f t="shared" si="38"/>
        <v/>
      </c>
      <c r="W90" s="28" t="str">
        <f t="shared" si="39"/>
        <v/>
      </c>
      <c r="X90" s="29" t="str">
        <f t="shared" si="40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2"/>
        <v/>
      </c>
      <c r="M91" s="19" t="str">
        <f t="shared" si="33"/>
        <v/>
      </c>
      <c r="N91" s="19" t="str">
        <f t="shared" si="34"/>
        <v/>
      </c>
      <c r="O91" s="19" t="str">
        <f t="shared" si="17"/>
        <v/>
      </c>
      <c r="P91" s="19" t="str">
        <f t="shared" si="18"/>
        <v/>
      </c>
      <c r="Q91" s="19" t="str">
        <f t="shared" si="19"/>
        <v/>
      </c>
      <c r="R91" s="19" t="str">
        <f t="shared" si="31"/>
        <v/>
      </c>
      <c r="S91" s="27" t="str">
        <f t="shared" si="35"/>
        <v/>
      </c>
      <c r="T91" s="28" t="str">
        <f t="shared" si="36"/>
        <v/>
      </c>
      <c r="U91" s="28" t="str">
        <f t="shared" si="37"/>
        <v/>
      </c>
      <c r="V91" s="28" t="str">
        <f t="shared" si="38"/>
        <v/>
      </c>
      <c r="W91" s="28" t="str">
        <f t="shared" si="39"/>
        <v/>
      </c>
      <c r="X91" s="29" t="str">
        <f t="shared" si="40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2"/>
        <v/>
      </c>
      <c r="M92" s="19" t="str">
        <f t="shared" si="33"/>
        <v/>
      </c>
      <c r="N92" s="19" t="str">
        <f t="shared" si="34"/>
        <v/>
      </c>
      <c r="O92" s="19" t="str">
        <f t="shared" si="17"/>
        <v/>
      </c>
      <c r="P92" s="19" t="str">
        <f t="shared" si="18"/>
        <v/>
      </c>
      <c r="Q92" s="19" t="str">
        <f t="shared" si="19"/>
        <v/>
      </c>
      <c r="R92" s="19" t="str">
        <f t="shared" si="31"/>
        <v/>
      </c>
      <c r="S92" s="27" t="str">
        <f t="shared" si="35"/>
        <v/>
      </c>
      <c r="T92" s="28" t="str">
        <f t="shared" si="36"/>
        <v/>
      </c>
      <c r="U92" s="28" t="str">
        <f t="shared" si="37"/>
        <v/>
      </c>
      <c r="V92" s="28" t="str">
        <f t="shared" si="38"/>
        <v/>
      </c>
      <c r="W92" s="28" t="str">
        <f t="shared" si="39"/>
        <v/>
      </c>
      <c r="X92" s="29" t="str">
        <f t="shared" si="40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2"/>
        <v/>
      </c>
      <c r="M93" s="19" t="str">
        <f t="shared" si="33"/>
        <v/>
      </c>
      <c r="N93" s="19" t="str">
        <f t="shared" si="34"/>
        <v/>
      </c>
      <c r="O93" s="19" t="str">
        <f t="shared" si="17"/>
        <v/>
      </c>
      <c r="P93" s="19" t="str">
        <f t="shared" si="18"/>
        <v/>
      </c>
      <c r="Q93" s="19" t="str">
        <f t="shared" si="19"/>
        <v/>
      </c>
      <c r="R93" s="19" t="str">
        <f t="shared" si="31"/>
        <v/>
      </c>
      <c r="S93" s="27" t="str">
        <f t="shared" si="35"/>
        <v/>
      </c>
      <c r="T93" s="28" t="str">
        <f t="shared" si="36"/>
        <v/>
      </c>
      <c r="U93" s="28" t="str">
        <f t="shared" si="37"/>
        <v/>
      </c>
      <c r="V93" s="28" t="str">
        <f t="shared" si="38"/>
        <v/>
      </c>
      <c r="W93" s="28" t="str">
        <f t="shared" si="39"/>
        <v/>
      </c>
      <c r="X93" s="29" t="str">
        <f t="shared" si="40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2"/>
        <v/>
      </c>
      <c r="M94" s="19" t="str">
        <f t="shared" si="33"/>
        <v/>
      </c>
      <c r="N94" s="19" t="str">
        <f t="shared" si="34"/>
        <v/>
      </c>
      <c r="O94" s="19" t="str">
        <f t="shared" si="17"/>
        <v/>
      </c>
      <c r="P94" s="19" t="str">
        <f t="shared" si="18"/>
        <v/>
      </c>
      <c r="Q94" s="19" t="str">
        <f t="shared" si="19"/>
        <v/>
      </c>
      <c r="R94" s="19" t="str">
        <f t="shared" si="31"/>
        <v/>
      </c>
      <c r="S94" s="27" t="str">
        <f t="shared" si="35"/>
        <v/>
      </c>
      <c r="T94" s="28" t="str">
        <f t="shared" si="36"/>
        <v/>
      </c>
      <c r="U94" s="28" t="str">
        <f t="shared" si="37"/>
        <v/>
      </c>
      <c r="V94" s="28" t="str">
        <f t="shared" si="38"/>
        <v/>
      </c>
      <c r="W94" s="28" t="str">
        <f t="shared" si="39"/>
        <v/>
      </c>
      <c r="X94" s="29" t="str">
        <f t="shared" si="40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2"/>
        <v/>
      </c>
      <c r="M95" s="19" t="str">
        <f t="shared" si="33"/>
        <v/>
      </c>
      <c r="N95" s="19" t="str">
        <f t="shared" si="34"/>
        <v/>
      </c>
      <c r="O95" s="19" t="str">
        <f t="shared" si="17"/>
        <v/>
      </c>
      <c r="P95" s="19" t="str">
        <f t="shared" si="18"/>
        <v/>
      </c>
      <c r="Q95" s="19" t="str">
        <f t="shared" si="19"/>
        <v/>
      </c>
      <c r="R95" s="19" t="str">
        <f t="shared" si="31"/>
        <v/>
      </c>
      <c r="S95" s="27" t="str">
        <f t="shared" si="35"/>
        <v/>
      </c>
      <c r="T95" s="28" t="str">
        <f t="shared" si="36"/>
        <v/>
      </c>
      <c r="U95" s="28" t="str">
        <f t="shared" si="37"/>
        <v/>
      </c>
      <c r="V95" s="28" t="str">
        <f t="shared" si="38"/>
        <v/>
      </c>
      <c r="W95" s="28" t="str">
        <f t="shared" si="39"/>
        <v/>
      </c>
      <c r="X95" s="29" t="str">
        <f t="shared" si="40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2"/>
        <v/>
      </c>
      <c r="M96" s="19" t="str">
        <f t="shared" si="33"/>
        <v/>
      </c>
      <c r="N96" s="19" t="str">
        <f t="shared" si="34"/>
        <v/>
      </c>
      <c r="O96" s="19" t="str">
        <f t="shared" si="17"/>
        <v/>
      </c>
      <c r="P96" s="19" t="str">
        <f t="shared" si="18"/>
        <v/>
      </c>
      <c r="Q96" s="19" t="str">
        <f t="shared" si="19"/>
        <v/>
      </c>
      <c r="R96" s="19" t="str">
        <f t="shared" si="31"/>
        <v/>
      </c>
      <c r="S96" s="27" t="str">
        <f t="shared" si="35"/>
        <v/>
      </c>
      <c r="T96" s="28" t="str">
        <f t="shared" si="36"/>
        <v/>
      </c>
      <c r="U96" s="28" t="str">
        <f t="shared" si="37"/>
        <v/>
      </c>
      <c r="V96" s="28" t="str">
        <f t="shared" si="38"/>
        <v/>
      </c>
      <c r="W96" s="28" t="str">
        <f t="shared" si="39"/>
        <v/>
      </c>
      <c r="X96" s="29" t="str">
        <f t="shared" si="40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2"/>
        <v/>
      </c>
      <c r="M97" s="19" t="str">
        <f t="shared" si="33"/>
        <v/>
      </c>
      <c r="N97" s="19" t="str">
        <f t="shared" si="34"/>
        <v/>
      </c>
      <c r="O97" s="19" t="str">
        <f t="shared" si="17"/>
        <v/>
      </c>
      <c r="P97" s="19" t="str">
        <f t="shared" si="18"/>
        <v/>
      </c>
      <c r="Q97" s="19" t="str">
        <f t="shared" si="19"/>
        <v/>
      </c>
      <c r="R97" s="19" t="str">
        <f t="shared" ref="R97:R128" si="41">IF(ISBLANK(I97),"",(I97-I$16)*1000)</f>
        <v/>
      </c>
      <c r="S97" s="27" t="str">
        <f t="shared" si="35"/>
        <v/>
      </c>
      <c r="T97" s="28" t="str">
        <f t="shared" si="36"/>
        <v/>
      </c>
      <c r="U97" s="28" t="str">
        <f t="shared" si="37"/>
        <v/>
      </c>
      <c r="V97" s="28" t="str">
        <f t="shared" si="38"/>
        <v/>
      </c>
      <c r="W97" s="28" t="str">
        <f t="shared" si="39"/>
        <v/>
      </c>
      <c r="X97" s="29" t="str">
        <f t="shared" si="40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2"/>
        <v/>
      </c>
      <c r="M98" s="19" t="str">
        <f t="shared" si="33"/>
        <v/>
      </c>
      <c r="N98" s="19" t="str">
        <f t="shared" si="34"/>
        <v/>
      </c>
      <c r="O98" s="19" t="str">
        <f t="shared" si="17"/>
        <v/>
      </c>
      <c r="P98" s="19" t="str">
        <f t="shared" si="18"/>
        <v/>
      </c>
      <c r="Q98" s="19" t="str">
        <f t="shared" si="19"/>
        <v/>
      </c>
      <c r="R98" s="19" t="str">
        <f t="shared" si="41"/>
        <v/>
      </c>
      <c r="S98" s="27" t="str">
        <f t="shared" si="35"/>
        <v/>
      </c>
      <c r="T98" s="28" t="str">
        <f t="shared" si="36"/>
        <v/>
      </c>
      <c r="U98" s="28" t="str">
        <f t="shared" si="37"/>
        <v/>
      </c>
      <c r="V98" s="28" t="str">
        <f t="shared" si="38"/>
        <v/>
      </c>
      <c r="W98" s="28" t="str">
        <f t="shared" si="39"/>
        <v/>
      </c>
      <c r="X98" s="29" t="str">
        <f t="shared" si="40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2"/>
        <v/>
      </c>
      <c r="M99" s="19" t="str">
        <f t="shared" si="33"/>
        <v/>
      </c>
      <c r="N99" s="19" t="str">
        <f t="shared" si="34"/>
        <v/>
      </c>
      <c r="O99" s="19" t="str">
        <f t="shared" si="17"/>
        <v/>
      </c>
      <c r="P99" s="19" t="str">
        <f t="shared" si="18"/>
        <v/>
      </c>
      <c r="Q99" s="19" t="str">
        <f t="shared" si="19"/>
        <v/>
      </c>
      <c r="R99" s="19" t="str">
        <f t="shared" si="41"/>
        <v/>
      </c>
      <c r="S99" s="27" t="str">
        <f t="shared" si="35"/>
        <v/>
      </c>
      <c r="T99" s="28" t="str">
        <f t="shared" si="36"/>
        <v/>
      </c>
      <c r="U99" s="28" t="str">
        <f t="shared" si="37"/>
        <v/>
      </c>
      <c r="V99" s="28" t="str">
        <f t="shared" si="38"/>
        <v/>
      </c>
      <c r="W99" s="28" t="str">
        <f t="shared" si="39"/>
        <v/>
      </c>
      <c r="X99" s="29" t="str">
        <f t="shared" si="40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2"/>
        <v/>
      </c>
      <c r="M100" s="19" t="str">
        <f t="shared" si="33"/>
        <v/>
      </c>
      <c r="N100" s="19" t="str">
        <f t="shared" si="34"/>
        <v/>
      </c>
      <c r="O100" s="19" t="str">
        <f t="shared" si="17"/>
        <v/>
      </c>
      <c r="P100" s="19" t="str">
        <f t="shared" si="18"/>
        <v/>
      </c>
      <c r="Q100" s="19" t="str">
        <f t="shared" si="19"/>
        <v/>
      </c>
      <c r="R100" s="19" t="str">
        <f t="shared" si="41"/>
        <v/>
      </c>
      <c r="S100" s="27" t="str">
        <f t="shared" si="35"/>
        <v/>
      </c>
      <c r="T100" s="28" t="str">
        <f t="shared" si="36"/>
        <v/>
      </c>
      <c r="U100" s="28" t="str">
        <f t="shared" si="37"/>
        <v/>
      </c>
      <c r="V100" s="28" t="str">
        <f t="shared" si="38"/>
        <v/>
      </c>
      <c r="W100" s="28" t="str">
        <f t="shared" si="39"/>
        <v/>
      </c>
      <c r="X100" s="29" t="str">
        <f t="shared" si="40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2"/>
        <v/>
      </c>
      <c r="M101" s="19" t="str">
        <f t="shared" si="33"/>
        <v/>
      </c>
      <c r="N101" s="19" t="str">
        <f t="shared" si="34"/>
        <v/>
      </c>
      <c r="O101" s="19" t="str">
        <f t="shared" si="17"/>
        <v/>
      </c>
      <c r="P101" s="19" t="str">
        <f t="shared" si="18"/>
        <v/>
      </c>
      <c r="Q101" s="19" t="str">
        <f t="shared" si="19"/>
        <v/>
      </c>
      <c r="R101" s="19" t="str">
        <f t="shared" si="41"/>
        <v/>
      </c>
      <c r="S101" s="27" t="str">
        <f t="shared" si="35"/>
        <v/>
      </c>
      <c r="T101" s="28" t="str">
        <f t="shared" si="36"/>
        <v/>
      </c>
      <c r="U101" s="28" t="str">
        <f t="shared" si="37"/>
        <v/>
      </c>
      <c r="V101" s="28" t="str">
        <f t="shared" si="38"/>
        <v/>
      </c>
      <c r="W101" s="28" t="str">
        <f t="shared" si="39"/>
        <v/>
      </c>
      <c r="X101" s="29" t="str">
        <f t="shared" si="40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2"/>
        <v/>
      </c>
      <c r="M102" s="19" t="str">
        <f t="shared" si="33"/>
        <v/>
      </c>
      <c r="N102" s="19" t="str">
        <f t="shared" si="34"/>
        <v/>
      </c>
      <c r="O102" s="19" t="str">
        <f t="shared" si="17"/>
        <v/>
      </c>
      <c r="P102" s="19" t="str">
        <f t="shared" si="18"/>
        <v/>
      </c>
      <c r="Q102" s="19" t="str">
        <f t="shared" si="19"/>
        <v/>
      </c>
      <c r="R102" s="19" t="str">
        <f t="shared" si="41"/>
        <v/>
      </c>
      <c r="S102" s="27" t="str">
        <f t="shared" si="35"/>
        <v/>
      </c>
      <c r="T102" s="28" t="str">
        <f t="shared" si="36"/>
        <v/>
      </c>
      <c r="U102" s="28" t="str">
        <f t="shared" si="37"/>
        <v/>
      </c>
      <c r="V102" s="28" t="str">
        <f t="shared" si="38"/>
        <v/>
      </c>
      <c r="W102" s="28" t="str">
        <f t="shared" si="39"/>
        <v/>
      </c>
      <c r="X102" s="29" t="str">
        <f t="shared" si="40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2"/>
        <v/>
      </c>
      <c r="M103" s="19" t="str">
        <f t="shared" si="33"/>
        <v/>
      </c>
      <c r="N103" s="19" t="str">
        <f t="shared" si="34"/>
        <v/>
      </c>
      <c r="O103" s="19" t="str">
        <f t="shared" si="17"/>
        <v/>
      </c>
      <c r="P103" s="19" t="str">
        <f t="shared" si="18"/>
        <v/>
      </c>
      <c r="Q103" s="19" t="str">
        <f t="shared" si="19"/>
        <v/>
      </c>
      <c r="R103" s="19" t="str">
        <f t="shared" si="41"/>
        <v/>
      </c>
      <c r="S103" s="27" t="str">
        <f t="shared" si="35"/>
        <v/>
      </c>
      <c r="T103" s="28" t="str">
        <f t="shared" si="36"/>
        <v/>
      </c>
      <c r="U103" s="28" t="str">
        <f t="shared" si="37"/>
        <v/>
      </c>
      <c r="V103" s="28" t="str">
        <f t="shared" si="38"/>
        <v/>
      </c>
      <c r="W103" s="28" t="str">
        <f t="shared" si="39"/>
        <v/>
      </c>
      <c r="X103" s="29" t="str">
        <f t="shared" si="40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2"/>
        <v/>
      </c>
      <c r="M104" s="19" t="str">
        <f t="shared" si="33"/>
        <v/>
      </c>
      <c r="N104" s="19" t="str">
        <f t="shared" si="34"/>
        <v/>
      </c>
      <c r="O104" s="19" t="str">
        <f t="shared" si="17"/>
        <v/>
      </c>
      <c r="P104" s="19" t="str">
        <f t="shared" si="18"/>
        <v/>
      </c>
      <c r="Q104" s="19" t="str">
        <f t="shared" si="19"/>
        <v/>
      </c>
      <c r="R104" s="19" t="str">
        <f t="shared" si="41"/>
        <v/>
      </c>
      <c r="S104" s="27" t="str">
        <f t="shared" si="35"/>
        <v/>
      </c>
      <c r="T104" s="28" t="str">
        <f t="shared" si="36"/>
        <v/>
      </c>
      <c r="U104" s="28" t="str">
        <f t="shared" si="37"/>
        <v/>
      </c>
      <c r="V104" s="28" t="str">
        <f t="shared" si="38"/>
        <v/>
      </c>
      <c r="W104" s="28" t="str">
        <f t="shared" si="39"/>
        <v/>
      </c>
      <c r="X104" s="29" t="str">
        <f t="shared" si="40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2"/>
        <v/>
      </c>
      <c r="M105" s="19" t="str">
        <f t="shared" si="33"/>
        <v/>
      </c>
      <c r="N105" s="19" t="str">
        <f t="shared" si="34"/>
        <v/>
      </c>
      <c r="O105" s="19" t="str">
        <f t="shared" si="17"/>
        <v/>
      </c>
      <c r="P105" s="19" t="str">
        <f t="shared" si="18"/>
        <v/>
      </c>
      <c r="Q105" s="19" t="str">
        <f t="shared" si="19"/>
        <v/>
      </c>
      <c r="R105" s="19" t="str">
        <f t="shared" si="41"/>
        <v/>
      </c>
      <c r="S105" s="27" t="str">
        <f t="shared" si="35"/>
        <v/>
      </c>
      <c r="T105" s="28" t="str">
        <f t="shared" si="36"/>
        <v/>
      </c>
      <c r="U105" s="28" t="str">
        <f t="shared" si="37"/>
        <v/>
      </c>
      <c r="V105" s="28" t="str">
        <f t="shared" si="38"/>
        <v/>
      </c>
      <c r="W105" s="28" t="str">
        <f t="shared" si="39"/>
        <v/>
      </c>
      <c r="X105" s="29" t="str">
        <f t="shared" si="40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2"/>
        <v/>
      </c>
      <c r="M106" s="19" t="str">
        <f t="shared" si="33"/>
        <v/>
      </c>
      <c r="N106" s="19" t="str">
        <f t="shared" si="34"/>
        <v/>
      </c>
      <c r="O106" s="19" t="str">
        <f t="shared" ref="O106:O153" si="42">IF(ISBLANK(F106),"",((F106-F$41)*1000)+L$41)</f>
        <v/>
      </c>
      <c r="P106" s="19" t="str">
        <f t="shared" ref="P106:P153" si="43">IF(ISBLANK(G106),"",((G106-G$41)*1000)+M$41)</f>
        <v/>
      </c>
      <c r="Q106" s="19" t="str">
        <f t="shared" ref="Q106:Q153" si="44">IF(ISBLANK(H106),"",((H106-H$41)*1000)+N$41)</f>
        <v/>
      </c>
      <c r="R106" s="19" t="str">
        <f t="shared" si="41"/>
        <v/>
      </c>
      <c r="S106" s="27" t="str">
        <f t="shared" si="35"/>
        <v/>
      </c>
      <c r="T106" s="28" t="str">
        <f t="shared" si="36"/>
        <v/>
      </c>
      <c r="U106" s="28" t="str">
        <f t="shared" si="37"/>
        <v/>
      </c>
      <c r="V106" s="28" t="str">
        <f t="shared" si="38"/>
        <v/>
      </c>
      <c r="W106" s="28" t="str">
        <f t="shared" si="39"/>
        <v/>
      </c>
      <c r="X106" s="29" t="str">
        <f t="shared" si="40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2"/>
        <v/>
      </c>
      <c r="M107" s="19" t="str">
        <f t="shared" si="33"/>
        <v/>
      </c>
      <c r="N107" s="19" t="str">
        <f t="shared" si="34"/>
        <v/>
      </c>
      <c r="O107" s="19" t="str">
        <f t="shared" si="42"/>
        <v/>
      </c>
      <c r="P107" s="19" t="str">
        <f t="shared" si="43"/>
        <v/>
      </c>
      <c r="Q107" s="19" t="str">
        <f t="shared" si="44"/>
        <v/>
      </c>
      <c r="R107" s="19" t="str">
        <f t="shared" si="41"/>
        <v/>
      </c>
      <c r="S107" s="27" t="str">
        <f t="shared" si="35"/>
        <v/>
      </c>
      <c r="T107" s="28" t="str">
        <f t="shared" si="36"/>
        <v/>
      </c>
      <c r="U107" s="28" t="str">
        <f t="shared" si="37"/>
        <v/>
      </c>
      <c r="V107" s="28" t="str">
        <f t="shared" si="38"/>
        <v/>
      </c>
      <c r="W107" s="28" t="str">
        <f t="shared" si="39"/>
        <v/>
      </c>
      <c r="X107" s="29" t="str">
        <f t="shared" si="40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2"/>
        <v/>
      </c>
      <c r="M108" s="19" t="str">
        <f t="shared" si="33"/>
        <v/>
      </c>
      <c r="N108" s="19" t="str">
        <f t="shared" si="34"/>
        <v/>
      </c>
      <c r="O108" s="19" t="str">
        <f t="shared" si="42"/>
        <v/>
      </c>
      <c r="P108" s="19" t="str">
        <f t="shared" si="43"/>
        <v/>
      </c>
      <c r="Q108" s="19" t="str">
        <f t="shared" si="44"/>
        <v/>
      </c>
      <c r="R108" s="19" t="str">
        <f t="shared" si="41"/>
        <v/>
      </c>
      <c r="S108" s="27" t="str">
        <f t="shared" si="35"/>
        <v/>
      </c>
      <c r="T108" s="28" t="str">
        <f t="shared" si="36"/>
        <v/>
      </c>
      <c r="U108" s="28" t="str">
        <f t="shared" si="37"/>
        <v/>
      </c>
      <c r="V108" s="28" t="str">
        <f t="shared" si="38"/>
        <v/>
      </c>
      <c r="W108" s="28" t="str">
        <f t="shared" si="39"/>
        <v/>
      </c>
      <c r="X108" s="29" t="str">
        <f t="shared" si="40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2"/>
        <v/>
      </c>
      <c r="M109" s="19" t="str">
        <f t="shared" si="33"/>
        <v/>
      </c>
      <c r="N109" s="19" t="str">
        <f t="shared" si="34"/>
        <v/>
      </c>
      <c r="O109" s="19" t="str">
        <f t="shared" si="42"/>
        <v/>
      </c>
      <c r="P109" s="19" t="str">
        <f t="shared" si="43"/>
        <v/>
      </c>
      <c r="Q109" s="19" t="str">
        <f t="shared" si="44"/>
        <v/>
      </c>
      <c r="R109" s="19" t="str">
        <f t="shared" si="41"/>
        <v/>
      </c>
      <c r="S109" s="27" t="str">
        <f t="shared" si="35"/>
        <v/>
      </c>
      <c r="T109" s="28" t="str">
        <f t="shared" si="36"/>
        <v/>
      </c>
      <c r="U109" s="28" t="str">
        <f t="shared" si="37"/>
        <v/>
      </c>
      <c r="V109" s="28" t="str">
        <f t="shared" si="38"/>
        <v/>
      </c>
      <c r="W109" s="28" t="str">
        <f t="shared" si="39"/>
        <v/>
      </c>
      <c r="X109" s="29" t="str">
        <f t="shared" si="40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2"/>
        <v/>
      </c>
      <c r="M110" s="19" t="str">
        <f t="shared" si="33"/>
        <v/>
      </c>
      <c r="N110" s="19" t="str">
        <f t="shared" si="34"/>
        <v/>
      </c>
      <c r="O110" s="19" t="str">
        <f t="shared" si="42"/>
        <v/>
      </c>
      <c r="P110" s="19" t="str">
        <f t="shared" si="43"/>
        <v/>
      </c>
      <c r="Q110" s="19" t="str">
        <f t="shared" si="44"/>
        <v/>
      </c>
      <c r="R110" s="19" t="str">
        <f t="shared" si="41"/>
        <v/>
      </c>
      <c r="S110" s="27" t="str">
        <f t="shared" si="35"/>
        <v/>
      </c>
      <c r="T110" s="28" t="str">
        <f t="shared" si="36"/>
        <v/>
      </c>
      <c r="U110" s="28" t="str">
        <f t="shared" si="37"/>
        <v/>
      </c>
      <c r="V110" s="28" t="str">
        <f t="shared" si="38"/>
        <v/>
      </c>
      <c r="W110" s="28" t="str">
        <f t="shared" si="39"/>
        <v/>
      </c>
      <c r="X110" s="29" t="str">
        <f t="shared" si="40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2"/>
        <v/>
      </c>
      <c r="M111" s="19" t="str">
        <f t="shared" si="33"/>
        <v/>
      </c>
      <c r="N111" s="19" t="str">
        <f t="shared" si="34"/>
        <v/>
      </c>
      <c r="O111" s="19" t="str">
        <f t="shared" si="42"/>
        <v/>
      </c>
      <c r="P111" s="19" t="str">
        <f t="shared" si="43"/>
        <v/>
      </c>
      <c r="Q111" s="19" t="str">
        <f t="shared" si="44"/>
        <v/>
      </c>
      <c r="R111" s="19" t="str">
        <f t="shared" si="41"/>
        <v/>
      </c>
      <c r="S111" s="27" t="str">
        <f t="shared" si="35"/>
        <v/>
      </c>
      <c r="T111" s="28" t="str">
        <f t="shared" si="36"/>
        <v/>
      </c>
      <c r="U111" s="28" t="str">
        <f t="shared" si="37"/>
        <v/>
      </c>
      <c r="V111" s="28" t="str">
        <f t="shared" si="38"/>
        <v/>
      </c>
      <c r="W111" s="28" t="str">
        <f t="shared" si="39"/>
        <v/>
      </c>
      <c r="X111" s="29" t="str">
        <f t="shared" si="40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5">IF(ISBLANK(C112),"",(C112-C$16)*1000)</f>
        <v/>
      </c>
      <c r="M112" s="19" t="str">
        <f t="shared" ref="M112:M143" si="46">IF(ISBLANK(D112),"",(D112-D$16)*1000)</f>
        <v/>
      </c>
      <c r="N112" s="19" t="str">
        <f t="shared" ref="N112:N143" si="47">IF(ISBLANK(E112),"",(E112-E$16)*1000)</f>
        <v/>
      </c>
      <c r="O112" s="19" t="str">
        <f t="shared" si="42"/>
        <v/>
      </c>
      <c r="P112" s="19" t="str">
        <f t="shared" si="43"/>
        <v/>
      </c>
      <c r="Q112" s="19" t="str">
        <f t="shared" si="44"/>
        <v/>
      </c>
      <c r="R112" s="19" t="str">
        <f t="shared" si="41"/>
        <v/>
      </c>
      <c r="S112" s="27" t="str">
        <f t="shared" si="35"/>
        <v/>
      </c>
      <c r="T112" s="28" t="str">
        <f t="shared" si="36"/>
        <v/>
      </c>
      <c r="U112" s="28" t="str">
        <f t="shared" si="37"/>
        <v/>
      </c>
      <c r="V112" s="28" t="str">
        <f t="shared" si="38"/>
        <v/>
      </c>
      <c r="W112" s="28" t="str">
        <f t="shared" si="39"/>
        <v/>
      </c>
      <c r="X112" s="29" t="str">
        <f t="shared" si="40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5"/>
        <v/>
      </c>
      <c r="M113" s="19" t="str">
        <f t="shared" si="46"/>
        <v/>
      </c>
      <c r="N113" s="19" t="str">
        <f t="shared" si="47"/>
        <v/>
      </c>
      <c r="O113" s="19" t="str">
        <f t="shared" si="42"/>
        <v/>
      </c>
      <c r="P113" s="19" t="str">
        <f t="shared" si="43"/>
        <v/>
      </c>
      <c r="Q113" s="19" t="str">
        <f t="shared" si="44"/>
        <v/>
      </c>
      <c r="R113" s="19" t="str">
        <f t="shared" si="41"/>
        <v/>
      </c>
      <c r="S113" s="27" t="str">
        <f t="shared" ref="S113:S144" si="48">IF(C113="","",((C113-C112)*1000)/($B113-$B112))</f>
        <v/>
      </c>
      <c r="T113" s="28" t="str">
        <f t="shared" ref="T113:T144" si="49">IF(D113="","",((D113-D112)*1000)/($B113-$B112))</f>
        <v/>
      </c>
      <c r="U113" s="28" t="str">
        <f t="shared" ref="U113:U144" si="50">IF(E113="","",((E113-E112)*1000)/($B113-$B112))</f>
        <v/>
      </c>
      <c r="V113" s="28" t="str">
        <f t="shared" ref="V113:V144" si="51">IF(F113="","",((F113-F112)*1000)/($B113-$B112))</f>
        <v/>
      </c>
      <c r="W113" s="28" t="str">
        <f t="shared" ref="W113:W144" si="52">IF(G113="","",((G113-G112)*1000)/($B113-$B112))</f>
        <v/>
      </c>
      <c r="X113" s="29" t="str">
        <f t="shared" ref="X113:X144" si="53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5"/>
        <v/>
      </c>
      <c r="M114" s="19" t="str">
        <f t="shared" si="46"/>
        <v/>
      </c>
      <c r="N114" s="19" t="str">
        <f t="shared" si="47"/>
        <v/>
      </c>
      <c r="O114" s="19" t="str">
        <f t="shared" si="42"/>
        <v/>
      </c>
      <c r="P114" s="19" t="str">
        <f t="shared" si="43"/>
        <v/>
      </c>
      <c r="Q114" s="19" t="str">
        <f t="shared" si="44"/>
        <v/>
      </c>
      <c r="R114" s="19" t="str">
        <f t="shared" si="41"/>
        <v/>
      </c>
      <c r="S114" s="27" t="str">
        <f t="shared" si="48"/>
        <v/>
      </c>
      <c r="T114" s="28" t="str">
        <f t="shared" si="49"/>
        <v/>
      </c>
      <c r="U114" s="28" t="str">
        <f t="shared" si="50"/>
        <v/>
      </c>
      <c r="V114" s="28" t="str">
        <f t="shared" si="51"/>
        <v/>
      </c>
      <c r="W114" s="28" t="str">
        <f t="shared" si="52"/>
        <v/>
      </c>
      <c r="X114" s="29" t="str">
        <f t="shared" si="53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5"/>
        <v/>
      </c>
      <c r="M115" s="19" t="str">
        <f t="shared" si="46"/>
        <v/>
      </c>
      <c r="N115" s="19" t="str">
        <f t="shared" si="47"/>
        <v/>
      </c>
      <c r="O115" s="19" t="str">
        <f t="shared" si="42"/>
        <v/>
      </c>
      <c r="P115" s="19" t="str">
        <f t="shared" si="43"/>
        <v/>
      </c>
      <c r="Q115" s="19" t="str">
        <f t="shared" si="44"/>
        <v/>
      </c>
      <c r="R115" s="19" t="str">
        <f t="shared" si="41"/>
        <v/>
      </c>
      <c r="S115" s="27" t="str">
        <f t="shared" si="48"/>
        <v/>
      </c>
      <c r="T115" s="28" t="str">
        <f t="shared" si="49"/>
        <v/>
      </c>
      <c r="U115" s="28" t="str">
        <f t="shared" si="50"/>
        <v/>
      </c>
      <c r="V115" s="28" t="str">
        <f t="shared" si="51"/>
        <v/>
      </c>
      <c r="W115" s="28" t="str">
        <f t="shared" si="52"/>
        <v/>
      </c>
      <c r="X115" s="29" t="str">
        <f t="shared" si="53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5"/>
        <v/>
      </c>
      <c r="M116" s="19" t="str">
        <f t="shared" si="46"/>
        <v/>
      </c>
      <c r="N116" s="19" t="str">
        <f t="shared" si="47"/>
        <v/>
      </c>
      <c r="O116" s="19" t="str">
        <f t="shared" si="42"/>
        <v/>
      </c>
      <c r="P116" s="19" t="str">
        <f t="shared" si="43"/>
        <v/>
      </c>
      <c r="Q116" s="19" t="str">
        <f t="shared" si="44"/>
        <v/>
      </c>
      <c r="R116" s="19" t="str">
        <f t="shared" si="41"/>
        <v/>
      </c>
      <c r="S116" s="27" t="str">
        <f t="shared" si="48"/>
        <v/>
      </c>
      <c r="T116" s="28" t="str">
        <f t="shared" si="49"/>
        <v/>
      </c>
      <c r="U116" s="28" t="str">
        <f t="shared" si="50"/>
        <v/>
      </c>
      <c r="V116" s="28" t="str">
        <f t="shared" si="51"/>
        <v/>
      </c>
      <c r="W116" s="28" t="str">
        <f t="shared" si="52"/>
        <v/>
      </c>
      <c r="X116" s="29" t="str">
        <f t="shared" si="53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5"/>
        <v/>
      </c>
      <c r="M117" s="19" t="str">
        <f t="shared" si="46"/>
        <v/>
      </c>
      <c r="N117" s="19" t="str">
        <f t="shared" si="47"/>
        <v/>
      </c>
      <c r="O117" s="19" t="str">
        <f t="shared" si="42"/>
        <v/>
      </c>
      <c r="P117" s="19" t="str">
        <f t="shared" si="43"/>
        <v/>
      </c>
      <c r="Q117" s="19" t="str">
        <f t="shared" si="44"/>
        <v/>
      </c>
      <c r="R117" s="19" t="str">
        <f t="shared" si="41"/>
        <v/>
      </c>
      <c r="S117" s="27" t="str">
        <f t="shared" si="48"/>
        <v/>
      </c>
      <c r="T117" s="28" t="str">
        <f t="shared" si="49"/>
        <v/>
      </c>
      <c r="U117" s="28" t="str">
        <f t="shared" si="50"/>
        <v/>
      </c>
      <c r="V117" s="28" t="str">
        <f t="shared" si="51"/>
        <v/>
      </c>
      <c r="W117" s="28" t="str">
        <f t="shared" si="52"/>
        <v/>
      </c>
      <c r="X117" s="29" t="str">
        <f t="shared" si="53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5"/>
        <v/>
      </c>
      <c r="M118" s="19" t="str">
        <f t="shared" si="46"/>
        <v/>
      </c>
      <c r="N118" s="19" t="str">
        <f t="shared" si="47"/>
        <v/>
      </c>
      <c r="O118" s="19" t="str">
        <f t="shared" si="42"/>
        <v/>
      </c>
      <c r="P118" s="19" t="str">
        <f t="shared" si="43"/>
        <v/>
      </c>
      <c r="Q118" s="19" t="str">
        <f t="shared" si="44"/>
        <v/>
      </c>
      <c r="R118" s="19" t="str">
        <f t="shared" si="41"/>
        <v/>
      </c>
      <c r="S118" s="27" t="str">
        <f t="shared" si="48"/>
        <v/>
      </c>
      <c r="T118" s="28" t="str">
        <f t="shared" si="49"/>
        <v/>
      </c>
      <c r="U118" s="28" t="str">
        <f t="shared" si="50"/>
        <v/>
      </c>
      <c r="V118" s="28" t="str">
        <f t="shared" si="51"/>
        <v/>
      </c>
      <c r="W118" s="28" t="str">
        <f t="shared" si="52"/>
        <v/>
      </c>
      <c r="X118" s="29" t="str">
        <f t="shared" si="53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5"/>
        <v/>
      </c>
      <c r="M119" s="19" t="str">
        <f t="shared" si="46"/>
        <v/>
      </c>
      <c r="N119" s="19" t="str">
        <f t="shared" si="47"/>
        <v/>
      </c>
      <c r="O119" s="19" t="str">
        <f t="shared" si="42"/>
        <v/>
      </c>
      <c r="P119" s="19" t="str">
        <f t="shared" si="43"/>
        <v/>
      </c>
      <c r="Q119" s="19" t="str">
        <f t="shared" si="44"/>
        <v/>
      </c>
      <c r="R119" s="19" t="str">
        <f t="shared" si="41"/>
        <v/>
      </c>
      <c r="S119" s="27" t="str">
        <f t="shared" si="48"/>
        <v/>
      </c>
      <c r="T119" s="28" t="str">
        <f t="shared" si="49"/>
        <v/>
      </c>
      <c r="U119" s="28" t="str">
        <f t="shared" si="50"/>
        <v/>
      </c>
      <c r="V119" s="28" t="str">
        <f t="shared" si="51"/>
        <v/>
      </c>
      <c r="W119" s="28" t="str">
        <f t="shared" si="52"/>
        <v/>
      </c>
      <c r="X119" s="29" t="str">
        <f t="shared" si="53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5"/>
        <v/>
      </c>
      <c r="M120" s="19" t="str">
        <f t="shared" si="46"/>
        <v/>
      </c>
      <c r="N120" s="19" t="str">
        <f t="shared" si="47"/>
        <v/>
      </c>
      <c r="O120" s="19" t="str">
        <f t="shared" si="42"/>
        <v/>
      </c>
      <c r="P120" s="19" t="str">
        <f t="shared" si="43"/>
        <v/>
      </c>
      <c r="Q120" s="19" t="str">
        <f t="shared" si="44"/>
        <v/>
      </c>
      <c r="R120" s="19" t="str">
        <f t="shared" si="41"/>
        <v/>
      </c>
      <c r="S120" s="27" t="str">
        <f t="shared" si="48"/>
        <v/>
      </c>
      <c r="T120" s="28" t="str">
        <f t="shared" si="49"/>
        <v/>
      </c>
      <c r="U120" s="28" t="str">
        <f t="shared" si="50"/>
        <v/>
      </c>
      <c r="V120" s="28" t="str">
        <f t="shared" si="51"/>
        <v/>
      </c>
      <c r="W120" s="28" t="str">
        <f t="shared" si="52"/>
        <v/>
      </c>
      <c r="X120" s="29" t="str">
        <f t="shared" si="53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5"/>
        <v/>
      </c>
      <c r="M121" s="19" t="str">
        <f t="shared" si="46"/>
        <v/>
      </c>
      <c r="N121" s="19" t="str">
        <f t="shared" si="47"/>
        <v/>
      </c>
      <c r="O121" s="19" t="str">
        <f t="shared" si="42"/>
        <v/>
      </c>
      <c r="P121" s="19" t="str">
        <f t="shared" si="43"/>
        <v/>
      </c>
      <c r="Q121" s="19" t="str">
        <f t="shared" si="44"/>
        <v/>
      </c>
      <c r="R121" s="19" t="str">
        <f t="shared" si="41"/>
        <v/>
      </c>
      <c r="S121" s="27" t="str">
        <f t="shared" si="48"/>
        <v/>
      </c>
      <c r="T121" s="28" t="str">
        <f t="shared" si="49"/>
        <v/>
      </c>
      <c r="U121" s="28" t="str">
        <f t="shared" si="50"/>
        <v/>
      </c>
      <c r="V121" s="28" t="str">
        <f t="shared" si="51"/>
        <v/>
      </c>
      <c r="W121" s="28" t="str">
        <f t="shared" si="52"/>
        <v/>
      </c>
      <c r="X121" s="29" t="str">
        <f t="shared" si="53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5"/>
        <v/>
      </c>
      <c r="M122" s="19" t="str">
        <f t="shared" si="46"/>
        <v/>
      </c>
      <c r="N122" s="19" t="str">
        <f t="shared" si="47"/>
        <v/>
      </c>
      <c r="O122" s="19" t="str">
        <f t="shared" si="42"/>
        <v/>
      </c>
      <c r="P122" s="19" t="str">
        <f t="shared" si="43"/>
        <v/>
      </c>
      <c r="Q122" s="19" t="str">
        <f t="shared" si="44"/>
        <v/>
      </c>
      <c r="R122" s="19" t="str">
        <f t="shared" si="41"/>
        <v/>
      </c>
      <c r="S122" s="27" t="str">
        <f t="shared" si="48"/>
        <v/>
      </c>
      <c r="T122" s="28" t="str">
        <f t="shared" si="49"/>
        <v/>
      </c>
      <c r="U122" s="28" t="str">
        <f t="shared" si="50"/>
        <v/>
      </c>
      <c r="V122" s="28" t="str">
        <f t="shared" si="51"/>
        <v/>
      </c>
      <c r="W122" s="28" t="str">
        <f t="shared" si="52"/>
        <v/>
      </c>
      <c r="X122" s="29" t="str">
        <f t="shared" si="53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5"/>
        <v/>
      </c>
      <c r="M123" s="19" t="str">
        <f t="shared" si="46"/>
        <v/>
      </c>
      <c r="N123" s="19" t="str">
        <f t="shared" si="47"/>
        <v/>
      </c>
      <c r="O123" s="19" t="str">
        <f t="shared" si="42"/>
        <v/>
      </c>
      <c r="P123" s="19" t="str">
        <f t="shared" si="43"/>
        <v/>
      </c>
      <c r="Q123" s="19" t="str">
        <f t="shared" si="44"/>
        <v/>
      </c>
      <c r="R123" s="19" t="str">
        <f t="shared" si="41"/>
        <v/>
      </c>
      <c r="S123" s="27" t="str">
        <f t="shared" si="48"/>
        <v/>
      </c>
      <c r="T123" s="28" t="str">
        <f t="shared" si="49"/>
        <v/>
      </c>
      <c r="U123" s="28" t="str">
        <f t="shared" si="50"/>
        <v/>
      </c>
      <c r="V123" s="28" t="str">
        <f t="shared" si="51"/>
        <v/>
      </c>
      <c r="W123" s="28" t="str">
        <f t="shared" si="52"/>
        <v/>
      </c>
      <c r="X123" s="29" t="str">
        <f t="shared" si="53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5"/>
        <v/>
      </c>
      <c r="M124" s="19" t="str">
        <f t="shared" si="46"/>
        <v/>
      </c>
      <c r="N124" s="19" t="str">
        <f t="shared" si="47"/>
        <v/>
      </c>
      <c r="O124" s="19" t="str">
        <f t="shared" si="42"/>
        <v/>
      </c>
      <c r="P124" s="19" t="str">
        <f t="shared" si="43"/>
        <v/>
      </c>
      <c r="Q124" s="19" t="str">
        <f t="shared" si="44"/>
        <v/>
      </c>
      <c r="R124" s="19" t="str">
        <f t="shared" si="41"/>
        <v/>
      </c>
      <c r="S124" s="27" t="str">
        <f t="shared" si="48"/>
        <v/>
      </c>
      <c r="T124" s="28" t="str">
        <f t="shared" si="49"/>
        <v/>
      </c>
      <c r="U124" s="28" t="str">
        <f t="shared" si="50"/>
        <v/>
      </c>
      <c r="V124" s="28" t="str">
        <f t="shared" si="51"/>
        <v/>
      </c>
      <c r="W124" s="28" t="str">
        <f t="shared" si="52"/>
        <v/>
      </c>
      <c r="X124" s="29" t="str">
        <f t="shared" si="53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5"/>
        <v/>
      </c>
      <c r="M125" s="19" t="str">
        <f t="shared" si="46"/>
        <v/>
      </c>
      <c r="N125" s="19" t="str">
        <f t="shared" si="47"/>
        <v/>
      </c>
      <c r="O125" s="19" t="str">
        <f t="shared" si="42"/>
        <v/>
      </c>
      <c r="P125" s="19" t="str">
        <f t="shared" si="43"/>
        <v/>
      </c>
      <c r="Q125" s="19" t="str">
        <f t="shared" si="44"/>
        <v/>
      </c>
      <c r="R125" s="19" t="str">
        <f t="shared" si="41"/>
        <v/>
      </c>
      <c r="S125" s="27" t="str">
        <f t="shared" si="48"/>
        <v/>
      </c>
      <c r="T125" s="28" t="str">
        <f t="shared" si="49"/>
        <v/>
      </c>
      <c r="U125" s="28" t="str">
        <f t="shared" si="50"/>
        <v/>
      </c>
      <c r="V125" s="28" t="str">
        <f t="shared" si="51"/>
        <v/>
      </c>
      <c r="W125" s="28" t="str">
        <f t="shared" si="52"/>
        <v/>
      </c>
      <c r="X125" s="29" t="str">
        <f t="shared" si="53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5"/>
        <v/>
      </c>
      <c r="M126" s="19" t="str">
        <f t="shared" si="46"/>
        <v/>
      </c>
      <c r="N126" s="19" t="str">
        <f t="shared" si="47"/>
        <v/>
      </c>
      <c r="O126" s="19" t="str">
        <f t="shared" si="42"/>
        <v/>
      </c>
      <c r="P126" s="19" t="str">
        <f t="shared" si="43"/>
        <v/>
      </c>
      <c r="Q126" s="19" t="str">
        <f t="shared" si="44"/>
        <v/>
      </c>
      <c r="R126" s="19" t="str">
        <f t="shared" si="41"/>
        <v/>
      </c>
      <c r="S126" s="27" t="str">
        <f t="shared" si="48"/>
        <v/>
      </c>
      <c r="T126" s="28" t="str">
        <f t="shared" si="49"/>
        <v/>
      </c>
      <c r="U126" s="28" t="str">
        <f t="shared" si="50"/>
        <v/>
      </c>
      <c r="V126" s="28" t="str">
        <f t="shared" si="51"/>
        <v/>
      </c>
      <c r="W126" s="28" t="str">
        <f t="shared" si="52"/>
        <v/>
      </c>
      <c r="X126" s="29" t="str">
        <f t="shared" si="53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5"/>
        <v/>
      </c>
      <c r="M127" s="19" t="str">
        <f t="shared" si="46"/>
        <v/>
      </c>
      <c r="N127" s="19" t="str">
        <f t="shared" si="47"/>
        <v/>
      </c>
      <c r="O127" s="19" t="str">
        <f t="shared" si="42"/>
        <v/>
      </c>
      <c r="P127" s="19" t="str">
        <f t="shared" si="43"/>
        <v/>
      </c>
      <c r="Q127" s="19" t="str">
        <f t="shared" si="44"/>
        <v/>
      </c>
      <c r="R127" s="19" t="str">
        <f t="shared" si="41"/>
        <v/>
      </c>
      <c r="S127" s="27" t="str">
        <f t="shared" si="48"/>
        <v/>
      </c>
      <c r="T127" s="28" t="str">
        <f t="shared" si="49"/>
        <v/>
      </c>
      <c r="U127" s="28" t="str">
        <f t="shared" si="50"/>
        <v/>
      </c>
      <c r="V127" s="28" t="str">
        <f t="shared" si="51"/>
        <v/>
      </c>
      <c r="W127" s="28" t="str">
        <f t="shared" si="52"/>
        <v/>
      </c>
      <c r="X127" s="29" t="str">
        <f t="shared" si="53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5"/>
        <v/>
      </c>
      <c r="M128" s="19" t="str">
        <f t="shared" si="46"/>
        <v/>
      </c>
      <c r="N128" s="19" t="str">
        <f t="shared" si="47"/>
        <v/>
      </c>
      <c r="O128" s="19" t="str">
        <f t="shared" si="42"/>
        <v/>
      </c>
      <c r="P128" s="19" t="str">
        <f t="shared" si="43"/>
        <v/>
      </c>
      <c r="Q128" s="19" t="str">
        <f t="shared" si="44"/>
        <v/>
      </c>
      <c r="R128" s="19" t="str">
        <f t="shared" si="41"/>
        <v/>
      </c>
      <c r="S128" s="27" t="str">
        <f t="shared" si="48"/>
        <v/>
      </c>
      <c r="T128" s="28" t="str">
        <f t="shared" si="49"/>
        <v/>
      </c>
      <c r="U128" s="28" t="str">
        <f t="shared" si="50"/>
        <v/>
      </c>
      <c r="V128" s="28" t="str">
        <f t="shared" si="51"/>
        <v/>
      </c>
      <c r="W128" s="28" t="str">
        <f t="shared" si="52"/>
        <v/>
      </c>
      <c r="X128" s="29" t="str">
        <f t="shared" si="53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5"/>
        <v/>
      </c>
      <c r="M129" s="19" t="str">
        <f t="shared" si="46"/>
        <v/>
      </c>
      <c r="N129" s="19" t="str">
        <f t="shared" si="47"/>
        <v/>
      </c>
      <c r="O129" s="19" t="str">
        <f t="shared" si="42"/>
        <v/>
      </c>
      <c r="P129" s="19" t="str">
        <f t="shared" si="43"/>
        <v/>
      </c>
      <c r="Q129" s="19" t="str">
        <f t="shared" si="44"/>
        <v/>
      </c>
      <c r="R129" s="19" t="str">
        <f t="shared" ref="R129:R153" si="54">IF(ISBLANK(I129),"",(I129-I$16)*1000)</f>
        <v/>
      </c>
      <c r="S129" s="27" t="str">
        <f t="shared" si="48"/>
        <v/>
      </c>
      <c r="T129" s="28" t="str">
        <f t="shared" si="49"/>
        <v/>
      </c>
      <c r="U129" s="28" t="str">
        <f t="shared" si="50"/>
        <v/>
      </c>
      <c r="V129" s="28" t="str">
        <f t="shared" si="51"/>
        <v/>
      </c>
      <c r="W129" s="28" t="str">
        <f t="shared" si="52"/>
        <v/>
      </c>
      <c r="X129" s="29" t="str">
        <f t="shared" si="53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5"/>
        <v/>
      </c>
      <c r="M130" s="19" t="str">
        <f t="shared" si="46"/>
        <v/>
      </c>
      <c r="N130" s="19" t="str">
        <f t="shared" si="47"/>
        <v/>
      </c>
      <c r="O130" s="19" t="str">
        <f t="shared" si="42"/>
        <v/>
      </c>
      <c r="P130" s="19" t="str">
        <f t="shared" si="43"/>
        <v/>
      </c>
      <c r="Q130" s="19" t="str">
        <f t="shared" si="44"/>
        <v/>
      </c>
      <c r="R130" s="19" t="str">
        <f t="shared" si="54"/>
        <v/>
      </c>
      <c r="S130" s="27" t="str">
        <f t="shared" si="48"/>
        <v/>
      </c>
      <c r="T130" s="28" t="str">
        <f t="shared" si="49"/>
        <v/>
      </c>
      <c r="U130" s="28" t="str">
        <f t="shared" si="50"/>
        <v/>
      </c>
      <c r="V130" s="28" t="str">
        <f t="shared" si="51"/>
        <v/>
      </c>
      <c r="W130" s="28" t="str">
        <f t="shared" si="52"/>
        <v/>
      </c>
      <c r="X130" s="29" t="str">
        <f t="shared" si="53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5"/>
        <v/>
      </c>
      <c r="M131" s="19" t="str">
        <f t="shared" si="46"/>
        <v/>
      </c>
      <c r="N131" s="19" t="str">
        <f t="shared" si="47"/>
        <v/>
      </c>
      <c r="O131" s="19" t="str">
        <f t="shared" si="42"/>
        <v/>
      </c>
      <c r="P131" s="19" t="str">
        <f t="shared" si="43"/>
        <v/>
      </c>
      <c r="Q131" s="19" t="str">
        <f t="shared" si="44"/>
        <v/>
      </c>
      <c r="R131" s="19" t="str">
        <f t="shared" si="54"/>
        <v/>
      </c>
      <c r="S131" s="27" t="str">
        <f t="shared" si="48"/>
        <v/>
      </c>
      <c r="T131" s="28" t="str">
        <f t="shared" si="49"/>
        <v/>
      </c>
      <c r="U131" s="28" t="str">
        <f t="shared" si="50"/>
        <v/>
      </c>
      <c r="V131" s="28" t="str">
        <f t="shared" si="51"/>
        <v/>
      </c>
      <c r="W131" s="28" t="str">
        <f t="shared" si="52"/>
        <v/>
      </c>
      <c r="X131" s="29" t="str">
        <f t="shared" si="53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5"/>
        <v/>
      </c>
      <c r="M132" s="19" t="str">
        <f t="shared" si="46"/>
        <v/>
      </c>
      <c r="N132" s="19" t="str">
        <f t="shared" si="47"/>
        <v/>
      </c>
      <c r="O132" s="19" t="str">
        <f t="shared" si="42"/>
        <v/>
      </c>
      <c r="P132" s="19" t="str">
        <f t="shared" si="43"/>
        <v/>
      </c>
      <c r="Q132" s="19" t="str">
        <f t="shared" si="44"/>
        <v/>
      </c>
      <c r="R132" s="19" t="str">
        <f t="shared" si="54"/>
        <v/>
      </c>
      <c r="S132" s="27" t="str">
        <f t="shared" si="48"/>
        <v/>
      </c>
      <c r="T132" s="28" t="str">
        <f t="shared" si="49"/>
        <v/>
      </c>
      <c r="U132" s="28" t="str">
        <f t="shared" si="50"/>
        <v/>
      </c>
      <c r="V132" s="28" t="str">
        <f t="shared" si="51"/>
        <v/>
      </c>
      <c r="W132" s="28" t="str">
        <f t="shared" si="52"/>
        <v/>
      </c>
      <c r="X132" s="29" t="str">
        <f t="shared" si="53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5"/>
        <v/>
      </c>
      <c r="M133" s="19" t="str">
        <f t="shared" si="46"/>
        <v/>
      </c>
      <c r="N133" s="19" t="str">
        <f t="shared" si="47"/>
        <v/>
      </c>
      <c r="O133" s="19" t="str">
        <f t="shared" si="42"/>
        <v/>
      </c>
      <c r="P133" s="19" t="str">
        <f t="shared" si="43"/>
        <v/>
      </c>
      <c r="Q133" s="19" t="str">
        <f t="shared" si="44"/>
        <v/>
      </c>
      <c r="R133" s="19" t="str">
        <f t="shared" si="54"/>
        <v/>
      </c>
      <c r="S133" s="27" t="str">
        <f t="shared" si="48"/>
        <v/>
      </c>
      <c r="T133" s="28" t="str">
        <f t="shared" si="49"/>
        <v/>
      </c>
      <c r="U133" s="28" t="str">
        <f t="shared" si="50"/>
        <v/>
      </c>
      <c r="V133" s="28" t="str">
        <f t="shared" si="51"/>
        <v/>
      </c>
      <c r="W133" s="28" t="str">
        <f t="shared" si="52"/>
        <v/>
      </c>
      <c r="X133" s="29" t="str">
        <f t="shared" si="53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5"/>
        <v/>
      </c>
      <c r="M134" s="19" t="str">
        <f t="shared" si="46"/>
        <v/>
      </c>
      <c r="N134" s="19" t="str">
        <f t="shared" si="47"/>
        <v/>
      </c>
      <c r="O134" s="19" t="str">
        <f t="shared" si="42"/>
        <v/>
      </c>
      <c r="P134" s="19" t="str">
        <f t="shared" si="43"/>
        <v/>
      </c>
      <c r="Q134" s="19" t="str">
        <f t="shared" si="44"/>
        <v/>
      </c>
      <c r="R134" s="19" t="str">
        <f t="shared" si="54"/>
        <v/>
      </c>
      <c r="S134" s="27" t="str">
        <f t="shared" si="48"/>
        <v/>
      </c>
      <c r="T134" s="28" t="str">
        <f t="shared" si="49"/>
        <v/>
      </c>
      <c r="U134" s="28" t="str">
        <f t="shared" si="50"/>
        <v/>
      </c>
      <c r="V134" s="28" t="str">
        <f t="shared" si="51"/>
        <v/>
      </c>
      <c r="W134" s="28" t="str">
        <f t="shared" si="52"/>
        <v/>
      </c>
      <c r="X134" s="29" t="str">
        <f t="shared" si="53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5"/>
        <v/>
      </c>
      <c r="M135" s="19" t="str">
        <f t="shared" si="46"/>
        <v/>
      </c>
      <c r="N135" s="19" t="str">
        <f t="shared" si="47"/>
        <v/>
      </c>
      <c r="O135" s="19" t="str">
        <f t="shared" si="42"/>
        <v/>
      </c>
      <c r="P135" s="19" t="str">
        <f t="shared" si="43"/>
        <v/>
      </c>
      <c r="Q135" s="19" t="str">
        <f t="shared" si="44"/>
        <v/>
      </c>
      <c r="R135" s="19" t="str">
        <f t="shared" si="54"/>
        <v/>
      </c>
      <c r="S135" s="27" t="str">
        <f t="shared" si="48"/>
        <v/>
      </c>
      <c r="T135" s="28" t="str">
        <f t="shared" si="49"/>
        <v/>
      </c>
      <c r="U135" s="28" t="str">
        <f t="shared" si="50"/>
        <v/>
      </c>
      <c r="V135" s="28" t="str">
        <f t="shared" si="51"/>
        <v/>
      </c>
      <c r="W135" s="28" t="str">
        <f t="shared" si="52"/>
        <v/>
      </c>
      <c r="X135" s="29" t="str">
        <f t="shared" si="53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5"/>
        <v/>
      </c>
      <c r="M136" s="19" t="str">
        <f t="shared" si="46"/>
        <v/>
      </c>
      <c r="N136" s="19" t="str">
        <f t="shared" si="47"/>
        <v/>
      </c>
      <c r="O136" s="19" t="str">
        <f t="shared" si="42"/>
        <v/>
      </c>
      <c r="P136" s="19" t="str">
        <f t="shared" si="43"/>
        <v/>
      </c>
      <c r="Q136" s="19" t="str">
        <f t="shared" si="44"/>
        <v/>
      </c>
      <c r="R136" s="19" t="str">
        <f t="shared" si="54"/>
        <v/>
      </c>
      <c r="S136" s="27" t="str">
        <f t="shared" si="48"/>
        <v/>
      </c>
      <c r="T136" s="28" t="str">
        <f t="shared" si="49"/>
        <v/>
      </c>
      <c r="U136" s="28" t="str">
        <f t="shared" si="50"/>
        <v/>
      </c>
      <c r="V136" s="28" t="str">
        <f t="shared" si="51"/>
        <v/>
      </c>
      <c r="W136" s="28" t="str">
        <f t="shared" si="52"/>
        <v/>
      </c>
      <c r="X136" s="29" t="str">
        <f t="shared" si="53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5"/>
        <v/>
      </c>
      <c r="M137" s="19" t="str">
        <f t="shared" si="46"/>
        <v/>
      </c>
      <c r="N137" s="19" t="str">
        <f t="shared" si="47"/>
        <v/>
      </c>
      <c r="O137" s="19" t="str">
        <f t="shared" si="42"/>
        <v/>
      </c>
      <c r="P137" s="19" t="str">
        <f t="shared" si="43"/>
        <v/>
      </c>
      <c r="Q137" s="19" t="str">
        <f t="shared" si="44"/>
        <v/>
      </c>
      <c r="R137" s="19" t="str">
        <f t="shared" si="54"/>
        <v/>
      </c>
      <c r="S137" s="27" t="str">
        <f t="shared" si="48"/>
        <v/>
      </c>
      <c r="T137" s="28" t="str">
        <f t="shared" si="49"/>
        <v/>
      </c>
      <c r="U137" s="28" t="str">
        <f t="shared" si="50"/>
        <v/>
      </c>
      <c r="V137" s="28" t="str">
        <f t="shared" si="51"/>
        <v/>
      </c>
      <c r="W137" s="28" t="str">
        <f t="shared" si="52"/>
        <v/>
      </c>
      <c r="X137" s="29" t="str">
        <f t="shared" si="53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5"/>
        <v/>
      </c>
      <c r="M138" s="19" t="str">
        <f t="shared" si="46"/>
        <v/>
      </c>
      <c r="N138" s="19" t="str">
        <f t="shared" si="47"/>
        <v/>
      </c>
      <c r="O138" s="19" t="str">
        <f t="shared" si="42"/>
        <v/>
      </c>
      <c r="P138" s="19" t="str">
        <f t="shared" si="43"/>
        <v/>
      </c>
      <c r="Q138" s="19" t="str">
        <f t="shared" si="44"/>
        <v/>
      </c>
      <c r="R138" s="19" t="str">
        <f t="shared" si="54"/>
        <v/>
      </c>
      <c r="S138" s="27" t="str">
        <f t="shared" si="48"/>
        <v/>
      </c>
      <c r="T138" s="28" t="str">
        <f t="shared" si="49"/>
        <v/>
      </c>
      <c r="U138" s="28" t="str">
        <f t="shared" si="50"/>
        <v/>
      </c>
      <c r="V138" s="28" t="str">
        <f t="shared" si="51"/>
        <v/>
      </c>
      <c r="W138" s="28" t="str">
        <f t="shared" si="52"/>
        <v/>
      </c>
      <c r="X138" s="29" t="str">
        <f t="shared" si="53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5"/>
        <v/>
      </c>
      <c r="M139" s="19" t="str">
        <f t="shared" si="46"/>
        <v/>
      </c>
      <c r="N139" s="19" t="str">
        <f t="shared" si="47"/>
        <v/>
      </c>
      <c r="O139" s="19" t="str">
        <f t="shared" si="42"/>
        <v/>
      </c>
      <c r="P139" s="19" t="str">
        <f t="shared" si="43"/>
        <v/>
      </c>
      <c r="Q139" s="19" t="str">
        <f t="shared" si="44"/>
        <v/>
      </c>
      <c r="R139" s="19" t="str">
        <f t="shared" si="54"/>
        <v/>
      </c>
      <c r="S139" s="27" t="str">
        <f t="shared" si="48"/>
        <v/>
      </c>
      <c r="T139" s="28" t="str">
        <f t="shared" si="49"/>
        <v/>
      </c>
      <c r="U139" s="28" t="str">
        <f t="shared" si="50"/>
        <v/>
      </c>
      <c r="V139" s="28" t="str">
        <f t="shared" si="51"/>
        <v/>
      </c>
      <c r="W139" s="28" t="str">
        <f t="shared" si="52"/>
        <v/>
      </c>
      <c r="X139" s="29" t="str">
        <f t="shared" si="53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5"/>
        <v/>
      </c>
      <c r="M140" s="19" t="str">
        <f t="shared" si="46"/>
        <v/>
      </c>
      <c r="N140" s="19" t="str">
        <f t="shared" si="47"/>
        <v/>
      </c>
      <c r="O140" s="19" t="str">
        <f t="shared" si="42"/>
        <v/>
      </c>
      <c r="P140" s="19" t="str">
        <f t="shared" si="43"/>
        <v/>
      </c>
      <c r="Q140" s="19" t="str">
        <f t="shared" si="44"/>
        <v/>
      </c>
      <c r="R140" s="19" t="str">
        <f t="shared" si="54"/>
        <v/>
      </c>
      <c r="S140" s="27" t="str">
        <f t="shared" si="48"/>
        <v/>
      </c>
      <c r="T140" s="28" t="str">
        <f t="shared" si="49"/>
        <v/>
      </c>
      <c r="U140" s="28" t="str">
        <f t="shared" si="50"/>
        <v/>
      </c>
      <c r="V140" s="28" t="str">
        <f t="shared" si="51"/>
        <v/>
      </c>
      <c r="W140" s="28" t="str">
        <f t="shared" si="52"/>
        <v/>
      </c>
      <c r="X140" s="29" t="str">
        <f t="shared" si="53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5"/>
        <v/>
      </c>
      <c r="M141" s="19" t="str">
        <f t="shared" si="46"/>
        <v/>
      </c>
      <c r="N141" s="19" t="str">
        <f t="shared" si="47"/>
        <v/>
      </c>
      <c r="O141" s="19" t="str">
        <f t="shared" si="42"/>
        <v/>
      </c>
      <c r="P141" s="19" t="str">
        <f t="shared" si="43"/>
        <v/>
      </c>
      <c r="Q141" s="19" t="str">
        <f t="shared" si="44"/>
        <v/>
      </c>
      <c r="R141" s="19" t="str">
        <f t="shared" si="54"/>
        <v/>
      </c>
      <c r="S141" s="27" t="str">
        <f t="shared" si="48"/>
        <v/>
      </c>
      <c r="T141" s="28" t="str">
        <f t="shared" si="49"/>
        <v/>
      </c>
      <c r="U141" s="28" t="str">
        <f t="shared" si="50"/>
        <v/>
      </c>
      <c r="V141" s="28" t="str">
        <f t="shared" si="51"/>
        <v/>
      </c>
      <c r="W141" s="28" t="str">
        <f t="shared" si="52"/>
        <v/>
      </c>
      <c r="X141" s="29" t="str">
        <f t="shared" si="53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5"/>
        <v/>
      </c>
      <c r="M142" s="19" t="str">
        <f t="shared" si="46"/>
        <v/>
      </c>
      <c r="N142" s="19" t="str">
        <f t="shared" si="47"/>
        <v/>
      </c>
      <c r="O142" s="19" t="str">
        <f t="shared" si="42"/>
        <v/>
      </c>
      <c r="P142" s="19" t="str">
        <f t="shared" si="43"/>
        <v/>
      </c>
      <c r="Q142" s="19" t="str">
        <f t="shared" si="44"/>
        <v/>
      </c>
      <c r="R142" s="19" t="str">
        <f t="shared" si="54"/>
        <v/>
      </c>
      <c r="S142" s="27" t="str">
        <f t="shared" si="48"/>
        <v/>
      </c>
      <c r="T142" s="28" t="str">
        <f t="shared" si="49"/>
        <v/>
      </c>
      <c r="U142" s="28" t="str">
        <f t="shared" si="50"/>
        <v/>
      </c>
      <c r="V142" s="28" t="str">
        <f t="shared" si="51"/>
        <v/>
      </c>
      <c r="W142" s="28" t="str">
        <f t="shared" si="52"/>
        <v/>
      </c>
      <c r="X142" s="29" t="str">
        <f t="shared" si="53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5"/>
        <v/>
      </c>
      <c r="M143" s="19" t="str">
        <f t="shared" si="46"/>
        <v/>
      </c>
      <c r="N143" s="19" t="str">
        <f t="shared" si="47"/>
        <v/>
      </c>
      <c r="O143" s="19" t="str">
        <f t="shared" si="42"/>
        <v/>
      </c>
      <c r="P143" s="19" t="str">
        <f t="shared" si="43"/>
        <v/>
      </c>
      <c r="Q143" s="19" t="str">
        <f t="shared" si="44"/>
        <v/>
      </c>
      <c r="R143" s="19" t="str">
        <f t="shared" si="54"/>
        <v/>
      </c>
      <c r="S143" s="27" t="str">
        <f t="shared" si="48"/>
        <v/>
      </c>
      <c r="T143" s="28" t="str">
        <f t="shared" si="49"/>
        <v/>
      </c>
      <c r="U143" s="28" t="str">
        <f t="shared" si="50"/>
        <v/>
      </c>
      <c r="V143" s="28" t="str">
        <f t="shared" si="51"/>
        <v/>
      </c>
      <c r="W143" s="28" t="str">
        <f t="shared" si="52"/>
        <v/>
      </c>
      <c r="X143" s="29" t="str">
        <f t="shared" si="53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5">IF(ISBLANK(C144),"",(C144-C$16)*1000)</f>
        <v/>
      </c>
      <c r="M144" s="19" t="str">
        <f t="shared" ref="M144:M153" si="56">IF(ISBLANK(D144),"",(D144-D$16)*1000)</f>
        <v/>
      </c>
      <c r="N144" s="19" t="str">
        <f t="shared" ref="N144:N153" si="57">IF(ISBLANK(E144),"",(E144-E$16)*1000)</f>
        <v/>
      </c>
      <c r="O144" s="19" t="str">
        <f t="shared" si="42"/>
        <v/>
      </c>
      <c r="P144" s="19" t="str">
        <f t="shared" si="43"/>
        <v/>
      </c>
      <c r="Q144" s="19" t="str">
        <f t="shared" si="44"/>
        <v/>
      </c>
      <c r="R144" s="19" t="str">
        <f t="shared" si="54"/>
        <v/>
      </c>
      <c r="S144" s="27" t="str">
        <f t="shared" si="48"/>
        <v/>
      </c>
      <c r="T144" s="28" t="str">
        <f t="shared" si="49"/>
        <v/>
      </c>
      <c r="U144" s="28" t="str">
        <f t="shared" si="50"/>
        <v/>
      </c>
      <c r="V144" s="28" t="str">
        <f t="shared" si="51"/>
        <v/>
      </c>
      <c r="W144" s="28" t="str">
        <f t="shared" si="52"/>
        <v/>
      </c>
      <c r="X144" s="29" t="str">
        <f t="shared" si="53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5"/>
        <v/>
      </c>
      <c r="M145" s="19" t="str">
        <f t="shared" si="56"/>
        <v/>
      </c>
      <c r="N145" s="19" t="str">
        <f t="shared" si="57"/>
        <v/>
      </c>
      <c r="O145" s="19" t="str">
        <f t="shared" si="42"/>
        <v/>
      </c>
      <c r="P145" s="19" t="str">
        <f t="shared" si="43"/>
        <v/>
      </c>
      <c r="Q145" s="19" t="str">
        <f t="shared" si="44"/>
        <v/>
      </c>
      <c r="R145" s="19" t="str">
        <f t="shared" si="54"/>
        <v/>
      </c>
      <c r="S145" s="27" t="str">
        <f t="shared" ref="S145:S153" si="58">IF(C145="","",((C145-C144)*1000)/($B145-$B144))</f>
        <v/>
      </c>
      <c r="T145" s="28" t="str">
        <f t="shared" ref="T145:T153" si="59">IF(D145="","",((D145-D144)*1000)/($B145-$B144))</f>
        <v/>
      </c>
      <c r="U145" s="28" t="str">
        <f t="shared" ref="U145:U153" si="60">IF(E145="","",((E145-E144)*1000)/($B145-$B144))</f>
        <v/>
      </c>
      <c r="V145" s="28" t="str">
        <f t="shared" ref="V145:V153" si="61">IF(F145="","",((F145-F144)*1000)/($B145-$B144))</f>
        <v/>
      </c>
      <c r="W145" s="28" t="str">
        <f t="shared" ref="W145:W153" si="62">IF(G145="","",((G145-G144)*1000)/($B145-$B144))</f>
        <v/>
      </c>
      <c r="X145" s="29" t="str">
        <f t="shared" ref="X145:X153" si="63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5"/>
        <v/>
      </c>
      <c r="M146" s="19" t="str">
        <f t="shared" si="56"/>
        <v/>
      </c>
      <c r="N146" s="19" t="str">
        <f t="shared" si="57"/>
        <v/>
      </c>
      <c r="O146" s="19" t="str">
        <f t="shared" si="42"/>
        <v/>
      </c>
      <c r="P146" s="19" t="str">
        <f t="shared" si="43"/>
        <v/>
      </c>
      <c r="Q146" s="19" t="str">
        <f t="shared" si="44"/>
        <v/>
      </c>
      <c r="R146" s="19" t="str">
        <f t="shared" si="54"/>
        <v/>
      </c>
      <c r="S146" s="27" t="str">
        <f t="shared" si="58"/>
        <v/>
      </c>
      <c r="T146" s="28" t="str">
        <f t="shared" si="59"/>
        <v/>
      </c>
      <c r="U146" s="28" t="str">
        <f t="shared" si="60"/>
        <v/>
      </c>
      <c r="V146" s="28" t="str">
        <f t="shared" si="61"/>
        <v/>
      </c>
      <c r="W146" s="28" t="str">
        <f t="shared" si="62"/>
        <v/>
      </c>
      <c r="X146" s="29" t="str">
        <f t="shared" si="6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5"/>
        <v/>
      </c>
      <c r="M147" s="19" t="str">
        <f t="shared" si="56"/>
        <v/>
      </c>
      <c r="N147" s="19" t="str">
        <f t="shared" si="57"/>
        <v/>
      </c>
      <c r="O147" s="19" t="str">
        <f t="shared" si="42"/>
        <v/>
      </c>
      <c r="P147" s="19" t="str">
        <f t="shared" si="43"/>
        <v/>
      </c>
      <c r="Q147" s="19" t="str">
        <f t="shared" si="44"/>
        <v/>
      </c>
      <c r="R147" s="19" t="str">
        <f t="shared" si="54"/>
        <v/>
      </c>
      <c r="S147" s="27" t="str">
        <f t="shared" si="58"/>
        <v/>
      </c>
      <c r="T147" s="28" t="str">
        <f t="shared" si="59"/>
        <v/>
      </c>
      <c r="U147" s="28" t="str">
        <f t="shared" si="60"/>
        <v/>
      </c>
      <c r="V147" s="28" t="str">
        <f t="shared" si="61"/>
        <v/>
      </c>
      <c r="W147" s="28" t="str">
        <f t="shared" si="62"/>
        <v/>
      </c>
      <c r="X147" s="29" t="str">
        <f t="shared" si="6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5"/>
        <v/>
      </c>
      <c r="M148" s="19" t="str">
        <f t="shared" si="56"/>
        <v/>
      </c>
      <c r="N148" s="19" t="str">
        <f t="shared" si="57"/>
        <v/>
      </c>
      <c r="O148" s="19" t="str">
        <f t="shared" si="42"/>
        <v/>
      </c>
      <c r="P148" s="19" t="str">
        <f t="shared" si="43"/>
        <v/>
      </c>
      <c r="Q148" s="19" t="str">
        <f t="shared" si="44"/>
        <v/>
      </c>
      <c r="R148" s="19" t="str">
        <f t="shared" si="54"/>
        <v/>
      </c>
      <c r="S148" s="27" t="str">
        <f t="shared" si="58"/>
        <v/>
      </c>
      <c r="T148" s="28" t="str">
        <f t="shared" si="59"/>
        <v/>
      </c>
      <c r="U148" s="28" t="str">
        <f t="shared" si="60"/>
        <v/>
      </c>
      <c r="V148" s="28" t="str">
        <f t="shared" si="61"/>
        <v/>
      </c>
      <c r="W148" s="28" t="str">
        <f t="shared" si="62"/>
        <v/>
      </c>
      <c r="X148" s="29" t="str">
        <f t="shared" si="6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5"/>
        <v/>
      </c>
      <c r="M149" s="19" t="str">
        <f t="shared" si="56"/>
        <v/>
      </c>
      <c r="N149" s="19" t="str">
        <f t="shared" si="57"/>
        <v/>
      </c>
      <c r="O149" s="19" t="str">
        <f t="shared" si="42"/>
        <v/>
      </c>
      <c r="P149" s="19" t="str">
        <f t="shared" si="43"/>
        <v/>
      </c>
      <c r="Q149" s="19" t="str">
        <f t="shared" si="44"/>
        <v/>
      </c>
      <c r="R149" s="19" t="str">
        <f t="shared" si="54"/>
        <v/>
      </c>
      <c r="S149" s="27" t="str">
        <f t="shared" si="58"/>
        <v/>
      </c>
      <c r="T149" s="28" t="str">
        <f t="shared" si="59"/>
        <v/>
      </c>
      <c r="U149" s="28" t="str">
        <f t="shared" si="60"/>
        <v/>
      </c>
      <c r="V149" s="28" t="str">
        <f t="shared" si="61"/>
        <v/>
      </c>
      <c r="W149" s="28" t="str">
        <f t="shared" si="62"/>
        <v/>
      </c>
      <c r="X149" s="29" t="str">
        <f t="shared" si="6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5"/>
        <v/>
      </c>
      <c r="M150" s="19" t="str">
        <f t="shared" si="56"/>
        <v/>
      </c>
      <c r="N150" s="19" t="str">
        <f t="shared" si="57"/>
        <v/>
      </c>
      <c r="O150" s="19" t="str">
        <f t="shared" si="42"/>
        <v/>
      </c>
      <c r="P150" s="19" t="str">
        <f t="shared" si="43"/>
        <v/>
      </c>
      <c r="Q150" s="19" t="str">
        <f t="shared" si="44"/>
        <v/>
      </c>
      <c r="R150" s="19" t="str">
        <f t="shared" si="54"/>
        <v/>
      </c>
      <c r="S150" s="27" t="str">
        <f t="shared" si="58"/>
        <v/>
      </c>
      <c r="T150" s="28" t="str">
        <f t="shared" si="59"/>
        <v/>
      </c>
      <c r="U150" s="28" t="str">
        <f t="shared" si="60"/>
        <v/>
      </c>
      <c r="V150" s="28" t="str">
        <f t="shared" si="61"/>
        <v/>
      </c>
      <c r="W150" s="28" t="str">
        <f t="shared" si="62"/>
        <v/>
      </c>
      <c r="X150" s="29" t="str">
        <f t="shared" si="6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5"/>
        <v/>
      </c>
      <c r="M151" s="19" t="str">
        <f t="shared" si="56"/>
        <v/>
      </c>
      <c r="N151" s="19" t="str">
        <f t="shared" si="57"/>
        <v/>
      </c>
      <c r="O151" s="19" t="str">
        <f t="shared" si="42"/>
        <v/>
      </c>
      <c r="P151" s="19" t="str">
        <f t="shared" si="43"/>
        <v/>
      </c>
      <c r="Q151" s="19" t="str">
        <f t="shared" si="44"/>
        <v/>
      </c>
      <c r="R151" s="19" t="str">
        <f t="shared" si="54"/>
        <v/>
      </c>
      <c r="S151" s="27" t="str">
        <f t="shared" si="58"/>
        <v/>
      </c>
      <c r="T151" s="28" t="str">
        <f t="shared" si="59"/>
        <v/>
      </c>
      <c r="U151" s="28" t="str">
        <f t="shared" si="60"/>
        <v/>
      </c>
      <c r="V151" s="28" t="str">
        <f t="shared" si="61"/>
        <v/>
      </c>
      <c r="W151" s="28" t="str">
        <f t="shared" si="62"/>
        <v/>
      </c>
      <c r="X151" s="29" t="str">
        <f t="shared" si="6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5"/>
        <v/>
      </c>
      <c r="M152" s="19" t="str">
        <f t="shared" si="56"/>
        <v/>
      </c>
      <c r="N152" s="19" t="str">
        <f t="shared" si="57"/>
        <v/>
      </c>
      <c r="O152" s="19" t="str">
        <f t="shared" si="42"/>
        <v/>
      </c>
      <c r="P152" s="19" t="str">
        <f t="shared" si="43"/>
        <v/>
      </c>
      <c r="Q152" s="19" t="str">
        <f t="shared" si="44"/>
        <v/>
      </c>
      <c r="R152" s="19" t="str">
        <f t="shared" si="54"/>
        <v/>
      </c>
      <c r="S152" s="27" t="str">
        <f t="shared" si="58"/>
        <v/>
      </c>
      <c r="T152" s="28" t="str">
        <f t="shared" si="59"/>
        <v/>
      </c>
      <c r="U152" s="28" t="str">
        <f t="shared" si="60"/>
        <v/>
      </c>
      <c r="V152" s="28" t="str">
        <f t="shared" si="61"/>
        <v/>
      </c>
      <c r="W152" s="28" t="str">
        <f t="shared" si="62"/>
        <v/>
      </c>
      <c r="X152" s="29" t="str">
        <f t="shared" si="6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5"/>
        <v/>
      </c>
      <c r="M153" s="19" t="str">
        <f t="shared" si="56"/>
        <v/>
      </c>
      <c r="N153" s="19" t="str">
        <f t="shared" si="57"/>
        <v/>
      </c>
      <c r="O153" s="19" t="str">
        <f t="shared" si="42"/>
        <v/>
      </c>
      <c r="P153" s="19" t="str">
        <f t="shared" si="43"/>
        <v/>
      </c>
      <c r="Q153" s="19" t="str">
        <f t="shared" si="44"/>
        <v/>
      </c>
      <c r="R153" s="19" t="str">
        <f t="shared" si="54"/>
        <v/>
      </c>
      <c r="S153" s="27" t="str">
        <f t="shared" si="58"/>
        <v/>
      </c>
      <c r="T153" s="28" t="str">
        <f t="shared" si="59"/>
        <v/>
      </c>
      <c r="U153" s="28" t="str">
        <f t="shared" si="60"/>
        <v/>
      </c>
      <c r="V153" s="28" t="str">
        <f t="shared" si="61"/>
        <v/>
      </c>
      <c r="W153" s="28" t="str">
        <f t="shared" si="62"/>
        <v/>
      </c>
      <c r="X153" s="29" t="str">
        <f t="shared" si="63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AA9:AI9"/>
    <mergeCell ref="E8:I8"/>
    <mergeCell ref="J8:Q8"/>
    <mergeCell ref="R8:V8"/>
    <mergeCell ref="W8:Y8"/>
    <mergeCell ref="B9:O9"/>
    <mergeCell ref="P9:Y9"/>
    <mergeCell ref="B13:B15"/>
    <mergeCell ref="R5:V5"/>
    <mergeCell ref="W5:Y5"/>
    <mergeCell ref="E6:I6"/>
    <mergeCell ref="J6:Q6"/>
    <mergeCell ref="R6:V6"/>
    <mergeCell ref="W6:Y6"/>
    <mergeCell ref="B10:J12"/>
    <mergeCell ref="K10:S12"/>
    <mergeCell ref="C13:K13"/>
    <mergeCell ref="T10:Y12"/>
    <mergeCell ref="B5:D8"/>
    <mergeCell ref="E5:I5"/>
    <mergeCell ref="J5:Q5"/>
    <mergeCell ref="E7:I7"/>
    <mergeCell ref="J7:Q7"/>
    <mergeCell ref="R7:V7"/>
    <mergeCell ref="W7:Y7"/>
    <mergeCell ref="Y13:Y15"/>
    <mergeCell ref="C14:E14"/>
    <mergeCell ref="F14:H14"/>
    <mergeCell ref="I14:I15"/>
    <mergeCell ref="J14:K14"/>
    <mergeCell ref="L13:R14"/>
    <mergeCell ref="S13:X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4">
    <tabColor theme="3" tint="0.79998168889431442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43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TZ-12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38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41657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>
        <v>43</v>
      </c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41659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46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120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378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13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41660</v>
      </c>
      <c r="C16" s="14">
        <v>12.648999999999999</v>
      </c>
      <c r="D16" s="15">
        <v>7.3090000000000002</v>
      </c>
      <c r="E16" s="15">
        <v>8.2889999999999997</v>
      </c>
      <c r="F16" s="42"/>
      <c r="G16" s="42"/>
      <c r="H16" s="42"/>
      <c r="I16" s="41">
        <v>101.494</v>
      </c>
      <c r="J16" s="40">
        <v>387</v>
      </c>
      <c r="K16" s="51">
        <f t="shared" ref="K16:K29" si="0">IF(ISBLANK(J16),"",(J16-$J$8))</f>
        <v>9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41661</v>
      </c>
      <c r="C17" s="25">
        <v>12.648</v>
      </c>
      <c r="D17" s="26">
        <v>7.3079999999999998</v>
      </c>
      <c r="E17" s="26">
        <v>8.2889999999999997</v>
      </c>
      <c r="F17" s="16"/>
      <c r="G17" s="16"/>
      <c r="H17" s="16"/>
      <c r="I17" s="17">
        <v>101.494</v>
      </c>
      <c r="J17" s="32">
        <v>388.5</v>
      </c>
      <c r="K17" s="18">
        <f t="shared" si="0"/>
        <v>10.5</v>
      </c>
      <c r="L17" s="19">
        <f t="shared" ref="L17:R62" si="2">IF(ISBLANK(C17),"",(C17-C$16)*1000)</f>
        <v>-0.99999999999944578</v>
      </c>
      <c r="M17" s="19">
        <f t="shared" si="2"/>
        <v>-1.000000000000334</v>
      </c>
      <c r="N17" s="19">
        <f t="shared" si="2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0</v>
      </c>
      <c r="S17" s="27">
        <f t="shared" ref="S17:X32" si="3">IF(C17="","",((C17-C16)*1000)/($B17-$B16))</f>
        <v>-0.99999999999944578</v>
      </c>
      <c r="T17" s="28">
        <f t="shared" si="3"/>
        <v>-1.000000000000334</v>
      </c>
      <c r="U17" s="28">
        <f t="shared" si="3"/>
        <v>0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41662</v>
      </c>
      <c r="C18" s="25">
        <v>12.646000000000001</v>
      </c>
      <c r="D18" s="26">
        <v>7.3070000000000004</v>
      </c>
      <c r="E18" s="26">
        <v>8.2889999999999997</v>
      </c>
      <c r="F18" s="16"/>
      <c r="G18" s="16"/>
      <c r="H18" s="16"/>
      <c r="I18" s="17">
        <v>101.494</v>
      </c>
      <c r="J18" s="32">
        <v>392</v>
      </c>
      <c r="K18" s="18">
        <f t="shared" si="0"/>
        <v>14</v>
      </c>
      <c r="L18" s="19">
        <f t="shared" si="2"/>
        <v>-2.9999999999983373</v>
      </c>
      <c r="M18" s="19">
        <f t="shared" si="2"/>
        <v>-1.9999999999997797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0</v>
      </c>
      <c r="S18" s="27">
        <f t="shared" si="3"/>
        <v>-1.9999999999988916</v>
      </c>
      <c r="T18" s="28">
        <f t="shared" si="3"/>
        <v>-0.99999999999944578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41663</v>
      </c>
      <c r="C19" s="25">
        <v>12.646000000000001</v>
      </c>
      <c r="D19" s="26">
        <v>7.3070000000000004</v>
      </c>
      <c r="E19" s="26">
        <v>8.2889999999999997</v>
      </c>
      <c r="F19" s="16"/>
      <c r="G19" s="16"/>
      <c r="H19" s="16"/>
      <c r="I19" s="17">
        <v>101.494</v>
      </c>
      <c r="J19" s="32">
        <v>393.5</v>
      </c>
      <c r="K19" s="18">
        <f t="shared" si="0"/>
        <v>15.5</v>
      </c>
      <c r="L19" s="19">
        <f t="shared" si="2"/>
        <v>-2.9999999999983373</v>
      </c>
      <c r="M19" s="19">
        <f t="shared" si="2"/>
        <v>-1.9999999999997797</v>
      </c>
      <c r="N19" s="19">
        <f t="shared" si="2"/>
        <v>0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0</v>
      </c>
      <c r="S19" s="27">
        <f t="shared" si="3"/>
        <v>0</v>
      </c>
      <c r="T19" s="28">
        <f t="shared" si="3"/>
        <v>0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41666</v>
      </c>
      <c r="C20" s="25">
        <v>12.646000000000001</v>
      </c>
      <c r="D20" s="26">
        <v>7.3070000000000004</v>
      </c>
      <c r="E20" s="26">
        <v>8.2880000000000003</v>
      </c>
      <c r="F20" s="16"/>
      <c r="G20" s="16"/>
      <c r="H20" s="16"/>
      <c r="I20" s="17">
        <v>101.49299999999999</v>
      </c>
      <c r="J20" s="32">
        <v>396.5</v>
      </c>
      <c r="K20" s="18">
        <f t="shared" si="0"/>
        <v>18.5</v>
      </c>
      <c r="L20" s="19">
        <f t="shared" si="2"/>
        <v>-2.9999999999983373</v>
      </c>
      <c r="M20" s="19">
        <f t="shared" si="2"/>
        <v>-1.9999999999997797</v>
      </c>
      <c r="N20" s="19">
        <f t="shared" si="2"/>
        <v>-0.99999999999944578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-1.0000000000047748</v>
      </c>
      <c r="S20" s="27">
        <f t="shared" si="3"/>
        <v>0</v>
      </c>
      <c r="T20" s="28">
        <f t="shared" si="3"/>
        <v>0</v>
      </c>
      <c r="U20" s="28">
        <f t="shared" si="3"/>
        <v>-0.33333333333314857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41667</v>
      </c>
      <c r="C21" s="25">
        <v>12.646000000000001</v>
      </c>
      <c r="D21" s="26">
        <v>7.3070000000000004</v>
      </c>
      <c r="E21" s="26">
        <v>8.2870000000000008</v>
      </c>
      <c r="F21" s="16"/>
      <c r="G21" s="16"/>
      <c r="H21" s="16"/>
      <c r="I21" s="17">
        <v>101.492</v>
      </c>
      <c r="J21" s="32">
        <v>398.5</v>
      </c>
      <c r="K21" s="18">
        <f t="shared" si="0"/>
        <v>20.5</v>
      </c>
      <c r="L21" s="19">
        <f t="shared" si="2"/>
        <v>-2.9999999999983373</v>
      </c>
      <c r="M21" s="19">
        <f t="shared" si="2"/>
        <v>-1.9999999999997797</v>
      </c>
      <c r="N21" s="19">
        <f t="shared" si="2"/>
        <v>-1.9999999999988916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-1.9999999999953388</v>
      </c>
      <c r="S21" s="27">
        <f t="shared" si="3"/>
        <v>0</v>
      </c>
      <c r="T21" s="28">
        <f t="shared" si="3"/>
        <v>0</v>
      </c>
      <c r="U21" s="28">
        <f t="shared" si="3"/>
        <v>-0.99999999999944578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41668</v>
      </c>
      <c r="C22" s="25">
        <v>12.646000000000001</v>
      </c>
      <c r="D22" s="26">
        <v>7.3070000000000004</v>
      </c>
      <c r="E22" s="26">
        <v>8.2870000000000008</v>
      </c>
      <c r="F22" s="16"/>
      <c r="G22" s="16"/>
      <c r="H22" s="16"/>
      <c r="I22" s="17">
        <v>101.492</v>
      </c>
      <c r="J22" s="32">
        <v>402</v>
      </c>
      <c r="K22" s="18">
        <f t="shared" si="0"/>
        <v>24</v>
      </c>
      <c r="L22" s="19">
        <f t="shared" si="2"/>
        <v>-2.9999999999983373</v>
      </c>
      <c r="M22" s="19">
        <f t="shared" si="2"/>
        <v>-1.9999999999997797</v>
      </c>
      <c r="N22" s="19">
        <f t="shared" si="2"/>
        <v>-1.9999999999988916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-1.9999999999953388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41669</v>
      </c>
      <c r="C23" s="25">
        <v>12.646000000000001</v>
      </c>
      <c r="D23" s="26">
        <v>7.3070000000000004</v>
      </c>
      <c r="E23" s="26">
        <v>8.2870000000000008</v>
      </c>
      <c r="F23" s="16"/>
      <c r="G23" s="16"/>
      <c r="H23" s="16"/>
      <c r="I23" s="17">
        <v>101.492</v>
      </c>
      <c r="J23" s="32">
        <v>411</v>
      </c>
      <c r="K23" s="18">
        <f t="shared" si="0"/>
        <v>33</v>
      </c>
      <c r="L23" s="19">
        <f t="shared" si="2"/>
        <v>-2.9999999999983373</v>
      </c>
      <c r="M23" s="19">
        <f t="shared" si="2"/>
        <v>-1.9999999999997797</v>
      </c>
      <c r="N23" s="19">
        <f t="shared" si="2"/>
        <v>-1.9999999999988916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-1.9999999999953388</v>
      </c>
      <c r="S23" s="27">
        <f t="shared" si="3"/>
        <v>0</v>
      </c>
      <c r="T23" s="28">
        <f t="shared" si="3"/>
        <v>0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41670</v>
      </c>
      <c r="C24" s="25">
        <v>12.646000000000001</v>
      </c>
      <c r="D24" s="26">
        <v>7.3070000000000004</v>
      </c>
      <c r="E24" s="26">
        <v>8.2880000000000003</v>
      </c>
      <c r="F24" s="16"/>
      <c r="G24" s="16"/>
      <c r="H24" s="16"/>
      <c r="I24" s="17">
        <v>101.492</v>
      </c>
      <c r="J24" s="32">
        <v>418.5</v>
      </c>
      <c r="K24" s="18">
        <f t="shared" si="0"/>
        <v>40.5</v>
      </c>
      <c r="L24" s="19">
        <f t="shared" si="2"/>
        <v>-2.9999999999983373</v>
      </c>
      <c r="M24" s="19">
        <f t="shared" si="2"/>
        <v>-1.9999999999997797</v>
      </c>
      <c r="N24" s="19">
        <f t="shared" si="2"/>
        <v>-0.99999999999944578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-1.9999999999953388</v>
      </c>
      <c r="S24" s="27">
        <f t="shared" si="3"/>
        <v>0</v>
      </c>
      <c r="T24" s="28">
        <f t="shared" si="3"/>
        <v>0</v>
      </c>
      <c r="U24" s="28">
        <f t="shared" si="3"/>
        <v>0.99999999999944578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41673</v>
      </c>
      <c r="C25" s="25">
        <v>12.646000000000001</v>
      </c>
      <c r="D25" s="26">
        <v>7.3070000000000004</v>
      </c>
      <c r="E25" s="26">
        <v>8.2880000000000003</v>
      </c>
      <c r="F25" s="16"/>
      <c r="G25" s="16"/>
      <c r="H25" s="16"/>
      <c r="I25" s="17">
        <v>101.492</v>
      </c>
      <c r="J25" s="32">
        <v>430</v>
      </c>
      <c r="K25" s="18">
        <f t="shared" si="0"/>
        <v>52</v>
      </c>
      <c r="L25" s="19">
        <f t="shared" si="2"/>
        <v>-2.9999999999983373</v>
      </c>
      <c r="M25" s="19">
        <f t="shared" si="2"/>
        <v>-1.9999999999997797</v>
      </c>
      <c r="N25" s="19">
        <f t="shared" si="2"/>
        <v>-0.99999999999944578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-1.9999999999953388</v>
      </c>
      <c r="S25" s="27">
        <f t="shared" si="3"/>
        <v>0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41674</v>
      </c>
      <c r="C26" s="25">
        <v>12.647</v>
      </c>
      <c r="D26" s="26">
        <v>7.3070000000000004</v>
      </c>
      <c r="E26" s="26">
        <v>8.2870000000000008</v>
      </c>
      <c r="F26" s="16"/>
      <c r="G26" s="16"/>
      <c r="H26" s="16"/>
      <c r="I26" s="17">
        <v>101.491</v>
      </c>
      <c r="J26" s="32">
        <v>438</v>
      </c>
      <c r="K26" s="18">
        <f t="shared" si="0"/>
        <v>60</v>
      </c>
      <c r="L26" s="19">
        <f t="shared" si="2"/>
        <v>-1.9999999999988916</v>
      </c>
      <c r="M26" s="19">
        <f t="shared" si="2"/>
        <v>-1.9999999999997797</v>
      </c>
      <c r="N26" s="19">
        <f t="shared" si="2"/>
        <v>-1.9999999999988916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-3.0000000000001137</v>
      </c>
      <c r="S26" s="27">
        <f t="shared" si="3"/>
        <v>0.99999999999944578</v>
      </c>
      <c r="T26" s="28">
        <f t="shared" si="3"/>
        <v>0</v>
      </c>
      <c r="U26" s="28">
        <f t="shared" si="3"/>
        <v>-0.99999999999944578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41675</v>
      </c>
      <c r="C27" s="25">
        <v>12.647</v>
      </c>
      <c r="D27" s="26">
        <v>7.306</v>
      </c>
      <c r="E27" s="26">
        <v>8.2870000000000008</v>
      </c>
      <c r="F27" s="16"/>
      <c r="G27" s="16"/>
      <c r="H27" s="16"/>
      <c r="I27" s="17">
        <v>101.49</v>
      </c>
      <c r="J27" s="32">
        <v>446</v>
      </c>
      <c r="K27" s="18">
        <f t="shared" si="0"/>
        <v>68</v>
      </c>
      <c r="L27" s="19">
        <f t="shared" si="2"/>
        <v>-1.9999999999988916</v>
      </c>
      <c r="M27" s="19">
        <f t="shared" si="2"/>
        <v>-3.0000000000001137</v>
      </c>
      <c r="N27" s="19">
        <f t="shared" si="2"/>
        <v>-1.9999999999988916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-4.0000000000048885</v>
      </c>
      <c r="S27" s="27">
        <f t="shared" si="3"/>
        <v>0</v>
      </c>
      <c r="T27" s="28">
        <f t="shared" si="3"/>
        <v>-1.000000000000334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41676</v>
      </c>
      <c r="C28" s="25">
        <v>12.647</v>
      </c>
      <c r="D28" s="26">
        <v>7.306</v>
      </c>
      <c r="E28" s="26">
        <v>8.2870000000000008</v>
      </c>
      <c r="F28" s="16"/>
      <c r="G28" s="16"/>
      <c r="H28" s="16"/>
      <c r="I28" s="17">
        <v>101.49</v>
      </c>
      <c r="J28" s="32">
        <v>453</v>
      </c>
      <c r="K28" s="18">
        <f t="shared" si="0"/>
        <v>75</v>
      </c>
      <c r="L28" s="19">
        <f t="shared" si="2"/>
        <v>-1.9999999999988916</v>
      </c>
      <c r="M28" s="19">
        <f t="shared" si="2"/>
        <v>-3.0000000000001137</v>
      </c>
      <c r="N28" s="19">
        <f t="shared" si="2"/>
        <v>-1.9999999999988916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41684</v>
      </c>
      <c r="C29" s="25">
        <v>12.647</v>
      </c>
      <c r="D29" s="26">
        <v>7.306</v>
      </c>
      <c r="E29" s="26">
        <v>8.2870000000000008</v>
      </c>
      <c r="F29" s="16"/>
      <c r="G29" s="16"/>
      <c r="H29" s="16"/>
      <c r="I29" s="17">
        <v>101.49</v>
      </c>
      <c r="J29" s="32">
        <v>477</v>
      </c>
      <c r="K29" s="18">
        <f t="shared" si="0"/>
        <v>99</v>
      </c>
      <c r="L29" s="19">
        <f t="shared" si="2"/>
        <v>-1.9999999999988916</v>
      </c>
      <c r="M29" s="19">
        <f t="shared" si="2"/>
        <v>-3.0000000000001137</v>
      </c>
      <c r="N29" s="19">
        <f t="shared" si="2"/>
        <v>-1.9999999999988916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41690</v>
      </c>
      <c r="C30" s="25">
        <v>12.647</v>
      </c>
      <c r="D30" s="26">
        <v>7.3049999999999997</v>
      </c>
      <c r="E30" s="26">
        <v>8.2870000000000008</v>
      </c>
      <c r="F30" s="16"/>
      <c r="G30" s="16"/>
      <c r="H30" s="16"/>
      <c r="I30" s="17">
        <v>101.49</v>
      </c>
      <c r="J30" s="32">
        <v>510</v>
      </c>
      <c r="K30" s="18">
        <f t="shared" ref="K30:K42" si="4">IF(ISBLANK(J30),"",(J30-$J$8))</f>
        <v>132</v>
      </c>
      <c r="L30" s="19">
        <f t="shared" si="2"/>
        <v>-1.9999999999988916</v>
      </c>
      <c r="M30" s="19">
        <f t="shared" si="2"/>
        <v>-4.0000000000004476</v>
      </c>
      <c r="N30" s="19">
        <f t="shared" si="2"/>
        <v>-1.9999999999988916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-4.0000000000048885</v>
      </c>
      <c r="S30" s="27">
        <f t="shared" si="3"/>
        <v>0</v>
      </c>
      <c r="T30" s="28">
        <f t="shared" si="3"/>
        <v>-0.16666666666672234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41697</v>
      </c>
      <c r="C31" s="25">
        <v>12.647</v>
      </c>
      <c r="D31" s="26">
        <v>7.306</v>
      </c>
      <c r="E31" s="26">
        <v>8.2870000000000008</v>
      </c>
      <c r="F31" s="16"/>
      <c r="G31" s="16"/>
      <c r="H31" s="16"/>
      <c r="I31" s="17">
        <v>101.49</v>
      </c>
      <c r="J31" s="58">
        <v>547.5</v>
      </c>
      <c r="K31" s="18">
        <f t="shared" si="4"/>
        <v>169.5</v>
      </c>
      <c r="L31" s="19">
        <f t="shared" si="2"/>
        <v>-1.9999999999988916</v>
      </c>
      <c r="M31" s="19">
        <f t="shared" si="2"/>
        <v>-3.0000000000001137</v>
      </c>
      <c r="N31" s="19">
        <f t="shared" si="2"/>
        <v>-1.9999999999988916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-4.0000000000048885</v>
      </c>
      <c r="S31" s="27">
        <f t="shared" si="3"/>
        <v>0</v>
      </c>
      <c r="T31" s="28">
        <f t="shared" si="3"/>
        <v>0.14285714285719056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41723</v>
      </c>
      <c r="C32" s="25">
        <v>12.645</v>
      </c>
      <c r="D32" s="26">
        <v>7.3049999999999997</v>
      </c>
      <c r="E32" s="26">
        <v>8.2859999999999996</v>
      </c>
      <c r="F32" s="16"/>
      <c r="G32" s="16"/>
      <c r="H32" s="16"/>
      <c r="I32" s="17">
        <v>101.49</v>
      </c>
      <c r="J32" s="32">
        <v>308</v>
      </c>
      <c r="K32" s="18">
        <f t="shared" si="4"/>
        <v>-70</v>
      </c>
      <c r="L32" s="19">
        <f t="shared" si="2"/>
        <v>-3.9999999999995595</v>
      </c>
      <c r="M32" s="19">
        <f t="shared" si="2"/>
        <v>-4.0000000000004476</v>
      </c>
      <c r="N32" s="19">
        <f t="shared" si="2"/>
        <v>-3.0000000000001137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-4.0000000000048885</v>
      </c>
      <c r="S32" s="27">
        <f t="shared" si="3"/>
        <v>-7.6923076923102615E-2</v>
      </c>
      <c r="T32" s="28">
        <f t="shared" si="3"/>
        <v>-3.8461538461551308E-2</v>
      </c>
      <c r="U32" s="28">
        <f t="shared" si="3"/>
        <v>-3.8461538461585468E-2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 t="s">
        <v>23</v>
      </c>
    </row>
    <row r="33" spans="2:25" ht="15" customHeight="1" x14ac:dyDescent="0.2">
      <c r="B33" s="31">
        <v>41731</v>
      </c>
      <c r="C33" s="33">
        <v>12.638999999999999</v>
      </c>
      <c r="D33" s="26">
        <v>7.3049999999999997</v>
      </c>
      <c r="E33" s="16">
        <v>8.2840000000000007</v>
      </c>
      <c r="F33" s="16"/>
      <c r="G33" s="16"/>
      <c r="H33" s="16"/>
      <c r="I33" s="16">
        <v>101.479</v>
      </c>
      <c r="J33" s="32">
        <v>375</v>
      </c>
      <c r="K33" s="18">
        <f t="shared" si="4"/>
        <v>-3</v>
      </c>
      <c r="L33" s="19">
        <f t="shared" si="2"/>
        <v>-9.9999999999997868</v>
      </c>
      <c r="M33" s="19">
        <f t="shared" si="2"/>
        <v>-4.0000000000004476</v>
      </c>
      <c r="N33" s="19">
        <f t="shared" si="2"/>
        <v>-4.9999999999990052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-15.000000000000568</v>
      </c>
      <c r="S33" s="27">
        <f t="shared" ref="S33:X48" si="5">IF(C33="","",((C33-C32)*1000)/($B33-$B32))</f>
        <v>-0.75000000000002842</v>
      </c>
      <c r="T33" s="28">
        <f t="shared" si="5"/>
        <v>0</v>
      </c>
      <c r="U33" s="28">
        <f t="shared" si="5"/>
        <v>-0.24999999999986144</v>
      </c>
      <c r="V33" s="28" t="str">
        <f t="shared" si="5"/>
        <v/>
      </c>
      <c r="W33" s="28" t="str">
        <f t="shared" si="5"/>
        <v/>
      </c>
      <c r="X33" s="29" t="str">
        <f t="shared" si="5"/>
        <v/>
      </c>
      <c r="Y33" s="24"/>
    </row>
    <row r="34" spans="2:25" ht="15" customHeight="1" x14ac:dyDescent="0.2">
      <c r="B34" s="31">
        <v>41732</v>
      </c>
      <c r="C34" s="33">
        <v>12.638999999999999</v>
      </c>
      <c r="D34" s="26">
        <v>7.3049999999999997</v>
      </c>
      <c r="E34" s="16">
        <v>8.282</v>
      </c>
      <c r="F34" s="16">
        <v>13.115</v>
      </c>
      <c r="G34" s="16">
        <v>9.7240000000000002</v>
      </c>
      <c r="H34" s="16">
        <v>10.491</v>
      </c>
      <c r="I34" s="16">
        <v>101.479</v>
      </c>
      <c r="J34" s="32">
        <v>387</v>
      </c>
      <c r="K34" s="18">
        <f t="shared" si="4"/>
        <v>9</v>
      </c>
      <c r="L34" s="19">
        <f t="shared" si="2"/>
        <v>-9.9999999999997868</v>
      </c>
      <c r="M34" s="19">
        <f t="shared" si="2"/>
        <v>-4.0000000000004476</v>
      </c>
      <c r="N34" s="19">
        <f t="shared" si="2"/>
        <v>-6.9999999999996732</v>
      </c>
      <c r="O34" s="19">
        <f>IF(ISBLANK(F34),"",((F34-F$34)*1000)+L$34)</f>
        <v>-9.9999999999997868</v>
      </c>
      <c r="P34" s="19">
        <f>IF(ISBLANK(G34),"",((G34-G$34)*1000)+M$34)</f>
        <v>-4.0000000000004476</v>
      </c>
      <c r="Q34" s="19">
        <f>IF(ISBLANK(H34),"",((H34-H$34)*1000)+N$34)</f>
        <v>-6.9999999999996732</v>
      </c>
      <c r="R34" s="19">
        <f t="shared" si="2"/>
        <v>-15.000000000000568</v>
      </c>
      <c r="S34" s="27">
        <f t="shared" si="5"/>
        <v>0</v>
      </c>
      <c r="T34" s="28">
        <f t="shared" si="5"/>
        <v>0</v>
      </c>
      <c r="U34" s="28">
        <f t="shared" si="5"/>
        <v>-2.0000000000006679</v>
      </c>
      <c r="V34" s="28"/>
      <c r="W34" s="28"/>
      <c r="X34" s="29"/>
      <c r="Y34" s="24"/>
    </row>
    <row r="35" spans="2:25" ht="15" customHeight="1" x14ac:dyDescent="0.2">
      <c r="B35" s="31">
        <v>41733</v>
      </c>
      <c r="C35" s="33">
        <v>12.638999999999999</v>
      </c>
      <c r="D35" s="26">
        <v>7.3040000000000003</v>
      </c>
      <c r="E35" s="16">
        <v>8.282</v>
      </c>
      <c r="F35" s="16">
        <v>13.113</v>
      </c>
      <c r="G35" s="16">
        <v>9.7240000000000002</v>
      </c>
      <c r="H35" s="16">
        <v>10.491</v>
      </c>
      <c r="I35" s="16">
        <v>101.479</v>
      </c>
      <c r="J35" s="32">
        <v>395</v>
      </c>
      <c r="K35" s="18">
        <f t="shared" si="4"/>
        <v>17</v>
      </c>
      <c r="L35" s="19">
        <f t="shared" si="2"/>
        <v>-9.9999999999997868</v>
      </c>
      <c r="M35" s="19">
        <f t="shared" si="2"/>
        <v>-4.9999999999998934</v>
      </c>
      <c r="N35" s="19">
        <f t="shared" si="2"/>
        <v>-6.9999999999996732</v>
      </c>
      <c r="O35" s="19">
        <f t="shared" ref="O35:O98" si="6">IF(ISBLANK(F35),"",((F35-F$34)*1000)+L$34)</f>
        <v>-12.000000000000455</v>
      </c>
      <c r="P35" s="19">
        <f t="shared" ref="P35:P98" si="7">IF(ISBLANK(G35),"",((G35-G$34)*1000)+M$34)</f>
        <v>-4.0000000000004476</v>
      </c>
      <c r="Q35" s="19">
        <f t="shared" ref="Q35:Q98" si="8">IF(ISBLANK(H35),"",((H35-H$34)*1000)+N$34)</f>
        <v>-6.9999999999996732</v>
      </c>
      <c r="R35" s="19">
        <f t="shared" si="2"/>
        <v>-15.000000000000568</v>
      </c>
      <c r="S35" s="27">
        <f t="shared" si="5"/>
        <v>0</v>
      </c>
      <c r="T35" s="28">
        <f t="shared" si="5"/>
        <v>-0.99999999999944578</v>
      </c>
      <c r="U35" s="28">
        <f t="shared" si="5"/>
        <v>0</v>
      </c>
      <c r="V35" s="28">
        <f t="shared" si="5"/>
        <v>-2.0000000000006679</v>
      </c>
      <c r="W35" s="28">
        <f t="shared" si="5"/>
        <v>0</v>
      </c>
      <c r="X35" s="29">
        <f t="shared" si="5"/>
        <v>0</v>
      </c>
      <c r="Y35" s="24"/>
    </row>
    <row r="36" spans="2:25" ht="15" customHeight="1" x14ac:dyDescent="0.2">
      <c r="B36" s="31">
        <v>41736</v>
      </c>
      <c r="C36" s="33">
        <v>12.638</v>
      </c>
      <c r="D36" s="26">
        <v>7.3029999999999999</v>
      </c>
      <c r="E36" s="16">
        <v>8.282</v>
      </c>
      <c r="F36" s="16">
        <v>13.113</v>
      </c>
      <c r="G36" s="16">
        <v>9.7240000000000002</v>
      </c>
      <c r="H36" s="16">
        <v>10.491</v>
      </c>
      <c r="I36" s="16">
        <v>101.479</v>
      </c>
      <c r="J36" s="32">
        <v>408</v>
      </c>
      <c r="K36" s="18">
        <f t="shared" si="4"/>
        <v>30</v>
      </c>
      <c r="L36" s="19">
        <f t="shared" si="2"/>
        <v>-10.999999999999233</v>
      </c>
      <c r="M36" s="19">
        <f t="shared" si="2"/>
        <v>-6.0000000000002274</v>
      </c>
      <c r="N36" s="19">
        <f t="shared" si="2"/>
        <v>-6.9999999999996732</v>
      </c>
      <c r="O36" s="19">
        <f t="shared" si="6"/>
        <v>-12.000000000000455</v>
      </c>
      <c r="P36" s="19">
        <f t="shared" si="7"/>
        <v>-4.0000000000004476</v>
      </c>
      <c r="Q36" s="19">
        <f t="shared" si="8"/>
        <v>-6.9999999999996732</v>
      </c>
      <c r="R36" s="19">
        <f t="shared" si="2"/>
        <v>-15.000000000000568</v>
      </c>
      <c r="S36" s="27">
        <f t="shared" si="5"/>
        <v>-0.33333333333314857</v>
      </c>
      <c r="T36" s="28">
        <f t="shared" si="5"/>
        <v>-0.33333333333344467</v>
      </c>
      <c r="U36" s="28">
        <f t="shared" si="5"/>
        <v>0</v>
      </c>
      <c r="V36" s="28">
        <f t="shared" si="5"/>
        <v>0</v>
      </c>
      <c r="W36" s="28">
        <f t="shared" si="5"/>
        <v>0</v>
      </c>
      <c r="X36" s="29">
        <f t="shared" si="5"/>
        <v>0</v>
      </c>
      <c r="Y36" s="24"/>
    </row>
    <row r="37" spans="2:25" ht="15" customHeight="1" x14ac:dyDescent="0.2">
      <c r="B37" s="31">
        <v>41737</v>
      </c>
      <c r="C37" s="33"/>
      <c r="D37" s="26"/>
      <c r="E37" s="16"/>
      <c r="F37" s="16">
        <v>13.113</v>
      </c>
      <c r="G37" s="16">
        <v>9.7240000000000002</v>
      </c>
      <c r="H37" s="16">
        <v>10.491</v>
      </c>
      <c r="I37" s="16">
        <v>101.47799999999999</v>
      </c>
      <c r="J37" s="32">
        <v>436</v>
      </c>
      <c r="K37" s="18">
        <f t="shared" si="4"/>
        <v>58</v>
      </c>
      <c r="L37" s="19" t="str">
        <f t="shared" si="2"/>
        <v/>
      </c>
      <c r="M37" s="19" t="str">
        <f t="shared" si="2"/>
        <v/>
      </c>
      <c r="N37" s="19" t="str">
        <f t="shared" si="2"/>
        <v/>
      </c>
      <c r="O37" s="19">
        <f t="shared" si="6"/>
        <v>-12.000000000000455</v>
      </c>
      <c r="P37" s="19">
        <f t="shared" si="7"/>
        <v>-4.0000000000004476</v>
      </c>
      <c r="Q37" s="19">
        <f t="shared" si="8"/>
        <v>-6.9999999999996732</v>
      </c>
      <c r="R37" s="19">
        <f t="shared" si="2"/>
        <v>-16.000000000005343</v>
      </c>
      <c r="S37" s="27" t="str">
        <f t="shared" si="5"/>
        <v/>
      </c>
      <c r="T37" s="28" t="str">
        <f t="shared" si="5"/>
        <v/>
      </c>
      <c r="U37" s="28" t="str">
        <f t="shared" si="5"/>
        <v/>
      </c>
      <c r="V37" s="28">
        <f t="shared" si="5"/>
        <v>0</v>
      </c>
      <c r="W37" s="28">
        <f t="shared" si="5"/>
        <v>0</v>
      </c>
      <c r="X37" s="29">
        <f t="shared" si="5"/>
        <v>0</v>
      </c>
      <c r="Y37" s="24"/>
    </row>
    <row r="38" spans="2:25" ht="15" customHeight="1" x14ac:dyDescent="0.2">
      <c r="B38" s="31">
        <v>41738</v>
      </c>
      <c r="C38" s="33"/>
      <c r="D38" s="26"/>
      <c r="E38" s="16"/>
      <c r="F38" s="16">
        <v>13.112</v>
      </c>
      <c r="G38" s="16">
        <v>9.7240000000000002</v>
      </c>
      <c r="H38" s="16">
        <v>10.491</v>
      </c>
      <c r="I38" s="16">
        <v>101.47799999999999</v>
      </c>
      <c r="J38" s="32">
        <v>450</v>
      </c>
      <c r="K38" s="18">
        <f t="shared" si="4"/>
        <v>72</v>
      </c>
      <c r="L38" s="19" t="str">
        <f t="shared" si="2"/>
        <v/>
      </c>
      <c r="M38" s="19" t="str">
        <f t="shared" si="2"/>
        <v/>
      </c>
      <c r="N38" s="19" t="str">
        <f t="shared" si="2"/>
        <v/>
      </c>
      <c r="O38" s="19">
        <f t="shared" si="6"/>
        <v>-12.999999999999901</v>
      </c>
      <c r="P38" s="19">
        <f t="shared" si="7"/>
        <v>-4.0000000000004476</v>
      </c>
      <c r="Q38" s="19">
        <f t="shared" si="8"/>
        <v>-6.9999999999996732</v>
      </c>
      <c r="R38" s="19">
        <f t="shared" si="2"/>
        <v>-16.000000000005343</v>
      </c>
      <c r="S38" s="27" t="str">
        <f t="shared" si="5"/>
        <v/>
      </c>
      <c r="T38" s="28" t="str">
        <f t="shared" si="5"/>
        <v/>
      </c>
      <c r="U38" s="28" t="str">
        <f t="shared" si="5"/>
        <v/>
      </c>
      <c r="V38" s="28">
        <f t="shared" si="5"/>
        <v>-0.99999999999944578</v>
      </c>
      <c r="W38" s="28">
        <f t="shared" si="5"/>
        <v>0</v>
      </c>
      <c r="X38" s="29">
        <f t="shared" si="5"/>
        <v>0</v>
      </c>
      <c r="Y38" s="24"/>
    </row>
    <row r="39" spans="2:25" ht="15" customHeight="1" x14ac:dyDescent="0.2">
      <c r="B39" s="31">
        <v>41739</v>
      </c>
      <c r="C39" s="33"/>
      <c r="D39" s="26"/>
      <c r="E39" s="16"/>
      <c r="F39" s="16">
        <v>13.112</v>
      </c>
      <c r="G39" s="16">
        <v>9.7240000000000002</v>
      </c>
      <c r="H39" s="16">
        <v>10.491</v>
      </c>
      <c r="I39" s="16">
        <v>101.47799999999999</v>
      </c>
      <c r="J39" s="32">
        <v>457</v>
      </c>
      <c r="K39" s="18">
        <f t="shared" si="4"/>
        <v>79</v>
      </c>
      <c r="L39" s="19" t="str">
        <f t="shared" si="2"/>
        <v/>
      </c>
      <c r="M39" s="19" t="str">
        <f t="shared" si="2"/>
        <v/>
      </c>
      <c r="N39" s="19" t="str">
        <f t="shared" si="2"/>
        <v/>
      </c>
      <c r="O39" s="19">
        <f t="shared" si="6"/>
        <v>-12.999999999999901</v>
      </c>
      <c r="P39" s="19">
        <f t="shared" si="7"/>
        <v>-4.0000000000004476</v>
      </c>
      <c r="Q39" s="19">
        <f t="shared" si="8"/>
        <v>-6.9999999999996732</v>
      </c>
      <c r="R39" s="19">
        <f t="shared" si="2"/>
        <v>-16.000000000005343</v>
      </c>
      <c r="S39" s="27" t="str">
        <f t="shared" si="5"/>
        <v/>
      </c>
      <c r="T39" s="28" t="str">
        <f t="shared" si="5"/>
        <v/>
      </c>
      <c r="U39" s="28" t="str">
        <f t="shared" si="5"/>
        <v/>
      </c>
      <c r="V39" s="28">
        <f t="shared" si="5"/>
        <v>0</v>
      </c>
      <c r="W39" s="28">
        <f t="shared" si="5"/>
        <v>0</v>
      </c>
      <c r="X39" s="29">
        <f t="shared" si="5"/>
        <v>0</v>
      </c>
      <c r="Y39" s="24"/>
    </row>
    <row r="40" spans="2:25" ht="15" customHeight="1" x14ac:dyDescent="0.2">
      <c r="B40" s="31">
        <v>41745</v>
      </c>
      <c r="C40" s="33"/>
      <c r="D40" s="26"/>
      <c r="E40" s="16"/>
      <c r="F40" s="16">
        <v>13.112</v>
      </c>
      <c r="G40" s="16">
        <v>9.7240000000000002</v>
      </c>
      <c r="H40" s="16">
        <v>10.49</v>
      </c>
      <c r="I40" s="16">
        <v>101.479</v>
      </c>
      <c r="J40" s="32">
        <v>516</v>
      </c>
      <c r="K40" s="18">
        <f t="shared" si="4"/>
        <v>138</v>
      </c>
      <c r="L40" s="19" t="str">
        <f t="shared" si="2"/>
        <v/>
      </c>
      <c r="M40" s="19" t="str">
        <f t="shared" si="2"/>
        <v/>
      </c>
      <c r="N40" s="19" t="str">
        <f t="shared" si="2"/>
        <v/>
      </c>
      <c r="O40" s="19">
        <f t="shared" si="6"/>
        <v>-12.999999999999901</v>
      </c>
      <c r="P40" s="19">
        <f t="shared" si="7"/>
        <v>-4.0000000000004476</v>
      </c>
      <c r="Q40" s="19">
        <f t="shared" si="8"/>
        <v>-7.9999999999991189</v>
      </c>
      <c r="R40" s="19">
        <f t="shared" si="2"/>
        <v>-15.000000000000568</v>
      </c>
      <c r="S40" s="27" t="str">
        <f t="shared" si="5"/>
        <v/>
      </c>
      <c r="T40" s="28" t="str">
        <f t="shared" si="5"/>
        <v/>
      </c>
      <c r="U40" s="28" t="str">
        <f t="shared" si="5"/>
        <v/>
      </c>
      <c r="V40" s="28">
        <f t="shared" si="5"/>
        <v>0</v>
      </c>
      <c r="W40" s="28">
        <f t="shared" si="5"/>
        <v>0</v>
      </c>
      <c r="X40" s="29">
        <f t="shared" si="5"/>
        <v>-0.16666666666657429</v>
      </c>
      <c r="Y40" s="24"/>
    </row>
    <row r="41" spans="2:25" ht="15" customHeight="1" x14ac:dyDescent="0.2">
      <c r="B41" s="31">
        <v>41752</v>
      </c>
      <c r="C41" s="33"/>
      <c r="D41" s="26"/>
      <c r="E41" s="16"/>
      <c r="F41" s="16">
        <v>13.112</v>
      </c>
      <c r="G41" s="16">
        <v>9.7240000000000002</v>
      </c>
      <c r="H41" s="16">
        <v>10.49</v>
      </c>
      <c r="I41" s="16">
        <v>101.479</v>
      </c>
      <c r="J41" s="32">
        <v>534.5</v>
      </c>
      <c r="K41" s="18">
        <f t="shared" si="4"/>
        <v>156.5</v>
      </c>
      <c r="L41" s="19" t="str">
        <f t="shared" si="2"/>
        <v/>
      </c>
      <c r="M41" s="19" t="str">
        <f t="shared" si="2"/>
        <v/>
      </c>
      <c r="N41" s="19" t="str">
        <f t="shared" si="2"/>
        <v/>
      </c>
      <c r="O41" s="19">
        <f t="shared" si="6"/>
        <v>-12.999999999999901</v>
      </c>
      <c r="P41" s="19">
        <f t="shared" si="7"/>
        <v>-4.0000000000004476</v>
      </c>
      <c r="Q41" s="19">
        <f t="shared" si="8"/>
        <v>-7.9999999999991189</v>
      </c>
      <c r="R41" s="19">
        <f t="shared" si="2"/>
        <v>-15.000000000000568</v>
      </c>
      <c r="S41" s="27" t="str">
        <f t="shared" si="5"/>
        <v/>
      </c>
      <c r="T41" s="28" t="str">
        <f t="shared" si="5"/>
        <v/>
      </c>
      <c r="U41" s="28" t="str">
        <f t="shared" si="5"/>
        <v/>
      </c>
      <c r="V41" s="28">
        <f t="shared" si="5"/>
        <v>0</v>
      </c>
      <c r="W41" s="28">
        <f t="shared" si="5"/>
        <v>0</v>
      </c>
      <c r="X41" s="29">
        <f t="shared" si="5"/>
        <v>0</v>
      </c>
      <c r="Y41" s="24" t="s">
        <v>35</v>
      </c>
    </row>
    <row r="42" spans="2:25" ht="15" customHeight="1" x14ac:dyDescent="0.2">
      <c r="B42" s="31">
        <v>41759</v>
      </c>
      <c r="C42" s="33"/>
      <c r="D42" s="26"/>
      <c r="E42" s="16"/>
      <c r="F42" s="16">
        <v>13.112</v>
      </c>
      <c r="G42" s="16">
        <v>9.7240000000000002</v>
      </c>
      <c r="H42" s="16">
        <v>10.489000000000001</v>
      </c>
      <c r="I42" s="16">
        <v>101.479</v>
      </c>
      <c r="J42" s="32">
        <v>534.5</v>
      </c>
      <c r="K42" s="18">
        <f t="shared" si="4"/>
        <v>156.5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>
        <f t="shared" si="6"/>
        <v>-12.999999999999901</v>
      </c>
      <c r="P42" s="19">
        <f t="shared" si="7"/>
        <v>-4.0000000000004476</v>
      </c>
      <c r="Q42" s="19">
        <f t="shared" si="8"/>
        <v>-8.9999999999985647</v>
      </c>
      <c r="R42" s="19">
        <f t="shared" si="2"/>
        <v>-15.000000000000568</v>
      </c>
      <c r="S42" s="27" t="str">
        <f t="shared" si="5"/>
        <v/>
      </c>
      <c r="T42" s="28" t="str">
        <f t="shared" si="5"/>
        <v/>
      </c>
      <c r="U42" s="28" t="str">
        <f t="shared" si="5"/>
        <v/>
      </c>
      <c r="V42" s="28">
        <f t="shared" si="5"/>
        <v>0</v>
      </c>
      <c r="W42" s="28">
        <f t="shared" si="5"/>
        <v>0</v>
      </c>
      <c r="X42" s="29">
        <f t="shared" si="5"/>
        <v>-0.14285714285706369</v>
      </c>
      <c r="Y42" s="24"/>
    </row>
    <row r="43" spans="2:25" ht="15" customHeight="1" x14ac:dyDescent="0.2">
      <c r="B43" s="31">
        <v>41781</v>
      </c>
      <c r="C43" s="33"/>
      <c r="D43" s="26"/>
      <c r="E43" s="16"/>
      <c r="F43" s="16">
        <v>13.112</v>
      </c>
      <c r="G43" s="16">
        <v>9.7249999999999996</v>
      </c>
      <c r="H43" s="16">
        <v>10.49</v>
      </c>
      <c r="I43" s="16">
        <v>101.479</v>
      </c>
      <c r="J43" s="58">
        <v>792</v>
      </c>
      <c r="K43" s="18">
        <f t="shared" ref="K43:K48" si="9">IF(ISBLANK(J43),"",(J43-$J$8))</f>
        <v>414</v>
      </c>
      <c r="L43" s="19" t="str">
        <f t="shared" si="2"/>
        <v/>
      </c>
      <c r="M43" s="19" t="str">
        <f t="shared" si="2"/>
        <v/>
      </c>
      <c r="N43" s="19" t="str">
        <f t="shared" si="2"/>
        <v/>
      </c>
      <c r="O43" s="19">
        <f t="shared" si="6"/>
        <v>-12.999999999999901</v>
      </c>
      <c r="P43" s="19">
        <f t="shared" si="7"/>
        <v>-3.0000000000010019</v>
      </c>
      <c r="Q43" s="19">
        <f t="shared" si="8"/>
        <v>-7.9999999999991189</v>
      </c>
      <c r="R43" s="19">
        <f t="shared" si="2"/>
        <v>-15.000000000000568</v>
      </c>
      <c r="S43" s="27" t="str">
        <f t="shared" si="5"/>
        <v/>
      </c>
      <c r="T43" s="28" t="str">
        <f t="shared" si="5"/>
        <v/>
      </c>
      <c r="U43" s="28" t="str">
        <f t="shared" si="5"/>
        <v/>
      </c>
      <c r="V43" s="28">
        <f t="shared" si="5"/>
        <v>0</v>
      </c>
      <c r="W43" s="28">
        <f>IF(G43="","",((G43-G42)*1000)/($B43-$B42))</f>
        <v>4.5454545454520261E-2</v>
      </c>
      <c r="X43" s="29">
        <f t="shared" si="5"/>
        <v>4.5454545454520261E-2</v>
      </c>
      <c r="Y43" s="24"/>
    </row>
    <row r="44" spans="2:25" ht="15" customHeight="1" x14ac:dyDescent="0.2">
      <c r="B44" s="31">
        <v>41843</v>
      </c>
      <c r="C44" s="33"/>
      <c r="D44" s="26"/>
      <c r="E44" s="16"/>
      <c r="F44" s="16">
        <v>13.112</v>
      </c>
      <c r="G44" s="16">
        <v>9.7249999999999996</v>
      </c>
      <c r="H44" s="16">
        <v>10.49</v>
      </c>
      <c r="I44" s="16">
        <v>101.479</v>
      </c>
      <c r="J44" s="58">
        <v>943</v>
      </c>
      <c r="K44" s="18">
        <f t="shared" si="9"/>
        <v>565</v>
      </c>
      <c r="L44" s="19" t="str">
        <f t="shared" si="2"/>
        <v/>
      </c>
      <c r="M44" s="19" t="str">
        <f t="shared" si="2"/>
        <v/>
      </c>
      <c r="N44" s="19" t="str">
        <f t="shared" si="2"/>
        <v/>
      </c>
      <c r="O44" s="19">
        <f t="shared" si="6"/>
        <v>-12.999999999999901</v>
      </c>
      <c r="P44" s="19">
        <f t="shared" si="7"/>
        <v>-3.0000000000010019</v>
      </c>
      <c r="Q44" s="19">
        <f t="shared" si="8"/>
        <v>-7.9999999999991189</v>
      </c>
      <c r="R44" s="19">
        <f t="shared" si="2"/>
        <v>-15.000000000000568</v>
      </c>
      <c r="S44" s="27" t="str">
        <f t="shared" si="5"/>
        <v/>
      </c>
      <c r="T44" s="28" t="str">
        <f t="shared" si="5"/>
        <v/>
      </c>
      <c r="U44" s="28" t="str">
        <f t="shared" si="5"/>
        <v/>
      </c>
      <c r="V44" s="28">
        <f t="shared" si="5"/>
        <v>0</v>
      </c>
      <c r="W44" s="28">
        <f t="shared" si="5"/>
        <v>0</v>
      </c>
      <c r="X44" s="29">
        <f t="shared" si="5"/>
        <v>0</v>
      </c>
      <c r="Y44" s="24"/>
    </row>
    <row r="45" spans="2:25" ht="15" customHeight="1" x14ac:dyDescent="0.2">
      <c r="B45" s="31">
        <v>41933</v>
      </c>
      <c r="C45" s="33">
        <v>12.635</v>
      </c>
      <c r="D45" s="26">
        <v>7.3010000000000002</v>
      </c>
      <c r="E45" s="16">
        <v>8.2810000000000006</v>
      </c>
      <c r="F45" s="16">
        <v>13.111000000000001</v>
      </c>
      <c r="G45" s="16">
        <v>9.7249999999999996</v>
      </c>
      <c r="H45" s="16">
        <v>10.491</v>
      </c>
      <c r="I45" s="16">
        <v>101.48</v>
      </c>
      <c r="J45" s="58">
        <v>943</v>
      </c>
      <c r="K45" s="18">
        <f t="shared" si="9"/>
        <v>565</v>
      </c>
      <c r="L45" s="19">
        <f t="shared" si="2"/>
        <v>-13.999999999999346</v>
      </c>
      <c r="M45" s="19">
        <f t="shared" si="2"/>
        <v>-8.0000000000000071</v>
      </c>
      <c r="N45" s="19">
        <f t="shared" si="2"/>
        <v>-7.9999999999991189</v>
      </c>
      <c r="O45" s="19">
        <f t="shared" si="6"/>
        <v>-13.999999999999346</v>
      </c>
      <c r="P45" s="19">
        <f t="shared" si="7"/>
        <v>-3.0000000000010019</v>
      </c>
      <c r="Q45" s="19">
        <f t="shared" si="8"/>
        <v>-6.9999999999996732</v>
      </c>
      <c r="R45" s="19">
        <f t="shared" si="2"/>
        <v>-13.999999999995794</v>
      </c>
      <c r="S45" s="27"/>
      <c r="T45" s="28"/>
      <c r="U45" s="28"/>
      <c r="V45" s="28">
        <f t="shared" si="5"/>
        <v>-1.1111111111104953E-2</v>
      </c>
      <c r="W45" s="28">
        <f t="shared" si="5"/>
        <v>0</v>
      </c>
      <c r="X45" s="29">
        <f t="shared" si="5"/>
        <v>1.1111111111104953E-2</v>
      </c>
      <c r="Y45" s="24"/>
    </row>
    <row r="46" spans="2:25" ht="15" customHeight="1" x14ac:dyDescent="0.2">
      <c r="B46" s="31">
        <v>42025</v>
      </c>
      <c r="C46" s="33"/>
      <c r="D46" s="26"/>
      <c r="E46" s="16"/>
      <c r="F46" s="16">
        <v>13.111000000000001</v>
      </c>
      <c r="G46" s="16">
        <v>9.7249999999999996</v>
      </c>
      <c r="H46" s="16">
        <v>10.492000000000001</v>
      </c>
      <c r="I46" s="16">
        <v>101.48</v>
      </c>
      <c r="J46" s="58">
        <v>943</v>
      </c>
      <c r="K46" s="18">
        <f t="shared" si="9"/>
        <v>565</v>
      </c>
      <c r="L46" s="19" t="str">
        <f t="shared" si="2"/>
        <v/>
      </c>
      <c r="M46" s="19" t="str">
        <f t="shared" si="2"/>
        <v/>
      </c>
      <c r="N46" s="19" t="str">
        <f t="shared" si="2"/>
        <v/>
      </c>
      <c r="O46" s="19">
        <f t="shared" si="6"/>
        <v>-13.999999999999346</v>
      </c>
      <c r="P46" s="19">
        <f t="shared" si="7"/>
        <v>-3.0000000000010019</v>
      </c>
      <c r="Q46" s="19">
        <f t="shared" si="8"/>
        <v>-5.999999999998451</v>
      </c>
      <c r="R46" s="19">
        <f t="shared" si="2"/>
        <v>-13.999999999995794</v>
      </c>
      <c r="S46" s="27" t="str">
        <f t="shared" si="5"/>
        <v/>
      </c>
      <c r="T46" s="28" t="str">
        <f t="shared" si="5"/>
        <v/>
      </c>
      <c r="U46" s="28" t="str">
        <f t="shared" si="5"/>
        <v/>
      </c>
      <c r="V46" s="28">
        <f t="shared" si="5"/>
        <v>0</v>
      </c>
      <c r="W46" s="28">
        <f t="shared" si="5"/>
        <v>0</v>
      </c>
      <c r="X46" s="29">
        <f t="shared" si="5"/>
        <v>1.0869565217404589E-2</v>
      </c>
      <c r="Y46" s="24"/>
    </row>
    <row r="47" spans="2:25" ht="15" customHeight="1" x14ac:dyDescent="0.2">
      <c r="B47" s="31">
        <v>42109</v>
      </c>
      <c r="C47" s="25"/>
      <c r="D47" s="26"/>
      <c r="E47" s="26"/>
      <c r="F47" s="16">
        <v>13.11</v>
      </c>
      <c r="G47" s="16">
        <v>9.7260000000000009</v>
      </c>
      <c r="H47" s="16">
        <v>10.493</v>
      </c>
      <c r="I47" s="16">
        <v>101.48099999999999</v>
      </c>
      <c r="J47" s="58">
        <v>943</v>
      </c>
      <c r="K47" s="18">
        <f t="shared" si="9"/>
        <v>565</v>
      </c>
      <c r="L47" s="19" t="str">
        <f t="shared" si="2"/>
        <v/>
      </c>
      <c r="M47" s="19" t="str">
        <f t="shared" si="2"/>
        <v/>
      </c>
      <c r="N47" s="19" t="str">
        <f t="shared" si="2"/>
        <v/>
      </c>
      <c r="O47" s="19">
        <f t="shared" si="6"/>
        <v>-15.000000000000568</v>
      </c>
      <c r="P47" s="19">
        <f t="shared" si="7"/>
        <v>-1.9999999999997797</v>
      </c>
      <c r="Q47" s="19">
        <f t="shared" si="8"/>
        <v>-4.9999999999990052</v>
      </c>
      <c r="R47" s="19">
        <f t="shared" si="2"/>
        <v>-13.00000000000523</v>
      </c>
      <c r="S47" s="27" t="str">
        <f t="shared" si="5"/>
        <v/>
      </c>
      <c r="T47" s="28" t="str">
        <f t="shared" si="5"/>
        <v/>
      </c>
      <c r="U47" s="28" t="str">
        <f t="shared" si="5"/>
        <v/>
      </c>
      <c r="V47" s="28">
        <f t="shared" si="5"/>
        <v>-1.1904761904776453E-2</v>
      </c>
      <c r="W47" s="28">
        <f t="shared" si="5"/>
        <v>1.1904761904776453E-2</v>
      </c>
      <c r="X47" s="29">
        <f t="shared" si="5"/>
        <v>1.1904761904755307E-2</v>
      </c>
      <c r="Y47" s="24"/>
    </row>
    <row r="48" spans="2:25" ht="15" customHeight="1" x14ac:dyDescent="0.2">
      <c r="B48" s="31">
        <v>42221</v>
      </c>
      <c r="C48" s="33"/>
      <c r="D48" s="16"/>
      <c r="E48" s="16"/>
      <c r="F48" s="16">
        <v>13.111000000000001</v>
      </c>
      <c r="G48" s="16">
        <v>9.7260000000000009</v>
      </c>
      <c r="H48" s="16">
        <v>10.493</v>
      </c>
      <c r="I48" s="16">
        <v>101.48099999999999</v>
      </c>
      <c r="J48" s="32">
        <v>1253</v>
      </c>
      <c r="K48" s="18">
        <f t="shared" si="9"/>
        <v>875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6"/>
        <v>-13.999999999999346</v>
      </c>
      <c r="P48" s="19">
        <f t="shared" si="7"/>
        <v>-1.9999999999997797</v>
      </c>
      <c r="Q48" s="19">
        <f t="shared" si="8"/>
        <v>-4.9999999999990052</v>
      </c>
      <c r="R48" s="19">
        <f t="shared" si="2"/>
        <v>-13.00000000000523</v>
      </c>
      <c r="S48" s="27" t="str">
        <f t="shared" si="5"/>
        <v/>
      </c>
      <c r="T48" s="28" t="str">
        <f t="shared" si="5"/>
        <v/>
      </c>
      <c r="U48" s="28" t="str">
        <f t="shared" si="5"/>
        <v/>
      </c>
      <c r="V48" s="28">
        <f t="shared" si="5"/>
        <v>8.9285714285823412E-3</v>
      </c>
      <c r="W48" s="28">
        <f t="shared" si="5"/>
        <v>0</v>
      </c>
      <c r="X48" s="29">
        <f t="shared" si="5"/>
        <v>0</v>
      </c>
      <c r="Y48" s="24"/>
    </row>
    <row r="49" spans="2:25" ht="15" customHeight="1" x14ac:dyDescent="0.2">
      <c r="B49" s="31">
        <v>42318</v>
      </c>
      <c r="C49" s="33"/>
      <c r="D49" s="16"/>
      <c r="E49" s="16"/>
      <c r="F49" s="16">
        <v>13.109</v>
      </c>
      <c r="G49" s="16">
        <v>9.7260000000000009</v>
      </c>
      <c r="H49" s="16">
        <v>10.492000000000001</v>
      </c>
      <c r="I49" s="16">
        <v>101.48099999999999</v>
      </c>
      <c r="J49" s="32">
        <v>2220</v>
      </c>
      <c r="K49" s="18">
        <f t="shared" ref="K49:K51" si="10">IF(ISBLANK(J49),"",(J49-$J$8))</f>
        <v>1842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6"/>
        <v>-16.000000000000014</v>
      </c>
      <c r="P49" s="19">
        <f t="shared" si="7"/>
        <v>-1.9999999999997797</v>
      </c>
      <c r="Q49" s="19">
        <f t="shared" si="8"/>
        <v>-5.999999999998451</v>
      </c>
      <c r="R49" s="19">
        <f t="shared" si="2"/>
        <v>-13.00000000000523</v>
      </c>
      <c r="S49" s="27" t="str">
        <f t="shared" ref="S49:X64" si="11">IF(C49="","",((C49-C48)*1000)/($B49-$B48))</f>
        <v/>
      </c>
      <c r="T49" s="28" t="str">
        <f t="shared" si="11"/>
        <v/>
      </c>
      <c r="U49" s="28" t="str">
        <f t="shared" si="11"/>
        <v/>
      </c>
      <c r="V49" s="28">
        <f t="shared" si="11"/>
        <v>-2.0618556701037814E-2</v>
      </c>
      <c r="W49" s="28">
        <f t="shared" si="11"/>
        <v>0</v>
      </c>
      <c r="X49" s="29">
        <f t="shared" si="11"/>
        <v>-1.030927835050975E-2</v>
      </c>
      <c r="Y49" s="24"/>
    </row>
    <row r="50" spans="2:25" ht="15" customHeight="1" x14ac:dyDescent="0.2">
      <c r="B50" s="31">
        <v>42404</v>
      </c>
      <c r="C50" s="33">
        <v>12.634</v>
      </c>
      <c r="D50" s="26">
        <v>7.3</v>
      </c>
      <c r="E50" s="16">
        <v>8.2799999999999994</v>
      </c>
      <c r="F50" s="16">
        <v>13.108000000000001</v>
      </c>
      <c r="G50" s="16">
        <v>9.7270000000000003</v>
      </c>
      <c r="H50" s="16">
        <v>10.492000000000001</v>
      </c>
      <c r="I50" s="16">
        <v>101.48099999999999</v>
      </c>
      <c r="J50" s="58">
        <v>2484</v>
      </c>
      <c r="K50" s="18">
        <f t="shared" si="10"/>
        <v>2106</v>
      </c>
      <c r="L50" s="19">
        <f t="shared" si="2"/>
        <v>-14.999999999998792</v>
      </c>
      <c r="M50" s="19">
        <f t="shared" si="2"/>
        <v>-9.0000000000003411</v>
      </c>
      <c r="N50" s="19">
        <f t="shared" si="2"/>
        <v>-9.0000000000003411</v>
      </c>
      <c r="O50" s="19">
        <f t="shared" si="6"/>
        <v>-16.99999999999946</v>
      </c>
      <c r="P50" s="19">
        <f t="shared" si="7"/>
        <v>-1.000000000000334</v>
      </c>
      <c r="Q50" s="19">
        <f t="shared" si="8"/>
        <v>-5.999999999998451</v>
      </c>
      <c r="R50" s="19">
        <f t="shared" si="2"/>
        <v>-13.00000000000523</v>
      </c>
      <c r="S50" s="27"/>
      <c r="T50" s="28"/>
      <c r="U50" s="28"/>
      <c r="V50" s="28">
        <f t="shared" si="11"/>
        <v>-1.1627906976737741E-2</v>
      </c>
      <c r="W50" s="28">
        <f t="shared" si="11"/>
        <v>1.1627906976737741E-2</v>
      </c>
      <c r="X50" s="29">
        <f t="shared" si="11"/>
        <v>0</v>
      </c>
      <c r="Y50" s="24"/>
    </row>
    <row r="51" spans="2:25" ht="15" customHeight="1" x14ac:dyDescent="0.2">
      <c r="B51" s="31">
        <v>42529</v>
      </c>
      <c r="C51" s="33"/>
      <c r="D51" s="26"/>
      <c r="E51" s="16"/>
      <c r="F51" s="16">
        <v>13.109</v>
      </c>
      <c r="G51" s="16">
        <v>9.7270000000000003</v>
      </c>
      <c r="H51" s="16">
        <v>10.492000000000001</v>
      </c>
      <c r="I51" s="16">
        <v>101.48099999999999</v>
      </c>
      <c r="J51" s="58">
        <v>2603</v>
      </c>
      <c r="K51" s="18">
        <f t="shared" si="10"/>
        <v>2225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6"/>
        <v>-16.000000000000014</v>
      </c>
      <c r="P51" s="19">
        <f t="shared" si="7"/>
        <v>-1.000000000000334</v>
      </c>
      <c r="Q51" s="19">
        <f t="shared" si="8"/>
        <v>-5.999999999998451</v>
      </c>
      <c r="R51" s="19">
        <f t="shared" si="2"/>
        <v>-13.00000000000523</v>
      </c>
      <c r="S51" s="27" t="str">
        <f t="shared" si="11"/>
        <v/>
      </c>
      <c r="T51" s="28" t="str">
        <f t="shared" si="11"/>
        <v/>
      </c>
      <c r="U51" s="28" t="str">
        <f t="shared" si="11"/>
        <v/>
      </c>
      <c r="V51" s="28">
        <f t="shared" si="11"/>
        <v>7.9999999999955662E-3</v>
      </c>
      <c r="W51" s="28">
        <f t="shared" si="11"/>
        <v>0</v>
      </c>
      <c r="X51" s="29">
        <f t="shared" si="11"/>
        <v>0</v>
      </c>
      <c r="Y51" s="24"/>
    </row>
    <row r="52" spans="2:25" ht="15" customHeight="1" x14ac:dyDescent="0.2">
      <c r="B52" s="31"/>
      <c r="C52" s="33"/>
      <c r="D52" s="26"/>
      <c r="E52" s="16"/>
      <c r="F52" s="16"/>
      <c r="G52" s="16"/>
      <c r="H52" s="16"/>
      <c r="I52" s="16"/>
      <c r="J52" s="58"/>
      <c r="K52" s="18"/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 t="str">
        <f t="shared" si="6"/>
        <v/>
      </c>
      <c r="P52" s="19" t="str">
        <f t="shared" si="7"/>
        <v/>
      </c>
      <c r="Q52" s="19" t="str">
        <f t="shared" si="8"/>
        <v/>
      </c>
      <c r="R52" s="19" t="str">
        <f t="shared" si="2"/>
        <v/>
      </c>
      <c r="S52" s="27" t="str">
        <f t="shared" si="11"/>
        <v/>
      </c>
      <c r="T52" s="28" t="str">
        <f t="shared" si="11"/>
        <v/>
      </c>
      <c r="U52" s="28" t="str">
        <f t="shared" si="11"/>
        <v/>
      </c>
      <c r="V52" s="28" t="str">
        <f t="shared" si="11"/>
        <v/>
      </c>
      <c r="W52" s="28" t="str">
        <f t="shared" si="11"/>
        <v/>
      </c>
      <c r="X52" s="29" t="str">
        <f t="shared" si="11"/>
        <v/>
      </c>
      <c r="Y52" s="24"/>
    </row>
    <row r="53" spans="2:25" ht="15" customHeight="1" x14ac:dyDescent="0.2">
      <c r="B53" s="31"/>
      <c r="C53" s="33"/>
      <c r="D53" s="26"/>
      <c r="E53" s="16"/>
      <c r="F53" s="16"/>
      <c r="G53" s="16"/>
      <c r="H53" s="16"/>
      <c r="I53" s="16"/>
      <c r="J53" s="58"/>
      <c r="K53" s="18"/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 t="str">
        <f t="shared" si="6"/>
        <v/>
      </c>
      <c r="P53" s="19" t="str">
        <f t="shared" si="7"/>
        <v/>
      </c>
      <c r="Q53" s="19" t="str">
        <f t="shared" si="8"/>
        <v/>
      </c>
      <c r="R53" s="19" t="str">
        <f t="shared" si="2"/>
        <v/>
      </c>
      <c r="S53" s="27" t="str">
        <f t="shared" si="11"/>
        <v/>
      </c>
      <c r="T53" s="28" t="str">
        <f t="shared" si="11"/>
        <v/>
      </c>
      <c r="U53" s="28" t="str">
        <f t="shared" si="11"/>
        <v/>
      </c>
      <c r="V53" s="28" t="str">
        <f t="shared" si="11"/>
        <v/>
      </c>
      <c r="W53" s="28" t="str">
        <f t="shared" si="11"/>
        <v/>
      </c>
      <c r="X53" s="29" t="str">
        <f t="shared" si="1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2"/>
        <v/>
      </c>
      <c r="M54" s="19" t="str">
        <f t="shared" si="2"/>
        <v/>
      </c>
      <c r="N54" s="19" t="str">
        <f t="shared" si="2"/>
        <v/>
      </c>
      <c r="O54" s="19" t="str">
        <f t="shared" si="6"/>
        <v/>
      </c>
      <c r="P54" s="19" t="str">
        <f t="shared" si="7"/>
        <v/>
      </c>
      <c r="Q54" s="19" t="str">
        <f t="shared" si="8"/>
        <v/>
      </c>
      <c r="R54" s="19" t="str">
        <f t="shared" si="2"/>
        <v/>
      </c>
      <c r="S54" s="27" t="str">
        <f t="shared" si="11"/>
        <v/>
      </c>
      <c r="T54" s="28" t="str">
        <f t="shared" si="11"/>
        <v/>
      </c>
      <c r="U54" s="28" t="str">
        <f t="shared" si="11"/>
        <v/>
      </c>
      <c r="V54" s="28" t="str">
        <f t="shared" si="11"/>
        <v/>
      </c>
      <c r="W54" s="28" t="str">
        <f t="shared" si="11"/>
        <v/>
      </c>
      <c r="X54" s="29" t="str">
        <f t="shared" si="1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2"/>
        <v/>
      </c>
      <c r="M55" s="19" t="str">
        <f t="shared" si="2"/>
        <v/>
      </c>
      <c r="N55" s="19" t="str">
        <f t="shared" si="2"/>
        <v/>
      </c>
      <c r="O55" s="19" t="str">
        <f t="shared" si="6"/>
        <v/>
      </c>
      <c r="P55" s="19" t="str">
        <f t="shared" si="7"/>
        <v/>
      </c>
      <c r="Q55" s="19" t="str">
        <f t="shared" si="8"/>
        <v/>
      </c>
      <c r="R55" s="19" t="str">
        <f t="shared" si="2"/>
        <v/>
      </c>
      <c r="S55" s="27" t="str">
        <f t="shared" si="11"/>
        <v/>
      </c>
      <c r="T55" s="28" t="str">
        <f t="shared" si="11"/>
        <v/>
      </c>
      <c r="U55" s="28" t="str">
        <f t="shared" si="11"/>
        <v/>
      </c>
      <c r="V55" s="28" t="str">
        <f t="shared" si="11"/>
        <v/>
      </c>
      <c r="W55" s="28" t="str">
        <f t="shared" si="11"/>
        <v/>
      </c>
      <c r="X55" s="29" t="str">
        <f t="shared" si="1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 t="str">
        <f t="shared" si="6"/>
        <v/>
      </c>
      <c r="P56" s="19" t="str">
        <f t="shared" si="7"/>
        <v/>
      </c>
      <c r="Q56" s="19" t="str">
        <f t="shared" si="8"/>
        <v/>
      </c>
      <c r="R56" s="19" t="str">
        <f t="shared" si="2"/>
        <v/>
      </c>
      <c r="S56" s="27" t="str">
        <f t="shared" si="11"/>
        <v/>
      </c>
      <c r="T56" s="28" t="str">
        <f t="shared" si="11"/>
        <v/>
      </c>
      <c r="U56" s="28" t="str">
        <f t="shared" si="11"/>
        <v/>
      </c>
      <c r="V56" s="28" t="str">
        <f t="shared" si="11"/>
        <v/>
      </c>
      <c r="W56" s="28" t="str">
        <f t="shared" si="11"/>
        <v/>
      </c>
      <c r="X56" s="29" t="str">
        <f t="shared" si="1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 t="str">
        <f t="shared" si="6"/>
        <v/>
      </c>
      <c r="P57" s="19" t="str">
        <f t="shared" si="7"/>
        <v/>
      </c>
      <c r="Q57" s="19" t="str">
        <f t="shared" si="8"/>
        <v/>
      </c>
      <c r="R57" s="19" t="str">
        <f t="shared" si="2"/>
        <v/>
      </c>
      <c r="S57" s="27" t="str">
        <f t="shared" si="11"/>
        <v/>
      </c>
      <c r="T57" s="28" t="str">
        <f t="shared" si="11"/>
        <v/>
      </c>
      <c r="U57" s="28" t="str">
        <f t="shared" si="11"/>
        <v/>
      </c>
      <c r="V57" s="28" t="str">
        <f t="shared" si="11"/>
        <v/>
      </c>
      <c r="W57" s="28" t="str">
        <f t="shared" si="11"/>
        <v/>
      </c>
      <c r="X57" s="29" t="str">
        <f t="shared" si="1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 t="str">
        <f t="shared" si="6"/>
        <v/>
      </c>
      <c r="P58" s="19" t="str">
        <f t="shared" si="7"/>
        <v/>
      </c>
      <c r="Q58" s="19" t="str">
        <f t="shared" si="8"/>
        <v/>
      </c>
      <c r="R58" s="19" t="str">
        <f t="shared" si="2"/>
        <v/>
      </c>
      <c r="S58" s="27" t="str">
        <f t="shared" si="11"/>
        <v/>
      </c>
      <c r="T58" s="28" t="str">
        <f t="shared" si="11"/>
        <v/>
      </c>
      <c r="U58" s="28" t="str">
        <f t="shared" si="11"/>
        <v/>
      </c>
      <c r="V58" s="28" t="str">
        <f t="shared" si="11"/>
        <v/>
      </c>
      <c r="W58" s="28" t="str">
        <f t="shared" si="11"/>
        <v/>
      </c>
      <c r="X58" s="29" t="str">
        <f t="shared" si="1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2"/>
        <v/>
      </c>
      <c r="M59" s="19" t="str">
        <f t="shared" si="2"/>
        <v/>
      </c>
      <c r="N59" s="19" t="str">
        <f t="shared" si="2"/>
        <v/>
      </c>
      <c r="O59" s="19" t="str">
        <f t="shared" si="6"/>
        <v/>
      </c>
      <c r="P59" s="19" t="str">
        <f t="shared" si="7"/>
        <v/>
      </c>
      <c r="Q59" s="19" t="str">
        <f t="shared" si="8"/>
        <v/>
      </c>
      <c r="R59" s="19" t="str">
        <f t="shared" si="2"/>
        <v/>
      </c>
      <c r="S59" s="27" t="str">
        <f t="shared" si="11"/>
        <v/>
      </c>
      <c r="T59" s="28" t="str">
        <f t="shared" si="11"/>
        <v/>
      </c>
      <c r="U59" s="28" t="str">
        <f t="shared" si="11"/>
        <v/>
      </c>
      <c r="V59" s="28" t="str">
        <f t="shared" si="11"/>
        <v/>
      </c>
      <c r="W59" s="28" t="str">
        <f t="shared" si="11"/>
        <v/>
      </c>
      <c r="X59" s="29" t="str">
        <f t="shared" si="1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 t="str">
        <f t="shared" si="6"/>
        <v/>
      </c>
      <c r="P60" s="19" t="str">
        <f t="shared" si="7"/>
        <v/>
      </c>
      <c r="Q60" s="19" t="str">
        <f t="shared" si="8"/>
        <v/>
      </c>
      <c r="R60" s="19" t="str">
        <f t="shared" si="2"/>
        <v/>
      </c>
      <c r="S60" s="27" t="str">
        <f t="shared" si="11"/>
        <v/>
      </c>
      <c r="T60" s="28" t="str">
        <f t="shared" si="11"/>
        <v/>
      </c>
      <c r="U60" s="28" t="str">
        <f t="shared" si="11"/>
        <v/>
      </c>
      <c r="V60" s="28" t="str">
        <f t="shared" si="11"/>
        <v/>
      </c>
      <c r="W60" s="28" t="str">
        <f t="shared" si="11"/>
        <v/>
      </c>
      <c r="X60" s="29" t="str">
        <f t="shared" si="1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6"/>
        <v/>
      </c>
      <c r="P61" s="19" t="str">
        <f t="shared" si="7"/>
        <v/>
      </c>
      <c r="Q61" s="19" t="str">
        <f t="shared" si="8"/>
        <v/>
      </c>
      <c r="R61" s="19" t="str">
        <f t="shared" si="2"/>
        <v/>
      </c>
      <c r="S61" s="27" t="str">
        <f t="shared" si="11"/>
        <v/>
      </c>
      <c r="T61" s="28" t="str">
        <f t="shared" si="11"/>
        <v/>
      </c>
      <c r="U61" s="28" t="str">
        <f t="shared" si="11"/>
        <v/>
      </c>
      <c r="V61" s="28" t="str">
        <f t="shared" si="11"/>
        <v/>
      </c>
      <c r="W61" s="28" t="str">
        <f t="shared" si="11"/>
        <v/>
      </c>
      <c r="X61" s="29" t="str">
        <f t="shared" si="1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6"/>
        <v/>
      </c>
      <c r="P62" s="19" t="str">
        <f t="shared" si="7"/>
        <v/>
      </c>
      <c r="Q62" s="19" t="str">
        <f t="shared" si="8"/>
        <v/>
      </c>
      <c r="R62" s="19" t="str">
        <f t="shared" ref="R62:R93" si="12">IF(ISBLANK(I62),"",(I62-I$16)*1000)</f>
        <v/>
      </c>
      <c r="S62" s="27" t="str">
        <f t="shared" si="11"/>
        <v/>
      </c>
      <c r="T62" s="28" t="str">
        <f t="shared" si="11"/>
        <v/>
      </c>
      <c r="U62" s="28" t="str">
        <f t="shared" si="11"/>
        <v/>
      </c>
      <c r="V62" s="28" t="str">
        <f t="shared" si="11"/>
        <v/>
      </c>
      <c r="W62" s="28" t="str">
        <f t="shared" si="11"/>
        <v/>
      </c>
      <c r="X62" s="29" t="str">
        <f t="shared" si="1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3">IF(ISBLANK(C63),"",(C63-C$16)*1000)</f>
        <v/>
      </c>
      <c r="M63" s="19" t="str">
        <f t="shared" ref="M63:M94" si="14">IF(ISBLANK(D63),"",(D63-D$16)*1000)</f>
        <v/>
      </c>
      <c r="N63" s="19" t="str">
        <f t="shared" ref="N63:N94" si="15">IF(ISBLANK(E63),"",(E63-E$16)*1000)</f>
        <v/>
      </c>
      <c r="O63" s="19" t="str">
        <f t="shared" si="6"/>
        <v/>
      </c>
      <c r="P63" s="19" t="str">
        <f t="shared" si="7"/>
        <v/>
      </c>
      <c r="Q63" s="19" t="str">
        <f t="shared" si="8"/>
        <v/>
      </c>
      <c r="R63" s="19" t="str">
        <f t="shared" si="12"/>
        <v/>
      </c>
      <c r="S63" s="27" t="str">
        <f t="shared" si="11"/>
        <v/>
      </c>
      <c r="T63" s="28" t="str">
        <f t="shared" si="11"/>
        <v/>
      </c>
      <c r="U63" s="28" t="str">
        <f t="shared" si="11"/>
        <v/>
      </c>
      <c r="V63" s="28" t="str">
        <f t="shared" si="11"/>
        <v/>
      </c>
      <c r="W63" s="28" t="str">
        <f t="shared" si="11"/>
        <v/>
      </c>
      <c r="X63" s="29" t="str">
        <f t="shared" si="1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3"/>
        <v/>
      </c>
      <c r="M64" s="19" t="str">
        <f t="shared" si="14"/>
        <v/>
      </c>
      <c r="N64" s="19" t="str">
        <f t="shared" si="15"/>
        <v/>
      </c>
      <c r="O64" s="19" t="str">
        <f t="shared" si="6"/>
        <v/>
      </c>
      <c r="P64" s="19" t="str">
        <f t="shared" si="7"/>
        <v/>
      </c>
      <c r="Q64" s="19" t="str">
        <f t="shared" si="8"/>
        <v/>
      </c>
      <c r="R64" s="19" t="str">
        <f t="shared" si="12"/>
        <v/>
      </c>
      <c r="S64" s="27" t="str">
        <f t="shared" si="11"/>
        <v/>
      </c>
      <c r="T64" s="28" t="str">
        <f t="shared" si="11"/>
        <v/>
      </c>
      <c r="U64" s="28" t="str">
        <f t="shared" si="11"/>
        <v/>
      </c>
      <c r="V64" s="28" t="str">
        <f t="shared" si="11"/>
        <v/>
      </c>
      <c r="W64" s="28" t="str">
        <f t="shared" si="11"/>
        <v/>
      </c>
      <c r="X64" s="29" t="str">
        <f t="shared" si="1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3"/>
        <v/>
      </c>
      <c r="M65" s="19" t="str">
        <f t="shared" si="14"/>
        <v/>
      </c>
      <c r="N65" s="19" t="str">
        <f t="shared" si="15"/>
        <v/>
      </c>
      <c r="O65" s="19" t="str">
        <f t="shared" si="6"/>
        <v/>
      </c>
      <c r="P65" s="19" t="str">
        <f t="shared" si="7"/>
        <v/>
      </c>
      <c r="Q65" s="19" t="str">
        <f t="shared" si="8"/>
        <v/>
      </c>
      <c r="R65" s="19" t="str">
        <f t="shared" si="12"/>
        <v/>
      </c>
      <c r="S65" s="27" t="str">
        <f t="shared" ref="S65:X80" si="16">IF(C65="","",((C65-C64)*1000)/($B65-$B64))</f>
        <v/>
      </c>
      <c r="T65" s="28" t="str">
        <f t="shared" si="16"/>
        <v/>
      </c>
      <c r="U65" s="28" t="str">
        <f t="shared" si="16"/>
        <v/>
      </c>
      <c r="V65" s="28" t="str">
        <f t="shared" si="16"/>
        <v/>
      </c>
      <c r="W65" s="28" t="str">
        <f t="shared" si="16"/>
        <v/>
      </c>
      <c r="X65" s="29" t="str">
        <f t="shared" si="16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3"/>
        <v/>
      </c>
      <c r="M66" s="19" t="str">
        <f t="shared" si="14"/>
        <v/>
      </c>
      <c r="N66" s="19" t="str">
        <f t="shared" si="15"/>
        <v/>
      </c>
      <c r="O66" s="19" t="str">
        <f t="shared" si="6"/>
        <v/>
      </c>
      <c r="P66" s="19" t="str">
        <f t="shared" si="7"/>
        <v/>
      </c>
      <c r="Q66" s="19" t="str">
        <f t="shared" si="8"/>
        <v/>
      </c>
      <c r="R66" s="19" t="str">
        <f t="shared" si="12"/>
        <v/>
      </c>
      <c r="S66" s="27" t="str">
        <f t="shared" si="16"/>
        <v/>
      </c>
      <c r="T66" s="28" t="str">
        <f t="shared" si="16"/>
        <v/>
      </c>
      <c r="U66" s="28" t="str">
        <f t="shared" si="16"/>
        <v/>
      </c>
      <c r="V66" s="28" t="str">
        <f t="shared" si="16"/>
        <v/>
      </c>
      <c r="W66" s="28" t="str">
        <f t="shared" si="16"/>
        <v/>
      </c>
      <c r="X66" s="29" t="str">
        <f t="shared" si="16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3"/>
        <v/>
      </c>
      <c r="M67" s="19" t="str">
        <f t="shared" si="14"/>
        <v/>
      </c>
      <c r="N67" s="19" t="str">
        <f t="shared" si="15"/>
        <v/>
      </c>
      <c r="O67" s="19" t="str">
        <f t="shared" si="6"/>
        <v/>
      </c>
      <c r="P67" s="19" t="str">
        <f t="shared" si="7"/>
        <v/>
      </c>
      <c r="Q67" s="19" t="str">
        <f t="shared" si="8"/>
        <v/>
      </c>
      <c r="R67" s="19" t="str">
        <f t="shared" si="12"/>
        <v/>
      </c>
      <c r="S67" s="27" t="str">
        <f t="shared" si="16"/>
        <v/>
      </c>
      <c r="T67" s="28" t="str">
        <f t="shared" si="16"/>
        <v/>
      </c>
      <c r="U67" s="28" t="str">
        <f t="shared" si="16"/>
        <v/>
      </c>
      <c r="V67" s="28" t="str">
        <f t="shared" si="16"/>
        <v/>
      </c>
      <c r="W67" s="28" t="str">
        <f t="shared" si="16"/>
        <v/>
      </c>
      <c r="X67" s="29" t="str">
        <f t="shared" si="16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3"/>
        <v/>
      </c>
      <c r="M68" s="19" t="str">
        <f t="shared" si="14"/>
        <v/>
      </c>
      <c r="N68" s="19" t="str">
        <f t="shared" si="15"/>
        <v/>
      </c>
      <c r="O68" s="19" t="str">
        <f t="shared" si="6"/>
        <v/>
      </c>
      <c r="P68" s="19" t="str">
        <f t="shared" si="7"/>
        <v/>
      </c>
      <c r="Q68" s="19" t="str">
        <f t="shared" si="8"/>
        <v/>
      </c>
      <c r="R68" s="19" t="str">
        <f t="shared" si="12"/>
        <v/>
      </c>
      <c r="S68" s="27" t="str">
        <f t="shared" si="16"/>
        <v/>
      </c>
      <c r="T68" s="28" t="str">
        <f t="shared" si="16"/>
        <v/>
      </c>
      <c r="U68" s="28" t="str">
        <f t="shared" si="16"/>
        <v/>
      </c>
      <c r="V68" s="28" t="str">
        <f t="shared" si="16"/>
        <v/>
      </c>
      <c r="W68" s="28" t="str">
        <f t="shared" si="16"/>
        <v/>
      </c>
      <c r="X68" s="29" t="str">
        <f t="shared" si="16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3"/>
        <v/>
      </c>
      <c r="M69" s="19" t="str">
        <f t="shared" si="14"/>
        <v/>
      </c>
      <c r="N69" s="19" t="str">
        <f t="shared" si="15"/>
        <v/>
      </c>
      <c r="O69" s="19" t="str">
        <f t="shared" si="6"/>
        <v/>
      </c>
      <c r="P69" s="19" t="str">
        <f t="shared" si="7"/>
        <v/>
      </c>
      <c r="Q69" s="19" t="str">
        <f t="shared" si="8"/>
        <v/>
      </c>
      <c r="R69" s="19" t="str">
        <f t="shared" si="12"/>
        <v/>
      </c>
      <c r="S69" s="27" t="str">
        <f t="shared" si="16"/>
        <v/>
      </c>
      <c r="T69" s="28" t="str">
        <f t="shared" si="16"/>
        <v/>
      </c>
      <c r="U69" s="28" t="str">
        <f t="shared" si="16"/>
        <v/>
      </c>
      <c r="V69" s="28" t="str">
        <f t="shared" si="16"/>
        <v/>
      </c>
      <c r="W69" s="28" t="str">
        <f t="shared" si="16"/>
        <v/>
      </c>
      <c r="X69" s="29" t="str">
        <f t="shared" si="16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3"/>
        <v/>
      </c>
      <c r="M70" s="19" t="str">
        <f t="shared" si="14"/>
        <v/>
      </c>
      <c r="N70" s="19" t="str">
        <f t="shared" si="15"/>
        <v/>
      </c>
      <c r="O70" s="19" t="str">
        <f t="shared" si="6"/>
        <v/>
      </c>
      <c r="P70" s="19" t="str">
        <f t="shared" si="7"/>
        <v/>
      </c>
      <c r="Q70" s="19" t="str">
        <f t="shared" si="8"/>
        <v/>
      </c>
      <c r="R70" s="19" t="str">
        <f t="shared" si="12"/>
        <v/>
      </c>
      <c r="S70" s="27" t="str">
        <f t="shared" si="16"/>
        <v/>
      </c>
      <c r="T70" s="28" t="str">
        <f t="shared" si="16"/>
        <v/>
      </c>
      <c r="U70" s="28" t="str">
        <f t="shared" si="16"/>
        <v/>
      </c>
      <c r="V70" s="28" t="str">
        <f t="shared" si="16"/>
        <v/>
      </c>
      <c r="W70" s="28" t="str">
        <f t="shared" si="16"/>
        <v/>
      </c>
      <c r="X70" s="29" t="str">
        <f t="shared" si="16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3"/>
        <v/>
      </c>
      <c r="M71" s="19" t="str">
        <f t="shared" si="14"/>
        <v/>
      </c>
      <c r="N71" s="19" t="str">
        <f t="shared" si="15"/>
        <v/>
      </c>
      <c r="O71" s="19" t="str">
        <f t="shared" si="6"/>
        <v/>
      </c>
      <c r="P71" s="19" t="str">
        <f t="shared" si="7"/>
        <v/>
      </c>
      <c r="Q71" s="19" t="str">
        <f t="shared" si="8"/>
        <v/>
      </c>
      <c r="R71" s="19" t="str">
        <f t="shared" si="12"/>
        <v/>
      </c>
      <c r="S71" s="27" t="str">
        <f t="shared" si="16"/>
        <v/>
      </c>
      <c r="T71" s="28" t="str">
        <f t="shared" si="16"/>
        <v/>
      </c>
      <c r="U71" s="28" t="str">
        <f t="shared" si="16"/>
        <v/>
      </c>
      <c r="V71" s="28" t="str">
        <f t="shared" si="16"/>
        <v/>
      </c>
      <c r="W71" s="28" t="str">
        <f t="shared" si="16"/>
        <v/>
      </c>
      <c r="X71" s="29" t="str">
        <f t="shared" si="16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3"/>
        <v/>
      </c>
      <c r="M72" s="19" t="str">
        <f t="shared" si="14"/>
        <v/>
      </c>
      <c r="N72" s="19" t="str">
        <f t="shared" si="15"/>
        <v/>
      </c>
      <c r="O72" s="19" t="str">
        <f t="shared" si="6"/>
        <v/>
      </c>
      <c r="P72" s="19" t="str">
        <f t="shared" si="7"/>
        <v/>
      </c>
      <c r="Q72" s="19" t="str">
        <f t="shared" si="8"/>
        <v/>
      </c>
      <c r="R72" s="19" t="str">
        <f t="shared" si="12"/>
        <v/>
      </c>
      <c r="S72" s="27" t="str">
        <f t="shared" si="16"/>
        <v/>
      </c>
      <c r="T72" s="28" t="str">
        <f t="shared" si="16"/>
        <v/>
      </c>
      <c r="U72" s="28" t="str">
        <f t="shared" si="16"/>
        <v/>
      </c>
      <c r="V72" s="28" t="str">
        <f t="shared" si="16"/>
        <v/>
      </c>
      <c r="W72" s="28" t="str">
        <f t="shared" si="16"/>
        <v/>
      </c>
      <c r="X72" s="29" t="str">
        <f t="shared" si="16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3"/>
        <v/>
      </c>
      <c r="M73" s="19" t="str">
        <f t="shared" si="14"/>
        <v/>
      </c>
      <c r="N73" s="19" t="str">
        <f t="shared" si="15"/>
        <v/>
      </c>
      <c r="O73" s="19" t="str">
        <f t="shared" si="6"/>
        <v/>
      </c>
      <c r="P73" s="19" t="str">
        <f t="shared" si="7"/>
        <v/>
      </c>
      <c r="Q73" s="19" t="str">
        <f t="shared" si="8"/>
        <v/>
      </c>
      <c r="R73" s="19" t="str">
        <f t="shared" si="12"/>
        <v/>
      </c>
      <c r="S73" s="27" t="str">
        <f t="shared" si="16"/>
        <v/>
      </c>
      <c r="T73" s="28" t="str">
        <f t="shared" si="16"/>
        <v/>
      </c>
      <c r="U73" s="28" t="str">
        <f t="shared" si="16"/>
        <v/>
      </c>
      <c r="V73" s="28" t="str">
        <f t="shared" si="16"/>
        <v/>
      </c>
      <c r="W73" s="28" t="str">
        <f t="shared" si="16"/>
        <v/>
      </c>
      <c r="X73" s="29" t="str">
        <f t="shared" si="16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3"/>
        <v/>
      </c>
      <c r="M74" s="19" t="str">
        <f t="shared" si="14"/>
        <v/>
      </c>
      <c r="N74" s="19" t="str">
        <f t="shared" si="15"/>
        <v/>
      </c>
      <c r="O74" s="19" t="str">
        <f t="shared" si="6"/>
        <v/>
      </c>
      <c r="P74" s="19" t="str">
        <f t="shared" si="7"/>
        <v/>
      </c>
      <c r="Q74" s="19" t="str">
        <f t="shared" si="8"/>
        <v/>
      </c>
      <c r="R74" s="19" t="str">
        <f t="shared" si="12"/>
        <v/>
      </c>
      <c r="S74" s="27" t="str">
        <f t="shared" si="16"/>
        <v/>
      </c>
      <c r="T74" s="28" t="str">
        <f t="shared" si="16"/>
        <v/>
      </c>
      <c r="U74" s="28" t="str">
        <f t="shared" si="16"/>
        <v/>
      </c>
      <c r="V74" s="28" t="str">
        <f t="shared" si="16"/>
        <v/>
      </c>
      <c r="W74" s="28" t="str">
        <f t="shared" si="16"/>
        <v/>
      </c>
      <c r="X74" s="29" t="str">
        <f t="shared" si="16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3"/>
        <v/>
      </c>
      <c r="M75" s="19" t="str">
        <f t="shared" si="14"/>
        <v/>
      </c>
      <c r="N75" s="19" t="str">
        <f t="shared" si="15"/>
        <v/>
      </c>
      <c r="O75" s="19" t="str">
        <f t="shared" si="6"/>
        <v/>
      </c>
      <c r="P75" s="19" t="str">
        <f t="shared" si="7"/>
        <v/>
      </c>
      <c r="Q75" s="19" t="str">
        <f t="shared" si="8"/>
        <v/>
      </c>
      <c r="R75" s="19" t="str">
        <f t="shared" si="12"/>
        <v/>
      </c>
      <c r="S75" s="27" t="str">
        <f t="shared" si="16"/>
        <v/>
      </c>
      <c r="T75" s="28" t="str">
        <f t="shared" si="16"/>
        <v/>
      </c>
      <c r="U75" s="28" t="str">
        <f t="shared" si="16"/>
        <v/>
      </c>
      <c r="V75" s="28" t="str">
        <f t="shared" si="16"/>
        <v/>
      </c>
      <c r="W75" s="28" t="str">
        <f t="shared" si="16"/>
        <v/>
      </c>
      <c r="X75" s="29" t="str">
        <f t="shared" si="16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3"/>
        <v/>
      </c>
      <c r="M76" s="19" t="str">
        <f t="shared" si="14"/>
        <v/>
      </c>
      <c r="N76" s="19" t="str">
        <f t="shared" si="15"/>
        <v/>
      </c>
      <c r="O76" s="19" t="str">
        <f t="shared" si="6"/>
        <v/>
      </c>
      <c r="P76" s="19" t="str">
        <f t="shared" si="7"/>
        <v/>
      </c>
      <c r="Q76" s="19" t="str">
        <f t="shared" si="8"/>
        <v/>
      </c>
      <c r="R76" s="19" t="str">
        <f t="shared" si="12"/>
        <v/>
      </c>
      <c r="S76" s="27" t="str">
        <f t="shared" si="16"/>
        <v/>
      </c>
      <c r="T76" s="28" t="str">
        <f t="shared" si="16"/>
        <v/>
      </c>
      <c r="U76" s="28" t="str">
        <f t="shared" si="16"/>
        <v/>
      </c>
      <c r="V76" s="28" t="str">
        <f t="shared" si="16"/>
        <v/>
      </c>
      <c r="W76" s="28" t="str">
        <f t="shared" si="16"/>
        <v/>
      </c>
      <c r="X76" s="29" t="str">
        <f t="shared" si="16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3"/>
        <v/>
      </c>
      <c r="M77" s="19" t="str">
        <f t="shared" si="14"/>
        <v/>
      </c>
      <c r="N77" s="19" t="str">
        <f t="shared" si="15"/>
        <v/>
      </c>
      <c r="O77" s="19" t="str">
        <f t="shared" si="6"/>
        <v/>
      </c>
      <c r="P77" s="19" t="str">
        <f t="shared" si="7"/>
        <v/>
      </c>
      <c r="Q77" s="19" t="str">
        <f t="shared" si="8"/>
        <v/>
      </c>
      <c r="R77" s="19" t="str">
        <f t="shared" si="12"/>
        <v/>
      </c>
      <c r="S77" s="27" t="str">
        <f t="shared" si="16"/>
        <v/>
      </c>
      <c r="T77" s="28" t="str">
        <f t="shared" si="16"/>
        <v/>
      </c>
      <c r="U77" s="28" t="str">
        <f t="shared" si="16"/>
        <v/>
      </c>
      <c r="V77" s="28" t="str">
        <f t="shared" si="16"/>
        <v/>
      </c>
      <c r="W77" s="28" t="str">
        <f t="shared" si="16"/>
        <v/>
      </c>
      <c r="X77" s="29" t="str">
        <f t="shared" si="16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3"/>
        <v/>
      </c>
      <c r="M78" s="19" t="str">
        <f t="shared" si="14"/>
        <v/>
      </c>
      <c r="N78" s="19" t="str">
        <f t="shared" si="15"/>
        <v/>
      </c>
      <c r="O78" s="19" t="str">
        <f t="shared" si="6"/>
        <v/>
      </c>
      <c r="P78" s="19" t="str">
        <f t="shared" si="7"/>
        <v/>
      </c>
      <c r="Q78" s="19" t="str">
        <f t="shared" si="8"/>
        <v/>
      </c>
      <c r="R78" s="19" t="str">
        <f t="shared" si="12"/>
        <v/>
      </c>
      <c r="S78" s="27" t="str">
        <f t="shared" si="16"/>
        <v/>
      </c>
      <c r="T78" s="28" t="str">
        <f t="shared" si="16"/>
        <v/>
      </c>
      <c r="U78" s="28" t="str">
        <f t="shared" si="16"/>
        <v/>
      </c>
      <c r="V78" s="28" t="str">
        <f t="shared" si="16"/>
        <v/>
      </c>
      <c r="W78" s="28" t="str">
        <f t="shared" si="16"/>
        <v/>
      </c>
      <c r="X78" s="29" t="str">
        <f t="shared" si="16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3"/>
        <v/>
      </c>
      <c r="M79" s="19" t="str">
        <f t="shared" si="14"/>
        <v/>
      </c>
      <c r="N79" s="19" t="str">
        <f t="shared" si="15"/>
        <v/>
      </c>
      <c r="O79" s="19" t="str">
        <f t="shared" si="6"/>
        <v/>
      </c>
      <c r="P79" s="19" t="str">
        <f t="shared" si="7"/>
        <v/>
      </c>
      <c r="Q79" s="19" t="str">
        <f t="shared" si="8"/>
        <v/>
      </c>
      <c r="R79" s="19" t="str">
        <f t="shared" si="12"/>
        <v/>
      </c>
      <c r="S79" s="27" t="str">
        <f t="shared" si="16"/>
        <v/>
      </c>
      <c r="T79" s="28" t="str">
        <f t="shared" si="16"/>
        <v/>
      </c>
      <c r="U79" s="28" t="str">
        <f t="shared" si="16"/>
        <v/>
      </c>
      <c r="V79" s="28" t="str">
        <f t="shared" si="16"/>
        <v/>
      </c>
      <c r="W79" s="28" t="str">
        <f t="shared" si="16"/>
        <v/>
      </c>
      <c r="X79" s="29" t="str">
        <f t="shared" si="16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3"/>
        <v/>
      </c>
      <c r="M80" s="19" t="str">
        <f t="shared" si="14"/>
        <v/>
      </c>
      <c r="N80" s="19" t="str">
        <f t="shared" si="15"/>
        <v/>
      </c>
      <c r="O80" s="19" t="str">
        <f t="shared" si="6"/>
        <v/>
      </c>
      <c r="P80" s="19" t="str">
        <f t="shared" si="7"/>
        <v/>
      </c>
      <c r="Q80" s="19" t="str">
        <f t="shared" si="8"/>
        <v/>
      </c>
      <c r="R80" s="19" t="str">
        <f t="shared" si="12"/>
        <v/>
      </c>
      <c r="S80" s="27" t="str">
        <f t="shared" si="16"/>
        <v/>
      </c>
      <c r="T80" s="28" t="str">
        <f t="shared" si="16"/>
        <v/>
      </c>
      <c r="U80" s="28" t="str">
        <f t="shared" si="16"/>
        <v/>
      </c>
      <c r="V80" s="28" t="str">
        <f t="shared" si="16"/>
        <v/>
      </c>
      <c r="W80" s="28" t="str">
        <f t="shared" si="16"/>
        <v/>
      </c>
      <c r="X80" s="29" t="str">
        <f t="shared" si="16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3"/>
        <v/>
      </c>
      <c r="M81" s="19" t="str">
        <f t="shared" si="14"/>
        <v/>
      </c>
      <c r="N81" s="19" t="str">
        <f t="shared" si="15"/>
        <v/>
      </c>
      <c r="O81" s="19" t="str">
        <f t="shared" si="6"/>
        <v/>
      </c>
      <c r="P81" s="19" t="str">
        <f t="shared" si="7"/>
        <v/>
      </c>
      <c r="Q81" s="19" t="str">
        <f t="shared" si="8"/>
        <v/>
      </c>
      <c r="R81" s="19" t="str">
        <f t="shared" si="12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3"/>
        <v/>
      </c>
      <c r="M82" s="19" t="str">
        <f t="shared" si="14"/>
        <v/>
      </c>
      <c r="N82" s="19" t="str">
        <f t="shared" si="15"/>
        <v/>
      </c>
      <c r="O82" s="19" t="str">
        <f t="shared" si="6"/>
        <v/>
      </c>
      <c r="P82" s="19" t="str">
        <f t="shared" si="7"/>
        <v/>
      </c>
      <c r="Q82" s="19" t="str">
        <f t="shared" si="8"/>
        <v/>
      </c>
      <c r="R82" s="19" t="str">
        <f t="shared" si="12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3"/>
        <v/>
      </c>
      <c r="M83" s="19" t="str">
        <f t="shared" si="14"/>
        <v/>
      </c>
      <c r="N83" s="19" t="str">
        <f t="shared" si="15"/>
        <v/>
      </c>
      <c r="O83" s="19" t="str">
        <f t="shared" si="6"/>
        <v/>
      </c>
      <c r="P83" s="19" t="str">
        <f t="shared" si="7"/>
        <v/>
      </c>
      <c r="Q83" s="19" t="str">
        <f t="shared" si="8"/>
        <v/>
      </c>
      <c r="R83" s="19" t="str">
        <f t="shared" si="12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3"/>
        <v/>
      </c>
      <c r="M84" s="19" t="str">
        <f t="shared" si="14"/>
        <v/>
      </c>
      <c r="N84" s="19" t="str">
        <f t="shared" si="15"/>
        <v/>
      </c>
      <c r="O84" s="19" t="str">
        <f t="shared" si="6"/>
        <v/>
      </c>
      <c r="P84" s="19" t="str">
        <f t="shared" si="7"/>
        <v/>
      </c>
      <c r="Q84" s="19" t="str">
        <f t="shared" si="8"/>
        <v/>
      </c>
      <c r="R84" s="19" t="str">
        <f t="shared" si="12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3"/>
        <v/>
      </c>
      <c r="M85" s="19" t="str">
        <f t="shared" si="14"/>
        <v/>
      </c>
      <c r="N85" s="19" t="str">
        <f t="shared" si="15"/>
        <v/>
      </c>
      <c r="O85" s="19" t="str">
        <f t="shared" si="6"/>
        <v/>
      </c>
      <c r="P85" s="19" t="str">
        <f t="shared" si="7"/>
        <v/>
      </c>
      <c r="Q85" s="19" t="str">
        <f t="shared" si="8"/>
        <v/>
      </c>
      <c r="R85" s="19" t="str">
        <f t="shared" si="12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3"/>
        <v/>
      </c>
      <c r="M86" s="19" t="str">
        <f t="shared" si="14"/>
        <v/>
      </c>
      <c r="N86" s="19" t="str">
        <f t="shared" si="15"/>
        <v/>
      </c>
      <c r="O86" s="19" t="str">
        <f t="shared" si="6"/>
        <v/>
      </c>
      <c r="P86" s="19" t="str">
        <f t="shared" si="7"/>
        <v/>
      </c>
      <c r="Q86" s="19" t="str">
        <f t="shared" si="8"/>
        <v/>
      </c>
      <c r="R86" s="19" t="str">
        <f t="shared" si="12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3"/>
        <v/>
      </c>
      <c r="M87" s="19" t="str">
        <f t="shared" si="14"/>
        <v/>
      </c>
      <c r="N87" s="19" t="str">
        <f t="shared" si="15"/>
        <v/>
      </c>
      <c r="O87" s="19" t="str">
        <f t="shared" si="6"/>
        <v/>
      </c>
      <c r="P87" s="19" t="str">
        <f t="shared" si="7"/>
        <v/>
      </c>
      <c r="Q87" s="19" t="str">
        <f t="shared" si="8"/>
        <v/>
      </c>
      <c r="R87" s="19" t="str">
        <f t="shared" si="12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3"/>
        <v/>
      </c>
      <c r="M88" s="19" t="str">
        <f t="shared" si="14"/>
        <v/>
      </c>
      <c r="N88" s="19" t="str">
        <f t="shared" si="15"/>
        <v/>
      </c>
      <c r="O88" s="19" t="str">
        <f t="shared" si="6"/>
        <v/>
      </c>
      <c r="P88" s="19" t="str">
        <f t="shared" si="7"/>
        <v/>
      </c>
      <c r="Q88" s="19" t="str">
        <f t="shared" si="8"/>
        <v/>
      </c>
      <c r="R88" s="19" t="str">
        <f t="shared" si="12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3"/>
        <v/>
      </c>
      <c r="M89" s="19" t="str">
        <f t="shared" si="14"/>
        <v/>
      </c>
      <c r="N89" s="19" t="str">
        <f t="shared" si="15"/>
        <v/>
      </c>
      <c r="O89" s="19" t="str">
        <f t="shared" si="6"/>
        <v/>
      </c>
      <c r="P89" s="19" t="str">
        <f t="shared" si="7"/>
        <v/>
      </c>
      <c r="Q89" s="19" t="str">
        <f t="shared" si="8"/>
        <v/>
      </c>
      <c r="R89" s="19" t="str">
        <f t="shared" si="12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3"/>
        <v/>
      </c>
      <c r="M90" s="19" t="str">
        <f t="shared" si="14"/>
        <v/>
      </c>
      <c r="N90" s="19" t="str">
        <f t="shared" si="15"/>
        <v/>
      </c>
      <c r="O90" s="19" t="str">
        <f t="shared" si="6"/>
        <v/>
      </c>
      <c r="P90" s="19" t="str">
        <f t="shared" si="7"/>
        <v/>
      </c>
      <c r="Q90" s="19" t="str">
        <f t="shared" si="8"/>
        <v/>
      </c>
      <c r="R90" s="19" t="str">
        <f t="shared" si="12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3"/>
        <v/>
      </c>
      <c r="M91" s="19" t="str">
        <f t="shared" si="14"/>
        <v/>
      </c>
      <c r="N91" s="19" t="str">
        <f t="shared" si="15"/>
        <v/>
      </c>
      <c r="O91" s="19" t="str">
        <f t="shared" si="6"/>
        <v/>
      </c>
      <c r="P91" s="19" t="str">
        <f t="shared" si="7"/>
        <v/>
      </c>
      <c r="Q91" s="19" t="str">
        <f t="shared" si="8"/>
        <v/>
      </c>
      <c r="R91" s="19" t="str">
        <f t="shared" si="12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3"/>
        <v/>
      </c>
      <c r="M92" s="19" t="str">
        <f t="shared" si="14"/>
        <v/>
      </c>
      <c r="N92" s="19" t="str">
        <f t="shared" si="15"/>
        <v/>
      </c>
      <c r="O92" s="19" t="str">
        <f t="shared" si="6"/>
        <v/>
      </c>
      <c r="P92" s="19" t="str">
        <f t="shared" si="7"/>
        <v/>
      </c>
      <c r="Q92" s="19" t="str">
        <f t="shared" si="8"/>
        <v/>
      </c>
      <c r="R92" s="19" t="str">
        <f t="shared" si="12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3"/>
        <v/>
      </c>
      <c r="M93" s="19" t="str">
        <f t="shared" si="14"/>
        <v/>
      </c>
      <c r="N93" s="19" t="str">
        <f t="shared" si="15"/>
        <v/>
      </c>
      <c r="O93" s="19" t="str">
        <f t="shared" si="6"/>
        <v/>
      </c>
      <c r="P93" s="19" t="str">
        <f t="shared" si="7"/>
        <v/>
      </c>
      <c r="Q93" s="19" t="str">
        <f t="shared" si="8"/>
        <v/>
      </c>
      <c r="R93" s="19" t="str">
        <f t="shared" si="12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3"/>
        <v/>
      </c>
      <c r="M94" s="19" t="str">
        <f t="shared" si="14"/>
        <v/>
      </c>
      <c r="N94" s="19" t="str">
        <f t="shared" si="15"/>
        <v/>
      </c>
      <c r="O94" s="19" t="str">
        <f t="shared" si="6"/>
        <v/>
      </c>
      <c r="P94" s="19" t="str">
        <f t="shared" si="7"/>
        <v/>
      </c>
      <c r="Q94" s="19" t="str">
        <f t="shared" si="8"/>
        <v/>
      </c>
      <c r="R94" s="19" t="str">
        <f t="shared" ref="R94:R116" si="18">IF(ISBLANK(I94),"",(I94-I$16)*1000)</f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19">IF(ISBLANK(C95),"",(C95-C$16)*1000)</f>
        <v/>
      </c>
      <c r="M95" s="19" t="str">
        <f t="shared" ref="M95:M116" si="20">IF(ISBLANK(D95),"",(D95-D$16)*1000)</f>
        <v/>
      </c>
      <c r="N95" s="19" t="str">
        <f t="shared" ref="N95:N116" si="21">IF(ISBLANK(E95),"",(E95-E$16)*1000)</f>
        <v/>
      </c>
      <c r="O95" s="19" t="str">
        <f t="shared" si="6"/>
        <v/>
      </c>
      <c r="P95" s="19" t="str">
        <f t="shared" si="7"/>
        <v/>
      </c>
      <c r="Q95" s="19" t="str">
        <f t="shared" si="8"/>
        <v/>
      </c>
      <c r="R95" s="19" t="str">
        <f t="shared" si="18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9"/>
        <v/>
      </c>
      <c r="M96" s="19" t="str">
        <f t="shared" si="20"/>
        <v/>
      </c>
      <c r="N96" s="19" t="str">
        <f t="shared" si="21"/>
        <v/>
      </c>
      <c r="O96" s="19" t="str">
        <f t="shared" si="6"/>
        <v/>
      </c>
      <c r="P96" s="19" t="str">
        <f t="shared" si="7"/>
        <v/>
      </c>
      <c r="Q96" s="19" t="str">
        <f t="shared" si="8"/>
        <v/>
      </c>
      <c r="R96" s="19" t="str">
        <f t="shared" si="18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9"/>
        <v/>
      </c>
      <c r="M97" s="19" t="str">
        <f t="shared" si="20"/>
        <v/>
      </c>
      <c r="N97" s="19" t="str">
        <f t="shared" si="21"/>
        <v/>
      </c>
      <c r="O97" s="19" t="str">
        <f t="shared" si="6"/>
        <v/>
      </c>
      <c r="P97" s="19" t="str">
        <f t="shared" si="7"/>
        <v/>
      </c>
      <c r="Q97" s="19" t="str">
        <f t="shared" si="8"/>
        <v/>
      </c>
      <c r="R97" s="19" t="str">
        <f t="shared" si="18"/>
        <v/>
      </c>
      <c r="S97" s="27" t="str">
        <f t="shared" ref="S97:X112" si="22">IF(C97="","",((C97-C96)*1000)/($B97-$B96))</f>
        <v/>
      </c>
      <c r="T97" s="28" t="str">
        <f t="shared" si="22"/>
        <v/>
      </c>
      <c r="U97" s="28" t="str">
        <f t="shared" si="22"/>
        <v/>
      </c>
      <c r="V97" s="28" t="str">
        <f t="shared" si="22"/>
        <v/>
      </c>
      <c r="W97" s="28" t="str">
        <f t="shared" si="22"/>
        <v/>
      </c>
      <c r="X97" s="29" t="str">
        <f t="shared" si="22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9"/>
        <v/>
      </c>
      <c r="M98" s="19" t="str">
        <f t="shared" si="20"/>
        <v/>
      </c>
      <c r="N98" s="19" t="str">
        <f t="shared" si="21"/>
        <v/>
      </c>
      <c r="O98" s="19" t="str">
        <f t="shared" si="6"/>
        <v/>
      </c>
      <c r="P98" s="19" t="str">
        <f t="shared" si="7"/>
        <v/>
      </c>
      <c r="Q98" s="19" t="str">
        <f t="shared" si="8"/>
        <v/>
      </c>
      <c r="R98" s="19" t="str">
        <f t="shared" si="18"/>
        <v/>
      </c>
      <c r="S98" s="27" t="str">
        <f t="shared" si="22"/>
        <v/>
      </c>
      <c r="T98" s="28" t="str">
        <f t="shared" si="22"/>
        <v/>
      </c>
      <c r="U98" s="28" t="str">
        <f t="shared" si="22"/>
        <v/>
      </c>
      <c r="V98" s="28" t="str">
        <f t="shared" si="22"/>
        <v/>
      </c>
      <c r="W98" s="28" t="str">
        <f t="shared" si="22"/>
        <v/>
      </c>
      <c r="X98" s="29" t="str">
        <f t="shared" si="22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9"/>
        <v/>
      </c>
      <c r="M99" s="19" t="str">
        <f t="shared" si="20"/>
        <v/>
      </c>
      <c r="N99" s="19" t="str">
        <f t="shared" si="21"/>
        <v/>
      </c>
      <c r="O99" s="19" t="str">
        <f t="shared" ref="O99:O153" si="23">IF(ISBLANK(F99),"",((F99-F$34)*1000)+L$34)</f>
        <v/>
      </c>
      <c r="P99" s="19" t="str">
        <f t="shared" ref="P99:P153" si="24">IF(ISBLANK(G99),"",((G99-G$34)*1000)+M$34)</f>
        <v/>
      </c>
      <c r="Q99" s="19" t="str">
        <f t="shared" ref="Q99:Q153" si="25">IF(ISBLANK(H99),"",((H99-H$34)*1000)+N$34)</f>
        <v/>
      </c>
      <c r="R99" s="19" t="str">
        <f t="shared" si="18"/>
        <v/>
      </c>
      <c r="S99" s="27" t="str">
        <f t="shared" si="22"/>
        <v/>
      </c>
      <c r="T99" s="28" t="str">
        <f t="shared" si="22"/>
        <v/>
      </c>
      <c r="U99" s="28" t="str">
        <f t="shared" si="22"/>
        <v/>
      </c>
      <c r="V99" s="28" t="str">
        <f t="shared" si="22"/>
        <v/>
      </c>
      <c r="W99" s="28" t="str">
        <f t="shared" si="22"/>
        <v/>
      </c>
      <c r="X99" s="29" t="str">
        <f t="shared" si="22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23"/>
        <v/>
      </c>
      <c r="P100" s="19" t="str">
        <f t="shared" si="24"/>
        <v/>
      </c>
      <c r="Q100" s="19" t="str">
        <f t="shared" si="25"/>
        <v/>
      </c>
      <c r="R100" s="19" t="str">
        <f t="shared" si="18"/>
        <v/>
      </c>
      <c r="S100" s="27" t="str">
        <f t="shared" si="22"/>
        <v/>
      </c>
      <c r="T100" s="28" t="str">
        <f t="shared" si="22"/>
        <v/>
      </c>
      <c r="U100" s="28" t="str">
        <f t="shared" si="22"/>
        <v/>
      </c>
      <c r="V100" s="28" t="str">
        <f t="shared" si="22"/>
        <v/>
      </c>
      <c r="W100" s="28" t="str">
        <f t="shared" si="22"/>
        <v/>
      </c>
      <c r="X100" s="29" t="str">
        <f t="shared" si="22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23"/>
        <v/>
      </c>
      <c r="P101" s="19" t="str">
        <f t="shared" si="24"/>
        <v/>
      </c>
      <c r="Q101" s="19" t="str">
        <f t="shared" si="25"/>
        <v/>
      </c>
      <c r="R101" s="19" t="str">
        <f t="shared" si="18"/>
        <v/>
      </c>
      <c r="S101" s="27" t="str">
        <f t="shared" si="22"/>
        <v/>
      </c>
      <c r="T101" s="28" t="str">
        <f t="shared" si="22"/>
        <v/>
      </c>
      <c r="U101" s="28" t="str">
        <f t="shared" si="22"/>
        <v/>
      </c>
      <c r="V101" s="28" t="str">
        <f t="shared" si="22"/>
        <v/>
      </c>
      <c r="W101" s="28" t="str">
        <f t="shared" si="22"/>
        <v/>
      </c>
      <c r="X101" s="29" t="str">
        <f t="shared" si="22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23"/>
        <v/>
      </c>
      <c r="P102" s="19" t="str">
        <f t="shared" si="24"/>
        <v/>
      </c>
      <c r="Q102" s="19" t="str">
        <f t="shared" si="25"/>
        <v/>
      </c>
      <c r="R102" s="19" t="str">
        <f t="shared" si="18"/>
        <v/>
      </c>
      <c r="S102" s="27" t="str">
        <f t="shared" si="22"/>
        <v/>
      </c>
      <c r="T102" s="28" t="str">
        <f t="shared" si="22"/>
        <v/>
      </c>
      <c r="U102" s="28" t="str">
        <f t="shared" si="22"/>
        <v/>
      </c>
      <c r="V102" s="28" t="str">
        <f t="shared" si="22"/>
        <v/>
      </c>
      <c r="W102" s="28" t="str">
        <f t="shared" si="22"/>
        <v/>
      </c>
      <c r="X102" s="29" t="str">
        <f t="shared" si="22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23"/>
        <v/>
      </c>
      <c r="P103" s="19" t="str">
        <f t="shared" si="24"/>
        <v/>
      </c>
      <c r="Q103" s="19" t="str">
        <f t="shared" si="25"/>
        <v/>
      </c>
      <c r="R103" s="19" t="str">
        <f t="shared" si="18"/>
        <v/>
      </c>
      <c r="S103" s="27" t="str">
        <f t="shared" si="22"/>
        <v/>
      </c>
      <c r="T103" s="28" t="str">
        <f t="shared" si="22"/>
        <v/>
      </c>
      <c r="U103" s="28" t="str">
        <f t="shared" si="22"/>
        <v/>
      </c>
      <c r="V103" s="28" t="str">
        <f t="shared" si="22"/>
        <v/>
      </c>
      <c r="W103" s="28" t="str">
        <f t="shared" si="22"/>
        <v/>
      </c>
      <c r="X103" s="29" t="str">
        <f t="shared" si="22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si="23"/>
        <v/>
      </c>
      <c r="P104" s="19" t="str">
        <f t="shared" si="24"/>
        <v/>
      </c>
      <c r="Q104" s="19" t="str">
        <f t="shared" si="25"/>
        <v/>
      </c>
      <c r="R104" s="19" t="str">
        <f t="shared" si="18"/>
        <v/>
      </c>
      <c r="S104" s="27" t="str">
        <f t="shared" si="22"/>
        <v/>
      </c>
      <c r="T104" s="28" t="str">
        <f t="shared" si="22"/>
        <v/>
      </c>
      <c r="U104" s="28" t="str">
        <f t="shared" si="22"/>
        <v/>
      </c>
      <c r="V104" s="28" t="str">
        <f t="shared" si="22"/>
        <v/>
      </c>
      <c r="W104" s="28" t="str">
        <f t="shared" si="22"/>
        <v/>
      </c>
      <c r="X104" s="29" t="str">
        <f t="shared" si="22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18"/>
        <v/>
      </c>
      <c r="S105" s="27" t="str">
        <f t="shared" si="22"/>
        <v/>
      </c>
      <c r="T105" s="28" t="str">
        <f t="shared" si="22"/>
        <v/>
      </c>
      <c r="U105" s="28" t="str">
        <f t="shared" si="22"/>
        <v/>
      </c>
      <c r="V105" s="28" t="str">
        <f t="shared" si="22"/>
        <v/>
      </c>
      <c r="W105" s="28" t="str">
        <f t="shared" si="22"/>
        <v/>
      </c>
      <c r="X105" s="29" t="str">
        <f t="shared" si="22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18"/>
        <v/>
      </c>
      <c r="S106" s="27" t="str">
        <f t="shared" si="22"/>
        <v/>
      </c>
      <c r="T106" s="28" t="str">
        <f t="shared" si="22"/>
        <v/>
      </c>
      <c r="U106" s="28" t="str">
        <f t="shared" si="22"/>
        <v/>
      </c>
      <c r="V106" s="28" t="str">
        <f t="shared" si="22"/>
        <v/>
      </c>
      <c r="W106" s="28" t="str">
        <f t="shared" si="22"/>
        <v/>
      </c>
      <c r="X106" s="29" t="str">
        <f t="shared" si="22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18"/>
        <v/>
      </c>
      <c r="S107" s="27" t="str">
        <f t="shared" si="22"/>
        <v/>
      </c>
      <c r="T107" s="28" t="str">
        <f t="shared" si="22"/>
        <v/>
      </c>
      <c r="U107" s="28" t="str">
        <f t="shared" si="22"/>
        <v/>
      </c>
      <c r="V107" s="28" t="str">
        <f t="shared" si="22"/>
        <v/>
      </c>
      <c r="W107" s="28" t="str">
        <f t="shared" si="22"/>
        <v/>
      </c>
      <c r="X107" s="29" t="str">
        <f t="shared" si="22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18"/>
        <v/>
      </c>
      <c r="S108" s="27" t="str">
        <f t="shared" si="22"/>
        <v/>
      </c>
      <c r="T108" s="28" t="str">
        <f t="shared" si="22"/>
        <v/>
      </c>
      <c r="U108" s="28" t="str">
        <f t="shared" si="22"/>
        <v/>
      </c>
      <c r="V108" s="28" t="str">
        <f t="shared" si="22"/>
        <v/>
      </c>
      <c r="W108" s="28" t="str">
        <f t="shared" si="22"/>
        <v/>
      </c>
      <c r="X108" s="29" t="str">
        <f t="shared" si="22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18"/>
        <v/>
      </c>
      <c r="S109" s="27" t="str">
        <f t="shared" si="22"/>
        <v/>
      </c>
      <c r="T109" s="28" t="str">
        <f t="shared" si="22"/>
        <v/>
      </c>
      <c r="U109" s="28" t="str">
        <f t="shared" si="22"/>
        <v/>
      </c>
      <c r="V109" s="28" t="str">
        <f t="shared" si="22"/>
        <v/>
      </c>
      <c r="W109" s="28" t="str">
        <f t="shared" si="22"/>
        <v/>
      </c>
      <c r="X109" s="29" t="str">
        <f t="shared" si="22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18"/>
        <v/>
      </c>
      <c r="S110" s="27" t="str">
        <f t="shared" si="22"/>
        <v/>
      </c>
      <c r="T110" s="28" t="str">
        <f t="shared" si="22"/>
        <v/>
      </c>
      <c r="U110" s="28" t="str">
        <f t="shared" si="22"/>
        <v/>
      </c>
      <c r="V110" s="28" t="str">
        <f t="shared" si="22"/>
        <v/>
      </c>
      <c r="W110" s="28" t="str">
        <f t="shared" si="22"/>
        <v/>
      </c>
      <c r="X110" s="29" t="str">
        <f t="shared" si="22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18"/>
        <v/>
      </c>
      <c r="S111" s="27" t="str">
        <f t="shared" si="22"/>
        <v/>
      </c>
      <c r="T111" s="28" t="str">
        <f t="shared" si="22"/>
        <v/>
      </c>
      <c r="U111" s="28" t="str">
        <f t="shared" si="22"/>
        <v/>
      </c>
      <c r="V111" s="28" t="str">
        <f t="shared" si="22"/>
        <v/>
      </c>
      <c r="W111" s="28" t="str">
        <f t="shared" si="22"/>
        <v/>
      </c>
      <c r="X111" s="29" t="str">
        <f t="shared" si="22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18"/>
        <v/>
      </c>
      <c r="S112" s="27" t="str">
        <f t="shared" si="22"/>
        <v/>
      </c>
      <c r="T112" s="28" t="str">
        <f t="shared" si="22"/>
        <v/>
      </c>
      <c r="U112" s="28" t="str">
        <f t="shared" si="22"/>
        <v/>
      </c>
      <c r="V112" s="28" t="str">
        <f t="shared" si="22"/>
        <v/>
      </c>
      <c r="W112" s="28" t="str">
        <f t="shared" si="22"/>
        <v/>
      </c>
      <c r="X112" s="29" t="str">
        <f t="shared" si="22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18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3"/>
        <v/>
      </c>
      <c r="P114" s="19" t="str">
        <f t="shared" si="24"/>
        <v/>
      </c>
      <c r="Q114" s="19" t="str">
        <f t="shared" si="25"/>
        <v/>
      </c>
      <c r="R114" s="19" t="str">
        <f t="shared" si="18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3"/>
        <v/>
      </c>
      <c r="P115" s="19" t="str">
        <f t="shared" si="24"/>
        <v/>
      </c>
      <c r="Q115" s="19" t="str">
        <f t="shared" si="25"/>
        <v/>
      </c>
      <c r="R115" s="19" t="str">
        <f t="shared" si="18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3"/>
        <v/>
      </c>
      <c r="P116" s="19" t="str">
        <f t="shared" si="24"/>
        <v/>
      </c>
      <c r="Q116" s="19" t="str">
        <f t="shared" si="25"/>
        <v/>
      </c>
      <c r="R116" s="19" t="str">
        <f t="shared" si="18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7">IF(ISBLANK(D117),"",(D117-D$16)*1000)</f>
        <v/>
      </c>
      <c r="N117" s="19" t="str">
        <f t="shared" si="27"/>
        <v/>
      </c>
      <c r="O117" s="19" t="str">
        <f t="shared" si="23"/>
        <v/>
      </c>
      <c r="P117" s="19" t="str">
        <f t="shared" si="24"/>
        <v/>
      </c>
      <c r="Q117" s="19" t="str">
        <f t="shared" si="25"/>
        <v/>
      </c>
      <c r="R117" s="19" t="str">
        <f t="shared" si="27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8">IF(ISBLANK(C118),"",(C118-C$16)*1000)</f>
        <v/>
      </c>
      <c r="M118" s="19" t="str">
        <f t="shared" si="27"/>
        <v/>
      </c>
      <c r="N118" s="19" t="str">
        <f t="shared" si="27"/>
        <v/>
      </c>
      <c r="O118" s="19" t="str">
        <f t="shared" si="23"/>
        <v/>
      </c>
      <c r="P118" s="19" t="str">
        <f t="shared" si="24"/>
        <v/>
      </c>
      <c r="Q118" s="19" t="str">
        <f t="shared" si="25"/>
        <v/>
      </c>
      <c r="R118" s="19" t="str">
        <f t="shared" si="27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27"/>
        <v/>
      </c>
      <c r="N119" s="19" t="str">
        <f t="shared" si="27"/>
        <v/>
      </c>
      <c r="O119" s="19" t="str">
        <f t="shared" si="23"/>
        <v/>
      </c>
      <c r="P119" s="19" t="str">
        <f t="shared" si="24"/>
        <v/>
      </c>
      <c r="Q119" s="19" t="str">
        <f t="shared" si="25"/>
        <v/>
      </c>
      <c r="R119" s="19" t="str">
        <f t="shared" si="27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27"/>
        <v/>
      </c>
      <c r="N120" s="19" t="str">
        <f t="shared" si="27"/>
        <v/>
      </c>
      <c r="O120" s="19" t="str">
        <f t="shared" si="23"/>
        <v/>
      </c>
      <c r="P120" s="19" t="str">
        <f t="shared" si="24"/>
        <v/>
      </c>
      <c r="Q120" s="19" t="str">
        <f t="shared" si="25"/>
        <v/>
      </c>
      <c r="R120" s="19" t="str">
        <f t="shared" si="27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27"/>
        <v/>
      </c>
      <c r="N121" s="19" t="str">
        <f t="shared" si="27"/>
        <v/>
      </c>
      <c r="O121" s="19" t="str">
        <f t="shared" si="23"/>
        <v/>
      </c>
      <c r="P121" s="19" t="str">
        <f t="shared" si="24"/>
        <v/>
      </c>
      <c r="Q121" s="19" t="str">
        <f t="shared" si="25"/>
        <v/>
      </c>
      <c r="R121" s="19" t="str">
        <f t="shared" si="27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27"/>
        <v/>
      </c>
      <c r="N122" s="19" t="str">
        <f t="shared" si="27"/>
        <v/>
      </c>
      <c r="O122" s="19" t="str">
        <f t="shared" si="23"/>
        <v/>
      </c>
      <c r="P122" s="19" t="str">
        <f t="shared" si="24"/>
        <v/>
      </c>
      <c r="Q122" s="19" t="str">
        <f t="shared" si="25"/>
        <v/>
      </c>
      <c r="R122" s="19" t="str">
        <f t="shared" si="27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27"/>
        <v/>
      </c>
      <c r="N123" s="19" t="str">
        <f t="shared" si="27"/>
        <v/>
      </c>
      <c r="O123" s="19" t="str">
        <f t="shared" si="23"/>
        <v/>
      </c>
      <c r="P123" s="19" t="str">
        <f t="shared" si="24"/>
        <v/>
      </c>
      <c r="Q123" s="19" t="str">
        <f t="shared" si="25"/>
        <v/>
      </c>
      <c r="R123" s="19" t="str">
        <f t="shared" si="27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27"/>
        <v/>
      </c>
      <c r="N124" s="19" t="str">
        <f t="shared" si="27"/>
        <v/>
      </c>
      <c r="O124" s="19" t="str">
        <f t="shared" si="23"/>
        <v/>
      </c>
      <c r="P124" s="19" t="str">
        <f t="shared" si="24"/>
        <v/>
      </c>
      <c r="Q124" s="19" t="str">
        <f t="shared" si="25"/>
        <v/>
      </c>
      <c r="R124" s="19" t="str">
        <f t="shared" si="27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27"/>
        <v/>
      </c>
      <c r="N125" s="19" t="str">
        <f t="shared" si="27"/>
        <v/>
      </c>
      <c r="O125" s="19" t="str">
        <f t="shared" si="23"/>
        <v/>
      </c>
      <c r="P125" s="19" t="str">
        <f t="shared" si="24"/>
        <v/>
      </c>
      <c r="Q125" s="19" t="str">
        <f t="shared" si="25"/>
        <v/>
      </c>
      <c r="R125" s="19" t="str">
        <f t="shared" si="27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27"/>
        <v/>
      </c>
      <c r="N126" s="19" t="str">
        <f t="shared" si="27"/>
        <v/>
      </c>
      <c r="O126" s="19" t="str">
        <f t="shared" si="23"/>
        <v/>
      </c>
      <c r="P126" s="19" t="str">
        <f t="shared" si="24"/>
        <v/>
      </c>
      <c r="Q126" s="19" t="str">
        <f t="shared" si="25"/>
        <v/>
      </c>
      <c r="R126" s="19" t="str">
        <f t="shared" si="27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27"/>
        <v/>
      </c>
      <c r="N127" s="19" t="str">
        <f t="shared" si="27"/>
        <v/>
      </c>
      <c r="O127" s="19" t="str">
        <f t="shared" si="23"/>
        <v/>
      </c>
      <c r="P127" s="19" t="str">
        <f t="shared" si="24"/>
        <v/>
      </c>
      <c r="Q127" s="19" t="str">
        <f t="shared" si="25"/>
        <v/>
      </c>
      <c r="R127" s="19" t="str">
        <f t="shared" si="27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27"/>
        <v/>
      </c>
      <c r="N128" s="19" t="str">
        <f t="shared" si="27"/>
        <v/>
      </c>
      <c r="O128" s="19" t="str">
        <f t="shared" si="23"/>
        <v/>
      </c>
      <c r="P128" s="19" t="str">
        <f t="shared" si="24"/>
        <v/>
      </c>
      <c r="Q128" s="19" t="str">
        <f t="shared" si="25"/>
        <v/>
      </c>
      <c r="R128" s="19" t="str">
        <f t="shared" si="27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27"/>
        <v/>
      </c>
      <c r="N129" s="19" t="str">
        <f t="shared" si="27"/>
        <v/>
      </c>
      <c r="O129" s="19" t="str">
        <f t="shared" si="23"/>
        <v/>
      </c>
      <c r="P129" s="19" t="str">
        <f t="shared" si="24"/>
        <v/>
      </c>
      <c r="Q129" s="19" t="str">
        <f t="shared" si="25"/>
        <v/>
      </c>
      <c r="R129" s="19" t="str">
        <f t="shared" si="27"/>
        <v/>
      </c>
      <c r="S129" s="27" t="str">
        <f t="shared" ref="S129:X144" si="29">IF(C129="","",((C129-C128)*1000)/($B129-$B128))</f>
        <v/>
      </c>
      <c r="T129" s="28" t="str">
        <f t="shared" si="29"/>
        <v/>
      </c>
      <c r="U129" s="28" t="str">
        <f t="shared" si="29"/>
        <v/>
      </c>
      <c r="V129" s="28" t="str">
        <f t="shared" si="29"/>
        <v/>
      </c>
      <c r="W129" s="28" t="str">
        <f t="shared" si="29"/>
        <v/>
      </c>
      <c r="X129" s="29" t="str">
        <f t="shared" si="29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27"/>
        <v/>
      </c>
      <c r="N130" s="19" t="str">
        <f t="shared" si="27"/>
        <v/>
      </c>
      <c r="O130" s="19" t="str">
        <f t="shared" si="23"/>
        <v/>
      </c>
      <c r="P130" s="19" t="str">
        <f t="shared" si="24"/>
        <v/>
      </c>
      <c r="Q130" s="19" t="str">
        <f t="shared" si="25"/>
        <v/>
      </c>
      <c r="R130" s="19" t="str">
        <f t="shared" si="27"/>
        <v/>
      </c>
      <c r="S130" s="27" t="str">
        <f t="shared" si="29"/>
        <v/>
      </c>
      <c r="T130" s="28" t="str">
        <f t="shared" si="29"/>
        <v/>
      </c>
      <c r="U130" s="28" t="str">
        <f t="shared" si="29"/>
        <v/>
      </c>
      <c r="V130" s="28" t="str">
        <f t="shared" si="29"/>
        <v/>
      </c>
      <c r="W130" s="28" t="str">
        <f t="shared" si="29"/>
        <v/>
      </c>
      <c r="X130" s="29" t="str">
        <f t="shared" si="29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27"/>
        <v/>
      </c>
      <c r="N131" s="19" t="str">
        <f t="shared" si="27"/>
        <v/>
      </c>
      <c r="O131" s="19" t="str">
        <f t="shared" si="23"/>
        <v/>
      </c>
      <c r="P131" s="19" t="str">
        <f t="shared" si="24"/>
        <v/>
      </c>
      <c r="Q131" s="19" t="str">
        <f t="shared" si="25"/>
        <v/>
      </c>
      <c r="R131" s="19" t="str">
        <f t="shared" si="27"/>
        <v/>
      </c>
      <c r="S131" s="27" t="str">
        <f t="shared" si="29"/>
        <v/>
      </c>
      <c r="T131" s="28" t="str">
        <f t="shared" si="29"/>
        <v/>
      </c>
      <c r="U131" s="28" t="str">
        <f t="shared" si="29"/>
        <v/>
      </c>
      <c r="V131" s="28" t="str">
        <f t="shared" si="29"/>
        <v/>
      </c>
      <c r="W131" s="28" t="str">
        <f t="shared" si="29"/>
        <v/>
      </c>
      <c r="X131" s="29" t="str">
        <f t="shared" si="29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27"/>
        <v/>
      </c>
      <c r="N132" s="19" t="str">
        <f t="shared" si="27"/>
        <v/>
      </c>
      <c r="O132" s="19" t="str">
        <f t="shared" si="23"/>
        <v/>
      </c>
      <c r="P132" s="19" t="str">
        <f t="shared" si="24"/>
        <v/>
      </c>
      <c r="Q132" s="19" t="str">
        <f t="shared" si="25"/>
        <v/>
      </c>
      <c r="R132" s="19" t="str">
        <f t="shared" si="27"/>
        <v/>
      </c>
      <c r="S132" s="27" t="str">
        <f t="shared" si="29"/>
        <v/>
      </c>
      <c r="T132" s="28" t="str">
        <f t="shared" si="29"/>
        <v/>
      </c>
      <c r="U132" s="28" t="str">
        <f t="shared" si="29"/>
        <v/>
      </c>
      <c r="V132" s="28" t="str">
        <f t="shared" si="29"/>
        <v/>
      </c>
      <c r="W132" s="28" t="str">
        <f t="shared" si="29"/>
        <v/>
      </c>
      <c r="X132" s="29" t="str">
        <f t="shared" si="29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8"/>
        <v/>
      </c>
      <c r="M133" s="19" t="str">
        <f t="shared" si="27"/>
        <v/>
      </c>
      <c r="N133" s="19" t="str">
        <f t="shared" si="27"/>
        <v/>
      </c>
      <c r="O133" s="19" t="str">
        <f t="shared" si="23"/>
        <v/>
      </c>
      <c r="P133" s="19" t="str">
        <f t="shared" si="24"/>
        <v/>
      </c>
      <c r="Q133" s="19" t="str">
        <f t="shared" si="25"/>
        <v/>
      </c>
      <c r="R133" s="19" t="str">
        <f t="shared" si="27"/>
        <v/>
      </c>
      <c r="S133" s="27" t="str">
        <f t="shared" si="29"/>
        <v/>
      </c>
      <c r="T133" s="28" t="str">
        <f t="shared" si="29"/>
        <v/>
      </c>
      <c r="U133" s="28" t="str">
        <f t="shared" si="29"/>
        <v/>
      </c>
      <c r="V133" s="28" t="str">
        <f t="shared" si="29"/>
        <v/>
      </c>
      <c r="W133" s="28" t="str">
        <f t="shared" si="29"/>
        <v/>
      </c>
      <c r="X133" s="29" t="str">
        <f t="shared" si="29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8"/>
        <v/>
      </c>
      <c r="M134" s="19" t="str">
        <f t="shared" si="27"/>
        <v/>
      </c>
      <c r="N134" s="19" t="str">
        <f t="shared" si="27"/>
        <v/>
      </c>
      <c r="O134" s="19" t="str">
        <f t="shared" si="23"/>
        <v/>
      </c>
      <c r="P134" s="19" t="str">
        <f t="shared" si="24"/>
        <v/>
      </c>
      <c r="Q134" s="19" t="str">
        <f t="shared" si="25"/>
        <v/>
      </c>
      <c r="R134" s="19" t="str">
        <f t="shared" si="27"/>
        <v/>
      </c>
      <c r="S134" s="27" t="str">
        <f t="shared" si="29"/>
        <v/>
      </c>
      <c r="T134" s="28" t="str">
        <f t="shared" si="29"/>
        <v/>
      </c>
      <c r="U134" s="28" t="str">
        <f t="shared" si="29"/>
        <v/>
      </c>
      <c r="V134" s="28" t="str">
        <f t="shared" si="29"/>
        <v/>
      </c>
      <c r="W134" s="28" t="str">
        <f t="shared" si="29"/>
        <v/>
      </c>
      <c r="X134" s="29" t="str">
        <f t="shared" si="29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8"/>
        <v/>
      </c>
      <c r="M135" s="19" t="str">
        <f t="shared" si="27"/>
        <v/>
      </c>
      <c r="N135" s="19" t="str">
        <f t="shared" si="27"/>
        <v/>
      </c>
      <c r="O135" s="19" t="str">
        <f t="shared" si="23"/>
        <v/>
      </c>
      <c r="P135" s="19" t="str">
        <f t="shared" si="24"/>
        <v/>
      </c>
      <c r="Q135" s="19" t="str">
        <f t="shared" si="25"/>
        <v/>
      </c>
      <c r="R135" s="19" t="str">
        <f t="shared" si="27"/>
        <v/>
      </c>
      <c r="S135" s="27" t="str">
        <f t="shared" si="29"/>
        <v/>
      </c>
      <c r="T135" s="28" t="str">
        <f t="shared" si="29"/>
        <v/>
      </c>
      <c r="U135" s="28" t="str">
        <f t="shared" si="29"/>
        <v/>
      </c>
      <c r="V135" s="28" t="str">
        <f t="shared" si="29"/>
        <v/>
      </c>
      <c r="W135" s="28" t="str">
        <f t="shared" si="29"/>
        <v/>
      </c>
      <c r="X135" s="29" t="str">
        <f t="shared" si="29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8"/>
        <v/>
      </c>
      <c r="M136" s="19" t="str">
        <f t="shared" si="27"/>
        <v/>
      </c>
      <c r="N136" s="19" t="str">
        <f t="shared" si="27"/>
        <v/>
      </c>
      <c r="O136" s="19" t="str">
        <f t="shared" si="23"/>
        <v/>
      </c>
      <c r="P136" s="19" t="str">
        <f t="shared" si="24"/>
        <v/>
      </c>
      <c r="Q136" s="19" t="str">
        <f t="shared" si="25"/>
        <v/>
      </c>
      <c r="R136" s="19" t="str">
        <f t="shared" si="27"/>
        <v/>
      </c>
      <c r="S136" s="27" t="str">
        <f t="shared" si="29"/>
        <v/>
      </c>
      <c r="T136" s="28" t="str">
        <f t="shared" si="29"/>
        <v/>
      </c>
      <c r="U136" s="28" t="str">
        <f t="shared" si="29"/>
        <v/>
      </c>
      <c r="V136" s="28" t="str">
        <f t="shared" si="29"/>
        <v/>
      </c>
      <c r="W136" s="28" t="str">
        <f t="shared" si="29"/>
        <v/>
      </c>
      <c r="X136" s="29" t="str">
        <f t="shared" si="29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8"/>
        <v/>
      </c>
      <c r="M137" s="19" t="str">
        <f t="shared" si="27"/>
        <v/>
      </c>
      <c r="N137" s="19" t="str">
        <f t="shared" si="27"/>
        <v/>
      </c>
      <c r="O137" s="19" t="str">
        <f t="shared" si="23"/>
        <v/>
      </c>
      <c r="P137" s="19" t="str">
        <f t="shared" si="24"/>
        <v/>
      </c>
      <c r="Q137" s="19" t="str">
        <f t="shared" si="25"/>
        <v/>
      </c>
      <c r="R137" s="19" t="str">
        <f t="shared" si="27"/>
        <v/>
      </c>
      <c r="S137" s="27" t="str">
        <f t="shared" si="29"/>
        <v/>
      </c>
      <c r="T137" s="28" t="str">
        <f t="shared" si="29"/>
        <v/>
      </c>
      <c r="U137" s="28" t="str">
        <f t="shared" si="29"/>
        <v/>
      </c>
      <c r="V137" s="28" t="str">
        <f t="shared" si="29"/>
        <v/>
      </c>
      <c r="W137" s="28" t="str">
        <f t="shared" si="29"/>
        <v/>
      </c>
      <c r="X137" s="29" t="str">
        <f t="shared" si="29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8"/>
        <v/>
      </c>
      <c r="M138" s="19" t="str">
        <f t="shared" si="27"/>
        <v/>
      </c>
      <c r="N138" s="19" t="str">
        <f t="shared" si="27"/>
        <v/>
      </c>
      <c r="O138" s="19" t="str">
        <f t="shared" si="23"/>
        <v/>
      </c>
      <c r="P138" s="19" t="str">
        <f t="shared" si="24"/>
        <v/>
      </c>
      <c r="Q138" s="19" t="str">
        <f t="shared" si="25"/>
        <v/>
      </c>
      <c r="R138" s="19" t="str">
        <f t="shared" si="27"/>
        <v/>
      </c>
      <c r="S138" s="27" t="str">
        <f t="shared" si="29"/>
        <v/>
      </c>
      <c r="T138" s="28" t="str">
        <f t="shared" si="29"/>
        <v/>
      </c>
      <c r="U138" s="28" t="str">
        <f t="shared" si="29"/>
        <v/>
      </c>
      <c r="V138" s="28" t="str">
        <f t="shared" si="29"/>
        <v/>
      </c>
      <c r="W138" s="28" t="str">
        <f t="shared" si="29"/>
        <v/>
      </c>
      <c r="X138" s="29" t="str">
        <f t="shared" si="29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8"/>
        <v/>
      </c>
      <c r="M139" s="19" t="str">
        <f t="shared" si="27"/>
        <v/>
      </c>
      <c r="N139" s="19" t="str">
        <f t="shared" si="27"/>
        <v/>
      </c>
      <c r="O139" s="19" t="str">
        <f t="shared" si="23"/>
        <v/>
      </c>
      <c r="P139" s="19" t="str">
        <f t="shared" si="24"/>
        <v/>
      </c>
      <c r="Q139" s="19" t="str">
        <f t="shared" si="25"/>
        <v/>
      </c>
      <c r="R139" s="19" t="str">
        <f t="shared" si="27"/>
        <v/>
      </c>
      <c r="S139" s="27" t="str">
        <f t="shared" si="29"/>
        <v/>
      </c>
      <c r="T139" s="28" t="str">
        <f t="shared" si="29"/>
        <v/>
      </c>
      <c r="U139" s="28" t="str">
        <f t="shared" si="29"/>
        <v/>
      </c>
      <c r="V139" s="28" t="str">
        <f t="shared" si="29"/>
        <v/>
      </c>
      <c r="W139" s="28" t="str">
        <f t="shared" si="29"/>
        <v/>
      </c>
      <c r="X139" s="29" t="str">
        <f t="shared" si="29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8"/>
        <v/>
      </c>
      <c r="M140" s="19" t="str">
        <f t="shared" si="27"/>
        <v/>
      </c>
      <c r="N140" s="19" t="str">
        <f t="shared" si="27"/>
        <v/>
      </c>
      <c r="O140" s="19" t="str">
        <f t="shared" si="23"/>
        <v/>
      </c>
      <c r="P140" s="19" t="str">
        <f t="shared" si="24"/>
        <v/>
      </c>
      <c r="Q140" s="19" t="str">
        <f t="shared" si="25"/>
        <v/>
      </c>
      <c r="R140" s="19" t="str">
        <f t="shared" si="27"/>
        <v/>
      </c>
      <c r="S140" s="27" t="str">
        <f t="shared" si="29"/>
        <v/>
      </c>
      <c r="T140" s="28" t="str">
        <f t="shared" si="29"/>
        <v/>
      </c>
      <c r="U140" s="28" t="str">
        <f t="shared" si="29"/>
        <v/>
      </c>
      <c r="V140" s="28" t="str">
        <f t="shared" si="29"/>
        <v/>
      </c>
      <c r="W140" s="28" t="str">
        <f t="shared" si="29"/>
        <v/>
      </c>
      <c r="X140" s="29" t="str">
        <f t="shared" si="29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8"/>
        <v/>
      </c>
      <c r="M141" s="19" t="str">
        <f t="shared" si="27"/>
        <v/>
      </c>
      <c r="N141" s="19" t="str">
        <f t="shared" si="27"/>
        <v/>
      </c>
      <c r="O141" s="19" t="str">
        <f t="shared" si="23"/>
        <v/>
      </c>
      <c r="P141" s="19" t="str">
        <f t="shared" si="24"/>
        <v/>
      </c>
      <c r="Q141" s="19" t="str">
        <f t="shared" si="25"/>
        <v/>
      </c>
      <c r="R141" s="19" t="str">
        <f t="shared" si="27"/>
        <v/>
      </c>
      <c r="S141" s="27" t="str">
        <f t="shared" si="29"/>
        <v/>
      </c>
      <c r="T141" s="28" t="str">
        <f t="shared" si="29"/>
        <v/>
      </c>
      <c r="U141" s="28" t="str">
        <f t="shared" si="29"/>
        <v/>
      </c>
      <c r="V141" s="28" t="str">
        <f t="shared" si="29"/>
        <v/>
      </c>
      <c r="W141" s="28" t="str">
        <f t="shared" si="29"/>
        <v/>
   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8"/>
        <v/>
      </c>
      <c r="M142" s="19" t="str">
        <f t="shared" si="27"/>
        <v/>
      </c>
      <c r="N142" s="19" t="str">
        <f t="shared" si="27"/>
        <v/>
      </c>
      <c r="O142" s="19" t="str">
        <f t="shared" si="23"/>
        <v/>
      </c>
      <c r="P142" s="19" t="str">
        <f t="shared" si="24"/>
        <v/>
      </c>
      <c r="Q142" s="19" t="str">
        <f t="shared" si="25"/>
        <v/>
      </c>
      <c r="R142" s="19" t="str">
        <f t="shared" si="27"/>
        <v/>
      </c>
      <c r="S142" s="27" t="str">
        <f t="shared" si="29"/>
        <v/>
      </c>
      <c r="T142" s="28" t="str">
        <f t="shared" si="29"/>
        <v/>
      </c>
      <c r="U142" s="28" t="str">
        <f t="shared" si="29"/>
        <v/>
      </c>
      <c r="V142" s="28" t="str">
        <f t="shared" si="29"/>
        <v/>
      </c>
      <c r="W142" s="28" t="str">
        <f t="shared" si="29"/>
        <v/>
      </c>
      <c r="X142" s="29" t="str">
        <f t="shared" si="29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8"/>
        <v/>
      </c>
      <c r="M143" s="19" t="str">
        <f t="shared" si="27"/>
        <v/>
      </c>
      <c r="N143" s="19" t="str">
        <f t="shared" si="27"/>
        <v/>
      </c>
      <c r="O143" s="19" t="str">
        <f t="shared" si="23"/>
        <v/>
      </c>
      <c r="P143" s="19" t="str">
        <f t="shared" si="24"/>
        <v/>
      </c>
      <c r="Q143" s="19" t="str">
        <f t="shared" si="25"/>
        <v/>
      </c>
      <c r="R143" s="19" t="str">
        <f t="shared" si="27"/>
        <v/>
      </c>
      <c r="S143" s="27" t="str">
        <f t="shared" si="29"/>
        <v/>
      </c>
      <c r="T143" s="28" t="str">
        <f t="shared" si="29"/>
        <v/>
      </c>
      <c r="U143" s="28" t="str">
        <f t="shared" si="29"/>
        <v/>
      </c>
      <c r="V143" s="28" t="str">
        <f t="shared" si="29"/>
        <v/>
      </c>
      <c r="W143" s="28" t="str">
        <f t="shared" si="29"/>
        <v/>
      </c>
      <c r="X143" s="29" t="str">
        <f t="shared" si="29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8"/>
        <v/>
      </c>
      <c r="M144" s="19" t="str">
        <f t="shared" si="27"/>
        <v/>
      </c>
      <c r="N144" s="19" t="str">
        <f t="shared" si="27"/>
        <v/>
      </c>
      <c r="O144" s="19" t="str">
        <f t="shared" si="23"/>
        <v/>
      </c>
      <c r="P144" s="19" t="str">
        <f t="shared" si="24"/>
        <v/>
      </c>
      <c r="Q144" s="19" t="str">
        <f t="shared" si="25"/>
        <v/>
      </c>
      <c r="R144" s="19" t="str">
        <f t="shared" si="27"/>
        <v/>
      </c>
      <c r="S144" s="27" t="str">
        <f t="shared" si="29"/>
        <v/>
      </c>
      <c r="T144" s="28" t="str">
        <f t="shared" si="29"/>
        <v/>
      </c>
      <c r="U144" s="28" t="str">
        <f t="shared" si="29"/>
        <v/>
      </c>
      <c r="V144" s="28" t="str">
        <f t="shared" si="29"/>
        <v/>
      </c>
      <c r="W144" s="28" t="str">
        <f t="shared" si="29"/>
        <v/>
      </c>
      <c r="X144" s="29" t="str">
        <f t="shared" si="29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8"/>
        <v/>
      </c>
      <c r="M145" s="19" t="str">
        <f t="shared" si="27"/>
        <v/>
      </c>
      <c r="N145" s="19" t="str">
        <f t="shared" si="27"/>
        <v/>
      </c>
      <c r="O145" s="19" t="str">
        <f t="shared" si="23"/>
        <v/>
      </c>
      <c r="P145" s="19" t="str">
        <f t="shared" si="24"/>
        <v/>
      </c>
      <c r="Q145" s="19" t="str">
        <f t="shared" si="25"/>
        <v/>
      </c>
      <c r="R145" s="19" t="str">
        <f t="shared" si="27"/>
        <v/>
      </c>
      <c r="S145" s="27" t="str">
        <f t="shared" ref="S145:X153" si="30">IF(C145="","",((C145-C144)*1000)/($B145-$B144))</f>
        <v/>
      </c>
      <c r="T145" s="28" t="str">
        <f t="shared" si="30"/>
        <v/>
      </c>
      <c r="U145" s="28" t="str">
        <f t="shared" si="30"/>
        <v/>
      </c>
      <c r="V145" s="28" t="str">
        <f t="shared" si="30"/>
        <v/>
      </c>
      <c r="W145" s="28" t="str">
        <f t="shared" si="30"/>
        <v/>
      </c>
      <c r="X145" s="29" t="str">
        <f t="shared" si="3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8"/>
        <v/>
      </c>
      <c r="M146" s="19" t="str">
        <f t="shared" si="27"/>
        <v/>
      </c>
      <c r="N146" s="19" t="str">
        <f t="shared" si="27"/>
        <v/>
      </c>
      <c r="O146" s="19" t="str">
        <f t="shared" si="23"/>
        <v/>
      </c>
      <c r="P146" s="19" t="str">
        <f t="shared" si="24"/>
        <v/>
      </c>
      <c r="Q146" s="19" t="str">
        <f t="shared" si="25"/>
        <v/>
      </c>
      <c r="R146" s="19" t="str">
        <f t="shared" si="27"/>
        <v/>
      </c>
      <c r="S146" s="27" t="str">
        <f t="shared" si="30"/>
        <v/>
      </c>
      <c r="T146" s="28" t="str">
        <f t="shared" si="30"/>
        <v/>
      </c>
      <c r="U146" s="28" t="str">
        <f t="shared" si="30"/>
        <v/>
      </c>
      <c r="V146" s="28" t="str">
        <f t="shared" si="30"/>
        <v/>
      </c>
      <c r="W146" s="28" t="str">
        <f t="shared" si="30"/>
        <v/>
      </c>
      <c r="X146" s="29" t="str">
        <f t="shared" si="3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8"/>
        <v/>
      </c>
      <c r="M147" s="19" t="str">
        <f t="shared" si="27"/>
        <v/>
      </c>
      <c r="N147" s="19" t="str">
        <f t="shared" si="27"/>
        <v/>
      </c>
      <c r="O147" s="19" t="str">
        <f t="shared" si="23"/>
        <v/>
      </c>
      <c r="P147" s="19" t="str">
        <f t="shared" si="24"/>
        <v/>
      </c>
      <c r="Q147" s="19" t="str">
        <f t="shared" si="25"/>
        <v/>
      </c>
      <c r="R147" s="19" t="str">
        <f t="shared" si="27"/>
        <v/>
      </c>
      <c r="S147" s="27" t="str">
        <f t="shared" si="30"/>
        <v/>
      </c>
      <c r="T147" s="28" t="str">
        <f t="shared" si="30"/>
        <v/>
      </c>
      <c r="U147" s="28" t="str">
        <f t="shared" si="30"/>
        <v/>
      </c>
      <c r="V147" s="28" t="str">
        <f t="shared" si="30"/>
        <v/>
      </c>
      <c r="W147" s="28" t="str">
        <f t="shared" si="30"/>
        <v/>
      </c>
      <c r="X147" s="29" t="str">
        <f t="shared" si="3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8"/>
        <v/>
      </c>
      <c r="M148" s="19" t="str">
        <f t="shared" si="27"/>
        <v/>
      </c>
      <c r="N148" s="19" t="str">
        <f t="shared" si="27"/>
        <v/>
      </c>
      <c r="O148" s="19" t="str">
        <f t="shared" si="23"/>
        <v/>
      </c>
      <c r="P148" s="19" t="str">
        <f t="shared" si="24"/>
        <v/>
      </c>
      <c r="Q148" s="19" t="str">
        <f t="shared" si="25"/>
        <v/>
      </c>
      <c r="R148" s="19" t="str">
        <f t="shared" si="27"/>
        <v/>
      </c>
      <c r="S148" s="27" t="str">
        <f t="shared" si="30"/>
        <v/>
      </c>
      <c r="T148" s="28" t="str">
        <f t="shared" si="30"/>
        <v/>
      </c>
      <c r="U148" s="28" t="str">
        <f t="shared" si="30"/>
        <v/>
      </c>
      <c r="V148" s="28" t="str">
        <f t="shared" si="30"/>
        <v/>
      </c>
      <c r="W148" s="28" t="str">
        <f t="shared" si="30"/>
        <v/>
      </c>
      <c r="X148" s="29" t="str">
        <f t="shared" si="3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8"/>
        <v/>
      </c>
      <c r="M149" s="19" t="str">
        <f t="shared" si="27"/>
        <v/>
      </c>
      <c r="N149" s="19" t="str">
        <f t="shared" si="27"/>
        <v/>
      </c>
      <c r="O149" s="19" t="str">
        <f t="shared" si="23"/>
        <v/>
      </c>
      <c r="P149" s="19" t="str">
        <f t="shared" si="24"/>
        <v/>
      </c>
      <c r="Q149" s="19" t="str">
        <f t="shared" si="25"/>
        <v/>
      </c>
      <c r="R149" s="19" t="str">
        <f t="shared" si="27"/>
        <v/>
      </c>
      <c r="S149" s="27" t="str">
        <f t="shared" si="30"/>
        <v/>
      </c>
      <c r="T149" s="28" t="str">
        <f t="shared" si="30"/>
        <v/>
      </c>
      <c r="U149" s="28" t="str">
        <f t="shared" si="30"/>
        <v/>
      </c>
      <c r="V149" s="28" t="str">
        <f t="shared" si="30"/>
        <v/>
      </c>
      <c r="W149" s="28" t="str">
        <f t="shared" si="30"/>
        <v/>
      </c>
      <c r="X149" s="29" t="str">
        <f t="shared" si="3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8"/>
        <v/>
      </c>
      <c r="M150" s="19" t="str">
        <f t="shared" si="27"/>
        <v/>
      </c>
      <c r="N150" s="19" t="str">
        <f t="shared" si="27"/>
        <v/>
      </c>
      <c r="O150" s="19" t="str">
        <f t="shared" si="23"/>
        <v/>
      </c>
      <c r="P150" s="19" t="str">
        <f t="shared" si="24"/>
        <v/>
      </c>
      <c r="Q150" s="19" t="str">
        <f t="shared" si="25"/>
        <v/>
      </c>
      <c r="R150" s="19" t="str">
        <f t="shared" si="27"/>
        <v/>
      </c>
      <c r="S150" s="27" t="str">
        <f t="shared" si="30"/>
        <v/>
      </c>
      <c r="T150" s="28" t="str">
        <f t="shared" si="30"/>
        <v/>
      </c>
      <c r="U150" s="28" t="str">
        <f t="shared" si="30"/>
        <v/>
      </c>
      <c r="V150" s="28" t="str">
        <f t="shared" si="30"/>
        <v/>
      </c>
      <c r="W150" s="28" t="str">
        <f t="shared" si="30"/>
        <v/>
      </c>
      <c r="X150" s="29" t="str">
        <f t="shared" si="3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8"/>
        <v/>
      </c>
      <c r="M151" s="19" t="str">
        <f t="shared" si="27"/>
        <v/>
      </c>
      <c r="N151" s="19" t="str">
        <f t="shared" si="27"/>
        <v/>
      </c>
      <c r="O151" s="19" t="str">
        <f t="shared" si="23"/>
        <v/>
      </c>
      <c r="P151" s="19" t="str">
        <f t="shared" si="24"/>
        <v/>
      </c>
      <c r="Q151" s="19" t="str">
        <f t="shared" si="25"/>
        <v/>
      </c>
      <c r="R151" s="19" t="str">
        <f t="shared" si="27"/>
        <v/>
      </c>
      <c r="S151" s="27" t="str">
        <f t="shared" si="30"/>
        <v/>
      </c>
      <c r="T151" s="28" t="str">
        <f t="shared" si="30"/>
        <v/>
      </c>
      <c r="U151" s="28" t="str">
        <f t="shared" si="30"/>
        <v/>
      </c>
      <c r="V151" s="28" t="str">
        <f t="shared" si="30"/>
        <v/>
      </c>
      <c r="W151" s="28" t="str">
        <f t="shared" si="30"/>
        <v/>
      </c>
      <c r="X151" s="29" t="str">
        <f t="shared" si="3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8"/>
        <v/>
      </c>
      <c r="M152" s="19" t="str">
        <f t="shared" si="27"/>
        <v/>
      </c>
      <c r="N152" s="19" t="str">
        <f t="shared" si="27"/>
        <v/>
      </c>
      <c r="O152" s="19" t="str">
        <f t="shared" si="23"/>
        <v/>
      </c>
      <c r="P152" s="19" t="str">
        <f t="shared" si="24"/>
        <v/>
      </c>
      <c r="Q152" s="19" t="str">
        <f t="shared" si="25"/>
        <v/>
      </c>
      <c r="R152" s="19" t="str">
        <f t="shared" si="27"/>
        <v/>
      </c>
      <c r="S152" s="27" t="str">
        <f t="shared" si="30"/>
        <v/>
      </c>
      <c r="T152" s="28" t="str">
        <f t="shared" si="30"/>
        <v/>
      </c>
      <c r="U152" s="28" t="str">
        <f t="shared" si="30"/>
        <v/>
      </c>
      <c r="V152" s="28" t="str">
        <f t="shared" si="30"/>
        <v/>
      </c>
      <c r="W152" s="28" t="str">
        <f t="shared" si="30"/>
        <v/>
      </c>
      <c r="X152" s="29" t="str">
        <f t="shared" si="3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8"/>
        <v/>
      </c>
      <c r="M153" s="19" t="str">
        <f t="shared" si="27"/>
        <v/>
      </c>
      <c r="N153" s="19" t="str">
        <f t="shared" si="27"/>
        <v/>
      </c>
      <c r="O153" s="19" t="str">
        <f t="shared" si="23"/>
        <v/>
      </c>
      <c r="P153" s="19" t="str">
        <f t="shared" si="24"/>
        <v/>
      </c>
      <c r="Q153" s="19" t="str">
        <f t="shared" si="25"/>
        <v/>
      </c>
      <c r="R153" s="19" t="str">
        <f t="shared" si="27"/>
        <v/>
      </c>
      <c r="S153" s="27" t="str">
        <f t="shared" si="30"/>
        <v/>
      </c>
      <c r="T153" s="28" t="str">
        <f t="shared" si="30"/>
        <v/>
      </c>
      <c r="U153" s="28" t="str">
        <f t="shared" si="30"/>
        <v/>
      </c>
      <c r="V153" s="28" t="str">
        <f t="shared" si="30"/>
        <v/>
      </c>
      <c r="W153" s="28" t="str">
        <f t="shared" si="30"/>
        <v/>
      </c>
      <c r="X153" s="29" t="str">
        <f t="shared" si="30"/>
        <v/>
      </c>
      <c r="Y153" s="24"/>
    </row>
  </sheetData>
  <sheetProtection selectLockedCells="1"/>
  <mergeCells count="38"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B10:J12"/>
    <mergeCell ref="K10:S12"/>
    <mergeCell ref="T10:Y12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6">
    <pageSetUpPr fitToPage="1"/>
  </sheetPr>
  <dimension ref="A1:AI153"/>
  <sheetViews>
    <sheetView showGridLines="0" zoomScale="75" zoomScaleNormal="75" zoomScaleSheetLayoutView="40" zoomScalePageLayoutView="40" workbookViewId="0">
      <pane ySplit="8" topLeftCell="A54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TZ-14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39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41670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 t="s">
        <v>40</v>
      </c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41671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49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155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413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41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4">
        <v>41673</v>
      </c>
      <c r="C16" s="35">
        <v>12.986000000000001</v>
      </c>
      <c r="D16" s="36">
        <v>8.1379999999999999</v>
      </c>
      <c r="E16" s="36">
        <v>8.1859999999999999</v>
      </c>
      <c r="F16" s="37"/>
      <c r="G16" s="37"/>
      <c r="H16" s="37"/>
      <c r="I16" s="38">
        <v>102.462</v>
      </c>
      <c r="J16" s="39">
        <v>430</v>
      </c>
      <c r="K16" s="53">
        <f t="shared" ref="K16:K22" si="0">IF(ISBLANK(J16),"",(J16-$J$8))</f>
        <v>17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41674</v>
      </c>
      <c r="C17" s="25">
        <v>12.981999999999999</v>
      </c>
      <c r="D17" s="26">
        <v>8.1370000000000005</v>
      </c>
      <c r="E17" s="26">
        <v>8.1829999999999998</v>
      </c>
      <c r="F17" s="16"/>
      <c r="G17" s="16"/>
      <c r="H17" s="16"/>
      <c r="I17" s="17">
        <v>102.46</v>
      </c>
      <c r="J17" s="32">
        <v>438</v>
      </c>
      <c r="K17" s="18">
        <f t="shared" si="0"/>
        <v>25</v>
      </c>
      <c r="L17" s="19">
        <f t="shared" ref="L17:R62" si="2">IF(ISBLANK(C17),"",(C17-C$16)*1000)</f>
        <v>-4.0000000000013358</v>
      </c>
      <c r="M17" s="19">
        <f t="shared" si="2"/>
        <v>-0.99999999999944578</v>
      </c>
      <c r="N17" s="19">
        <f t="shared" si="2"/>
        <v>-3.0000000000001137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-2.0000000000095497</v>
      </c>
      <c r="S17" s="27">
        <f t="shared" ref="S17:X32" si="3">IF(C17="","",((C17-C16)*1000)/($B17-$B16))</f>
        <v>-4.0000000000013358</v>
      </c>
      <c r="T17" s="28">
        <f t="shared" si="3"/>
        <v>-0.99999999999944578</v>
      </c>
      <c r="U17" s="28">
        <f t="shared" si="3"/>
        <v>-3.0000000000001137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41675</v>
      </c>
      <c r="C18" s="25">
        <v>12.983000000000001</v>
      </c>
      <c r="D18" s="26">
        <v>8.1370000000000005</v>
      </c>
      <c r="E18" s="26">
        <v>8.1829999999999998</v>
      </c>
      <c r="F18" s="16"/>
      <c r="G18" s="16"/>
      <c r="H18" s="16"/>
      <c r="I18" s="17">
        <v>102.46</v>
      </c>
      <c r="J18" s="32">
        <v>446</v>
      </c>
      <c r="K18" s="18">
        <f t="shared" si="0"/>
        <v>33</v>
      </c>
      <c r="L18" s="19">
        <f t="shared" si="2"/>
        <v>-3.0000000000001137</v>
      </c>
      <c r="M18" s="19">
        <f t="shared" si="2"/>
        <v>-0.99999999999944578</v>
      </c>
      <c r="N18" s="19">
        <f t="shared" si="2"/>
        <v>-3.0000000000001137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-2.0000000000095497</v>
      </c>
      <c r="S18" s="27">
        <f t="shared" si="3"/>
        <v>1.0000000000012221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41676</v>
      </c>
      <c r="C19" s="25">
        <v>12.984</v>
      </c>
      <c r="D19" s="26">
        <v>8.1379999999999999</v>
      </c>
      <c r="E19" s="26">
        <v>8.1839999999999993</v>
      </c>
      <c r="F19" s="16"/>
      <c r="G19" s="16"/>
      <c r="H19" s="16"/>
      <c r="I19" s="17">
        <v>102.46</v>
      </c>
      <c r="J19" s="32">
        <v>453</v>
      </c>
      <c r="K19" s="18">
        <f t="shared" si="0"/>
        <v>40</v>
      </c>
      <c r="L19" s="19">
        <f t="shared" si="2"/>
        <v>-2.0000000000006679</v>
      </c>
      <c r="M19" s="19">
        <f t="shared" si="2"/>
        <v>0</v>
      </c>
      <c r="N19" s="19">
        <f t="shared" si="2"/>
        <v>-2.0000000000006679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-2.0000000000095497</v>
      </c>
      <c r="S19" s="27">
        <f t="shared" si="3"/>
        <v>0.99999999999944578</v>
      </c>
      <c r="T19" s="28">
        <f t="shared" si="3"/>
        <v>0.99999999999944578</v>
      </c>
      <c r="U19" s="28">
        <f t="shared" si="3"/>
        <v>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41677</v>
      </c>
      <c r="C20" s="25">
        <v>12.984</v>
      </c>
      <c r="D20" s="26">
        <v>8.1370000000000005</v>
      </c>
      <c r="E20" s="26">
        <v>8.1839999999999993</v>
      </c>
      <c r="F20" s="16"/>
      <c r="G20" s="16"/>
      <c r="H20" s="16"/>
      <c r="I20" s="17">
        <v>102.46</v>
      </c>
      <c r="J20" s="32">
        <v>456</v>
      </c>
      <c r="K20" s="18">
        <f t="shared" si="0"/>
        <v>43</v>
      </c>
      <c r="L20" s="19">
        <f t="shared" si="2"/>
        <v>-2.0000000000006679</v>
      </c>
      <c r="M20" s="19">
        <f t="shared" si="2"/>
        <v>-0.99999999999944578</v>
      </c>
      <c r="N20" s="19">
        <f t="shared" si="2"/>
        <v>-2.0000000000006679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-2.0000000000095497</v>
      </c>
      <c r="S20" s="27">
        <f t="shared" si="3"/>
        <v>0</v>
      </c>
      <c r="T20" s="28">
        <f t="shared" si="3"/>
        <v>-0.99999999999944578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41680</v>
      </c>
      <c r="C21" s="25">
        <v>12.984999999999999</v>
      </c>
      <c r="D21" s="26">
        <v>8.1370000000000005</v>
      </c>
      <c r="E21" s="26">
        <v>8.1839999999999993</v>
      </c>
      <c r="F21" s="16"/>
      <c r="G21" s="16"/>
      <c r="H21" s="16"/>
      <c r="I21" s="17">
        <v>102.459</v>
      </c>
      <c r="J21" s="32">
        <v>460</v>
      </c>
      <c r="K21" s="18">
        <f t="shared" si="0"/>
        <v>47</v>
      </c>
      <c r="L21" s="19">
        <f t="shared" si="2"/>
        <v>-1.0000000000012221</v>
      </c>
      <c r="M21" s="19">
        <f t="shared" si="2"/>
        <v>-0.99999999999944578</v>
      </c>
      <c r="N21" s="19">
        <f t="shared" si="2"/>
        <v>-2.0000000000006679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-3.0000000000001137</v>
      </c>
      <c r="S21" s="27">
        <f t="shared" si="3"/>
        <v>0.33333333333314857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41681</v>
      </c>
      <c r="C22" s="25">
        <v>12.984999999999999</v>
      </c>
      <c r="D22" s="26">
        <v>8.1370000000000005</v>
      </c>
      <c r="E22" s="26">
        <v>8.1839999999999993</v>
      </c>
      <c r="F22" s="16"/>
      <c r="G22" s="16"/>
      <c r="H22" s="16"/>
      <c r="I22" s="17">
        <v>102.459</v>
      </c>
      <c r="J22" s="32">
        <v>464.5</v>
      </c>
      <c r="K22" s="18">
        <f t="shared" si="0"/>
        <v>51.5</v>
      </c>
      <c r="L22" s="19">
        <f t="shared" si="2"/>
        <v>-1.0000000000012221</v>
      </c>
      <c r="M22" s="19">
        <f t="shared" si="2"/>
        <v>-0.99999999999944578</v>
      </c>
      <c r="N22" s="19">
        <f t="shared" si="2"/>
        <v>-2.0000000000006679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-3.0000000000001137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41682</v>
      </c>
      <c r="C23" s="25">
        <v>12.984999999999999</v>
      </c>
      <c r="D23" s="26">
        <v>8.1359999999999992</v>
      </c>
      <c r="E23" s="26">
        <v>8.1839999999999993</v>
      </c>
      <c r="F23" s="16"/>
      <c r="G23" s="16"/>
      <c r="H23" s="16"/>
      <c r="I23" s="17">
        <v>102.458</v>
      </c>
      <c r="J23" s="32">
        <v>469</v>
      </c>
      <c r="K23" s="18">
        <f t="shared" ref="K23:K31" si="4">IF(ISBLANK(J23),"",(J23-$J$8))</f>
        <v>56</v>
      </c>
      <c r="L23" s="19">
        <f t="shared" si="2"/>
        <v>-1.0000000000012221</v>
      </c>
      <c r="M23" s="19">
        <f t="shared" si="2"/>
        <v>-2.0000000000006679</v>
      </c>
      <c r="N23" s="19">
        <f t="shared" si="2"/>
        <v>-2.0000000000006679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-4.0000000000048885</v>
      </c>
      <c r="S23" s="27">
        <f t="shared" si="3"/>
        <v>0</v>
      </c>
      <c r="T23" s="28">
        <f t="shared" si="3"/>
        <v>-1.0000000000012221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41683</v>
      </c>
      <c r="C24" s="25">
        <v>12.984999999999999</v>
      </c>
      <c r="D24" s="26">
        <v>8.1359999999999992</v>
      </c>
      <c r="E24" s="26">
        <v>8.1839999999999993</v>
      </c>
      <c r="F24" s="16"/>
      <c r="G24" s="16"/>
      <c r="H24" s="16"/>
      <c r="I24" s="17">
        <v>102.458</v>
      </c>
      <c r="J24" s="32">
        <v>472</v>
      </c>
      <c r="K24" s="18">
        <f t="shared" si="4"/>
        <v>59</v>
      </c>
      <c r="L24" s="19">
        <f t="shared" si="2"/>
        <v>-1.0000000000012221</v>
      </c>
      <c r="M24" s="19">
        <f t="shared" si="2"/>
        <v>-2.0000000000006679</v>
      </c>
      <c r="N24" s="19">
        <f t="shared" si="2"/>
        <v>-2.0000000000006679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-4.0000000000048885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41684</v>
      </c>
      <c r="C25" s="25">
        <v>12.984999999999999</v>
      </c>
      <c r="D25" s="26">
        <v>8.1349999999999998</v>
      </c>
      <c r="E25" s="26">
        <v>8.1839999999999993</v>
      </c>
      <c r="F25" s="16"/>
      <c r="G25" s="16"/>
      <c r="H25" s="16"/>
      <c r="I25" s="17">
        <v>102.458</v>
      </c>
      <c r="J25" s="32">
        <v>477</v>
      </c>
      <c r="K25" s="18">
        <f t="shared" si="4"/>
        <v>64</v>
      </c>
      <c r="L25" s="19">
        <f t="shared" si="2"/>
        <v>-1.0000000000012221</v>
      </c>
      <c r="M25" s="19">
        <f t="shared" si="2"/>
        <v>-3.0000000000001137</v>
      </c>
      <c r="N25" s="19">
        <f t="shared" si="2"/>
        <v>-2.0000000000006679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-4.0000000000048885</v>
      </c>
      <c r="S25" s="27">
        <f t="shared" si="3"/>
        <v>0</v>
      </c>
      <c r="T25" s="28">
        <f t="shared" si="3"/>
        <v>-0.99999999999944578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41687</v>
      </c>
      <c r="C26" s="25">
        <v>12.984</v>
      </c>
      <c r="D26" s="26">
        <v>8.1340000000000003</v>
      </c>
      <c r="E26" s="26">
        <v>8.1839999999999993</v>
      </c>
      <c r="F26" s="16"/>
      <c r="G26" s="16"/>
      <c r="H26" s="16"/>
      <c r="I26" s="17">
        <v>102.458</v>
      </c>
      <c r="J26" s="32">
        <v>485</v>
      </c>
      <c r="K26" s="18">
        <f t="shared" si="4"/>
        <v>72</v>
      </c>
      <c r="L26" s="19">
        <f t="shared" si="2"/>
        <v>-2.0000000000006679</v>
      </c>
      <c r="M26" s="19">
        <f t="shared" si="2"/>
        <v>-3.9999999999995595</v>
      </c>
      <c r="N26" s="19">
        <f t="shared" si="2"/>
        <v>-2.0000000000006679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-4.0000000000048885</v>
      </c>
      <c r="S26" s="27">
        <f t="shared" si="3"/>
        <v>-0.33333333333314857</v>
      </c>
      <c r="T26" s="28">
        <f t="shared" si="3"/>
        <v>-0.33333333333314857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41688</v>
      </c>
      <c r="C27" s="25">
        <v>12.984</v>
      </c>
      <c r="D27" s="26">
        <v>8.1340000000000003</v>
      </c>
      <c r="E27" s="26">
        <v>8.1839999999999993</v>
      </c>
      <c r="F27" s="16"/>
      <c r="G27" s="16"/>
      <c r="H27" s="16"/>
      <c r="I27" s="17">
        <v>102.458</v>
      </c>
      <c r="J27" s="32">
        <v>492</v>
      </c>
      <c r="K27" s="18">
        <f t="shared" si="4"/>
        <v>79</v>
      </c>
      <c r="L27" s="19">
        <f t="shared" si="2"/>
        <v>-2.0000000000006679</v>
      </c>
      <c r="M27" s="19">
        <f t="shared" si="2"/>
        <v>-3.9999999999995595</v>
      </c>
      <c r="N27" s="19">
        <f t="shared" si="2"/>
        <v>-2.0000000000006679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-4.0000000000048885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41689</v>
      </c>
      <c r="C28" s="25">
        <v>12.983000000000001</v>
      </c>
      <c r="D28" s="26">
        <v>8.1329999999999991</v>
      </c>
      <c r="E28" s="26">
        <v>8.1839999999999993</v>
      </c>
      <c r="F28" s="16"/>
      <c r="G28" s="16"/>
      <c r="H28" s="16"/>
      <c r="I28" s="17">
        <v>102.458</v>
      </c>
      <c r="J28" s="32">
        <v>502</v>
      </c>
      <c r="K28" s="18">
        <f t="shared" si="4"/>
        <v>89</v>
      </c>
      <c r="L28" s="19">
        <f t="shared" si="2"/>
        <v>-3.0000000000001137</v>
      </c>
      <c r="M28" s="19">
        <f t="shared" si="2"/>
        <v>-5.0000000000007816</v>
      </c>
      <c r="N28" s="19">
        <f t="shared" si="2"/>
        <v>-2.0000000000006679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-0.99999999999944578</v>
      </c>
      <c r="T28" s="28">
        <f t="shared" si="3"/>
        <v>-1.0000000000012221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41690</v>
      </c>
      <c r="C29" s="25">
        <v>12.984</v>
      </c>
      <c r="D29" s="26">
        <v>8.1329999999999991</v>
      </c>
      <c r="E29" s="26">
        <v>8.1839999999999993</v>
      </c>
      <c r="F29" s="16"/>
      <c r="G29" s="16"/>
      <c r="H29" s="16"/>
      <c r="I29" s="17">
        <v>102.458</v>
      </c>
      <c r="J29" s="32">
        <v>510</v>
      </c>
      <c r="K29" s="18">
        <f t="shared" si="4"/>
        <v>97</v>
      </c>
      <c r="L29" s="19">
        <f t="shared" si="2"/>
        <v>-2.0000000000006679</v>
      </c>
      <c r="M29" s="19">
        <f t="shared" si="2"/>
        <v>-5.0000000000007816</v>
      </c>
      <c r="N29" s="19">
        <f t="shared" si="2"/>
        <v>-2.0000000000006679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0.99999999999944578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41691</v>
      </c>
      <c r="C30" s="25">
        <v>12.984</v>
      </c>
      <c r="D30" s="26">
        <v>8.1329999999999991</v>
      </c>
      <c r="E30" s="26">
        <v>8.1839999999999993</v>
      </c>
      <c r="F30" s="16"/>
      <c r="G30" s="16"/>
      <c r="H30" s="16"/>
      <c r="I30" s="17">
        <v>102.45699999999999</v>
      </c>
      <c r="J30" s="32">
        <v>517</v>
      </c>
      <c r="K30" s="18">
        <f t="shared" si="4"/>
        <v>104</v>
      </c>
      <c r="L30" s="19">
        <f t="shared" si="2"/>
        <v>-2.0000000000006679</v>
      </c>
      <c r="M30" s="19">
        <f t="shared" si="2"/>
        <v>-5.0000000000007816</v>
      </c>
      <c r="N30" s="19">
        <f t="shared" si="2"/>
        <v>-2.0000000000006679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-5.0000000000096634</v>
      </c>
      <c r="S30" s="27">
        <f t="shared" si="3"/>
        <v>0</v>
      </c>
      <c r="T30" s="28">
        <f t="shared" si="3"/>
        <v>0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41694</v>
      </c>
      <c r="C31" s="25">
        <v>12.984</v>
      </c>
      <c r="D31" s="26">
        <v>8.1329999999999991</v>
      </c>
      <c r="E31" s="26">
        <v>8.1839999999999993</v>
      </c>
      <c r="F31" s="16"/>
      <c r="G31" s="16"/>
      <c r="H31" s="16"/>
      <c r="I31" s="17">
        <v>102.45699999999999</v>
      </c>
      <c r="J31" s="32">
        <v>523.5</v>
      </c>
      <c r="K31" s="18">
        <f t="shared" si="4"/>
        <v>110.5</v>
      </c>
      <c r="L31" s="19">
        <f t="shared" si="2"/>
        <v>-2.0000000000006679</v>
      </c>
      <c r="M31" s="19">
        <f t="shared" si="2"/>
        <v>-5.0000000000007816</v>
      </c>
      <c r="N31" s="19">
        <f t="shared" si="2"/>
        <v>-2.0000000000006679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-5.0000000000096634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41701</v>
      </c>
      <c r="C32" s="25">
        <v>12.983000000000001</v>
      </c>
      <c r="D32" s="26">
        <v>8.1329999999999991</v>
      </c>
      <c r="E32" s="26">
        <v>8.1839999999999993</v>
      </c>
      <c r="F32" s="16"/>
      <c r="G32" s="16"/>
      <c r="H32" s="16"/>
      <c r="I32" s="17">
        <v>102.456</v>
      </c>
      <c r="J32" s="58">
        <v>555.5</v>
      </c>
      <c r="K32" s="18">
        <f t="shared" ref="K32:K51" si="5">IF(ISBLANK(J32),"",(J32-$J$8))</f>
        <v>142.5</v>
      </c>
      <c r="L32" s="19">
        <f t="shared" si="2"/>
        <v>-3.0000000000001137</v>
      </c>
      <c r="M32" s="19">
        <f t="shared" si="2"/>
        <v>-5.0000000000007816</v>
      </c>
      <c r="N32" s="19">
        <f t="shared" si="2"/>
        <v>-2.0000000000006679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-6.0000000000002274</v>
      </c>
      <c r="S32" s="27">
        <f t="shared" si="3"/>
        <v>-0.14285714285706369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41708</v>
      </c>
      <c r="C33" s="25">
        <v>12.984</v>
      </c>
      <c r="D33" s="26">
        <v>8.1329999999999991</v>
      </c>
      <c r="E33" s="26">
        <v>8.1839999999999993</v>
      </c>
      <c r="F33" s="16"/>
      <c r="G33" s="16"/>
      <c r="H33" s="16"/>
      <c r="I33" s="17">
        <v>102.456</v>
      </c>
      <c r="J33" s="58">
        <v>576</v>
      </c>
      <c r="K33" s="18">
        <f t="shared" si="5"/>
        <v>163</v>
      </c>
      <c r="L33" s="19">
        <f t="shared" si="2"/>
        <v>-2.0000000000006679</v>
      </c>
      <c r="M33" s="19">
        <f t="shared" si="2"/>
        <v>-5.0000000000007816</v>
      </c>
      <c r="N33" s="19">
        <f t="shared" si="2"/>
        <v>-2.0000000000006679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-6.0000000000002274</v>
      </c>
      <c r="S33" s="27">
        <f t="shared" ref="S33:X48" si="6">IF(C33="","",((C33-C32)*1000)/($B33-$B32))</f>
        <v>0.14285714285706369</v>
      </c>
      <c r="T33" s="28">
        <f t="shared" si="6"/>
        <v>0</v>
      </c>
      <c r="U33" s="28">
        <f t="shared" si="6"/>
        <v>0</v>
      </c>
      <c r="V33" s="28" t="str">
        <f t="shared" si="6"/>
        <v/>
      </c>
      <c r="W33" s="28" t="str">
        <f t="shared" si="6"/>
        <v/>
      </c>
      <c r="X33" s="29" t="str">
        <f t="shared" si="6"/>
        <v/>
      </c>
      <c r="Y33" s="24"/>
    </row>
    <row r="34" spans="2:25" ht="15" customHeight="1" x14ac:dyDescent="0.2">
      <c r="B34" s="31">
        <v>41723</v>
      </c>
      <c r="C34" s="25">
        <v>12.984</v>
      </c>
      <c r="D34" s="26">
        <v>8.1340000000000003</v>
      </c>
      <c r="E34" s="26">
        <v>8.1829999999999998</v>
      </c>
      <c r="F34" s="16"/>
      <c r="G34" s="16"/>
      <c r="H34" s="16"/>
      <c r="I34" s="17">
        <v>102.45699999999999</v>
      </c>
      <c r="J34" s="32">
        <v>308</v>
      </c>
      <c r="K34" s="18">
        <f t="shared" si="5"/>
        <v>-105</v>
      </c>
      <c r="L34" s="19">
        <f t="shared" si="2"/>
        <v>-2.0000000000006679</v>
      </c>
      <c r="M34" s="19">
        <f t="shared" si="2"/>
        <v>-3.9999999999995595</v>
      </c>
      <c r="N34" s="19">
        <f t="shared" si="2"/>
        <v>-3.0000000000001137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2"/>
        <v>-5.0000000000096634</v>
      </c>
      <c r="S34" s="27">
        <f t="shared" si="6"/>
        <v>0</v>
      </c>
      <c r="T34" s="28">
        <f t="shared" si="6"/>
        <v>6.6666666666748142E-2</v>
      </c>
      <c r="U34" s="28">
        <f t="shared" si="6"/>
        <v>-6.6666666666629723E-2</v>
      </c>
      <c r="V34" s="28" t="str">
        <f t="shared" si="6"/>
        <v/>
      </c>
      <c r="W34" s="28" t="str">
        <f t="shared" si="6"/>
        <v/>
      </c>
      <c r="X34" s="29" t="str">
        <f t="shared" si="6"/>
        <v/>
      </c>
      <c r="Y34" s="24" t="s">
        <v>23</v>
      </c>
    </row>
    <row r="35" spans="2:25" ht="15" customHeight="1" x14ac:dyDescent="0.2">
      <c r="B35" s="31">
        <v>41732</v>
      </c>
      <c r="C35" s="25">
        <v>12.981</v>
      </c>
      <c r="D35" s="65">
        <v>8.1340000000000003</v>
      </c>
      <c r="E35" s="65">
        <v>8.1829999999999998</v>
      </c>
      <c r="F35" s="16"/>
      <c r="G35" s="16"/>
      <c r="H35" s="16"/>
      <c r="I35" s="66">
        <v>102.45699999999999</v>
      </c>
      <c r="J35" s="32">
        <v>387</v>
      </c>
      <c r="K35" s="18">
        <f t="shared" si="5"/>
        <v>-26</v>
      </c>
      <c r="L35" s="19">
        <f t="shared" si="2"/>
        <v>-5.0000000000007816</v>
      </c>
      <c r="M35" s="19">
        <f t="shared" si="2"/>
        <v>-3.9999999999995595</v>
      </c>
      <c r="N35" s="19">
        <f t="shared" si="2"/>
        <v>-3.0000000000001137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2"/>
        <v>-5.0000000000096634</v>
      </c>
      <c r="S35" s="27">
        <f t="shared" si="6"/>
        <v>-0.33333333333334597</v>
      </c>
      <c r="T35" s="28">
        <f t="shared" si="6"/>
        <v>0</v>
      </c>
      <c r="U35" s="28">
        <f t="shared" si="6"/>
        <v>0</v>
      </c>
      <c r="V35" s="28" t="str">
        <f t="shared" si="6"/>
        <v/>
      </c>
      <c r="W35" s="28" t="str">
        <f t="shared" si="6"/>
        <v/>
      </c>
      <c r="X35" s="29" t="str">
        <f t="shared" si="6"/>
        <v/>
      </c>
      <c r="Y35" s="24"/>
    </row>
    <row r="36" spans="2:25" ht="15" customHeight="1" x14ac:dyDescent="0.2">
      <c r="B36" s="31">
        <v>41733</v>
      </c>
      <c r="C36" s="64">
        <v>12.981</v>
      </c>
      <c r="D36" s="65">
        <v>8.1340000000000003</v>
      </c>
      <c r="E36" s="26">
        <v>8.1820000000000004</v>
      </c>
      <c r="F36" s="47"/>
      <c r="G36" s="47"/>
      <c r="H36" s="47"/>
      <c r="I36" s="57">
        <v>102.45099999999999</v>
      </c>
      <c r="J36" s="32">
        <v>395</v>
      </c>
      <c r="K36" s="18">
        <f t="shared" si="5"/>
        <v>-18</v>
      </c>
      <c r="L36" s="19">
        <f t="shared" si="2"/>
        <v>-5.0000000000007816</v>
      </c>
      <c r="M36" s="19">
        <f t="shared" si="2"/>
        <v>-3.9999999999995595</v>
      </c>
      <c r="N36" s="19">
        <f t="shared" si="2"/>
        <v>-3.9999999999995595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2"/>
        <v>-11.000000000009891</v>
      </c>
      <c r="S36" s="27">
        <f t="shared" si="6"/>
        <v>0</v>
      </c>
      <c r="T36" s="28">
        <f t="shared" si="6"/>
        <v>0</v>
      </c>
      <c r="U36" s="28">
        <f t="shared" si="6"/>
        <v>-0.99999999999944578</v>
      </c>
      <c r="V36" s="28" t="str">
        <f t="shared" si="6"/>
        <v/>
      </c>
      <c r="W36" s="28" t="str">
        <f t="shared" si="6"/>
        <v/>
      </c>
      <c r="X36" s="29" t="str">
        <f t="shared" si="6"/>
        <v/>
      </c>
      <c r="Y36" s="24"/>
    </row>
    <row r="37" spans="2:25" ht="15" customHeight="1" x14ac:dyDescent="0.2">
      <c r="B37" s="31">
        <v>41736</v>
      </c>
      <c r="C37" s="64">
        <v>12.981</v>
      </c>
      <c r="D37" s="65">
        <v>8.1340000000000003</v>
      </c>
      <c r="E37" s="26">
        <v>8.1820000000000004</v>
      </c>
      <c r="F37" s="47"/>
      <c r="G37" s="47"/>
      <c r="H37" s="47"/>
      <c r="I37" s="57">
        <v>102.45099999999999</v>
      </c>
      <c r="J37" s="32">
        <v>408</v>
      </c>
      <c r="K37" s="18">
        <f t="shared" si="5"/>
        <v>-5</v>
      </c>
      <c r="L37" s="19">
        <f t="shared" si="2"/>
        <v>-5.0000000000007816</v>
      </c>
      <c r="M37" s="19">
        <f t="shared" si="2"/>
        <v>-3.9999999999995595</v>
      </c>
      <c r="N37" s="19">
        <f t="shared" si="2"/>
        <v>-3.9999999999995595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2"/>
        <v>-11.000000000009891</v>
      </c>
      <c r="S37" s="27">
        <f t="shared" si="6"/>
        <v>0</v>
      </c>
      <c r="T37" s="28">
        <f t="shared" si="6"/>
        <v>0</v>
      </c>
      <c r="U37" s="28">
        <f t="shared" si="6"/>
        <v>0</v>
      </c>
      <c r="V37" s="28" t="str">
        <f t="shared" si="6"/>
        <v/>
      </c>
      <c r="W37" s="28" t="str">
        <f t="shared" si="6"/>
        <v/>
      </c>
      <c r="X37" s="29" t="str">
        <f t="shared" si="6"/>
        <v/>
      </c>
      <c r="Y37" s="24"/>
    </row>
    <row r="38" spans="2:25" ht="15" customHeight="1" x14ac:dyDescent="0.2">
      <c r="B38" s="31">
        <v>41737</v>
      </c>
      <c r="C38" s="25">
        <v>12.976000000000001</v>
      </c>
      <c r="D38" s="26">
        <v>8.1310000000000002</v>
      </c>
      <c r="E38" s="26">
        <v>8.1820000000000004</v>
      </c>
      <c r="F38" s="47">
        <v>14.016999999999999</v>
      </c>
      <c r="G38" s="47">
        <v>10.845000000000001</v>
      </c>
      <c r="H38" s="47">
        <v>11.385</v>
      </c>
      <c r="I38" s="57">
        <v>102.45099999999999</v>
      </c>
      <c r="J38" s="32">
        <v>436</v>
      </c>
      <c r="K38" s="18">
        <f t="shared" si="5"/>
        <v>23</v>
      </c>
      <c r="L38" s="19">
        <f t="shared" si="2"/>
        <v>-9.9999999999997868</v>
      </c>
      <c r="M38" s="19">
        <f t="shared" si="2"/>
        <v>-6.9999999999996732</v>
      </c>
      <c r="N38" s="19">
        <f t="shared" si="2"/>
        <v>-3.9999999999995595</v>
      </c>
      <c r="O38" s="19">
        <f>IF(ISBLANK(F38),"",((F38-F$38)*1000)+L$38)</f>
        <v>-9.9999999999997868</v>
      </c>
      <c r="P38" s="19">
        <f>IF(ISBLANK(G38),"",((G38-G$38)*1000)+M$38)</f>
        <v>-6.9999999999996732</v>
      </c>
      <c r="Q38" s="19">
        <f>IF(ISBLANK(H38),"",((H38-H$38)*1000)+N$38)</f>
        <v>-3.9999999999995595</v>
      </c>
      <c r="R38" s="19">
        <f t="shared" si="2"/>
        <v>-11.000000000009891</v>
      </c>
      <c r="S38" s="27">
        <f t="shared" si="6"/>
        <v>-4.9999999999990052</v>
      </c>
      <c r="T38" s="28">
        <f t="shared" si="6"/>
        <v>-3.0000000000001137</v>
      </c>
      <c r="U38" s="28">
        <f t="shared" si="6"/>
        <v>0</v>
      </c>
      <c r="V38" s="28"/>
      <c r="W38" s="28"/>
      <c r="X38" s="29"/>
      <c r="Y38" s="24"/>
    </row>
    <row r="39" spans="2:25" ht="15" customHeight="1" x14ac:dyDescent="0.2">
      <c r="B39" s="31">
        <v>41738</v>
      </c>
      <c r="C39" s="25">
        <v>12.975</v>
      </c>
      <c r="D39" s="26">
        <v>8.1300000000000008</v>
      </c>
      <c r="E39" s="26">
        <v>8.1820000000000004</v>
      </c>
      <c r="F39" s="47">
        <v>14.016</v>
      </c>
      <c r="G39" s="47">
        <v>10.843</v>
      </c>
      <c r="H39" s="47">
        <v>11.385</v>
      </c>
      <c r="I39" s="57">
        <v>102.45099999999999</v>
      </c>
      <c r="J39" s="32">
        <v>450</v>
      </c>
      <c r="K39" s="18">
        <f t="shared" si="5"/>
        <v>37</v>
      </c>
      <c r="L39" s="19">
        <f t="shared" si="2"/>
        <v>-11.000000000001009</v>
      </c>
      <c r="M39" s="19">
        <f t="shared" si="2"/>
        <v>-7.9999999999991189</v>
      </c>
      <c r="N39" s="19">
        <f t="shared" si="2"/>
        <v>-3.9999999999995595</v>
      </c>
      <c r="O39" s="19">
        <f t="shared" ref="O39:O102" si="7">IF(ISBLANK(F39),"",((F39-F$38)*1000)+L$38)</f>
        <v>-10.999999999999233</v>
      </c>
      <c r="P39" s="19">
        <f t="shared" ref="P39:P102" si="8">IF(ISBLANK(G39),"",((G39-G$38)*1000)+M$38)</f>
        <v>-9.0000000000003411</v>
      </c>
      <c r="Q39" s="19">
        <f t="shared" ref="Q39:Q102" si="9">IF(ISBLANK(H39),"",((H39-H$38)*1000)+N$38)</f>
        <v>-3.9999999999995595</v>
      </c>
      <c r="R39" s="19">
        <f t="shared" si="2"/>
        <v>-11.000000000009891</v>
      </c>
      <c r="S39" s="27">
        <f t="shared" si="6"/>
        <v>-1.0000000000012221</v>
      </c>
      <c r="T39" s="28">
        <f t="shared" si="6"/>
        <v>-0.99999999999944578</v>
      </c>
      <c r="U39" s="28">
        <f t="shared" si="6"/>
        <v>0</v>
      </c>
      <c r="V39" s="28">
        <f t="shared" si="6"/>
        <v>-0.99999999999944578</v>
      </c>
      <c r="W39" s="28">
        <f t="shared" si="6"/>
        <v>-2.0000000000006679</v>
      </c>
      <c r="X39" s="29">
        <f t="shared" si="6"/>
        <v>0</v>
      </c>
      <c r="Y39" s="24"/>
    </row>
    <row r="40" spans="2:25" ht="15" customHeight="1" x14ac:dyDescent="0.2">
      <c r="B40" s="31">
        <v>41739</v>
      </c>
      <c r="C40" s="25"/>
      <c r="D40" s="26"/>
      <c r="E40" s="26"/>
      <c r="F40" s="47">
        <v>14.016</v>
      </c>
      <c r="G40" s="47">
        <v>10.843</v>
      </c>
      <c r="H40" s="47">
        <v>11.385</v>
      </c>
      <c r="I40" s="57">
        <v>102.45099999999999</v>
      </c>
      <c r="J40" s="32">
        <v>457</v>
      </c>
      <c r="K40" s="18">
        <f t="shared" si="5"/>
        <v>44</v>
      </c>
      <c r="L40" s="19" t="str">
        <f t="shared" si="2"/>
        <v/>
      </c>
      <c r="M40" s="19" t="str">
        <f t="shared" si="2"/>
        <v/>
      </c>
      <c r="N40" s="19" t="str">
        <f t="shared" si="2"/>
        <v/>
      </c>
      <c r="O40" s="19">
        <f t="shared" si="7"/>
        <v>-10.999999999999233</v>
      </c>
      <c r="P40" s="19">
        <f t="shared" si="8"/>
        <v>-9.0000000000003411</v>
      </c>
      <c r="Q40" s="19">
        <f t="shared" si="9"/>
        <v>-3.9999999999995595</v>
      </c>
      <c r="R40" s="19">
        <f t="shared" si="2"/>
        <v>-11.000000000009891</v>
      </c>
      <c r="S40" s="27" t="str">
        <f t="shared" si="6"/>
        <v/>
      </c>
      <c r="T40" s="28" t="str">
        <f t="shared" si="6"/>
        <v/>
      </c>
      <c r="U40" s="28" t="str">
        <f t="shared" si="6"/>
        <v/>
      </c>
      <c r="V40" s="28">
        <f t="shared" si="6"/>
        <v>0</v>
      </c>
      <c r="W40" s="28">
        <f t="shared" si="6"/>
        <v>0</v>
      </c>
      <c r="X40" s="29">
        <f t="shared" si="6"/>
        <v>0</v>
      </c>
      <c r="Y40" s="24"/>
    </row>
    <row r="41" spans="2:25" ht="15" customHeight="1" x14ac:dyDescent="0.2">
      <c r="B41" s="31">
        <v>41740</v>
      </c>
      <c r="C41" s="25"/>
      <c r="D41" s="26"/>
      <c r="E41" s="26"/>
      <c r="F41" s="47">
        <v>14.016</v>
      </c>
      <c r="G41" s="47">
        <v>10.843</v>
      </c>
      <c r="H41" s="47">
        <v>11.384</v>
      </c>
      <c r="I41" s="57">
        <v>102.45</v>
      </c>
      <c r="J41" s="32">
        <v>466</v>
      </c>
      <c r="K41" s="18">
        <f t="shared" si="5"/>
        <v>53</v>
      </c>
      <c r="L41" s="19" t="str">
        <f t="shared" si="2"/>
        <v/>
      </c>
      <c r="M41" s="19" t="str">
        <f t="shared" si="2"/>
        <v/>
      </c>
      <c r="N41" s="19" t="str">
        <f t="shared" si="2"/>
        <v/>
      </c>
      <c r="O41" s="19">
        <f t="shared" si="7"/>
        <v>-10.999999999999233</v>
      </c>
      <c r="P41" s="19">
        <f t="shared" si="8"/>
        <v>-9.0000000000003411</v>
      </c>
      <c r="Q41" s="19">
        <f t="shared" si="9"/>
        <v>-4.9999999999990052</v>
      </c>
      <c r="R41" s="19">
        <f t="shared" si="2"/>
        <v>-12.000000000000455</v>
      </c>
      <c r="S41" s="27" t="str">
        <f t="shared" si="6"/>
        <v/>
      </c>
      <c r="T41" s="28" t="str">
        <f t="shared" si="6"/>
        <v/>
      </c>
      <c r="U41" s="28" t="str">
        <f t="shared" si="6"/>
        <v/>
      </c>
      <c r="V41" s="28">
        <f t="shared" si="6"/>
        <v>0</v>
      </c>
      <c r="W41" s="28">
        <f t="shared" si="6"/>
        <v>0</v>
      </c>
      <c r="X41" s="29">
        <f t="shared" si="6"/>
        <v>-0.99999999999944578</v>
      </c>
      <c r="Y41" s="24"/>
    </row>
    <row r="42" spans="2:25" ht="15" customHeight="1" x14ac:dyDescent="0.2">
      <c r="B42" s="31">
        <v>41743</v>
      </c>
      <c r="C42" s="25"/>
      <c r="D42" s="26"/>
      <c r="E42" s="26"/>
      <c r="F42" s="47">
        <v>14.015000000000001</v>
      </c>
      <c r="G42" s="47">
        <v>10.843</v>
      </c>
      <c r="H42" s="47">
        <v>11.385</v>
      </c>
      <c r="I42" s="57">
        <v>102.45</v>
      </c>
      <c r="J42" s="32">
        <v>484</v>
      </c>
      <c r="K42" s="18">
        <f t="shared" si="5"/>
        <v>71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>
        <f t="shared" si="7"/>
        <v>-11.999999999998678</v>
      </c>
      <c r="P42" s="19">
        <f t="shared" si="8"/>
        <v>-9.0000000000003411</v>
      </c>
      <c r="Q42" s="19">
        <f t="shared" si="9"/>
        <v>-3.9999999999995595</v>
      </c>
      <c r="R42" s="19">
        <f t="shared" si="2"/>
        <v>-12.000000000000455</v>
      </c>
      <c r="S42" s="27" t="str">
        <f t="shared" si="6"/>
        <v/>
      </c>
      <c r="T42" s="28" t="str">
        <f t="shared" si="6"/>
        <v/>
      </c>
      <c r="U42" s="28" t="str">
        <f t="shared" si="6"/>
        <v/>
      </c>
      <c r="V42" s="28">
        <f t="shared" si="6"/>
        <v>-0.33333333333314857</v>
      </c>
      <c r="W42" s="28">
        <f t="shared" si="6"/>
        <v>0</v>
      </c>
      <c r="X42" s="29">
        <f t="shared" si="6"/>
        <v>0.33333333333314857</v>
      </c>
      <c r="Y42" s="24"/>
    </row>
    <row r="43" spans="2:25" ht="15" customHeight="1" x14ac:dyDescent="0.2">
      <c r="B43" s="31">
        <v>41744</v>
      </c>
      <c r="C43" s="25"/>
      <c r="D43" s="26"/>
      <c r="E43" s="26"/>
      <c r="F43" s="47">
        <v>14.016</v>
      </c>
      <c r="G43" s="47">
        <v>10.843</v>
      </c>
      <c r="H43" s="47">
        <v>11.385</v>
      </c>
      <c r="I43" s="57">
        <v>102.45</v>
      </c>
      <c r="J43" s="32">
        <v>499</v>
      </c>
      <c r="K43" s="18">
        <f t="shared" si="5"/>
        <v>86</v>
      </c>
      <c r="L43" s="19" t="str">
        <f t="shared" si="2"/>
        <v/>
      </c>
      <c r="M43" s="19" t="str">
        <f t="shared" si="2"/>
        <v/>
      </c>
      <c r="N43" s="19" t="str">
        <f t="shared" si="2"/>
        <v/>
      </c>
      <c r="O43" s="19">
        <f t="shared" si="7"/>
        <v>-10.999999999999233</v>
      </c>
      <c r="P43" s="19">
        <f t="shared" si="8"/>
        <v>-9.0000000000003411</v>
      </c>
      <c r="Q43" s="19">
        <f t="shared" si="9"/>
        <v>-3.9999999999995595</v>
      </c>
      <c r="R43" s="19">
        <f t="shared" si="2"/>
        <v>-12.000000000000455</v>
      </c>
      <c r="S43" s="27" t="str">
        <f t="shared" si="6"/>
        <v/>
      </c>
      <c r="T43" s="28" t="str">
        <f t="shared" si="6"/>
        <v/>
      </c>
      <c r="U43" s="28" t="str">
        <f t="shared" si="6"/>
        <v/>
      </c>
      <c r="V43" s="28">
        <f t="shared" si="6"/>
        <v>0.99999999999944578</v>
      </c>
      <c r="W43" s="28">
        <f t="shared" si="6"/>
        <v>0</v>
      </c>
      <c r="X43" s="29">
        <f t="shared" si="6"/>
        <v>0</v>
      </c>
      <c r="Y43" s="24"/>
    </row>
    <row r="44" spans="2:25" ht="15" customHeight="1" x14ac:dyDescent="0.2">
      <c r="B44" s="31">
        <v>41745</v>
      </c>
      <c r="C44" s="25"/>
      <c r="D44" s="26"/>
      <c r="E44" s="26"/>
      <c r="F44" s="47">
        <v>14.015000000000001</v>
      </c>
      <c r="G44" s="47">
        <v>10.843999999999999</v>
      </c>
      <c r="H44" s="47">
        <v>11.384</v>
      </c>
      <c r="I44" s="57">
        <v>102.449</v>
      </c>
      <c r="J44" s="32">
        <v>516.5</v>
      </c>
      <c r="K44" s="18">
        <f t="shared" si="5"/>
        <v>103.5</v>
      </c>
      <c r="L44" s="19" t="str">
        <f t="shared" si="2"/>
        <v/>
      </c>
      <c r="M44" s="19" t="str">
        <f t="shared" si="2"/>
        <v/>
      </c>
      <c r="N44" s="19" t="str">
        <f t="shared" si="2"/>
        <v/>
      </c>
      <c r="O44" s="19">
        <f t="shared" si="7"/>
        <v>-11.999999999998678</v>
      </c>
      <c r="P44" s="19">
        <f t="shared" si="8"/>
        <v>-8.0000000000008953</v>
      </c>
      <c r="Q44" s="19">
        <f t="shared" si="9"/>
        <v>-4.9999999999990052</v>
      </c>
      <c r="R44" s="19">
        <f t="shared" si="2"/>
        <v>-13.00000000000523</v>
      </c>
      <c r="S44" s="27" t="str">
        <f t="shared" si="6"/>
        <v/>
      </c>
      <c r="T44" s="28" t="str">
        <f t="shared" si="6"/>
        <v/>
      </c>
      <c r="U44" s="28" t="str">
        <f t="shared" si="6"/>
        <v/>
      </c>
      <c r="V44" s="28">
        <f t="shared" si="6"/>
        <v>-0.99999999999944578</v>
      </c>
      <c r="W44" s="28">
        <f t="shared" si="6"/>
        <v>0.99999999999944578</v>
      </c>
      <c r="X44" s="29">
        <f t="shared" si="6"/>
        <v>-0.99999999999944578</v>
      </c>
      <c r="Y44" s="24"/>
    </row>
    <row r="45" spans="2:25" ht="15" customHeight="1" x14ac:dyDescent="0.2">
      <c r="B45" s="31">
        <v>41751</v>
      </c>
      <c r="C45" s="25"/>
      <c r="D45" s="26"/>
      <c r="E45" s="26"/>
      <c r="F45" s="47">
        <v>14.015000000000001</v>
      </c>
      <c r="G45" s="47">
        <v>10.843</v>
      </c>
      <c r="H45" s="47">
        <v>11.385</v>
      </c>
      <c r="I45" s="57">
        <v>102.45</v>
      </c>
      <c r="J45" s="32">
        <v>534.5</v>
      </c>
      <c r="K45" s="18">
        <f t="shared" si="5"/>
        <v>121.5</v>
      </c>
      <c r="L45" s="19" t="str">
        <f t="shared" si="2"/>
        <v/>
      </c>
      <c r="M45" s="19" t="str">
        <f t="shared" si="2"/>
        <v/>
      </c>
      <c r="N45" s="19" t="str">
        <f t="shared" si="2"/>
        <v/>
      </c>
      <c r="O45" s="19">
        <f t="shared" si="7"/>
        <v>-11.999999999998678</v>
      </c>
      <c r="P45" s="19">
        <f t="shared" si="8"/>
        <v>-9.0000000000003411</v>
      </c>
      <c r="Q45" s="19">
        <f t="shared" si="9"/>
        <v>-3.9999999999995595</v>
      </c>
      <c r="R45" s="19">
        <f t="shared" si="2"/>
        <v>-12.000000000000455</v>
      </c>
      <c r="S45" s="27" t="str">
        <f t="shared" si="6"/>
        <v/>
      </c>
      <c r="T45" s="28" t="str">
        <f t="shared" si="6"/>
        <v/>
      </c>
      <c r="U45" s="28" t="str">
        <f t="shared" si="6"/>
        <v/>
      </c>
      <c r="V45" s="28">
        <f t="shared" si="6"/>
        <v>0</v>
      </c>
      <c r="W45" s="28">
        <f t="shared" si="6"/>
        <v>-0.16666666666657429</v>
      </c>
      <c r="X45" s="29">
        <f t="shared" si="6"/>
        <v>0.16666666666657429</v>
      </c>
      <c r="Y45" s="24" t="s">
        <v>35</v>
      </c>
    </row>
    <row r="46" spans="2:25" ht="15" customHeight="1" x14ac:dyDescent="0.2">
      <c r="B46" s="31">
        <v>41752</v>
      </c>
      <c r="C46" s="25"/>
      <c r="D46" s="26"/>
      <c r="E46" s="26"/>
      <c r="F46" s="47">
        <v>14.015000000000001</v>
      </c>
      <c r="G46" s="47">
        <v>10.843</v>
      </c>
      <c r="H46" s="47">
        <v>11.384</v>
      </c>
      <c r="I46" s="57">
        <v>102.449</v>
      </c>
      <c r="J46" s="32">
        <v>534.5</v>
      </c>
      <c r="K46" s="18">
        <f t="shared" si="5"/>
        <v>121.5</v>
      </c>
      <c r="L46" s="19" t="str">
        <f t="shared" si="2"/>
        <v/>
      </c>
      <c r="M46" s="19" t="str">
        <f t="shared" si="2"/>
        <v/>
      </c>
      <c r="N46" s="19" t="str">
        <f t="shared" si="2"/>
        <v/>
      </c>
      <c r="O46" s="19">
        <f t="shared" si="7"/>
        <v>-11.999999999998678</v>
      </c>
      <c r="P46" s="19">
        <f t="shared" si="8"/>
        <v>-9.0000000000003411</v>
      </c>
      <c r="Q46" s="19">
        <f t="shared" si="9"/>
        <v>-4.9999999999990052</v>
      </c>
      <c r="R46" s="19">
        <f t="shared" si="2"/>
        <v>-13.00000000000523</v>
      </c>
      <c r="S46" s="27" t="str">
        <f t="shared" si="6"/>
        <v/>
      </c>
      <c r="T46" s="28" t="str">
        <f t="shared" si="6"/>
        <v/>
      </c>
      <c r="U46" s="28" t="str">
        <f t="shared" si="6"/>
        <v/>
      </c>
      <c r="V46" s="28">
        <f t="shared" si="6"/>
        <v>0</v>
      </c>
      <c r="W46" s="28">
        <f t="shared" si="6"/>
        <v>0</v>
      </c>
      <c r="X46" s="29">
        <f t="shared" si="6"/>
        <v>-0.99999999999944578</v>
      </c>
      <c r="Y46" s="24"/>
    </row>
    <row r="47" spans="2:25" ht="15" customHeight="1" x14ac:dyDescent="0.2">
      <c r="B47" s="31">
        <v>41753</v>
      </c>
      <c r="C47" s="25"/>
      <c r="D47" s="26"/>
      <c r="E47" s="26"/>
      <c r="F47" s="47">
        <v>14.015000000000001</v>
      </c>
      <c r="G47" s="47">
        <v>10.843</v>
      </c>
      <c r="H47" s="47">
        <v>11.384</v>
      </c>
      <c r="I47" s="57">
        <v>102.45</v>
      </c>
      <c r="J47" s="32">
        <v>534.5</v>
      </c>
      <c r="K47" s="18">
        <f t="shared" si="5"/>
        <v>121.5</v>
      </c>
      <c r="L47" s="19" t="str">
        <f t="shared" si="2"/>
        <v/>
      </c>
      <c r="M47" s="19" t="str">
        <f t="shared" si="2"/>
        <v/>
      </c>
      <c r="N47" s="19" t="str">
        <f t="shared" si="2"/>
        <v/>
      </c>
      <c r="O47" s="19">
        <f t="shared" si="7"/>
        <v>-11.999999999998678</v>
      </c>
      <c r="P47" s="19">
        <f t="shared" si="8"/>
        <v>-9.0000000000003411</v>
      </c>
      <c r="Q47" s="19">
        <f t="shared" si="9"/>
        <v>-4.9999999999990052</v>
      </c>
      <c r="R47" s="19">
        <f t="shared" si="2"/>
        <v>-12.000000000000455</v>
      </c>
      <c r="S47" s="27" t="str">
        <f t="shared" si="6"/>
        <v/>
      </c>
      <c r="T47" s="28" t="str">
        <f t="shared" si="6"/>
        <v/>
      </c>
      <c r="U47" s="28" t="str">
        <f t="shared" si="6"/>
        <v/>
      </c>
      <c r="V47" s="28">
        <f t="shared" si="6"/>
        <v>0</v>
      </c>
      <c r="W47" s="28">
        <f t="shared" si="6"/>
        <v>0</v>
      </c>
      <c r="X47" s="29">
        <f t="shared" si="6"/>
        <v>0</v>
      </c>
      <c r="Y47" s="24"/>
    </row>
    <row r="48" spans="2:25" ht="15" customHeight="1" x14ac:dyDescent="0.2">
      <c r="B48" s="31">
        <v>41754</v>
      </c>
      <c r="C48" s="25"/>
      <c r="D48" s="26"/>
      <c r="E48" s="26"/>
      <c r="F48" s="47">
        <v>14.015000000000001</v>
      </c>
      <c r="G48" s="47">
        <v>10.843999999999999</v>
      </c>
      <c r="H48" s="47">
        <v>11.384</v>
      </c>
      <c r="I48" s="57">
        <v>102.449</v>
      </c>
      <c r="J48" s="32">
        <v>534.5</v>
      </c>
      <c r="K48" s="18">
        <f t="shared" si="5"/>
        <v>121.5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7"/>
        <v>-11.999999999998678</v>
      </c>
      <c r="P48" s="19">
        <f t="shared" si="8"/>
        <v>-8.0000000000008953</v>
      </c>
      <c r="Q48" s="19">
        <f t="shared" si="9"/>
        <v>-4.9999999999990052</v>
      </c>
      <c r="R48" s="19">
        <f t="shared" si="2"/>
        <v>-13.00000000000523</v>
      </c>
      <c r="S48" s="27" t="str">
        <f t="shared" si="6"/>
        <v/>
      </c>
      <c r="T48" s="28" t="str">
        <f t="shared" si="6"/>
        <v/>
      </c>
      <c r="U48" s="28" t="str">
        <f t="shared" si="6"/>
        <v/>
      </c>
      <c r="V48" s="28">
        <f t="shared" si="6"/>
        <v>0</v>
      </c>
      <c r="W48" s="28">
        <f t="shared" si="6"/>
        <v>0.99999999999944578</v>
      </c>
      <c r="X48" s="29">
        <f t="shared" si="6"/>
        <v>0</v>
      </c>
      <c r="Y48" s="24"/>
    </row>
    <row r="49" spans="2:25" ht="15" customHeight="1" x14ac:dyDescent="0.2">
      <c r="B49" s="31">
        <v>41757</v>
      </c>
      <c r="C49" s="25"/>
      <c r="D49" s="26"/>
      <c r="E49" s="26"/>
      <c r="F49" s="47">
        <v>14.013999999999999</v>
      </c>
      <c r="G49" s="47">
        <v>10.843</v>
      </c>
      <c r="H49" s="47">
        <v>11.382999999999999</v>
      </c>
      <c r="I49" s="57">
        <v>102.449</v>
      </c>
      <c r="J49" s="32">
        <v>534.5</v>
      </c>
      <c r="K49" s="18">
        <f t="shared" si="5"/>
        <v>121.5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7"/>
        <v>-12.999999999999901</v>
      </c>
      <c r="P49" s="19">
        <f t="shared" si="8"/>
        <v>-9.0000000000003411</v>
      </c>
      <c r="Q49" s="19">
        <f t="shared" si="9"/>
        <v>-6.0000000000002274</v>
      </c>
      <c r="R49" s="19">
        <f t="shared" si="2"/>
        <v>-13.00000000000523</v>
      </c>
      <c r="S49" s="27" t="str">
        <f t="shared" ref="S49:X64" si="10">IF(C49="","",((C49-C48)*1000)/($B49-$B48))</f>
        <v/>
      </c>
      <c r="T49" s="28" t="str">
        <f t="shared" si="10"/>
        <v/>
      </c>
      <c r="U49" s="28" t="str">
        <f t="shared" si="10"/>
        <v/>
      </c>
      <c r="V49" s="28">
        <f t="shared" si="10"/>
        <v>-0.33333333333374071</v>
      </c>
      <c r="W49" s="28">
        <f t="shared" si="10"/>
        <v>-0.33333333333314857</v>
      </c>
      <c r="X49" s="29">
        <f t="shared" si="10"/>
        <v>-0.33333333333374071</v>
      </c>
      <c r="Y49" s="24"/>
    </row>
    <row r="50" spans="2:25" ht="15" customHeight="1" x14ac:dyDescent="0.2">
      <c r="B50" s="31">
        <v>41758</v>
      </c>
      <c r="C50" s="33"/>
      <c r="D50" s="16"/>
      <c r="E50" s="16"/>
      <c r="F50" s="47">
        <v>14.015000000000001</v>
      </c>
      <c r="G50" s="47">
        <v>10.843</v>
      </c>
      <c r="H50" s="47">
        <v>11.384</v>
      </c>
      <c r="I50" s="57">
        <v>102.449</v>
      </c>
      <c r="J50" s="32">
        <v>534.5</v>
      </c>
      <c r="K50" s="18">
        <f t="shared" si="5"/>
        <v>121.5</v>
      </c>
      <c r="L50" s="19" t="str">
        <f t="shared" si="2"/>
        <v/>
      </c>
      <c r="M50" s="19" t="str">
        <f t="shared" si="2"/>
        <v/>
      </c>
      <c r="N50" s="19" t="str">
        <f t="shared" si="2"/>
        <v/>
      </c>
      <c r="O50" s="19">
        <f t="shared" si="7"/>
        <v>-11.999999999998678</v>
      </c>
      <c r="P50" s="19">
        <f t="shared" si="8"/>
        <v>-9.0000000000003411</v>
      </c>
      <c r="Q50" s="19">
        <f t="shared" si="9"/>
        <v>-4.9999999999990052</v>
      </c>
      <c r="R50" s="19">
        <f t="shared" si="2"/>
        <v>-13.00000000000523</v>
      </c>
      <c r="S50" s="27" t="str">
        <f t="shared" si="10"/>
        <v/>
      </c>
      <c r="T50" s="28" t="str">
        <f t="shared" si="10"/>
        <v/>
      </c>
      <c r="U50" s="28" t="str">
        <f t="shared" si="10"/>
        <v/>
      </c>
      <c r="V50" s="28">
        <f t="shared" si="10"/>
        <v>1.0000000000012221</v>
      </c>
      <c r="W50" s="28">
        <f t="shared" si="10"/>
        <v>0</v>
      </c>
      <c r="X50" s="29">
        <f t="shared" si="10"/>
        <v>1.0000000000012221</v>
      </c>
      <c r="Y50" s="24"/>
    </row>
    <row r="51" spans="2:25" ht="15" customHeight="1" x14ac:dyDescent="0.2">
      <c r="B51" s="31">
        <v>41759</v>
      </c>
      <c r="C51" s="33"/>
      <c r="D51" s="16"/>
      <c r="E51" s="16"/>
      <c r="F51" s="47">
        <v>14.013999999999999</v>
      </c>
      <c r="G51" s="47">
        <v>10.843</v>
      </c>
      <c r="H51" s="47">
        <v>11.382999999999999</v>
      </c>
      <c r="I51" s="57">
        <v>102.449</v>
      </c>
      <c r="J51" s="32">
        <v>534.5</v>
      </c>
      <c r="K51" s="18">
        <f t="shared" si="5"/>
        <v>121.5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7"/>
        <v>-12.999999999999901</v>
      </c>
      <c r="P51" s="19">
        <f t="shared" si="8"/>
        <v>-9.0000000000003411</v>
      </c>
      <c r="Q51" s="19">
        <f t="shared" si="9"/>
        <v>-6.0000000000002274</v>
      </c>
      <c r="R51" s="19">
        <f t="shared" si="2"/>
        <v>-13.00000000000523</v>
      </c>
      <c r="S51" s="27" t="str">
        <f t="shared" si="10"/>
        <v/>
      </c>
      <c r="T51" s="28" t="str">
        <f t="shared" si="10"/>
        <v/>
      </c>
      <c r="U51" s="28" t="str">
        <f t="shared" si="10"/>
        <v/>
      </c>
      <c r="V51" s="28">
        <f t="shared" si="10"/>
        <v>-1.0000000000012221</v>
      </c>
      <c r="W51" s="28">
        <f t="shared" si="10"/>
        <v>0</v>
      </c>
      <c r="X51" s="29">
        <f t="shared" si="10"/>
        <v>-1.0000000000012221</v>
      </c>
      <c r="Y51" s="24"/>
    </row>
    <row r="52" spans="2:25" ht="15" customHeight="1" x14ac:dyDescent="0.2">
      <c r="B52" s="31">
        <v>41781</v>
      </c>
      <c r="C52" s="33"/>
      <c r="D52" s="16"/>
      <c r="E52" s="16"/>
      <c r="F52" s="47">
        <v>14.013999999999999</v>
      </c>
      <c r="G52" s="47">
        <v>10.843</v>
      </c>
      <c r="H52" s="47">
        <v>11.382</v>
      </c>
      <c r="I52" s="57">
        <v>102.449</v>
      </c>
      <c r="J52" s="58">
        <v>792</v>
      </c>
      <c r="K52" s="18">
        <f t="shared" ref="K52:K57" si="11">IF(ISBLANK(J52),"",(J52-$J$8))</f>
        <v>379</v>
      </c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>
        <f t="shared" si="7"/>
        <v>-12.999999999999901</v>
      </c>
      <c r="P52" s="19">
        <f t="shared" si="8"/>
        <v>-9.0000000000003411</v>
      </c>
      <c r="Q52" s="19">
        <f t="shared" si="9"/>
        <v>-6.9999999999996732</v>
      </c>
      <c r="R52" s="19">
        <f t="shared" si="2"/>
        <v>-13.00000000000523</v>
      </c>
      <c r="S52" s="27" t="str">
        <f t="shared" si="10"/>
        <v/>
      </c>
      <c r="T52" s="28" t="str">
        <f t="shared" si="10"/>
        <v/>
      </c>
      <c r="U52" s="28" t="str">
        <f t="shared" si="10"/>
        <v/>
      </c>
      <c r="V52" s="28">
        <f t="shared" si="10"/>
        <v>0</v>
      </c>
      <c r="W52" s="28">
        <f t="shared" si="10"/>
        <v>0</v>
      </c>
      <c r="X52" s="29">
        <f t="shared" si="10"/>
        <v>-4.5454545454520261E-2</v>
      </c>
      <c r="Y52" s="24"/>
    </row>
    <row r="53" spans="2:25" ht="15" customHeight="1" x14ac:dyDescent="0.2">
      <c r="B53" s="31">
        <v>41843</v>
      </c>
      <c r="C53" s="33"/>
      <c r="D53" s="16"/>
      <c r="E53" s="16"/>
      <c r="F53" s="47">
        <v>14.013</v>
      </c>
      <c r="G53" s="47">
        <v>10.843</v>
      </c>
      <c r="H53" s="47">
        <v>11.382</v>
      </c>
      <c r="I53" s="57">
        <v>102.449</v>
      </c>
      <c r="J53" s="58">
        <v>943</v>
      </c>
      <c r="K53" s="18">
        <f t="shared" si="11"/>
        <v>530</v>
      </c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>
        <f t="shared" si="7"/>
        <v>-13.999999999999346</v>
      </c>
      <c r="P53" s="19">
        <f t="shared" si="8"/>
        <v>-9.0000000000003411</v>
      </c>
      <c r="Q53" s="19">
        <f t="shared" si="9"/>
        <v>-6.9999999999996732</v>
      </c>
      <c r="R53" s="19">
        <f t="shared" si="2"/>
        <v>-13.00000000000523</v>
      </c>
      <c r="S53" s="27" t="str">
        <f t="shared" si="10"/>
        <v/>
      </c>
      <c r="T53" s="28" t="str">
        <f t="shared" si="10"/>
        <v/>
      </c>
      <c r="U53" s="28" t="str">
        <f t="shared" si="10"/>
        <v/>
      </c>
      <c r="V53" s="28">
        <f t="shared" si="10"/>
        <v>-1.6129032258055578E-2</v>
      </c>
      <c r="W53" s="28">
        <f t="shared" si="10"/>
        <v>0</v>
      </c>
      <c r="X53" s="29">
        <f t="shared" si="10"/>
        <v>0</v>
      </c>
      <c r="Y53" s="24"/>
    </row>
    <row r="54" spans="2:25" ht="15" customHeight="1" x14ac:dyDescent="0.2">
      <c r="B54" s="31">
        <v>41933</v>
      </c>
      <c r="C54" s="33"/>
      <c r="D54" s="16"/>
      <c r="E54" s="16"/>
      <c r="F54" s="47">
        <v>14.013999999999999</v>
      </c>
      <c r="G54" s="47">
        <v>10.843</v>
      </c>
      <c r="H54" s="47">
        <v>11.382999999999999</v>
      </c>
      <c r="I54" s="57">
        <v>102.45</v>
      </c>
      <c r="J54" s="58">
        <v>943</v>
      </c>
      <c r="K54" s="18">
        <f t="shared" si="11"/>
        <v>530</v>
      </c>
      <c r="L54" s="19" t="str">
        <f t="shared" si="2"/>
        <v/>
      </c>
      <c r="M54" s="19" t="str">
        <f t="shared" si="2"/>
        <v/>
      </c>
      <c r="N54" s="19" t="str">
        <f t="shared" si="2"/>
        <v/>
      </c>
      <c r="O54" s="19">
        <f t="shared" si="7"/>
        <v>-12.999999999999901</v>
      </c>
      <c r="P54" s="19">
        <f t="shared" si="8"/>
        <v>-9.0000000000003411</v>
      </c>
      <c r="Q54" s="19">
        <f t="shared" si="9"/>
        <v>-6.0000000000002274</v>
      </c>
      <c r="R54" s="19">
        <f t="shared" si="2"/>
        <v>-12.000000000000455</v>
      </c>
      <c r="S54" s="27" t="str">
        <f t="shared" si="10"/>
        <v/>
      </c>
      <c r="T54" s="28" t="str">
        <f t="shared" si="10"/>
        <v/>
      </c>
      <c r="U54" s="28" t="str">
        <f t="shared" si="10"/>
        <v/>
      </c>
      <c r="V54" s="28">
        <f t="shared" si="10"/>
        <v>1.1111111111104953E-2</v>
      </c>
      <c r="W54" s="28">
        <f t="shared" si="10"/>
        <v>0</v>
      </c>
      <c r="X54" s="29">
        <f t="shared" si="10"/>
        <v>1.1111111111104953E-2</v>
      </c>
      <c r="Y54" s="24"/>
    </row>
    <row r="55" spans="2:25" ht="15" customHeight="1" x14ac:dyDescent="0.2">
      <c r="B55" s="31">
        <v>42025</v>
      </c>
      <c r="C55" s="33"/>
      <c r="D55" s="16"/>
      <c r="E55" s="16"/>
      <c r="F55" s="47">
        <v>14.013999999999999</v>
      </c>
      <c r="G55" s="47">
        <v>10.842000000000001</v>
      </c>
      <c r="H55" s="47">
        <v>11.384</v>
      </c>
      <c r="I55" s="57">
        <v>102.449</v>
      </c>
      <c r="J55" s="58">
        <v>943</v>
      </c>
      <c r="K55" s="18">
        <f t="shared" si="11"/>
        <v>530</v>
      </c>
      <c r="L55" s="19" t="str">
        <f t="shared" si="2"/>
        <v/>
      </c>
      <c r="M55" s="19" t="str">
        <f t="shared" si="2"/>
        <v/>
      </c>
      <c r="N55" s="19" t="str">
        <f t="shared" si="2"/>
        <v/>
      </c>
      <c r="O55" s="19">
        <f t="shared" si="7"/>
        <v>-12.999999999999901</v>
      </c>
      <c r="P55" s="19">
        <f t="shared" si="8"/>
        <v>-9.9999999999997868</v>
      </c>
      <c r="Q55" s="19">
        <f t="shared" si="9"/>
        <v>-4.9999999999990052</v>
      </c>
      <c r="R55" s="19">
        <f t="shared" si="2"/>
        <v>-13.00000000000523</v>
      </c>
      <c r="S55" s="27" t="str">
        <f t="shared" si="10"/>
        <v/>
      </c>
      <c r="T55" s="28" t="str">
        <f t="shared" si="10"/>
        <v/>
      </c>
      <c r="U55" s="28" t="str">
        <f t="shared" si="10"/>
        <v/>
      </c>
      <c r="V55" s="28">
        <f t="shared" si="10"/>
        <v>0</v>
      </c>
      <c r="W55" s="28">
        <f t="shared" si="10"/>
        <v>-1.0869565217385279E-2</v>
      </c>
      <c r="X55" s="29">
        <f t="shared" si="10"/>
        <v>1.0869565217404589E-2</v>
      </c>
      <c r="Y55" s="24"/>
    </row>
    <row r="56" spans="2:25" ht="15" customHeight="1" x14ac:dyDescent="0.2">
      <c r="B56" s="31">
        <v>42109</v>
      </c>
      <c r="C56" s="25"/>
      <c r="D56" s="26"/>
      <c r="E56" s="26"/>
      <c r="F56" s="47">
        <v>14.013</v>
      </c>
      <c r="G56" s="47">
        <v>10.842000000000001</v>
      </c>
      <c r="H56" s="47">
        <v>11.381</v>
      </c>
      <c r="I56" s="57">
        <v>102.44799999999999</v>
      </c>
      <c r="J56" s="58">
        <v>943</v>
      </c>
      <c r="K56" s="18">
        <f t="shared" si="11"/>
        <v>530</v>
      </c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>
        <f t="shared" si="7"/>
        <v>-13.999999999999346</v>
      </c>
      <c r="P56" s="19">
        <f t="shared" si="8"/>
        <v>-9.9999999999997868</v>
      </c>
      <c r="Q56" s="19">
        <f t="shared" si="9"/>
        <v>-7.9999999999991189</v>
      </c>
      <c r="R56" s="19">
        <f t="shared" si="2"/>
        <v>-14.000000000010004</v>
      </c>
      <c r="S56" s="27" t="str">
        <f t="shared" si="10"/>
        <v/>
      </c>
      <c r="T56" s="28" t="str">
        <f t="shared" si="10"/>
        <v/>
      </c>
      <c r="U56" s="28" t="str">
        <f t="shared" si="10"/>
        <v/>
      </c>
      <c r="V56" s="28">
        <f t="shared" si="10"/>
        <v>-1.1904761904755307E-2</v>
      </c>
      <c r="W56" s="28">
        <f t="shared" si="10"/>
        <v>0</v>
      </c>
      <c r="X56" s="29">
        <f t="shared" si="10"/>
        <v>-3.5714285714287065E-2</v>
      </c>
      <c r="Y56" s="24"/>
    </row>
    <row r="57" spans="2:25" ht="15" customHeight="1" x14ac:dyDescent="0.2">
      <c r="B57" s="31">
        <v>42221</v>
      </c>
      <c r="C57" s="77"/>
      <c r="D57" s="16"/>
      <c r="E57" s="76"/>
      <c r="F57" s="16">
        <v>14.013</v>
      </c>
      <c r="G57" s="16">
        <v>10.843</v>
      </c>
      <c r="H57" s="16">
        <v>11.381</v>
      </c>
      <c r="I57" s="16">
        <v>102.44799999999999</v>
      </c>
      <c r="J57" s="32">
        <v>1253</v>
      </c>
      <c r="K57" s="18">
        <f t="shared" si="11"/>
        <v>840</v>
      </c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>
        <f t="shared" si="7"/>
        <v>-13.999999999999346</v>
      </c>
      <c r="P57" s="19">
        <f t="shared" si="8"/>
        <v>-9.0000000000003411</v>
      </c>
      <c r="Q57" s="19">
        <f t="shared" si="9"/>
        <v>-7.9999999999991189</v>
      </c>
      <c r="R57" s="19">
        <f t="shared" si="2"/>
        <v>-14.000000000010004</v>
      </c>
      <c r="S57" s="27" t="str">
        <f t="shared" si="10"/>
        <v/>
      </c>
      <c r="T57" s="28" t="str">
        <f t="shared" si="10"/>
        <v/>
      </c>
      <c r="U57" s="28" t="str">
        <f t="shared" si="10"/>
        <v/>
      </c>
      <c r="V57" s="28">
        <f t="shared" si="10"/>
        <v>0</v>
      </c>
      <c r="W57" s="28">
        <f t="shared" si="10"/>
        <v>8.9285714285664806E-3</v>
      </c>
      <c r="X57" s="29">
        <f t="shared" si="10"/>
        <v>0</v>
      </c>
      <c r="Y57" s="24"/>
    </row>
    <row r="58" spans="2:25" ht="15" customHeight="1" x14ac:dyDescent="0.2">
      <c r="B58" s="31">
        <v>42318</v>
      </c>
      <c r="C58" s="77"/>
      <c r="D58" s="16"/>
      <c r="E58" s="76"/>
      <c r="F58" s="16">
        <v>14.013</v>
      </c>
      <c r="G58" s="16">
        <v>10.843</v>
      </c>
      <c r="H58" s="16">
        <v>11.382999999999999</v>
      </c>
      <c r="I58" s="16">
        <v>102.44799999999999</v>
      </c>
      <c r="J58" s="32">
        <v>2220</v>
      </c>
      <c r="K58" s="18">
        <f t="shared" ref="K58:K60" si="12">IF(ISBLANK(J58),"",(J58-$J$8))</f>
        <v>1807</v>
      </c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>
        <f t="shared" si="7"/>
        <v>-13.999999999999346</v>
      </c>
      <c r="P58" s="19">
        <f t="shared" si="8"/>
        <v>-9.0000000000003411</v>
      </c>
      <c r="Q58" s="19">
        <f t="shared" si="9"/>
        <v>-6.0000000000002274</v>
      </c>
      <c r="R58" s="19">
        <f t="shared" si="2"/>
        <v>-14.000000000010004</v>
      </c>
      <c r="S58" s="27" t="str">
        <f t="shared" si="10"/>
        <v/>
      </c>
      <c r="T58" s="28" t="str">
        <f t="shared" si="10"/>
        <v/>
      </c>
      <c r="U58" s="28" t="str">
        <f t="shared" si="10"/>
        <v/>
      </c>
      <c r="V58" s="28">
        <f t="shared" si="10"/>
        <v>0</v>
      </c>
      <c r="W58" s="28">
        <f t="shared" si="10"/>
        <v>0</v>
      </c>
      <c r="X58" s="29">
        <f t="shared" si="10"/>
        <v>2.0618556701019499E-2</v>
      </c>
      <c r="Y58" s="24"/>
    </row>
    <row r="59" spans="2:25" ht="15" customHeight="1" x14ac:dyDescent="0.2">
      <c r="B59" s="31">
        <v>42404</v>
      </c>
      <c r="C59" s="33"/>
      <c r="D59" s="16">
        <v>8.1289999999999996</v>
      </c>
      <c r="E59" s="16"/>
      <c r="F59" s="16">
        <v>14.012</v>
      </c>
      <c r="G59" s="16">
        <v>10.842000000000001</v>
      </c>
      <c r="H59" s="16">
        <v>11.381</v>
      </c>
      <c r="I59" s="16">
        <v>102.44799999999999</v>
      </c>
      <c r="J59" s="58">
        <v>2484</v>
      </c>
      <c r="K59" s="18">
        <f t="shared" si="12"/>
        <v>2071</v>
      </c>
      <c r="L59" s="19" t="str">
        <f t="shared" si="2"/>
        <v/>
      </c>
      <c r="M59" s="19">
        <f t="shared" si="2"/>
        <v>-9.0000000000003411</v>
      </c>
      <c r="N59" s="19" t="str">
        <f t="shared" si="2"/>
        <v/>
      </c>
      <c r="O59" s="19">
        <f t="shared" si="7"/>
        <v>-14.999999999998792</v>
      </c>
      <c r="P59" s="19">
        <f t="shared" si="8"/>
        <v>-9.9999999999997868</v>
      </c>
      <c r="Q59" s="19">
        <f t="shared" si="9"/>
        <v>-7.9999999999991189</v>
      </c>
      <c r="R59" s="19">
        <f t="shared" si="2"/>
        <v>-14.000000000010004</v>
      </c>
      <c r="S59" s="27" t="str">
        <f t="shared" si="10"/>
        <v/>
      </c>
      <c r="T59" s="28"/>
      <c r="U59" s="28" t="str">
        <f t="shared" si="10"/>
        <v/>
      </c>
      <c r="V59" s="28">
        <f t="shared" si="10"/>
        <v>-1.1627906976737741E-2</v>
      </c>
      <c r="W59" s="28">
        <f t="shared" si="10"/>
        <v>-1.1627906976737741E-2</v>
      </c>
      <c r="X59" s="29">
        <f t="shared" si="10"/>
        <v>-2.3255813953475483E-2</v>
      </c>
      <c r="Y59" s="24"/>
    </row>
    <row r="60" spans="2:25" ht="15" customHeight="1" x14ac:dyDescent="0.2">
      <c r="B60" s="31">
        <v>42529</v>
      </c>
      <c r="C60" s="25"/>
      <c r="D60" s="26"/>
      <c r="E60" s="26"/>
      <c r="F60" s="16">
        <v>14.012</v>
      </c>
      <c r="G60" s="16">
        <v>10.842000000000001</v>
      </c>
      <c r="H60" s="16">
        <v>11.38</v>
      </c>
      <c r="I60" s="16">
        <v>102.447</v>
      </c>
      <c r="J60" s="58">
        <v>2603</v>
      </c>
      <c r="K60" s="18">
        <f t="shared" si="12"/>
        <v>2190</v>
      </c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>
        <f t="shared" si="7"/>
        <v>-14.999999999998792</v>
      </c>
      <c r="P60" s="19">
        <f t="shared" si="8"/>
        <v>-9.9999999999997868</v>
      </c>
      <c r="Q60" s="19">
        <f t="shared" si="9"/>
        <v>-8.9999999999985647</v>
      </c>
      <c r="R60" s="19">
        <f t="shared" si="2"/>
        <v>-15.000000000000568</v>
      </c>
      <c r="S60" s="27" t="str">
        <f t="shared" si="10"/>
        <v/>
      </c>
      <c r="T60" s="28" t="str">
        <f t="shared" si="10"/>
        <v/>
      </c>
      <c r="U60" s="28" t="str">
        <f t="shared" si="10"/>
        <v/>
      </c>
      <c r="V60" s="28">
        <f t="shared" si="10"/>
        <v>0</v>
      </c>
      <c r="W60" s="28">
        <f t="shared" si="10"/>
        <v>0</v>
      </c>
      <c r="X60" s="29">
        <f t="shared" si="10"/>
        <v>-7.9999999999955662E-3</v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7"/>
        <v/>
      </c>
      <c r="P61" s="19" t="str">
        <f t="shared" si="8"/>
        <v/>
      </c>
      <c r="Q61" s="19" t="str">
        <f t="shared" si="9"/>
        <v/>
      </c>
      <c r="R61" s="19" t="str">
        <f t="shared" si="2"/>
        <v/>
      </c>
      <c r="S61" s="27" t="str">
        <f t="shared" si="10"/>
        <v/>
      </c>
      <c r="T61" s="28" t="str">
        <f t="shared" si="10"/>
        <v/>
      </c>
      <c r="U61" s="28" t="str">
        <f t="shared" si="10"/>
        <v/>
      </c>
      <c r="V61" s="28" t="str">
        <f t="shared" si="10"/>
        <v/>
      </c>
      <c r="W61" s="28" t="str">
        <f t="shared" si="10"/>
        <v/>
      </c>
      <c r="X61" s="29" t="str">
        <f t="shared" si="1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7"/>
        <v/>
      </c>
      <c r="P62" s="19" t="str">
        <f t="shared" si="8"/>
        <v/>
      </c>
      <c r="Q62" s="19" t="str">
        <f t="shared" si="9"/>
        <v/>
      </c>
      <c r="R62" s="19" t="str">
        <f t="shared" ref="R62:R93" si="13">IF(ISBLANK(I62),"",(I62-I$16)*1000)</f>
        <v/>
      </c>
      <c r="S62" s="27" t="str">
        <f t="shared" si="10"/>
        <v/>
      </c>
      <c r="T62" s="28" t="str">
        <f t="shared" si="10"/>
        <v/>
      </c>
      <c r="U62" s="28" t="str">
        <f t="shared" si="10"/>
        <v/>
      </c>
      <c r="V62" s="28" t="str">
        <f t="shared" si="10"/>
        <v/>
      </c>
      <c r="W62" s="28" t="str">
        <f t="shared" si="10"/>
        <v/>
      </c>
      <c r="X62" s="29" t="str">
        <f t="shared" si="1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4">IF(ISBLANK(C63),"",(C63-C$16)*1000)</f>
        <v/>
      </c>
      <c r="M63" s="19" t="str">
        <f t="shared" ref="M63:M94" si="15">IF(ISBLANK(D63),"",(D63-D$16)*1000)</f>
        <v/>
      </c>
      <c r="N63" s="19" t="str">
        <f t="shared" ref="N63:N94" si="16">IF(ISBLANK(E63),"",(E63-E$16)*1000)</f>
        <v/>
      </c>
      <c r="O63" s="19" t="str">
        <f t="shared" si="7"/>
        <v/>
      </c>
      <c r="P63" s="19" t="str">
        <f t="shared" si="8"/>
        <v/>
      </c>
      <c r="Q63" s="19" t="str">
        <f t="shared" si="9"/>
        <v/>
      </c>
      <c r="R63" s="19" t="str">
        <f t="shared" si="13"/>
        <v/>
      </c>
      <c r="S63" s="27" t="str">
        <f t="shared" si="10"/>
        <v/>
      </c>
      <c r="T63" s="28" t="str">
        <f t="shared" si="10"/>
        <v/>
      </c>
      <c r="U63" s="28" t="str">
        <f t="shared" si="10"/>
        <v/>
      </c>
      <c r="V63" s="28" t="str">
        <f t="shared" si="10"/>
        <v/>
      </c>
      <c r="W63" s="28" t="str">
        <f t="shared" si="10"/>
        <v/>
      </c>
      <c r="X63" s="29" t="str">
        <f t="shared" si="1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4"/>
        <v/>
      </c>
      <c r="M64" s="19" t="str">
        <f t="shared" si="15"/>
        <v/>
      </c>
      <c r="N64" s="19" t="str">
        <f t="shared" si="16"/>
        <v/>
      </c>
      <c r="O64" s="19" t="str">
        <f t="shared" si="7"/>
        <v/>
      </c>
      <c r="P64" s="19" t="str">
        <f t="shared" si="8"/>
        <v/>
      </c>
      <c r="Q64" s="19" t="str">
        <f t="shared" si="9"/>
        <v/>
      </c>
      <c r="R64" s="19" t="str">
        <f t="shared" si="13"/>
        <v/>
      </c>
      <c r="S64" s="27" t="str">
        <f t="shared" si="10"/>
        <v/>
      </c>
      <c r="T64" s="28" t="str">
        <f t="shared" si="10"/>
        <v/>
      </c>
      <c r="U64" s="28" t="str">
        <f t="shared" si="10"/>
        <v/>
      </c>
      <c r="V64" s="28" t="str">
        <f t="shared" si="10"/>
        <v/>
      </c>
      <c r="W64" s="28" t="str">
        <f t="shared" si="10"/>
        <v/>
      </c>
      <c r="X64" s="29" t="str">
        <f t="shared" si="1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4"/>
        <v/>
      </c>
      <c r="M65" s="19" t="str">
        <f t="shared" si="15"/>
        <v/>
      </c>
      <c r="N65" s="19" t="str">
        <f t="shared" si="16"/>
        <v/>
      </c>
      <c r="O65" s="19" t="str">
        <f t="shared" si="7"/>
        <v/>
      </c>
      <c r="P65" s="19" t="str">
        <f t="shared" si="8"/>
        <v/>
      </c>
      <c r="Q65" s="19" t="str">
        <f t="shared" si="9"/>
        <v/>
      </c>
      <c r="R65" s="19" t="str">
        <f t="shared" si="13"/>
        <v/>
      </c>
      <c r="S65" s="27" t="str">
        <f t="shared" ref="S65:X80" si="17">IF(C65="","",((C65-C64)*1000)/($B65-$B64))</f>
        <v/>
      </c>
      <c r="T65" s="28" t="str">
        <f t="shared" si="17"/>
        <v/>
      </c>
      <c r="U65" s="28" t="str">
        <f t="shared" si="17"/>
        <v/>
      </c>
      <c r="V65" s="28" t="str">
        <f t="shared" si="17"/>
        <v/>
      </c>
      <c r="W65" s="28" t="str">
        <f t="shared" si="17"/>
        <v/>
      </c>
      <c r="X65" s="29" t="str">
        <f t="shared" si="17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4"/>
        <v/>
      </c>
      <c r="M66" s="19" t="str">
        <f t="shared" si="15"/>
        <v/>
      </c>
      <c r="N66" s="19" t="str">
        <f t="shared" si="16"/>
        <v/>
      </c>
      <c r="O66" s="19" t="str">
        <f t="shared" si="7"/>
        <v/>
      </c>
      <c r="P66" s="19" t="str">
        <f t="shared" si="8"/>
        <v/>
      </c>
      <c r="Q66" s="19" t="str">
        <f t="shared" si="9"/>
        <v/>
      </c>
      <c r="R66" s="19" t="str">
        <f t="shared" si="13"/>
        <v/>
      </c>
      <c r="S66" s="27" t="str">
        <f t="shared" si="17"/>
        <v/>
      </c>
      <c r="T66" s="28" t="str">
        <f t="shared" si="17"/>
        <v/>
      </c>
      <c r="U66" s="28" t="str">
        <f t="shared" si="17"/>
        <v/>
      </c>
      <c r="V66" s="28" t="str">
        <f t="shared" si="17"/>
        <v/>
      </c>
      <c r="W66" s="28" t="str">
        <f t="shared" si="17"/>
        <v/>
      </c>
      <c r="X66" s="29" t="str">
        <f t="shared" si="17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4"/>
        <v/>
      </c>
      <c r="M67" s="19" t="str">
        <f t="shared" si="15"/>
        <v/>
      </c>
      <c r="N67" s="19" t="str">
        <f t="shared" si="16"/>
        <v/>
      </c>
      <c r="O67" s="19" t="str">
        <f t="shared" si="7"/>
        <v/>
      </c>
      <c r="P67" s="19" t="str">
        <f t="shared" si="8"/>
        <v/>
      </c>
      <c r="Q67" s="19" t="str">
        <f t="shared" si="9"/>
        <v/>
      </c>
      <c r="R67" s="19" t="str">
        <f t="shared" si="13"/>
        <v/>
      </c>
      <c r="S67" s="27" t="str">
        <f t="shared" si="17"/>
        <v/>
      </c>
      <c r="T67" s="28" t="str">
        <f t="shared" si="17"/>
        <v/>
      </c>
      <c r="U67" s="28" t="str">
        <f t="shared" si="17"/>
        <v/>
      </c>
      <c r="V67" s="28" t="str">
        <f t="shared" si="17"/>
        <v/>
      </c>
      <c r="W67" s="28" t="str">
        <f t="shared" si="17"/>
        <v/>
      </c>
      <c r="X67" s="29" t="str">
        <f t="shared" si="17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4"/>
        <v/>
      </c>
      <c r="M68" s="19" t="str">
        <f t="shared" si="15"/>
        <v/>
      </c>
      <c r="N68" s="19" t="str">
        <f t="shared" si="16"/>
        <v/>
      </c>
      <c r="O68" s="19" t="str">
        <f t="shared" si="7"/>
        <v/>
      </c>
      <c r="P68" s="19" t="str">
        <f t="shared" si="8"/>
        <v/>
      </c>
      <c r="Q68" s="19" t="str">
        <f t="shared" si="9"/>
        <v/>
      </c>
      <c r="R68" s="19" t="str">
        <f t="shared" si="13"/>
        <v/>
      </c>
      <c r="S68" s="27" t="str">
        <f t="shared" si="17"/>
        <v/>
      </c>
      <c r="T68" s="28" t="str">
        <f t="shared" si="17"/>
        <v/>
      </c>
      <c r="U68" s="28" t="str">
        <f t="shared" si="17"/>
        <v/>
      </c>
      <c r="V68" s="28" t="str">
        <f t="shared" si="17"/>
        <v/>
      </c>
      <c r="W68" s="28" t="str">
        <f t="shared" si="17"/>
        <v/>
      </c>
      <c r="X68" s="29" t="str">
        <f t="shared" si="17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4"/>
        <v/>
      </c>
      <c r="M69" s="19" t="str">
        <f t="shared" si="15"/>
        <v/>
      </c>
      <c r="N69" s="19" t="str">
        <f t="shared" si="16"/>
        <v/>
      </c>
      <c r="O69" s="19" t="str">
        <f t="shared" si="7"/>
        <v/>
      </c>
      <c r="P69" s="19" t="str">
        <f t="shared" si="8"/>
        <v/>
      </c>
      <c r="Q69" s="19" t="str">
        <f t="shared" si="9"/>
        <v/>
      </c>
      <c r="R69" s="19" t="str">
        <f t="shared" si="13"/>
        <v/>
      </c>
      <c r="S69" s="27" t="str">
        <f t="shared" si="17"/>
        <v/>
      </c>
      <c r="T69" s="28" t="str">
        <f t="shared" si="17"/>
        <v/>
      </c>
      <c r="U69" s="28" t="str">
        <f t="shared" si="17"/>
        <v/>
      </c>
      <c r="V69" s="28" t="str">
        <f t="shared" si="17"/>
        <v/>
      </c>
      <c r="W69" s="28" t="str">
        <f t="shared" si="17"/>
        <v/>
      </c>
      <c r="X69" s="29" t="str">
        <f t="shared" si="17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4"/>
        <v/>
      </c>
      <c r="M70" s="19" t="str">
        <f t="shared" si="15"/>
        <v/>
      </c>
      <c r="N70" s="19" t="str">
        <f t="shared" si="16"/>
        <v/>
      </c>
      <c r="O70" s="19" t="str">
        <f t="shared" si="7"/>
        <v/>
      </c>
      <c r="P70" s="19" t="str">
        <f t="shared" si="8"/>
        <v/>
      </c>
      <c r="Q70" s="19" t="str">
        <f t="shared" si="9"/>
        <v/>
      </c>
      <c r="R70" s="19" t="str">
        <f t="shared" si="13"/>
        <v/>
      </c>
      <c r="S70" s="27" t="str">
        <f t="shared" si="17"/>
        <v/>
      </c>
      <c r="T70" s="28" t="str">
        <f t="shared" si="17"/>
        <v/>
      </c>
      <c r="U70" s="28" t="str">
        <f t="shared" si="17"/>
        <v/>
      </c>
      <c r="V70" s="28" t="str">
        <f t="shared" si="17"/>
        <v/>
      </c>
      <c r="W70" s="28" t="str">
        <f t="shared" si="17"/>
        <v/>
      </c>
      <c r="X70" s="29" t="str">
        <f t="shared" si="17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4"/>
        <v/>
      </c>
      <c r="M71" s="19" t="str">
        <f t="shared" si="15"/>
        <v/>
      </c>
      <c r="N71" s="19" t="str">
        <f t="shared" si="16"/>
        <v/>
      </c>
      <c r="O71" s="19" t="str">
        <f t="shared" si="7"/>
        <v/>
      </c>
      <c r="P71" s="19" t="str">
        <f t="shared" si="8"/>
        <v/>
      </c>
      <c r="Q71" s="19" t="str">
        <f t="shared" si="9"/>
        <v/>
      </c>
      <c r="R71" s="19" t="str">
        <f t="shared" si="13"/>
        <v/>
      </c>
      <c r="S71" s="27" t="str">
        <f t="shared" si="17"/>
        <v/>
      </c>
      <c r="T71" s="28" t="str">
        <f t="shared" si="17"/>
        <v/>
      </c>
      <c r="U71" s="28" t="str">
        <f t="shared" si="17"/>
        <v/>
      </c>
      <c r="V71" s="28" t="str">
        <f t="shared" si="17"/>
        <v/>
      </c>
      <c r="W71" s="28" t="str">
        <f t="shared" si="17"/>
        <v/>
      </c>
      <c r="X71" s="29" t="str">
        <f t="shared" si="17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4"/>
        <v/>
      </c>
      <c r="M72" s="19" t="str">
        <f t="shared" si="15"/>
        <v/>
      </c>
      <c r="N72" s="19" t="str">
        <f t="shared" si="16"/>
        <v/>
      </c>
      <c r="O72" s="19" t="str">
        <f t="shared" si="7"/>
        <v/>
      </c>
      <c r="P72" s="19" t="str">
        <f t="shared" si="8"/>
        <v/>
      </c>
      <c r="Q72" s="19" t="str">
        <f t="shared" si="9"/>
        <v/>
      </c>
      <c r="R72" s="19" t="str">
        <f t="shared" si="13"/>
        <v/>
      </c>
      <c r="S72" s="27" t="str">
        <f t="shared" si="17"/>
        <v/>
      </c>
      <c r="T72" s="28" t="str">
        <f t="shared" si="17"/>
        <v/>
      </c>
      <c r="U72" s="28" t="str">
        <f t="shared" si="17"/>
        <v/>
      </c>
      <c r="V72" s="28" t="str">
        <f t="shared" si="17"/>
        <v/>
      </c>
      <c r="W72" s="28" t="str">
        <f t="shared" si="17"/>
        <v/>
      </c>
      <c r="X72" s="29" t="str">
        <f t="shared" si="17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4"/>
        <v/>
      </c>
      <c r="M73" s="19" t="str">
        <f t="shared" si="15"/>
        <v/>
      </c>
      <c r="N73" s="19" t="str">
        <f t="shared" si="16"/>
        <v/>
      </c>
      <c r="O73" s="19" t="str">
        <f t="shared" si="7"/>
        <v/>
      </c>
      <c r="P73" s="19" t="str">
        <f t="shared" si="8"/>
        <v/>
      </c>
      <c r="Q73" s="19" t="str">
        <f t="shared" si="9"/>
        <v/>
      </c>
      <c r="R73" s="19" t="str">
        <f t="shared" si="13"/>
        <v/>
      </c>
      <c r="S73" s="27" t="str">
        <f t="shared" si="17"/>
        <v/>
      </c>
      <c r="T73" s="28" t="str">
        <f t="shared" si="17"/>
        <v/>
      </c>
      <c r="U73" s="28" t="str">
        <f t="shared" si="17"/>
        <v/>
      </c>
      <c r="V73" s="28" t="str">
        <f t="shared" si="17"/>
        <v/>
      </c>
      <c r="W73" s="28" t="str">
        <f t="shared" si="17"/>
        <v/>
      </c>
      <c r="X73" s="29" t="str">
        <f t="shared" si="17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4"/>
        <v/>
      </c>
      <c r="M74" s="19" t="str">
        <f t="shared" si="15"/>
        <v/>
      </c>
      <c r="N74" s="19" t="str">
        <f t="shared" si="16"/>
        <v/>
      </c>
      <c r="O74" s="19" t="str">
        <f t="shared" si="7"/>
        <v/>
      </c>
      <c r="P74" s="19" t="str">
        <f t="shared" si="8"/>
        <v/>
      </c>
      <c r="Q74" s="19" t="str">
        <f t="shared" si="9"/>
        <v/>
      </c>
      <c r="R74" s="19" t="str">
        <f t="shared" si="13"/>
        <v/>
      </c>
      <c r="S74" s="27" t="str">
        <f t="shared" si="17"/>
        <v/>
      </c>
      <c r="T74" s="28" t="str">
        <f t="shared" si="17"/>
        <v/>
      </c>
      <c r="U74" s="28" t="str">
        <f t="shared" si="17"/>
        <v/>
      </c>
      <c r="V74" s="28" t="str">
        <f t="shared" si="17"/>
        <v/>
      </c>
      <c r="W74" s="28" t="str">
        <f t="shared" si="17"/>
        <v/>
      </c>
      <c r="X74" s="29" t="str">
        <f t="shared" si="17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4"/>
        <v/>
      </c>
      <c r="M75" s="19" t="str">
        <f t="shared" si="15"/>
        <v/>
      </c>
      <c r="N75" s="19" t="str">
        <f t="shared" si="16"/>
        <v/>
      </c>
      <c r="O75" s="19" t="str">
        <f t="shared" si="7"/>
        <v/>
      </c>
      <c r="P75" s="19" t="str">
        <f t="shared" si="8"/>
        <v/>
      </c>
      <c r="Q75" s="19" t="str">
        <f t="shared" si="9"/>
        <v/>
      </c>
      <c r="R75" s="19" t="str">
        <f t="shared" si="13"/>
        <v/>
      </c>
      <c r="S75" s="27" t="str">
        <f t="shared" si="17"/>
        <v/>
      </c>
      <c r="T75" s="28" t="str">
        <f t="shared" si="17"/>
        <v/>
      </c>
      <c r="U75" s="28" t="str">
        <f t="shared" si="17"/>
        <v/>
      </c>
      <c r="V75" s="28" t="str">
        <f t="shared" si="17"/>
        <v/>
      </c>
      <c r="W75" s="28" t="str">
        <f t="shared" si="17"/>
        <v/>
      </c>
      <c r="X75" s="29" t="str">
        <f t="shared" si="17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4"/>
        <v/>
      </c>
      <c r="M76" s="19" t="str">
        <f t="shared" si="15"/>
        <v/>
      </c>
      <c r="N76" s="19" t="str">
        <f t="shared" si="16"/>
        <v/>
      </c>
      <c r="O76" s="19" t="str">
        <f t="shared" si="7"/>
        <v/>
      </c>
      <c r="P76" s="19" t="str">
        <f t="shared" si="8"/>
        <v/>
      </c>
      <c r="Q76" s="19" t="str">
        <f t="shared" si="9"/>
        <v/>
      </c>
      <c r="R76" s="19" t="str">
        <f t="shared" si="13"/>
        <v/>
      </c>
      <c r="S76" s="27" t="str">
        <f t="shared" si="17"/>
        <v/>
      </c>
      <c r="T76" s="28" t="str">
        <f t="shared" si="17"/>
        <v/>
      </c>
      <c r="U76" s="28" t="str">
        <f t="shared" si="17"/>
        <v/>
      </c>
      <c r="V76" s="28" t="str">
        <f t="shared" si="17"/>
        <v/>
      </c>
      <c r="W76" s="28" t="str">
        <f t="shared" si="17"/>
        <v/>
      </c>
      <c r="X76" s="29" t="str">
        <f t="shared" si="17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4"/>
        <v/>
      </c>
      <c r="M77" s="19" t="str">
        <f t="shared" si="15"/>
        <v/>
      </c>
      <c r="N77" s="19" t="str">
        <f t="shared" si="16"/>
        <v/>
      </c>
      <c r="O77" s="19" t="str">
        <f t="shared" si="7"/>
        <v/>
      </c>
      <c r="P77" s="19" t="str">
        <f t="shared" si="8"/>
        <v/>
      </c>
      <c r="Q77" s="19" t="str">
        <f t="shared" si="9"/>
        <v/>
      </c>
      <c r="R77" s="19" t="str">
        <f t="shared" si="13"/>
        <v/>
      </c>
      <c r="S77" s="27" t="str">
        <f t="shared" si="17"/>
        <v/>
      </c>
      <c r="T77" s="28" t="str">
        <f t="shared" si="17"/>
        <v/>
      </c>
      <c r="U77" s="28" t="str">
        <f t="shared" si="17"/>
        <v/>
      </c>
      <c r="V77" s="28" t="str">
        <f t="shared" si="17"/>
        <v/>
      </c>
      <c r="W77" s="28" t="str">
        <f t="shared" si="17"/>
        <v/>
      </c>
      <c r="X77" s="29" t="str">
        <f t="shared" si="17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4"/>
        <v/>
      </c>
      <c r="M78" s="19" t="str">
        <f t="shared" si="15"/>
        <v/>
      </c>
      <c r="N78" s="19" t="str">
        <f t="shared" si="16"/>
        <v/>
      </c>
      <c r="O78" s="19" t="str">
        <f t="shared" si="7"/>
        <v/>
      </c>
      <c r="P78" s="19" t="str">
        <f t="shared" si="8"/>
        <v/>
      </c>
      <c r="Q78" s="19" t="str">
        <f t="shared" si="9"/>
        <v/>
      </c>
      <c r="R78" s="19" t="str">
        <f t="shared" si="13"/>
        <v/>
      </c>
      <c r="S78" s="27" t="str">
        <f t="shared" si="17"/>
        <v/>
      </c>
      <c r="T78" s="28" t="str">
        <f t="shared" si="17"/>
        <v/>
      </c>
      <c r="U78" s="28" t="str">
        <f t="shared" si="17"/>
        <v/>
      </c>
      <c r="V78" s="28" t="str">
        <f t="shared" si="17"/>
        <v/>
      </c>
      <c r="W78" s="28" t="str">
        <f t="shared" si="17"/>
        <v/>
      </c>
      <c r="X78" s="29" t="str">
        <f t="shared" si="17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4"/>
        <v/>
      </c>
      <c r="M79" s="19" t="str">
        <f t="shared" si="15"/>
        <v/>
      </c>
      <c r="N79" s="19" t="str">
        <f t="shared" si="16"/>
        <v/>
      </c>
      <c r="O79" s="19" t="str">
        <f t="shared" si="7"/>
        <v/>
      </c>
      <c r="P79" s="19" t="str">
        <f t="shared" si="8"/>
        <v/>
      </c>
      <c r="Q79" s="19" t="str">
        <f t="shared" si="9"/>
        <v/>
      </c>
      <c r="R79" s="19" t="str">
        <f t="shared" si="13"/>
        <v/>
      </c>
      <c r="S79" s="27" t="str">
        <f t="shared" si="17"/>
        <v/>
      </c>
      <c r="T79" s="28" t="str">
        <f t="shared" si="17"/>
        <v/>
      </c>
      <c r="U79" s="28" t="str">
        <f t="shared" si="17"/>
        <v/>
      </c>
      <c r="V79" s="28" t="str">
        <f t="shared" si="17"/>
        <v/>
      </c>
      <c r="W79" s="28" t="str">
        <f t="shared" si="17"/>
        <v/>
      </c>
      <c r="X79" s="29" t="str">
        <f t="shared" si="17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4"/>
        <v/>
      </c>
      <c r="M80" s="19" t="str">
        <f t="shared" si="15"/>
        <v/>
      </c>
      <c r="N80" s="19" t="str">
        <f t="shared" si="16"/>
        <v/>
      </c>
      <c r="O80" s="19" t="str">
        <f t="shared" si="7"/>
        <v/>
      </c>
      <c r="P80" s="19" t="str">
        <f t="shared" si="8"/>
        <v/>
      </c>
      <c r="Q80" s="19" t="str">
        <f t="shared" si="9"/>
        <v/>
      </c>
      <c r="R80" s="19" t="str">
        <f t="shared" si="13"/>
        <v/>
      </c>
      <c r="S80" s="27" t="str">
        <f t="shared" si="17"/>
        <v/>
      </c>
      <c r="T80" s="28" t="str">
        <f t="shared" si="17"/>
        <v/>
      </c>
      <c r="U80" s="28" t="str">
        <f t="shared" si="17"/>
        <v/>
      </c>
      <c r="V80" s="28" t="str">
        <f t="shared" si="17"/>
        <v/>
      </c>
      <c r="W80" s="28" t="str">
        <f t="shared" si="17"/>
        <v/>
      </c>
      <c r="X80" s="29" t="str">
        <f t="shared" si="17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4"/>
        <v/>
      </c>
      <c r="M81" s="19" t="str">
        <f t="shared" si="15"/>
        <v/>
      </c>
      <c r="N81" s="19" t="str">
        <f t="shared" si="16"/>
        <v/>
      </c>
      <c r="O81" s="19" t="str">
        <f t="shared" si="7"/>
        <v/>
      </c>
      <c r="P81" s="19" t="str">
        <f t="shared" si="8"/>
        <v/>
      </c>
      <c r="Q81" s="19" t="str">
        <f t="shared" si="9"/>
        <v/>
      </c>
      <c r="R81" s="19" t="str">
        <f t="shared" si="13"/>
        <v/>
      </c>
      <c r="S81" s="27" t="str">
        <f t="shared" ref="S81:X96" si="18">IF(C81="","",((C81-C80)*1000)/($B81-$B80))</f>
        <v/>
      </c>
      <c r="T81" s="28" t="str">
        <f t="shared" si="18"/>
        <v/>
      </c>
      <c r="U81" s="28" t="str">
        <f t="shared" si="18"/>
        <v/>
      </c>
      <c r="V81" s="28" t="str">
        <f t="shared" si="18"/>
        <v/>
      </c>
      <c r="W81" s="28" t="str">
        <f t="shared" si="18"/>
        <v/>
      </c>
      <c r="X81" s="29" t="str">
        <f t="shared" si="18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4"/>
        <v/>
      </c>
      <c r="M82" s="19" t="str">
        <f t="shared" si="15"/>
        <v/>
      </c>
      <c r="N82" s="19" t="str">
        <f t="shared" si="16"/>
        <v/>
      </c>
      <c r="O82" s="19" t="str">
        <f t="shared" si="7"/>
        <v/>
      </c>
      <c r="P82" s="19" t="str">
        <f t="shared" si="8"/>
        <v/>
      </c>
      <c r="Q82" s="19" t="str">
        <f t="shared" si="9"/>
        <v/>
      </c>
      <c r="R82" s="19" t="str">
        <f t="shared" si="13"/>
        <v/>
      </c>
      <c r="S82" s="27" t="str">
        <f t="shared" si="18"/>
        <v/>
      </c>
      <c r="T82" s="28" t="str">
        <f t="shared" si="18"/>
        <v/>
      </c>
      <c r="U82" s="28" t="str">
        <f t="shared" si="18"/>
        <v/>
      </c>
      <c r="V82" s="28" t="str">
        <f t="shared" si="18"/>
        <v/>
      </c>
      <c r="W82" s="28" t="str">
        <f t="shared" si="18"/>
        <v/>
      </c>
      <c r="X82" s="29" t="str">
        <f t="shared" si="18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4"/>
        <v/>
      </c>
      <c r="M83" s="19" t="str">
        <f t="shared" si="15"/>
        <v/>
      </c>
      <c r="N83" s="19" t="str">
        <f t="shared" si="16"/>
        <v/>
      </c>
      <c r="O83" s="19" t="str">
        <f t="shared" si="7"/>
        <v/>
      </c>
      <c r="P83" s="19" t="str">
        <f t="shared" si="8"/>
        <v/>
      </c>
      <c r="Q83" s="19" t="str">
        <f t="shared" si="9"/>
        <v/>
      </c>
      <c r="R83" s="19" t="str">
        <f t="shared" si="13"/>
        <v/>
      </c>
      <c r="S83" s="27" t="str">
        <f t="shared" si="18"/>
        <v/>
      </c>
      <c r="T83" s="28" t="str">
        <f t="shared" si="18"/>
        <v/>
      </c>
      <c r="U83" s="28" t="str">
        <f t="shared" si="18"/>
        <v/>
      </c>
      <c r="V83" s="28" t="str">
        <f t="shared" si="18"/>
        <v/>
      </c>
      <c r="W83" s="28" t="str">
        <f t="shared" si="18"/>
        <v/>
      </c>
      <c r="X83" s="29" t="str">
        <f t="shared" si="18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4"/>
        <v/>
      </c>
      <c r="M84" s="19" t="str">
        <f t="shared" si="15"/>
        <v/>
      </c>
      <c r="N84" s="19" t="str">
        <f t="shared" si="16"/>
        <v/>
      </c>
      <c r="O84" s="19" t="str">
        <f t="shared" si="7"/>
        <v/>
      </c>
      <c r="P84" s="19" t="str">
        <f t="shared" si="8"/>
        <v/>
      </c>
      <c r="Q84" s="19" t="str">
        <f t="shared" si="9"/>
        <v/>
      </c>
      <c r="R84" s="19" t="str">
        <f t="shared" si="13"/>
        <v/>
      </c>
      <c r="S84" s="27" t="str">
        <f t="shared" si="18"/>
        <v/>
      </c>
      <c r="T84" s="28" t="str">
        <f t="shared" si="18"/>
        <v/>
      </c>
      <c r="U84" s="28" t="str">
        <f t="shared" si="18"/>
        <v/>
      </c>
      <c r="V84" s="28" t="str">
        <f t="shared" si="18"/>
        <v/>
      </c>
      <c r="W84" s="28" t="str">
        <f t="shared" si="18"/>
        <v/>
      </c>
      <c r="X84" s="29" t="str">
        <f t="shared" si="18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4"/>
        <v/>
      </c>
      <c r="M85" s="19" t="str">
        <f t="shared" si="15"/>
        <v/>
      </c>
      <c r="N85" s="19" t="str">
        <f t="shared" si="16"/>
        <v/>
      </c>
      <c r="O85" s="19" t="str">
        <f t="shared" si="7"/>
        <v/>
      </c>
      <c r="P85" s="19" t="str">
        <f t="shared" si="8"/>
        <v/>
      </c>
      <c r="Q85" s="19" t="str">
        <f t="shared" si="9"/>
        <v/>
      </c>
      <c r="R85" s="19" t="str">
        <f t="shared" si="13"/>
        <v/>
      </c>
      <c r="S85" s="27" t="str">
        <f t="shared" si="18"/>
        <v/>
      </c>
      <c r="T85" s="28" t="str">
        <f t="shared" si="18"/>
        <v/>
      </c>
      <c r="U85" s="28" t="str">
        <f t="shared" si="18"/>
        <v/>
      </c>
      <c r="V85" s="28" t="str">
        <f t="shared" si="18"/>
        <v/>
      </c>
      <c r="W85" s="28" t="str">
        <f t="shared" si="18"/>
        <v/>
      </c>
      <c r="X85" s="29" t="str">
        <f t="shared" si="18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4"/>
        <v/>
      </c>
      <c r="M86" s="19" t="str">
        <f t="shared" si="15"/>
        <v/>
      </c>
      <c r="N86" s="19" t="str">
        <f t="shared" si="16"/>
        <v/>
      </c>
      <c r="O86" s="19" t="str">
        <f t="shared" si="7"/>
        <v/>
      </c>
      <c r="P86" s="19" t="str">
        <f t="shared" si="8"/>
        <v/>
      </c>
      <c r="Q86" s="19" t="str">
        <f t="shared" si="9"/>
        <v/>
      </c>
      <c r="R86" s="19" t="str">
        <f t="shared" si="13"/>
        <v/>
      </c>
      <c r="S86" s="27" t="str">
        <f t="shared" si="18"/>
        <v/>
      </c>
      <c r="T86" s="28" t="str">
        <f t="shared" si="18"/>
        <v/>
      </c>
      <c r="U86" s="28" t="str">
        <f t="shared" si="18"/>
        <v/>
      </c>
      <c r="V86" s="28" t="str">
        <f t="shared" si="18"/>
        <v/>
      </c>
      <c r="W86" s="28" t="str">
        <f t="shared" si="18"/>
        <v/>
      </c>
      <c r="X86" s="29" t="str">
        <f t="shared" si="18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4"/>
        <v/>
      </c>
      <c r="M87" s="19" t="str">
        <f t="shared" si="15"/>
        <v/>
      </c>
      <c r="N87" s="19" t="str">
        <f t="shared" si="16"/>
        <v/>
      </c>
      <c r="O87" s="19" t="str">
        <f t="shared" si="7"/>
        <v/>
      </c>
      <c r="P87" s="19" t="str">
        <f t="shared" si="8"/>
        <v/>
      </c>
      <c r="Q87" s="19" t="str">
        <f t="shared" si="9"/>
        <v/>
      </c>
      <c r="R87" s="19" t="str">
        <f t="shared" si="13"/>
        <v/>
      </c>
      <c r="S87" s="27" t="str">
        <f t="shared" si="18"/>
        <v/>
      </c>
      <c r="T87" s="28" t="str">
        <f t="shared" si="18"/>
        <v/>
      </c>
      <c r="U87" s="28" t="str">
        <f t="shared" si="18"/>
        <v/>
      </c>
      <c r="V87" s="28" t="str">
        <f t="shared" si="18"/>
        <v/>
      </c>
      <c r="W87" s="28" t="str">
        <f t="shared" si="18"/>
        <v/>
      </c>
      <c r="X87" s="29" t="str">
        <f t="shared" si="18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4"/>
        <v/>
      </c>
      <c r="M88" s="19" t="str">
        <f t="shared" si="15"/>
        <v/>
      </c>
      <c r="N88" s="19" t="str">
        <f t="shared" si="16"/>
        <v/>
      </c>
      <c r="O88" s="19" t="str">
        <f t="shared" si="7"/>
        <v/>
      </c>
      <c r="P88" s="19" t="str">
        <f t="shared" si="8"/>
        <v/>
      </c>
      <c r="Q88" s="19" t="str">
        <f t="shared" si="9"/>
        <v/>
      </c>
      <c r="R88" s="19" t="str">
        <f t="shared" si="13"/>
        <v/>
      </c>
      <c r="S88" s="27" t="str">
        <f t="shared" si="18"/>
        <v/>
      </c>
      <c r="T88" s="28" t="str">
        <f t="shared" si="18"/>
        <v/>
      </c>
      <c r="U88" s="28" t="str">
        <f t="shared" si="18"/>
        <v/>
      </c>
      <c r="V88" s="28" t="str">
        <f t="shared" si="18"/>
        <v/>
      </c>
      <c r="W88" s="28" t="str">
        <f t="shared" si="18"/>
        <v/>
      </c>
      <c r="X88" s="29" t="str">
        <f t="shared" si="18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4"/>
        <v/>
      </c>
      <c r="M89" s="19" t="str">
        <f t="shared" si="15"/>
        <v/>
      </c>
      <c r="N89" s="19" t="str">
        <f t="shared" si="16"/>
        <v/>
      </c>
      <c r="O89" s="19" t="str">
        <f t="shared" si="7"/>
        <v/>
      </c>
      <c r="P89" s="19" t="str">
        <f t="shared" si="8"/>
        <v/>
      </c>
      <c r="Q89" s="19" t="str">
        <f t="shared" si="9"/>
        <v/>
      </c>
      <c r="R89" s="19" t="str">
        <f t="shared" si="13"/>
        <v/>
      </c>
      <c r="S89" s="27" t="str">
        <f t="shared" si="18"/>
        <v/>
      </c>
      <c r="T89" s="28" t="str">
        <f t="shared" si="18"/>
        <v/>
      </c>
      <c r="U89" s="28" t="str">
        <f t="shared" si="18"/>
        <v/>
      </c>
      <c r="V89" s="28" t="str">
        <f t="shared" si="18"/>
        <v/>
      </c>
      <c r="W89" s="28" t="str">
        <f t="shared" si="18"/>
        <v/>
      </c>
      <c r="X89" s="29" t="str">
        <f t="shared" si="18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4"/>
        <v/>
      </c>
      <c r="M90" s="19" t="str">
        <f t="shared" si="15"/>
        <v/>
      </c>
      <c r="N90" s="19" t="str">
        <f t="shared" si="16"/>
        <v/>
      </c>
      <c r="O90" s="19" t="str">
        <f t="shared" si="7"/>
        <v/>
      </c>
      <c r="P90" s="19" t="str">
        <f t="shared" si="8"/>
        <v/>
      </c>
      <c r="Q90" s="19" t="str">
        <f t="shared" si="9"/>
        <v/>
      </c>
      <c r="R90" s="19" t="str">
        <f t="shared" si="13"/>
        <v/>
      </c>
      <c r="S90" s="27" t="str">
        <f t="shared" si="18"/>
        <v/>
      </c>
      <c r="T90" s="28" t="str">
        <f t="shared" si="18"/>
        <v/>
      </c>
      <c r="U90" s="28" t="str">
        <f t="shared" si="18"/>
        <v/>
      </c>
      <c r="V90" s="28" t="str">
        <f t="shared" si="18"/>
        <v/>
      </c>
      <c r="W90" s="28" t="str">
        <f t="shared" si="18"/>
        <v/>
      </c>
      <c r="X90" s="29" t="str">
        <f t="shared" si="18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4"/>
        <v/>
      </c>
      <c r="M91" s="19" t="str">
        <f t="shared" si="15"/>
        <v/>
      </c>
      <c r="N91" s="19" t="str">
        <f t="shared" si="16"/>
        <v/>
      </c>
      <c r="O91" s="19" t="str">
        <f t="shared" si="7"/>
        <v/>
      </c>
      <c r="P91" s="19" t="str">
        <f t="shared" si="8"/>
        <v/>
      </c>
      <c r="Q91" s="19" t="str">
        <f t="shared" si="9"/>
        <v/>
      </c>
      <c r="R91" s="19" t="str">
        <f t="shared" si="13"/>
        <v/>
      </c>
      <c r="S91" s="27" t="str">
        <f t="shared" si="18"/>
        <v/>
      </c>
      <c r="T91" s="28" t="str">
        <f t="shared" si="18"/>
        <v/>
      </c>
      <c r="U91" s="28" t="str">
        <f t="shared" si="18"/>
        <v/>
      </c>
      <c r="V91" s="28" t="str">
        <f t="shared" si="18"/>
        <v/>
      </c>
      <c r="W91" s="28" t="str">
        <f t="shared" si="18"/>
        <v/>
      </c>
      <c r="X91" s="29" t="str">
        <f t="shared" si="18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4"/>
        <v/>
      </c>
      <c r="M92" s="19" t="str">
        <f t="shared" si="15"/>
        <v/>
      </c>
      <c r="N92" s="19" t="str">
        <f t="shared" si="16"/>
        <v/>
      </c>
      <c r="O92" s="19" t="str">
        <f t="shared" si="7"/>
        <v/>
      </c>
      <c r="P92" s="19" t="str">
        <f t="shared" si="8"/>
        <v/>
      </c>
      <c r="Q92" s="19" t="str">
        <f t="shared" si="9"/>
        <v/>
      </c>
      <c r="R92" s="19" t="str">
        <f t="shared" si="13"/>
        <v/>
      </c>
      <c r="S92" s="27" t="str">
        <f t="shared" si="18"/>
        <v/>
      </c>
      <c r="T92" s="28" t="str">
        <f t="shared" si="18"/>
        <v/>
      </c>
      <c r="U92" s="28" t="str">
        <f t="shared" si="18"/>
        <v/>
      </c>
      <c r="V92" s="28" t="str">
        <f t="shared" si="18"/>
        <v/>
      </c>
      <c r="W92" s="28" t="str">
        <f t="shared" si="18"/>
        <v/>
      </c>
      <c r="X92" s="29" t="str">
        <f t="shared" si="18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4"/>
        <v/>
      </c>
      <c r="M93" s="19" t="str">
        <f t="shared" si="15"/>
        <v/>
      </c>
      <c r="N93" s="19" t="str">
        <f t="shared" si="16"/>
        <v/>
      </c>
      <c r="O93" s="19" t="str">
        <f t="shared" si="7"/>
        <v/>
      </c>
      <c r="P93" s="19" t="str">
        <f t="shared" si="8"/>
        <v/>
      </c>
      <c r="Q93" s="19" t="str">
        <f t="shared" si="9"/>
        <v/>
      </c>
      <c r="R93" s="19" t="str">
        <f t="shared" si="13"/>
        <v/>
      </c>
      <c r="S93" s="27" t="str">
        <f t="shared" si="18"/>
        <v/>
      </c>
      <c r="T93" s="28" t="str">
        <f t="shared" si="18"/>
        <v/>
      </c>
      <c r="U93" s="28" t="str">
        <f t="shared" si="18"/>
        <v/>
      </c>
      <c r="V93" s="28" t="str">
        <f t="shared" si="18"/>
        <v/>
      </c>
      <c r="W93" s="28" t="str">
        <f t="shared" si="18"/>
        <v/>
      </c>
      <c r="X93" s="29" t="str">
        <f t="shared" si="18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4"/>
        <v/>
      </c>
      <c r="M94" s="19" t="str">
        <f t="shared" si="15"/>
        <v/>
      </c>
      <c r="N94" s="19" t="str">
        <f t="shared" si="16"/>
        <v/>
      </c>
      <c r="O94" s="19" t="str">
        <f t="shared" si="7"/>
        <v/>
      </c>
      <c r="P94" s="19" t="str">
        <f t="shared" si="8"/>
        <v/>
      </c>
      <c r="Q94" s="19" t="str">
        <f t="shared" si="9"/>
        <v/>
      </c>
      <c r="R94" s="19" t="str">
        <f t="shared" ref="R94:R116" si="19">IF(ISBLANK(I94),"",(I94-I$16)*1000)</f>
        <v/>
      </c>
      <c r="S94" s="27" t="str">
        <f t="shared" si="18"/>
        <v/>
      </c>
      <c r="T94" s="28" t="str">
        <f t="shared" si="18"/>
        <v/>
      </c>
      <c r="U94" s="28" t="str">
        <f t="shared" si="18"/>
        <v/>
      </c>
      <c r="V94" s="28" t="str">
        <f t="shared" si="18"/>
        <v/>
      </c>
      <c r="W94" s="28" t="str">
        <f t="shared" si="18"/>
        <v/>
      </c>
      <c r="X94" s="29" t="str">
        <f t="shared" si="18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20">IF(ISBLANK(C95),"",(C95-C$16)*1000)</f>
        <v/>
      </c>
      <c r="M95" s="19" t="str">
        <f t="shared" ref="M95:M116" si="21">IF(ISBLANK(D95),"",(D95-D$16)*1000)</f>
        <v/>
      </c>
      <c r="N95" s="19" t="str">
        <f t="shared" ref="N95:N116" si="22">IF(ISBLANK(E95),"",(E95-E$16)*1000)</f>
        <v/>
      </c>
      <c r="O95" s="19" t="str">
        <f t="shared" si="7"/>
        <v/>
      </c>
      <c r="P95" s="19" t="str">
        <f t="shared" si="8"/>
        <v/>
      </c>
      <c r="Q95" s="19" t="str">
        <f t="shared" si="9"/>
        <v/>
      </c>
      <c r="R95" s="19" t="str">
        <f t="shared" si="19"/>
        <v/>
      </c>
      <c r="S95" s="27" t="str">
        <f t="shared" si="18"/>
        <v/>
      </c>
      <c r="T95" s="28" t="str">
        <f t="shared" si="18"/>
        <v/>
      </c>
      <c r="U95" s="28" t="str">
        <f t="shared" si="18"/>
        <v/>
      </c>
      <c r="V95" s="28" t="str">
        <f t="shared" si="18"/>
        <v/>
      </c>
      <c r="W95" s="28" t="str">
        <f t="shared" si="18"/>
        <v/>
      </c>
      <c r="X95" s="29" t="str">
        <f t="shared" si="18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0"/>
        <v/>
      </c>
      <c r="M96" s="19" t="str">
        <f t="shared" si="21"/>
        <v/>
      </c>
      <c r="N96" s="19" t="str">
        <f t="shared" si="22"/>
        <v/>
      </c>
      <c r="O96" s="19" t="str">
        <f t="shared" si="7"/>
        <v/>
      </c>
      <c r="P96" s="19" t="str">
        <f t="shared" si="8"/>
        <v/>
      </c>
      <c r="Q96" s="19" t="str">
        <f t="shared" si="9"/>
        <v/>
      </c>
      <c r="R96" s="19" t="str">
        <f t="shared" si="19"/>
        <v/>
      </c>
      <c r="S96" s="27" t="str">
        <f t="shared" si="18"/>
        <v/>
      </c>
      <c r="T96" s="28" t="str">
        <f t="shared" si="18"/>
        <v/>
      </c>
      <c r="U96" s="28" t="str">
        <f t="shared" si="18"/>
        <v/>
      </c>
      <c r="V96" s="28" t="str">
        <f t="shared" si="18"/>
        <v/>
      </c>
      <c r="W96" s="28" t="str">
        <f t="shared" si="18"/>
        <v/>
      </c>
      <c r="X96" s="29" t="str">
        <f t="shared" si="18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0"/>
        <v/>
      </c>
      <c r="M97" s="19" t="str">
        <f t="shared" si="21"/>
        <v/>
      </c>
      <c r="N97" s="19" t="str">
        <f t="shared" si="22"/>
        <v/>
      </c>
      <c r="O97" s="19" t="str">
        <f t="shared" si="7"/>
        <v/>
      </c>
      <c r="P97" s="19" t="str">
        <f t="shared" si="8"/>
        <v/>
      </c>
      <c r="Q97" s="19" t="str">
        <f t="shared" si="9"/>
        <v/>
      </c>
      <c r="R97" s="19" t="str">
        <f t="shared" si="19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0"/>
        <v/>
      </c>
      <c r="M98" s="19" t="str">
        <f t="shared" si="21"/>
        <v/>
      </c>
      <c r="N98" s="19" t="str">
        <f t="shared" si="22"/>
        <v/>
      </c>
      <c r="O98" s="19" t="str">
        <f t="shared" si="7"/>
        <v/>
      </c>
      <c r="P98" s="19" t="str">
        <f t="shared" si="8"/>
        <v/>
      </c>
      <c r="Q98" s="19" t="str">
        <f t="shared" si="9"/>
        <v/>
      </c>
      <c r="R98" s="19" t="str">
        <f t="shared" si="19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0"/>
        <v/>
      </c>
      <c r="M99" s="19" t="str">
        <f t="shared" si="21"/>
        <v/>
      </c>
      <c r="N99" s="19" t="str">
        <f t="shared" si="22"/>
        <v/>
      </c>
      <c r="O99" s="19" t="str">
        <f t="shared" si="7"/>
        <v/>
      </c>
      <c r="P99" s="19" t="str">
        <f t="shared" si="8"/>
        <v/>
      </c>
      <c r="Q99" s="19" t="str">
        <f t="shared" si="9"/>
        <v/>
      </c>
      <c r="R99" s="19" t="str">
        <f t="shared" si="19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0"/>
        <v/>
      </c>
      <c r="M100" s="19" t="str">
        <f t="shared" si="21"/>
        <v/>
      </c>
      <c r="N100" s="19" t="str">
        <f t="shared" si="22"/>
        <v/>
      </c>
      <c r="O100" s="19" t="str">
        <f t="shared" si="7"/>
        <v/>
      </c>
      <c r="P100" s="19" t="str">
        <f t="shared" si="8"/>
        <v/>
      </c>
      <c r="Q100" s="19" t="str">
        <f t="shared" si="9"/>
        <v/>
      </c>
      <c r="R100" s="19" t="str">
        <f t="shared" si="19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0"/>
        <v/>
      </c>
      <c r="M101" s="19" t="str">
        <f t="shared" si="21"/>
        <v/>
      </c>
      <c r="N101" s="19" t="str">
        <f t="shared" si="22"/>
        <v/>
      </c>
      <c r="O101" s="19" t="str">
        <f t="shared" si="7"/>
        <v/>
      </c>
      <c r="P101" s="19" t="str">
        <f t="shared" si="8"/>
        <v/>
      </c>
      <c r="Q101" s="19" t="str">
        <f t="shared" si="9"/>
        <v/>
      </c>
      <c r="R101" s="19" t="str">
        <f t="shared" si="19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0"/>
        <v/>
      </c>
      <c r="M102" s="19" t="str">
        <f t="shared" si="21"/>
        <v/>
      </c>
      <c r="N102" s="19" t="str">
        <f t="shared" si="22"/>
        <v/>
      </c>
      <c r="O102" s="19" t="str">
        <f t="shared" si="7"/>
        <v/>
      </c>
      <c r="P102" s="19" t="str">
        <f t="shared" si="8"/>
        <v/>
      </c>
      <c r="Q102" s="19" t="str">
        <f t="shared" si="9"/>
        <v/>
      </c>
      <c r="R102" s="19" t="str">
        <f t="shared" si="19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0"/>
        <v/>
      </c>
      <c r="M103" s="19" t="str">
        <f t="shared" si="21"/>
        <v/>
      </c>
      <c r="N103" s="19" t="str">
        <f t="shared" si="22"/>
        <v/>
      </c>
      <c r="O103" s="19" t="str">
        <f t="shared" ref="O103:O153" si="24">IF(ISBLANK(F103),"",((F103-F$38)*1000)+L$38)</f>
        <v/>
      </c>
      <c r="P103" s="19" t="str">
        <f t="shared" ref="P103:P153" si="25">IF(ISBLANK(G103),"",((G103-G$38)*1000)+M$38)</f>
        <v/>
      </c>
      <c r="Q103" s="19" t="str">
        <f t="shared" ref="Q103:Q153" si="26">IF(ISBLANK(H103),"",((H103-H$38)*1000)+N$38)</f>
        <v/>
      </c>
      <c r="R103" s="19" t="str">
        <f t="shared" si="19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0"/>
        <v/>
      </c>
      <c r="M104" s="19" t="str">
        <f t="shared" si="21"/>
        <v/>
      </c>
      <c r="N104" s="19" t="str">
        <f t="shared" si="22"/>
        <v/>
      </c>
      <c r="O104" s="19" t="str">
        <f t="shared" si="24"/>
        <v/>
      </c>
      <c r="P104" s="19" t="str">
        <f t="shared" si="25"/>
        <v/>
      </c>
      <c r="Q104" s="19" t="str">
        <f t="shared" si="26"/>
        <v/>
      </c>
      <c r="R104" s="19" t="str">
        <f t="shared" si="19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0"/>
        <v/>
      </c>
      <c r="M105" s="19" t="str">
        <f t="shared" si="21"/>
        <v/>
      </c>
      <c r="N105" s="19" t="str">
        <f t="shared" si="22"/>
        <v/>
      </c>
      <c r="O105" s="19" t="str">
        <f t="shared" si="24"/>
        <v/>
      </c>
      <c r="P105" s="19" t="str">
        <f t="shared" si="25"/>
        <v/>
      </c>
      <c r="Q105" s="19" t="str">
        <f t="shared" si="26"/>
        <v/>
      </c>
      <c r="R105" s="19" t="str">
        <f t="shared" si="19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0"/>
        <v/>
      </c>
      <c r="M106" s="19" t="str">
        <f t="shared" si="21"/>
        <v/>
      </c>
      <c r="N106" s="19" t="str">
        <f t="shared" si="22"/>
        <v/>
      </c>
      <c r="O106" s="19" t="str">
        <f t="shared" si="24"/>
        <v/>
      </c>
      <c r="P106" s="19" t="str">
        <f t="shared" si="25"/>
        <v/>
      </c>
      <c r="Q106" s="19" t="str">
        <f t="shared" si="26"/>
        <v/>
      </c>
      <c r="R106" s="19" t="str">
        <f t="shared" si="19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0"/>
        <v/>
      </c>
      <c r="M107" s="19" t="str">
        <f t="shared" si="21"/>
        <v/>
      </c>
      <c r="N107" s="19" t="str">
        <f t="shared" si="22"/>
        <v/>
      </c>
      <c r="O107" s="19" t="str">
        <f t="shared" si="24"/>
        <v/>
      </c>
      <c r="P107" s="19" t="str">
        <f t="shared" si="25"/>
        <v/>
      </c>
      <c r="Q107" s="19" t="str">
        <f t="shared" si="26"/>
        <v/>
      </c>
      <c r="R107" s="19" t="str">
        <f t="shared" si="19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0"/>
        <v/>
      </c>
      <c r="M108" s="19" t="str">
        <f t="shared" si="21"/>
        <v/>
      </c>
      <c r="N108" s="19" t="str">
        <f t="shared" si="22"/>
        <v/>
      </c>
      <c r="O108" s="19" t="str">
        <f t="shared" si="24"/>
        <v/>
      </c>
      <c r="P108" s="19" t="str">
        <f t="shared" si="25"/>
        <v/>
      </c>
      <c r="Q108" s="19" t="str">
        <f t="shared" si="26"/>
        <v/>
      </c>
      <c r="R108" s="19" t="str">
        <f t="shared" si="19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0"/>
        <v/>
      </c>
      <c r="M109" s="19" t="str">
        <f t="shared" si="21"/>
        <v/>
      </c>
      <c r="N109" s="19" t="str">
        <f t="shared" si="22"/>
        <v/>
      </c>
      <c r="O109" s="19" t="str">
        <f t="shared" si="24"/>
        <v/>
      </c>
      <c r="P109" s="19" t="str">
        <f t="shared" si="25"/>
        <v/>
      </c>
      <c r="Q109" s="19" t="str">
        <f t="shared" si="26"/>
        <v/>
      </c>
      <c r="R109" s="19" t="str">
        <f t="shared" si="19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0"/>
        <v/>
      </c>
      <c r="M110" s="19" t="str">
        <f t="shared" si="21"/>
        <v/>
      </c>
      <c r="N110" s="19" t="str">
        <f t="shared" si="22"/>
        <v/>
      </c>
      <c r="O110" s="19" t="str">
        <f t="shared" si="24"/>
        <v/>
      </c>
      <c r="P110" s="19" t="str">
        <f t="shared" si="25"/>
        <v/>
      </c>
      <c r="Q110" s="19" t="str">
        <f t="shared" si="26"/>
        <v/>
      </c>
      <c r="R110" s="19" t="str">
        <f t="shared" si="19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0"/>
        <v/>
      </c>
      <c r="M111" s="19" t="str">
        <f t="shared" si="21"/>
        <v/>
      </c>
      <c r="N111" s="19" t="str">
        <f t="shared" si="22"/>
        <v/>
      </c>
      <c r="O111" s="19" t="str">
        <f t="shared" si="24"/>
        <v/>
      </c>
      <c r="P111" s="19" t="str">
        <f t="shared" si="25"/>
        <v/>
      </c>
      <c r="Q111" s="19" t="str">
        <f t="shared" si="26"/>
        <v/>
      </c>
      <c r="R111" s="19" t="str">
        <f t="shared" si="19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0"/>
        <v/>
      </c>
      <c r="M112" s="19" t="str">
        <f t="shared" si="21"/>
        <v/>
      </c>
      <c r="N112" s="19" t="str">
        <f t="shared" si="22"/>
        <v/>
      </c>
      <c r="O112" s="19" t="str">
        <f t="shared" si="24"/>
        <v/>
      </c>
      <c r="P112" s="19" t="str">
        <f t="shared" si="25"/>
        <v/>
      </c>
      <c r="Q112" s="19" t="str">
        <f t="shared" si="26"/>
        <v/>
      </c>
      <c r="R112" s="19" t="str">
        <f t="shared" si="19"/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0"/>
        <v/>
      </c>
      <c r="M113" s="19" t="str">
        <f t="shared" si="21"/>
        <v/>
      </c>
      <c r="N113" s="19" t="str">
        <f t="shared" si="22"/>
        <v/>
      </c>
      <c r="O113" s="19" t="str">
        <f t="shared" si="24"/>
        <v/>
      </c>
      <c r="P113" s="19" t="str">
        <f t="shared" si="25"/>
        <v/>
      </c>
      <c r="Q113" s="19" t="str">
        <f t="shared" si="26"/>
        <v/>
      </c>
      <c r="R113" s="19" t="str">
        <f t="shared" si="19"/>
        <v/>
      </c>
      <c r="S113" s="27" t="str">
        <f t="shared" ref="S113:X128" si="27">IF(C113="","",((C113-C112)*1000)/($B113-$B112))</f>
        <v/>
      </c>
      <c r="T113" s="28" t="str">
        <f t="shared" si="27"/>
        <v/>
      </c>
      <c r="U113" s="28" t="str">
        <f t="shared" si="27"/>
        <v/>
      </c>
      <c r="V113" s="28" t="str">
        <f t="shared" si="27"/>
        <v/>
      </c>
      <c r="W113" s="28" t="str">
        <f t="shared" si="27"/>
        <v/>
      </c>
      <c r="X113" s="29" t="str">
        <f t="shared" si="2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0"/>
        <v/>
      </c>
      <c r="M114" s="19" t="str">
        <f t="shared" si="21"/>
        <v/>
      </c>
      <c r="N114" s="19" t="str">
        <f t="shared" si="22"/>
        <v/>
      </c>
      <c r="O114" s="19" t="str">
        <f t="shared" si="24"/>
        <v/>
      </c>
      <c r="P114" s="19" t="str">
        <f t="shared" si="25"/>
        <v/>
      </c>
      <c r="Q114" s="19" t="str">
        <f t="shared" si="26"/>
        <v/>
      </c>
      <c r="R114" s="19" t="str">
        <f t="shared" si="19"/>
        <v/>
      </c>
      <c r="S114" s="27" t="str">
        <f t="shared" si="27"/>
        <v/>
      </c>
      <c r="T114" s="28" t="str">
        <f t="shared" si="27"/>
        <v/>
      </c>
      <c r="U114" s="28" t="str">
        <f t="shared" si="27"/>
        <v/>
      </c>
      <c r="V114" s="28" t="str">
        <f t="shared" si="27"/>
        <v/>
      </c>
      <c r="W114" s="28" t="str">
        <f t="shared" si="27"/>
        <v/>
      </c>
      <c r="X114" s="29" t="str">
        <f t="shared" si="2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0"/>
        <v/>
      </c>
      <c r="M115" s="19" t="str">
        <f t="shared" si="21"/>
        <v/>
      </c>
      <c r="N115" s="19" t="str">
        <f t="shared" si="22"/>
        <v/>
      </c>
      <c r="O115" s="19" t="str">
        <f t="shared" si="24"/>
        <v/>
      </c>
      <c r="P115" s="19" t="str">
        <f t="shared" si="25"/>
        <v/>
      </c>
      <c r="Q115" s="19" t="str">
        <f t="shared" si="26"/>
        <v/>
      </c>
      <c r="R115" s="19" t="str">
        <f t="shared" si="19"/>
        <v/>
      </c>
      <c r="S115" s="27" t="str">
        <f t="shared" si="27"/>
        <v/>
      </c>
      <c r="T115" s="28" t="str">
        <f t="shared" si="27"/>
        <v/>
      </c>
      <c r="U115" s="28" t="str">
        <f t="shared" si="27"/>
        <v/>
      </c>
      <c r="V115" s="28" t="str">
        <f t="shared" si="27"/>
        <v/>
      </c>
      <c r="W115" s="28" t="str">
        <f t="shared" si="27"/>
        <v/>
      </c>
      <c r="X115" s="29" t="str">
        <f t="shared" si="2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0"/>
        <v/>
      </c>
      <c r="M116" s="19" t="str">
        <f t="shared" si="21"/>
        <v/>
      </c>
      <c r="N116" s="19" t="str">
        <f t="shared" si="22"/>
        <v/>
      </c>
      <c r="O116" s="19" t="str">
        <f t="shared" si="24"/>
        <v/>
      </c>
      <c r="P116" s="19" t="str">
        <f t="shared" si="25"/>
        <v/>
      </c>
      <c r="Q116" s="19" t="str">
        <f t="shared" si="26"/>
        <v/>
      </c>
      <c r="R116" s="19" t="str">
        <f t="shared" si="19"/>
        <v/>
      </c>
      <c r="S116" s="27" t="str">
        <f t="shared" si="27"/>
        <v/>
      </c>
      <c r="T116" s="28" t="str">
        <f t="shared" si="27"/>
        <v/>
      </c>
      <c r="U116" s="28" t="str">
        <f t="shared" si="27"/>
        <v/>
      </c>
      <c r="V116" s="28" t="str">
        <f t="shared" si="27"/>
        <v/>
      </c>
      <c r="W116" s="28" t="str">
        <f t="shared" si="27"/>
        <v/>
      </c>
      <c r="X116" s="29" t="str">
        <f t="shared" si="2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8">IF(ISBLANK(D117),"",(D117-D$16)*1000)</f>
        <v/>
      </c>
      <c r="N117" s="19" t="str">
        <f t="shared" si="28"/>
        <v/>
      </c>
      <c r="O117" s="19" t="str">
        <f t="shared" si="24"/>
        <v/>
      </c>
      <c r="P117" s="19" t="str">
        <f t="shared" si="25"/>
        <v/>
      </c>
      <c r="Q117" s="19" t="str">
        <f t="shared" si="26"/>
        <v/>
      </c>
      <c r="R117" s="19" t="str">
        <f t="shared" si="28"/>
        <v/>
      </c>
      <c r="S117" s="27" t="str">
        <f t="shared" si="27"/>
        <v/>
      </c>
      <c r="T117" s="28" t="str">
        <f t="shared" si="27"/>
        <v/>
      </c>
      <c r="U117" s="28" t="str">
        <f t="shared" si="27"/>
        <v/>
      </c>
      <c r="V117" s="28" t="str">
        <f t="shared" si="27"/>
        <v/>
      </c>
      <c r="W117" s="28" t="str">
        <f t="shared" si="27"/>
        <v/>
      </c>
      <c r="X117" s="29" t="str">
        <f t="shared" si="2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9">IF(ISBLANK(C118),"",(C118-C$16)*1000)</f>
        <v/>
      </c>
      <c r="M118" s="19" t="str">
        <f t="shared" si="28"/>
        <v/>
      </c>
      <c r="N118" s="19" t="str">
        <f t="shared" si="28"/>
        <v/>
      </c>
      <c r="O118" s="19" t="str">
        <f t="shared" si="24"/>
        <v/>
      </c>
      <c r="P118" s="19" t="str">
        <f t="shared" si="25"/>
        <v/>
      </c>
      <c r="Q118" s="19" t="str">
        <f t="shared" si="26"/>
        <v/>
      </c>
      <c r="R118" s="19" t="str">
        <f t="shared" si="28"/>
        <v/>
      </c>
      <c r="S118" s="27" t="str">
        <f t="shared" si="27"/>
        <v/>
      </c>
      <c r="T118" s="28" t="str">
        <f t="shared" si="27"/>
        <v/>
      </c>
      <c r="U118" s="28" t="str">
        <f t="shared" si="27"/>
        <v/>
      </c>
      <c r="V118" s="28" t="str">
        <f t="shared" si="27"/>
        <v/>
      </c>
      <c r="W118" s="28" t="str">
        <f t="shared" si="27"/>
        <v/>
      </c>
      <c r="X118" s="29" t="str">
        <f t="shared" si="2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9"/>
        <v/>
      </c>
      <c r="M119" s="19" t="str">
        <f t="shared" si="28"/>
        <v/>
      </c>
      <c r="N119" s="19" t="str">
        <f t="shared" si="28"/>
        <v/>
      </c>
      <c r="O119" s="19" t="str">
        <f t="shared" si="24"/>
        <v/>
      </c>
      <c r="P119" s="19" t="str">
        <f t="shared" si="25"/>
        <v/>
      </c>
      <c r="Q119" s="19" t="str">
        <f t="shared" si="26"/>
        <v/>
      </c>
      <c r="R119" s="19" t="str">
        <f t="shared" si="28"/>
        <v/>
      </c>
      <c r="S119" s="27" t="str">
        <f t="shared" si="27"/>
        <v/>
      </c>
      <c r="T119" s="28" t="str">
        <f t="shared" si="27"/>
        <v/>
      </c>
      <c r="U119" s="28" t="str">
        <f t="shared" si="27"/>
        <v/>
      </c>
      <c r="V119" s="28" t="str">
        <f t="shared" si="27"/>
        <v/>
      </c>
      <c r="W119" s="28" t="str">
        <f t="shared" si="27"/>
        <v/>
      </c>
      <c r="X119" s="29" t="str">
        <f t="shared" si="2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9"/>
        <v/>
      </c>
      <c r="M120" s="19" t="str">
        <f t="shared" si="28"/>
        <v/>
      </c>
      <c r="N120" s="19" t="str">
        <f t="shared" si="28"/>
        <v/>
      </c>
      <c r="O120" s="19" t="str">
        <f t="shared" si="24"/>
        <v/>
      </c>
      <c r="P120" s="19" t="str">
        <f t="shared" si="25"/>
        <v/>
      </c>
      <c r="Q120" s="19" t="str">
        <f t="shared" si="26"/>
        <v/>
      </c>
      <c r="R120" s="19" t="str">
        <f t="shared" si="28"/>
        <v/>
      </c>
      <c r="S120" s="27" t="str">
        <f t="shared" si="27"/>
        <v/>
      </c>
      <c r="T120" s="28" t="str">
        <f t="shared" si="27"/>
        <v/>
      </c>
      <c r="U120" s="28" t="str">
        <f t="shared" si="27"/>
        <v/>
      </c>
      <c r="V120" s="28" t="str">
        <f t="shared" si="27"/>
        <v/>
      </c>
      <c r="W120" s="28" t="str">
        <f t="shared" si="27"/>
        <v/>
      </c>
      <c r="X120" s="29" t="str">
        <f t="shared" si="2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9"/>
        <v/>
      </c>
      <c r="M121" s="19" t="str">
        <f t="shared" si="28"/>
        <v/>
      </c>
      <c r="N121" s="19" t="str">
        <f t="shared" si="28"/>
        <v/>
      </c>
      <c r="O121" s="19" t="str">
        <f t="shared" si="24"/>
        <v/>
      </c>
      <c r="P121" s="19" t="str">
        <f t="shared" si="25"/>
        <v/>
      </c>
      <c r="Q121" s="19" t="str">
        <f t="shared" si="26"/>
        <v/>
      </c>
      <c r="R121" s="19" t="str">
        <f t="shared" si="28"/>
        <v/>
      </c>
      <c r="S121" s="27" t="str">
        <f t="shared" si="27"/>
        <v/>
      </c>
      <c r="T121" s="28" t="str">
        <f t="shared" si="27"/>
        <v/>
      </c>
      <c r="U121" s="28" t="str">
        <f t="shared" si="27"/>
        <v/>
      </c>
      <c r="V121" s="28" t="str">
        <f t="shared" si="27"/>
        <v/>
      </c>
      <c r="W121" s="28" t="str">
        <f t="shared" si="27"/>
        <v/>
      </c>
      <c r="X121" s="29" t="str">
        <f t="shared" si="2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9"/>
        <v/>
      </c>
      <c r="M122" s="19" t="str">
        <f t="shared" si="28"/>
        <v/>
      </c>
      <c r="N122" s="19" t="str">
        <f t="shared" si="28"/>
        <v/>
      </c>
      <c r="O122" s="19" t="str">
        <f t="shared" si="24"/>
        <v/>
      </c>
      <c r="P122" s="19" t="str">
        <f t="shared" si="25"/>
        <v/>
      </c>
      <c r="Q122" s="19" t="str">
        <f t="shared" si="26"/>
        <v/>
      </c>
      <c r="R122" s="19" t="str">
        <f t="shared" si="28"/>
        <v/>
      </c>
      <c r="S122" s="27" t="str">
        <f t="shared" si="27"/>
        <v/>
      </c>
      <c r="T122" s="28" t="str">
        <f t="shared" si="27"/>
        <v/>
      </c>
      <c r="U122" s="28" t="str">
        <f t="shared" si="27"/>
        <v/>
      </c>
      <c r="V122" s="28" t="str">
        <f t="shared" si="27"/>
        <v/>
      </c>
      <c r="W122" s="28" t="str">
        <f t="shared" si="27"/>
        <v/>
      </c>
      <c r="X122" s="29" t="str">
        <f t="shared" si="2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9"/>
        <v/>
      </c>
      <c r="M123" s="19" t="str">
        <f t="shared" si="28"/>
        <v/>
      </c>
      <c r="N123" s="19" t="str">
        <f t="shared" si="28"/>
        <v/>
      </c>
      <c r="O123" s="19" t="str">
        <f t="shared" si="24"/>
        <v/>
      </c>
      <c r="P123" s="19" t="str">
        <f t="shared" si="25"/>
        <v/>
      </c>
      <c r="Q123" s="19" t="str">
        <f t="shared" si="26"/>
        <v/>
      </c>
      <c r="R123" s="19" t="str">
        <f t="shared" si="28"/>
        <v/>
      </c>
      <c r="S123" s="27" t="str">
        <f t="shared" si="27"/>
        <v/>
      </c>
      <c r="T123" s="28" t="str">
        <f t="shared" si="27"/>
        <v/>
      </c>
      <c r="U123" s="28" t="str">
        <f t="shared" si="27"/>
        <v/>
      </c>
      <c r="V123" s="28" t="str">
        <f t="shared" si="27"/>
        <v/>
      </c>
      <c r="W123" s="28" t="str">
        <f t="shared" si="27"/>
        <v/>
      </c>
      <c r="X123" s="29" t="str">
        <f t="shared" si="2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9"/>
        <v/>
      </c>
      <c r="M124" s="19" t="str">
        <f t="shared" si="28"/>
        <v/>
      </c>
      <c r="N124" s="19" t="str">
        <f t="shared" si="28"/>
        <v/>
      </c>
      <c r="O124" s="19" t="str">
        <f t="shared" si="24"/>
        <v/>
      </c>
      <c r="P124" s="19" t="str">
        <f t="shared" si="25"/>
        <v/>
      </c>
      <c r="Q124" s="19" t="str">
        <f t="shared" si="26"/>
        <v/>
      </c>
      <c r="R124" s="19" t="str">
        <f t="shared" si="28"/>
        <v/>
      </c>
      <c r="S124" s="27" t="str">
        <f t="shared" si="27"/>
        <v/>
      </c>
      <c r="T124" s="28" t="str">
        <f t="shared" si="27"/>
        <v/>
      </c>
      <c r="U124" s="28" t="str">
        <f t="shared" si="27"/>
        <v/>
      </c>
      <c r="V124" s="28" t="str">
        <f t="shared" si="27"/>
        <v/>
      </c>
      <c r="W124" s="28" t="str">
        <f t="shared" si="27"/>
        <v/>
      </c>
      <c r="X124" s="29" t="str">
        <f t="shared" si="2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9"/>
        <v/>
      </c>
      <c r="M125" s="19" t="str">
        <f t="shared" si="28"/>
        <v/>
      </c>
      <c r="N125" s="19" t="str">
        <f t="shared" si="28"/>
        <v/>
      </c>
      <c r="O125" s="19" t="str">
        <f t="shared" si="24"/>
        <v/>
      </c>
      <c r="P125" s="19" t="str">
        <f t="shared" si="25"/>
        <v/>
      </c>
      <c r="Q125" s="19" t="str">
        <f t="shared" si="26"/>
        <v/>
      </c>
      <c r="R125" s="19" t="str">
        <f t="shared" si="28"/>
        <v/>
      </c>
      <c r="S125" s="27" t="str">
        <f t="shared" si="27"/>
        <v/>
      </c>
      <c r="T125" s="28" t="str">
        <f t="shared" si="27"/>
        <v/>
      </c>
      <c r="U125" s="28" t="str">
        <f t="shared" si="27"/>
        <v/>
      </c>
      <c r="V125" s="28" t="str">
        <f t="shared" si="27"/>
        <v/>
      </c>
      <c r="W125" s="28" t="str">
        <f t="shared" si="27"/>
        <v/>
      </c>
      <c r="X125" s="29" t="str">
        <f t="shared" si="2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9"/>
        <v/>
      </c>
      <c r="M126" s="19" t="str">
        <f t="shared" si="28"/>
        <v/>
      </c>
      <c r="N126" s="19" t="str">
        <f t="shared" si="28"/>
        <v/>
      </c>
      <c r="O126" s="19" t="str">
        <f t="shared" si="24"/>
        <v/>
      </c>
      <c r="P126" s="19" t="str">
        <f t="shared" si="25"/>
        <v/>
      </c>
      <c r="Q126" s="19" t="str">
        <f t="shared" si="26"/>
        <v/>
      </c>
      <c r="R126" s="19" t="str">
        <f t="shared" si="28"/>
        <v/>
      </c>
      <c r="S126" s="27" t="str">
        <f t="shared" si="27"/>
        <v/>
      </c>
      <c r="T126" s="28" t="str">
        <f t="shared" si="27"/>
        <v/>
      </c>
      <c r="U126" s="28" t="str">
        <f t="shared" si="27"/>
        <v/>
      </c>
      <c r="V126" s="28" t="str">
        <f t="shared" si="27"/>
        <v/>
      </c>
      <c r="W126" s="28" t="str">
        <f t="shared" si="27"/>
        <v/>
      </c>
      <c r="X126" s="29" t="str">
        <f t="shared" si="2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9"/>
        <v/>
      </c>
      <c r="M127" s="19" t="str">
        <f t="shared" si="28"/>
        <v/>
      </c>
      <c r="N127" s="19" t="str">
        <f t="shared" si="28"/>
        <v/>
      </c>
      <c r="O127" s="19" t="str">
        <f t="shared" si="24"/>
        <v/>
      </c>
      <c r="P127" s="19" t="str">
        <f t="shared" si="25"/>
        <v/>
      </c>
      <c r="Q127" s="19" t="str">
        <f t="shared" si="26"/>
        <v/>
      </c>
      <c r="R127" s="19" t="str">
        <f t="shared" si="28"/>
        <v/>
      </c>
      <c r="S127" s="27" t="str">
        <f t="shared" si="27"/>
        <v/>
      </c>
      <c r="T127" s="28" t="str">
        <f t="shared" si="27"/>
        <v/>
      </c>
      <c r="U127" s="28" t="str">
        <f t="shared" si="27"/>
        <v/>
      </c>
      <c r="V127" s="28" t="str">
        <f t="shared" si="27"/>
        <v/>
      </c>
      <c r="W127" s="28" t="str">
        <f t="shared" si="27"/>
        <v/>
      </c>
      <c r="X127" s="29" t="str">
        <f t="shared" si="2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9"/>
        <v/>
      </c>
      <c r="M128" s="19" t="str">
        <f t="shared" si="28"/>
        <v/>
      </c>
      <c r="N128" s="19" t="str">
        <f t="shared" si="28"/>
        <v/>
      </c>
      <c r="O128" s="19" t="str">
        <f t="shared" si="24"/>
        <v/>
      </c>
      <c r="P128" s="19" t="str">
        <f t="shared" si="25"/>
        <v/>
      </c>
      <c r="Q128" s="19" t="str">
        <f t="shared" si="26"/>
        <v/>
      </c>
      <c r="R128" s="19" t="str">
        <f t="shared" si="28"/>
        <v/>
      </c>
      <c r="S128" s="27" t="str">
        <f t="shared" si="27"/>
        <v/>
      </c>
      <c r="T128" s="28" t="str">
        <f t="shared" si="27"/>
        <v/>
      </c>
      <c r="U128" s="28" t="str">
        <f t="shared" si="27"/>
        <v/>
      </c>
      <c r="V128" s="28" t="str">
        <f t="shared" si="27"/>
        <v/>
      </c>
      <c r="W128" s="28" t="str">
        <f t="shared" si="27"/>
        <v/>
      </c>
      <c r="X128" s="29" t="str">
        <f t="shared" si="2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9"/>
        <v/>
      </c>
      <c r="M129" s="19" t="str">
        <f t="shared" si="28"/>
        <v/>
      </c>
      <c r="N129" s="19" t="str">
        <f t="shared" si="28"/>
        <v/>
      </c>
      <c r="O129" s="19" t="str">
        <f t="shared" si="24"/>
        <v/>
      </c>
      <c r="P129" s="19" t="str">
        <f t="shared" si="25"/>
        <v/>
      </c>
      <c r="Q129" s="19" t="str">
        <f t="shared" si="26"/>
        <v/>
      </c>
      <c r="R129" s="19" t="str">
        <f t="shared" si="28"/>
        <v/>
      </c>
      <c r="S129" s="27" t="str">
        <f t="shared" ref="S129:X144" si="30">IF(C129="","",((C129-C128)*1000)/($B129-$B128))</f>
        <v/>
      </c>
      <c r="T129" s="28" t="str">
        <f t="shared" si="30"/>
        <v/>
      </c>
      <c r="U129" s="28" t="str">
        <f t="shared" si="30"/>
        <v/>
      </c>
      <c r="V129" s="28" t="str">
        <f t="shared" si="30"/>
        <v/>
      </c>
      <c r="W129" s="28" t="str">
        <f t="shared" si="30"/>
        <v/>
      </c>
      <c r="X129" s="29" t="str">
        <f t="shared" si="30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9"/>
        <v/>
      </c>
      <c r="M130" s="19" t="str">
        <f t="shared" si="28"/>
        <v/>
      </c>
      <c r="N130" s="19" t="str">
        <f t="shared" si="28"/>
        <v/>
      </c>
      <c r="O130" s="19" t="str">
        <f t="shared" si="24"/>
        <v/>
      </c>
      <c r="P130" s="19" t="str">
        <f t="shared" si="25"/>
        <v/>
      </c>
      <c r="Q130" s="19" t="str">
        <f t="shared" si="26"/>
        <v/>
      </c>
      <c r="R130" s="19" t="str">
        <f t="shared" si="28"/>
        <v/>
      </c>
      <c r="S130" s="27" t="str">
        <f t="shared" si="30"/>
        <v/>
      </c>
      <c r="T130" s="28" t="str">
        <f t="shared" si="30"/>
        <v/>
      </c>
      <c r="U130" s="28" t="str">
        <f t="shared" si="30"/>
        <v/>
      </c>
      <c r="V130" s="28" t="str">
        <f t="shared" si="30"/>
        <v/>
      </c>
      <c r="W130" s="28" t="str">
        <f t="shared" si="30"/>
        <v/>
      </c>
      <c r="X130" s="29" t="str">
        <f t="shared" si="30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9"/>
        <v/>
      </c>
      <c r="M131" s="19" t="str">
        <f t="shared" si="28"/>
        <v/>
      </c>
      <c r="N131" s="19" t="str">
        <f t="shared" si="28"/>
        <v/>
      </c>
      <c r="O131" s="19" t="str">
        <f t="shared" si="24"/>
        <v/>
      </c>
      <c r="P131" s="19" t="str">
        <f t="shared" si="25"/>
        <v/>
      </c>
      <c r="Q131" s="19" t="str">
        <f t="shared" si="26"/>
        <v/>
      </c>
      <c r="R131" s="19" t="str">
        <f t="shared" si="28"/>
        <v/>
      </c>
      <c r="S131" s="27" t="str">
        <f t="shared" si="30"/>
        <v/>
      </c>
      <c r="T131" s="28" t="str">
        <f t="shared" si="30"/>
        <v/>
      </c>
      <c r="U131" s="28" t="str">
        <f t="shared" si="30"/>
        <v/>
      </c>
      <c r="V131" s="28" t="str">
        <f t="shared" si="30"/>
        <v/>
      </c>
      <c r="W131" s="28" t="str">
        <f t="shared" si="30"/>
        <v/>
      </c>
      <c r="X131" s="29" t="str">
        <f t="shared" si="30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9"/>
        <v/>
      </c>
      <c r="M132" s="19" t="str">
        <f t="shared" si="28"/>
        <v/>
      </c>
      <c r="N132" s="19" t="str">
        <f t="shared" si="28"/>
        <v/>
      </c>
      <c r="O132" s="19" t="str">
        <f t="shared" si="24"/>
        <v/>
      </c>
      <c r="P132" s="19" t="str">
        <f t="shared" si="25"/>
        <v/>
      </c>
      <c r="Q132" s="19" t="str">
        <f t="shared" si="26"/>
        <v/>
      </c>
      <c r="R132" s="19" t="str">
        <f t="shared" si="28"/>
        <v/>
      </c>
      <c r="S132" s="27" t="str">
        <f t="shared" si="30"/>
        <v/>
      </c>
      <c r="T132" s="28" t="str">
        <f t="shared" si="30"/>
        <v/>
      </c>
      <c r="U132" s="28" t="str">
        <f t="shared" si="30"/>
        <v/>
      </c>
      <c r="V132" s="28" t="str">
        <f t="shared" si="30"/>
        <v/>
      </c>
      <c r="W132" s="28" t="str">
        <f t="shared" si="30"/>
        <v/>
      </c>
      <c r="X132" s="29" t="str">
        <f t="shared" si="30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9"/>
        <v/>
      </c>
      <c r="M133" s="19" t="str">
        <f t="shared" si="28"/>
        <v/>
      </c>
      <c r="N133" s="19" t="str">
        <f t="shared" si="28"/>
        <v/>
      </c>
      <c r="O133" s="19" t="str">
        <f t="shared" si="24"/>
        <v/>
      </c>
      <c r="P133" s="19" t="str">
        <f t="shared" si="25"/>
        <v/>
      </c>
      <c r="Q133" s="19" t="str">
        <f t="shared" si="26"/>
        <v/>
      </c>
      <c r="R133" s="19" t="str">
        <f t="shared" si="28"/>
        <v/>
      </c>
      <c r="S133" s="27" t="str">
        <f t="shared" si="30"/>
        <v/>
      </c>
      <c r="T133" s="28" t="str">
        <f t="shared" si="30"/>
        <v/>
      </c>
      <c r="U133" s="28" t="str">
        <f t="shared" si="30"/>
        <v/>
      </c>
      <c r="V133" s="28" t="str">
        <f t="shared" si="30"/>
        <v/>
      </c>
      <c r="W133" s="28" t="str">
        <f t="shared" si="30"/>
        <v/>
      </c>
      <c r="X133" s="29" t="str">
        <f t="shared" si="30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9"/>
        <v/>
      </c>
      <c r="M134" s="19" t="str">
        <f t="shared" si="28"/>
        <v/>
      </c>
      <c r="N134" s="19" t="str">
        <f t="shared" si="28"/>
        <v/>
      </c>
      <c r="O134" s="19" t="str">
        <f t="shared" si="24"/>
        <v/>
      </c>
      <c r="P134" s="19" t="str">
        <f t="shared" si="25"/>
        <v/>
      </c>
      <c r="Q134" s="19" t="str">
        <f t="shared" si="26"/>
        <v/>
      </c>
      <c r="R134" s="19" t="str">
        <f t="shared" si="28"/>
        <v/>
      </c>
      <c r="S134" s="27" t="str">
        <f t="shared" si="30"/>
        <v/>
      </c>
      <c r="T134" s="28" t="str">
        <f t="shared" si="30"/>
        <v/>
      </c>
      <c r="U134" s="28" t="str">
        <f t="shared" si="30"/>
        <v/>
      </c>
      <c r="V134" s="28" t="str">
        <f t="shared" si="30"/>
        <v/>
      </c>
      <c r="W134" s="28" t="str">
        <f t="shared" si="30"/>
        <v/>
      </c>
      <c r="X134" s="29" t="str">
        <f t="shared" si="30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9"/>
        <v/>
      </c>
      <c r="M135" s="19" t="str">
        <f t="shared" si="28"/>
        <v/>
      </c>
      <c r="N135" s="19" t="str">
        <f t="shared" si="28"/>
        <v/>
      </c>
      <c r="O135" s="19" t="str">
        <f t="shared" si="24"/>
        <v/>
      </c>
      <c r="P135" s="19" t="str">
        <f t="shared" si="25"/>
        <v/>
      </c>
      <c r="Q135" s="19" t="str">
        <f t="shared" si="26"/>
        <v/>
      </c>
      <c r="R135" s="19" t="str">
        <f t="shared" si="28"/>
        <v/>
      </c>
      <c r="S135" s="27" t="str">
        <f t="shared" si="30"/>
        <v/>
      </c>
      <c r="T135" s="28" t="str">
        <f t="shared" si="30"/>
        <v/>
      </c>
      <c r="U135" s="28" t="str">
        <f t="shared" si="30"/>
        <v/>
      </c>
      <c r="V135" s="28" t="str">
        <f t="shared" si="30"/>
        <v/>
      </c>
      <c r="W135" s="28" t="str">
        <f t="shared" si="30"/>
        <v/>
      </c>
      <c r="X135" s="29" t="str">
        <f t="shared" si="30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9"/>
        <v/>
      </c>
      <c r="M136" s="19" t="str">
        <f t="shared" si="28"/>
        <v/>
      </c>
      <c r="N136" s="19" t="str">
        <f t="shared" si="28"/>
        <v/>
      </c>
      <c r="O136" s="19" t="str">
        <f t="shared" si="24"/>
        <v/>
      </c>
      <c r="P136" s="19" t="str">
        <f t="shared" si="25"/>
        <v/>
      </c>
      <c r="Q136" s="19" t="str">
        <f t="shared" si="26"/>
        <v/>
      </c>
      <c r="R136" s="19" t="str">
        <f t="shared" si="28"/>
        <v/>
      </c>
      <c r="S136" s="27" t="str">
        <f t="shared" si="30"/>
        <v/>
      </c>
      <c r="T136" s="28" t="str">
        <f t="shared" si="30"/>
        <v/>
      </c>
      <c r="U136" s="28" t="str">
        <f t="shared" si="30"/>
        <v/>
      </c>
      <c r="V136" s="28" t="str">
        <f t="shared" si="30"/>
        <v/>
      </c>
      <c r="W136" s="28" t="str">
        <f t="shared" si="30"/>
        <v/>
      </c>
      <c r="X136" s="29" t="str">
        <f t="shared" si="30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9"/>
        <v/>
      </c>
      <c r="M137" s="19" t="str">
        <f t="shared" si="28"/>
        <v/>
      </c>
      <c r="N137" s="19" t="str">
        <f t="shared" si="28"/>
        <v/>
      </c>
      <c r="O137" s="19" t="str">
        <f t="shared" si="24"/>
        <v/>
      </c>
      <c r="P137" s="19" t="str">
        <f t="shared" si="25"/>
        <v/>
      </c>
      <c r="Q137" s="19" t="str">
        <f t="shared" si="26"/>
        <v/>
      </c>
      <c r="R137" s="19" t="str">
        <f t="shared" si="28"/>
        <v/>
      </c>
      <c r="S137" s="27" t="str">
        <f t="shared" si="30"/>
        <v/>
      </c>
      <c r="T137" s="28" t="str">
        <f t="shared" si="30"/>
        <v/>
      </c>
      <c r="U137" s="28" t="str">
        <f t="shared" si="30"/>
        <v/>
      </c>
      <c r="V137" s="28" t="str">
        <f t="shared" si="30"/>
        <v/>
      </c>
      <c r="W137" s="28" t="str">
        <f t="shared" si="30"/>
        <v/>
      </c>
      <c r="X137" s="29" t="str">
        <f t="shared" si="30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9"/>
        <v/>
      </c>
      <c r="M138" s="19" t="str">
        <f t="shared" si="28"/>
        <v/>
      </c>
      <c r="N138" s="19" t="str">
        <f t="shared" si="28"/>
        <v/>
      </c>
      <c r="O138" s="19" t="str">
        <f t="shared" si="24"/>
        <v/>
      </c>
      <c r="P138" s="19" t="str">
        <f t="shared" si="25"/>
        <v/>
      </c>
      <c r="Q138" s="19" t="str">
        <f t="shared" si="26"/>
        <v/>
      </c>
      <c r="R138" s="19" t="str">
        <f t="shared" si="28"/>
        <v/>
      </c>
      <c r="S138" s="27" t="str">
        <f t="shared" si="30"/>
        <v/>
      </c>
      <c r="T138" s="28" t="str">
        <f t="shared" si="30"/>
        <v/>
      </c>
      <c r="U138" s="28" t="str">
        <f t="shared" si="30"/>
        <v/>
      </c>
      <c r="V138" s="28" t="str">
        <f t="shared" si="30"/>
        <v/>
      </c>
      <c r="W138" s="28" t="str">
        <f t="shared" si="30"/>
        <v/>
      </c>
      <c r="X138" s="29" t="str">
        <f t="shared" si="30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9"/>
        <v/>
      </c>
      <c r="M139" s="19" t="str">
        <f t="shared" si="28"/>
        <v/>
      </c>
      <c r="N139" s="19" t="str">
        <f t="shared" si="28"/>
        <v/>
      </c>
      <c r="O139" s="19" t="str">
        <f t="shared" si="24"/>
        <v/>
      </c>
      <c r="P139" s="19" t="str">
        <f t="shared" si="25"/>
        <v/>
      </c>
      <c r="Q139" s="19" t="str">
        <f t="shared" si="26"/>
        <v/>
      </c>
      <c r="R139" s="19" t="str">
        <f t="shared" si="28"/>
        <v/>
      </c>
      <c r="S139" s="27" t="str">
        <f t="shared" si="30"/>
        <v/>
      </c>
      <c r="T139" s="28" t="str">
        <f t="shared" si="30"/>
        <v/>
      </c>
      <c r="U139" s="28" t="str">
        <f t="shared" si="30"/>
        <v/>
      </c>
      <c r="V139" s="28" t="str">
        <f t="shared" si="30"/>
        <v/>
      </c>
      <c r="W139" s="28" t="str">
        <f t="shared" si="30"/>
        <v/>
      </c>
      <c r="X139" s="29" t="str">
        <f t="shared" si="30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9"/>
        <v/>
      </c>
      <c r="M140" s="19" t="str">
        <f t="shared" si="28"/>
        <v/>
      </c>
      <c r="N140" s="19" t="str">
        <f t="shared" si="28"/>
        <v/>
      </c>
      <c r="O140" s="19" t="str">
        <f t="shared" si="24"/>
        <v/>
      </c>
      <c r="P140" s="19" t="str">
        <f t="shared" si="25"/>
        <v/>
      </c>
      <c r="Q140" s="19" t="str">
        <f t="shared" si="26"/>
        <v/>
      </c>
      <c r="R140" s="19" t="str">
        <f t="shared" si="28"/>
        <v/>
      </c>
      <c r="S140" s="27" t="str">
        <f t="shared" si="30"/>
        <v/>
      </c>
      <c r="T140" s="28" t="str">
        <f t="shared" si="30"/>
        <v/>
      </c>
      <c r="U140" s="28" t="str">
        <f t="shared" si="30"/>
        <v/>
      </c>
      <c r="V140" s="28" t="str">
        <f t="shared" si="30"/>
        <v/>
      </c>
      <c r="W140" s="28" t="str">
        <f t="shared" si="30"/>
        <v/>
      </c>
      <c r="X140" s="29" t="str">
        <f t="shared" si="30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9"/>
        <v/>
      </c>
      <c r="M141" s="19" t="str">
        <f t="shared" si="28"/>
        <v/>
      </c>
      <c r="N141" s="19" t="str">
        <f t="shared" si="28"/>
        <v/>
      </c>
      <c r="O141" s="19" t="str">
        <f t="shared" si="24"/>
        <v/>
      </c>
      <c r="P141" s="19" t="str">
        <f t="shared" si="25"/>
        <v/>
      </c>
      <c r="Q141" s="19" t="str">
        <f t="shared" si="26"/>
        <v/>
      </c>
      <c r="R141" s="19" t="str">
        <f t="shared" si="28"/>
        <v/>
      </c>
      <c r="S141" s="27" t="str">
        <f t="shared" si="30"/>
        <v/>
      </c>
      <c r="T141" s="28" t="str">
        <f t="shared" si="30"/>
        <v/>
      </c>
      <c r="U141" s="28" t="str">
        <f t="shared" si="30"/>
        <v/>
      </c>
      <c r="V141" s="28" t="str">
        <f t="shared" si="30"/>
        <v/>
      </c>
      <c r="W141" s="28" t="str">
        <f t="shared" si="30"/>
        <v/>
      </c>
      <c r="X141" s="29" t="str">
        <f t="shared" si="30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9"/>
        <v/>
      </c>
      <c r="M142" s="19" t="str">
        <f t="shared" si="28"/>
        <v/>
      </c>
      <c r="N142" s="19" t="str">
        <f t="shared" si="28"/>
        <v/>
      </c>
      <c r="O142" s="19" t="str">
        <f t="shared" si="24"/>
        <v/>
      </c>
      <c r="P142" s="19" t="str">
        <f t="shared" si="25"/>
        <v/>
      </c>
      <c r="Q142" s="19" t="str">
        <f t="shared" si="26"/>
        <v/>
      </c>
      <c r="R142" s="19" t="str">
        <f t="shared" si="28"/>
        <v/>
      </c>
      <c r="S142" s="27" t="str">
        <f t="shared" si="30"/>
        <v/>
      </c>
      <c r="T142" s="28" t="str">
        <f t="shared" si="30"/>
        <v/>
      </c>
      <c r="U142" s="28" t="str">
        <f t="shared" si="30"/>
        <v/>
      </c>
      <c r="V142" s="28" t="str">
        <f t="shared" si="30"/>
        <v/>
      </c>
      <c r="W142" s="28" t="str">
        <f t="shared" si="30"/>
        <v/>
      </c>
      <c r="X142" s="29" t="str">
        <f t="shared" si="30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9"/>
        <v/>
      </c>
      <c r="M143" s="19" t="str">
        <f t="shared" si="28"/>
        <v/>
      </c>
      <c r="N143" s="19" t="str">
        <f t="shared" si="28"/>
        <v/>
      </c>
      <c r="O143" s="19" t="str">
        <f t="shared" si="24"/>
        <v/>
      </c>
      <c r="P143" s="19" t="str">
        <f t="shared" si="25"/>
        <v/>
      </c>
      <c r="Q143" s="19" t="str">
        <f t="shared" si="26"/>
        <v/>
      </c>
      <c r="R143" s="19" t="str">
        <f t="shared" si="28"/>
        <v/>
      </c>
      <c r="S143" s="27" t="str">
        <f t="shared" si="30"/>
        <v/>
      </c>
      <c r="T143" s="28" t="str">
        <f t="shared" si="30"/>
        <v/>
      </c>
      <c r="U143" s="28" t="str">
        <f t="shared" si="30"/>
        <v/>
      </c>
      <c r="V143" s="28" t="str">
        <f t="shared" si="30"/>
        <v/>
      </c>
      <c r="W143" s="28" t="str">
        <f t="shared" si="30"/>
        <v/>
      </c>
      <c r="X143" s="29" t="str">
        <f t="shared" si="30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9"/>
        <v/>
      </c>
      <c r="M144" s="19" t="str">
        <f t="shared" si="28"/>
        <v/>
      </c>
      <c r="N144" s="19" t="str">
        <f t="shared" si="28"/>
        <v/>
      </c>
      <c r="O144" s="19" t="str">
        <f t="shared" si="24"/>
        <v/>
      </c>
      <c r="P144" s="19" t="str">
        <f t="shared" si="25"/>
        <v/>
      </c>
      <c r="Q144" s="19" t="str">
        <f t="shared" si="26"/>
        <v/>
      </c>
      <c r="R144" s="19" t="str">
        <f t="shared" si="28"/>
        <v/>
      </c>
      <c r="S144" s="27" t="str">
        <f t="shared" si="30"/>
        <v/>
      </c>
      <c r="T144" s="28" t="str">
        <f t="shared" si="30"/>
        <v/>
      </c>
      <c r="U144" s="28" t="str">
        <f t="shared" si="30"/>
        <v/>
      </c>
      <c r="V144" s="28" t="str">
        <f t="shared" si="30"/>
        <v/>
      </c>
      <c r="W144" s="28" t="str">
        <f t="shared" si="30"/>
        <v/>
      </c>
      <c r="X144" s="29" t="str">
        <f t="shared" si="30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9"/>
        <v/>
      </c>
      <c r="M145" s="19" t="str">
        <f t="shared" si="28"/>
        <v/>
      </c>
      <c r="N145" s="19" t="str">
        <f t="shared" si="28"/>
        <v/>
      </c>
      <c r="O145" s="19" t="str">
        <f t="shared" si="24"/>
        <v/>
      </c>
      <c r="P145" s="19" t="str">
        <f t="shared" si="25"/>
        <v/>
      </c>
      <c r="Q145" s="19" t="str">
        <f t="shared" si="26"/>
        <v/>
      </c>
      <c r="R145" s="19" t="str">
        <f t="shared" si="28"/>
        <v/>
      </c>
      <c r="S145" s="27" t="str">
        <f t="shared" ref="S145:X153" si="31">IF(C145="","",((C145-C144)*1000)/($B145-$B144))</f>
        <v/>
      </c>
      <c r="T145" s="28" t="str">
        <f t="shared" si="31"/>
        <v/>
      </c>
      <c r="U145" s="28" t="str">
        <f t="shared" si="31"/>
        <v/>
      </c>
      <c r="V145" s="28" t="str">
        <f t="shared" si="31"/>
        <v/>
      </c>
      <c r="W145" s="28" t="str">
        <f t="shared" si="31"/>
        <v/>
      </c>
      <c r="X145" s="29" t="str">
        <f t="shared" si="31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9"/>
        <v/>
      </c>
      <c r="M146" s="19" t="str">
        <f t="shared" si="28"/>
        <v/>
      </c>
      <c r="N146" s="19" t="str">
        <f t="shared" si="28"/>
        <v/>
      </c>
      <c r="O146" s="19" t="str">
        <f t="shared" si="24"/>
        <v/>
      </c>
      <c r="P146" s="19" t="str">
        <f t="shared" si="25"/>
        <v/>
      </c>
      <c r="Q146" s="19" t="str">
        <f t="shared" si="26"/>
        <v/>
      </c>
      <c r="R146" s="19" t="str">
        <f t="shared" si="28"/>
        <v/>
      </c>
      <c r="S146" s="27" t="str">
        <f t="shared" si="31"/>
        <v/>
      </c>
      <c r="T146" s="28" t="str">
        <f t="shared" si="31"/>
        <v/>
      </c>
      <c r="U146" s="28" t="str">
        <f t="shared" si="31"/>
        <v/>
      </c>
      <c r="V146" s="28" t="str">
        <f t="shared" si="31"/>
        <v/>
      </c>
      <c r="W146" s="28" t="str">
        <f t="shared" si="31"/>
        <v/>
      </c>
      <c r="X146" s="29" t="str">
        <f t="shared" si="31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9"/>
        <v/>
      </c>
      <c r="M147" s="19" t="str">
        <f t="shared" si="28"/>
        <v/>
      </c>
      <c r="N147" s="19" t="str">
        <f t="shared" si="28"/>
        <v/>
      </c>
      <c r="O147" s="19" t="str">
        <f t="shared" si="24"/>
        <v/>
      </c>
      <c r="P147" s="19" t="str">
        <f t="shared" si="25"/>
        <v/>
      </c>
      <c r="Q147" s="19" t="str">
        <f t="shared" si="26"/>
        <v/>
      </c>
      <c r="R147" s="19" t="str">
        <f t="shared" si="28"/>
        <v/>
      </c>
      <c r="S147" s="27" t="str">
        <f t="shared" si="31"/>
        <v/>
      </c>
      <c r="T147" s="28" t="str">
        <f t="shared" si="31"/>
        <v/>
      </c>
      <c r="U147" s="28" t="str">
        <f t="shared" si="31"/>
        <v/>
      </c>
      <c r="V147" s="28" t="str">
        <f t="shared" si="31"/>
        <v/>
      </c>
      <c r="W147" s="28" t="str">
        <f t="shared" si="31"/>
        <v/>
      </c>
      <c r="X147" s="29" t="str">
        <f t="shared" si="31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9"/>
        <v/>
      </c>
      <c r="M148" s="19" t="str">
        <f t="shared" si="28"/>
        <v/>
      </c>
      <c r="N148" s="19" t="str">
        <f t="shared" si="28"/>
        <v/>
      </c>
      <c r="O148" s="19" t="str">
        <f t="shared" si="24"/>
        <v/>
      </c>
      <c r="P148" s="19" t="str">
        <f t="shared" si="25"/>
        <v/>
      </c>
      <c r="Q148" s="19" t="str">
        <f t="shared" si="26"/>
        <v/>
      </c>
      <c r="R148" s="19" t="str">
        <f t="shared" si="28"/>
        <v/>
      </c>
      <c r="S148" s="27" t="str">
        <f t="shared" si="31"/>
        <v/>
      </c>
      <c r="T148" s="28" t="str">
        <f t="shared" si="31"/>
        <v/>
      </c>
      <c r="U148" s="28" t="str">
        <f t="shared" si="31"/>
        <v/>
      </c>
      <c r="V148" s="28" t="str">
        <f t="shared" si="31"/>
        <v/>
      </c>
      <c r="W148" s="28" t="str">
        <f t="shared" si="31"/>
        <v/>
      </c>
      <c r="X148" s="29" t="str">
        <f t="shared" si="31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9"/>
        <v/>
      </c>
      <c r="M149" s="19" t="str">
        <f t="shared" si="28"/>
        <v/>
      </c>
      <c r="N149" s="19" t="str">
        <f t="shared" si="28"/>
        <v/>
      </c>
      <c r="O149" s="19" t="str">
        <f t="shared" si="24"/>
        <v/>
      </c>
      <c r="P149" s="19" t="str">
        <f t="shared" si="25"/>
        <v/>
      </c>
      <c r="Q149" s="19" t="str">
        <f t="shared" si="26"/>
        <v/>
      </c>
      <c r="R149" s="19" t="str">
        <f t="shared" si="28"/>
        <v/>
      </c>
      <c r="S149" s="27" t="str">
        <f t="shared" si="31"/>
        <v/>
      </c>
      <c r="T149" s="28" t="str">
        <f t="shared" si="31"/>
        <v/>
      </c>
      <c r="U149" s="28" t="str">
        <f t="shared" si="31"/>
        <v/>
      </c>
      <c r="V149" s="28" t="str">
        <f t="shared" si="31"/>
        <v/>
      </c>
      <c r="W149" s="28" t="str">
        <f t="shared" si="31"/>
        <v/>
      </c>
      <c r="X149" s="29" t="str">
        <f t="shared" si="31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9"/>
        <v/>
      </c>
      <c r="M150" s="19" t="str">
        <f t="shared" si="28"/>
        <v/>
      </c>
      <c r="N150" s="19" t="str">
        <f t="shared" si="28"/>
        <v/>
      </c>
      <c r="O150" s="19" t="str">
        <f t="shared" si="24"/>
        <v/>
      </c>
      <c r="P150" s="19" t="str">
        <f t="shared" si="25"/>
        <v/>
      </c>
      <c r="Q150" s="19" t="str">
        <f t="shared" si="26"/>
        <v/>
      </c>
      <c r="R150" s="19" t="str">
        <f t="shared" si="28"/>
        <v/>
      </c>
      <c r="S150" s="27" t="str">
        <f t="shared" si="31"/>
        <v/>
      </c>
      <c r="T150" s="28" t="str">
        <f t="shared" si="31"/>
        <v/>
      </c>
      <c r="U150" s="28" t="str">
        <f t="shared" si="31"/>
        <v/>
      </c>
      <c r="V150" s="28" t="str">
        <f t="shared" si="31"/>
        <v/>
      </c>
      <c r="W150" s="28" t="str">
        <f t="shared" si="31"/>
        <v/>
      </c>
      <c r="X150" s="29" t="str">
        <f t="shared" si="31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9"/>
        <v/>
      </c>
      <c r="M151" s="19" t="str">
        <f t="shared" si="28"/>
        <v/>
      </c>
      <c r="N151" s="19" t="str">
        <f t="shared" si="28"/>
        <v/>
      </c>
      <c r="O151" s="19" t="str">
        <f t="shared" si="24"/>
        <v/>
      </c>
      <c r="P151" s="19" t="str">
        <f t="shared" si="25"/>
        <v/>
      </c>
      <c r="Q151" s="19" t="str">
        <f t="shared" si="26"/>
        <v/>
      </c>
      <c r="R151" s="19" t="str">
        <f t="shared" si="28"/>
        <v/>
      </c>
      <c r="S151" s="27" t="str">
        <f t="shared" si="31"/>
        <v/>
      </c>
      <c r="T151" s="28" t="str">
        <f t="shared" si="31"/>
        <v/>
      </c>
      <c r="U151" s="28" t="str">
        <f t="shared" si="31"/>
        <v/>
      </c>
      <c r="V151" s="28" t="str">
        <f t="shared" si="31"/>
        <v/>
      </c>
      <c r="W151" s="28" t="str">
        <f t="shared" si="31"/>
        <v/>
      </c>
      <c r="X151" s="29" t="str">
        <f t="shared" si="31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9"/>
        <v/>
      </c>
      <c r="M152" s="19" t="str">
        <f t="shared" si="28"/>
        <v/>
      </c>
      <c r="N152" s="19" t="str">
        <f t="shared" si="28"/>
        <v/>
      </c>
      <c r="O152" s="19" t="str">
        <f t="shared" si="24"/>
        <v/>
      </c>
      <c r="P152" s="19" t="str">
        <f t="shared" si="25"/>
        <v/>
      </c>
      <c r="Q152" s="19" t="str">
        <f t="shared" si="26"/>
        <v/>
      </c>
      <c r="R152" s="19" t="str">
        <f t="shared" si="28"/>
        <v/>
      </c>
      <c r="S152" s="27" t="str">
        <f t="shared" si="31"/>
        <v/>
      </c>
      <c r="T152" s="28" t="str">
        <f t="shared" si="31"/>
        <v/>
      </c>
      <c r="U152" s="28" t="str">
        <f t="shared" si="31"/>
        <v/>
      </c>
      <c r="V152" s="28" t="str">
        <f t="shared" si="31"/>
        <v/>
      </c>
      <c r="W152" s="28" t="str">
        <f t="shared" si="31"/>
        <v/>
      </c>
      <c r="X152" s="29" t="str">
        <f t="shared" si="31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9"/>
        <v/>
      </c>
      <c r="M153" s="19" t="str">
        <f t="shared" si="28"/>
        <v/>
      </c>
      <c r="N153" s="19" t="str">
        <f t="shared" si="28"/>
        <v/>
      </c>
      <c r="O153" s="19" t="str">
        <f t="shared" si="24"/>
        <v/>
      </c>
      <c r="P153" s="19" t="str">
        <f t="shared" si="25"/>
        <v/>
      </c>
      <c r="Q153" s="19" t="str">
        <f t="shared" si="26"/>
        <v/>
      </c>
      <c r="R153" s="19" t="str">
        <f t="shared" si="28"/>
        <v/>
      </c>
      <c r="S153" s="27" t="str">
        <f t="shared" si="31"/>
        <v/>
      </c>
      <c r="T153" s="28" t="str">
        <f t="shared" si="31"/>
        <v/>
      </c>
      <c r="U153" s="28" t="str">
        <f t="shared" si="31"/>
        <v/>
      </c>
      <c r="V153" s="28" t="str">
        <f t="shared" si="31"/>
        <v/>
      </c>
      <c r="W153" s="28" t="str">
        <f t="shared" si="31"/>
        <v/>
      </c>
      <c r="X153" s="29" t="str">
        <f t="shared" si="31"/>
        <v/>
      </c>
      <c r="Y153" s="24"/>
    </row>
  </sheetData>
  <sheetProtection selectLockedCells="1"/>
  <mergeCells count="38">
    <mergeCell ref="R8:V8"/>
    <mergeCell ref="W7:Y7"/>
    <mergeCell ref="J7:Q7"/>
    <mergeCell ref="R7:V7"/>
    <mergeCell ref="E7:I7"/>
    <mergeCell ref="AA9:AI9"/>
    <mergeCell ref="B10:J12"/>
    <mergeCell ref="K10:S12"/>
    <mergeCell ref="T10:Y12"/>
    <mergeCell ref="B9:O9"/>
    <mergeCell ref="P9:Y9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8">
    <pageSetUpPr fitToPage="1"/>
  </sheetPr>
  <dimension ref="A1:AI153"/>
  <sheetViews>
    <sheetView showGridLines="0" zoomScale="75" zoomScaleNormal="75" zoomScaleSheetLayoutView="40" zoomScalePageLayoutView="40" workbookViewId="0">
      <pane ySplit="8" topLeftCell="A42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TZ-16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39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41678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41678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53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198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456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13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41680</v>
      </c>
      <c r="C16" s="14">
        <v>12.491</v>
      </c>
      <c r="D16" s="15">
        <v>7.8330000000000002</v>
      </c>
      <c r="E16" s="15">
        <v>7.5170000000000003</v>
      </c>
      <c r="F16" s="42"/>
      <c r="G16" s="42"/>
      <c r="H16" s="42"/>
      <c r="I16" s="41">
        <v>101.996</v>
      </c>
      <c r="J16" s="40">
        <v>460</v>
      </c>
      <c r="K16" s="53">
        <f t="shared" ref="K16:K26" si="0">IF(ISBLANK(J16),"",(J16-$J$8))</f>
        <v>4</v>
      </c>
      <c r="L16" s="19">
        <f t="shared" ref="L16:L24" si="1">IF(ISBLANK(C16),"",(C16-C$16)*1000)</f>
        <v>0</v>
      </c>
      <c r="M16" s="19">
        <f t="shared" ref="M16:M24" si="2">IF(ISBLANK(D16),"",(D16-D$16)*1000)</f>
        <v>0</v>
      </c>
      <c r="N16" s="19">
        <f t="shared" ref="N16:N24" si="3">IF(ISBLANK(E16),"",(E16-E$16)*1000)</f>
        <v>0</v>
      </c>
      <c r="O16" s="20"/>
      <c r="P16" s="20"/>
      <c r="Q16" s="20"/>
      <c r="R16" s="21">
        <f t="shared" ref="O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41681</v>
      </c>
      <c r="C17" s="25">
        <v>12.49</v>
      </c>
      <c r="D17" s="26">
        <v>7.83</v>
      </c>
      <c r="E17" s="26">
        <v>7.5179999999999998</v>
      </c>
      <c r="F17" s="16"/>
      <c r="G17" s="16"/>
      <c r="H17" s="16"/>
      <c r="I17" s="17">
        <v>101.996</v>
      </c>
      <c r="J17" s="32">
        <v>464.5</v>
      </c>
      <c r="K17" s="18">
        <f t="shared" si="0"/>
        <v>8.5</v>
      </c>
      <c r="L17" s="19">
        <f t="shared" si="1"/>
        <v>-0.99999999999944578</v>
      </c>
      <c r="M17" s="19">
        <f t="shared" si="2"/>
        <v>-3.0000000000001137</v>
      </c>
      <c r="N17" s="19">
        <f t="shared" si="3"/>
        <v>0.99999999999944578</v>
      </c>
      <c r="O17" s="19" t="str">
        <f t="shared" si="4"/>
        <v/>
      </c>
      <c r="P17" s="19" t="str">
        <f t="shared" si="4"/>
        <v/>
      </c>
      <c r="Q17" s="19" t="str">
        <f t="shared" si="4"/>
        <v/>
      </c>
      <c r="R17" s="19">
        <f t="shared" si="4"/>
        <v>0</v>
      </c>
      <c r="S17" s="27">
        <f t="shared" ref="S17:X32" si="5">IF(C17="","",((C17-C16)*1000)/($B17-$B16))</f>
        <v>-0.99999999999944578</v>
      </c>
      <c r="T17" s="28">
        <f t="shared" si="5"/>
        <v>-3.0000000000001137</v>
      </c>
      <c r="U17" s="28">
        <f t="shared" si="5"/>
        <v>0.99999999999944578</v>
      </c>
      <c r="V17" s="28" t="str">
        <f t="shared" si="5"/>
        <v/>
      </c>
      <c r="W17" s="28" t="str">
        <f t="shared" si="5"/>
        <v/>
      </c>
      <c r="X17" s="29" t="str">
        <f t="shared" si="5"/>
        <v/>
      </c>
      <c r="Y17" s="30"/>
    </row>
    <row r="18" spans="2:25" ht="15" customHeight="1" x14ac:dyDescent="0.2">
      <c r="B18" s="31">
        <v>41682</v>
      </c>
      <c r="C18" s="25">
        <v>12.49</v>
      </c>
      <c r="D18" s="26">
        <v>7.83</v>
      </c>
      <c r="E18" s="26">
        <v>7.5179999999999998</v>
      </c>
      <c r="F18" s="16"/>
      <c r="G18" s="16"/>
      <c r="H18" s="16"/>
      <c r="I18" s="17">
        <v>101.996</v>
      </c>
      <c r="J18" s="32">
        <v>469</v>
      </c>
      <c r="K18" s="18">
        <f t="shared" si="0"/>
        <v>13</v>
      </c>
      <c r="L18" s="19">
        <f t="shared" si="1"/>
        <v>-0.99999999999944578</v>
      </c>
      <c r="M18" s="19">
        <f t="shared" si="2"/>
        <v>-3.0000000000001137</v>
      </c>
      <c r="N18" s="19">
        <f t="shared" si="3"/>
        <v>0.99999999999944578</v>
      </c>
      <c r="O18" s="19" t="str">
        <f t="shared" si="4"/>
        <v/>
      </c>
      <c r="P18" s="19" t="str">
        <f t="shared" si="4"/>
        <v/>
      </c>
      <c r="Q18" s="19" t="str">
        <f t="shared" si="4"/>
        <v/>
      </c>
      <c r="R18" s="19">
        <f t="shared" si="4"/>
        <v>0</v>
      </c>
      <c r="S18" s="27">
        <f t="shared" si="5"/>
        <v>0</v>
      </c>
      <c r="T18" s="28">
        <f t="shared" si="5"/>
        <v>0</v>
      </c>
      <c r="U18" s="28">
        <f t="shared" si="5"/>
        <v>0</v>
      </c>
      <c r="V18" s="28" t="str">
        <f t="shared" si="5"/>
        <v/>
      </c>
      <c r="W18" s="28" t="str">
        <f t="shared" si="5"/>
        <v/>
      </c>
      <c r="X18" s="29" t="str">
        <f t="shared" si="5"/>
        <v/>
      </c>
      <c r="Y18" s="24"/>
    </row>
    <row r="19" spans="2:25" ht="15" customHeight="1" x14ac:dyDescent="0.2">
      <c r="B19" s="31">
        <v>41683</v>
      </c>
      <c r="C19" s="25">
        <v>12.491</v>
      </c>
      <c r="D19" s="26">
        <v>7.83</v>
      </c>
      <c r="E19" s="26">
        <v>7.5179999999999998</v>
      </c>
      <c r="F19" s="16"/>
      <c r="G19" s="16"/>
      <c r="H19" s="16"/>
      <c r="I19" s="17">
        <v>101.995</v>
      </c>
      <c r="J19" s="32">
        <v>472</v>
      </c>
      <c r="K19" s="18">
        <f t="shared" si="0"/>
        <v>16</v>
      </c>
      <c r="L19" s="19">
        <f t="shared" si="1"/>
        <v>0</v>
      </c>
      <c r="M19" s="19">
        <f t="shared" si="2"/>
        <v>-3.0000000000001137</v>
      </c>
      <c r="N19" s="19">
        <f t="shared" si="3"/>
        <v>0.99999999999944578</v>
      </c>
      <c r="O19" s="19" t="str">
        <f t="shared" si="4"/>
        <v/>
      </c>
      <c r="P19" s="19" t="str">
        <f t="shared" si="4"/>
        <v/>
      </c>
      <c r="Q19" s="19" t="str">
        <f t="shared" si="4"/>
        <v/>
      </c>
      <c r="R19" s="19">
        <f t="shared" si="4"/>
        <v>-0.99999999999056399</v>
      </c>
      <c r="S19" s="27">
        <f t="shared" si="5"/>
        <v>0.99999999999944578</v>
      </c>
      <c r="T19" s="28">
        <f t="shared" si="5"/>
        <v>0</v>
      </c>
      <c r="U19" s="28">
        <f t="shared" si="5"/>
        <v>0</v>
      </c>
      <c r="V19" s="28" t="str">
        <f t="shared" si="5"/>
        <v/>
      </c>
      <c r="W19" s="28" t="str">
        <f t="shared" si="5"/>
        <v/>
      </c>
      <c r="X19" s="29" t="str">
        <f t="shared" si="5"/>
        <v/>
      </c>
      <c r="Y19" s="24"/>
    </row>
    <row r="20" spans="2:25" ht="15" customHeight="1" x14ac:dyDescent="0.2">
      <c r="B20" s="31">
        <v>41684</v>
      </c>
      <c r="C20" s="25">
        <v>12.49</v>
      </c>
      <c r="D20" s="26">
        <v>7.8280000000000003</v>
      </c>
      <c r="E20" s="26">
        <v>7.5179999999999998</v>
      </c>
      <c r="F20" s="16"/>
      <c r="G20" s="16"/>
      <c r="H20" s="16"/>
      <c r="I20" s="17">
        <v>101.996</v>
      </c>
      <c r="J20" s="32">
        <v>477</v>
      </c>
      <c r="K20" s="18">
        <f t="shared" si="0"/>
        <v>21</v>
      </c>
      <c r="L20" s="19">
        <f t="shared" si="1"/>
        <v>-0.99999999999944578</v>
      </c>
      <c r="M20" s="19">
        <f t="shared" si="2"/>
        <v>-4.9999999999998934</v>
      </c>
      <c r="N20" s="19">
        <f t="shared" si="3"/>
        <v>0.99999999999944578</v>
      </c>
      <c r="O20" s="19" t="str">
        <f t="shared" si="4"/>
        <v/>
      </c>
      <c r="P20" s="19" t="str">
        <f t="shared" si="4"/>
        <v/>
      </c>
      <c r="Q20" s="19" t="str">
        <f t="shared" si="4"/>
        <v/>
      </c>
      <c r="R20" s="19">
        <f t="shared" si="4"/>
        <v>0</v>
      </c>
      <c r="S20" s="27">
        <f t="shared" si="5"/>
        <v>-0.99999999999944578</v>
      </c>
      <c r="T20" s="28">
        <f t="shared" si="5"/>
        <v>-1.9999999999997797</v>
      </c>
      <c r="U20" s="28">
        <f t="shared" si="5"/>
        <v>0</v>
      </c>
      <c r="V20" s="28" t="str">
        <f t="shared" si="5"/>
        <v/>
      </c>
      <c r="W20" s="28" t="str">
        <f t="shared" si="5"/>
        <v/>
      </c>
      <c r="X20" s="29" t="str">
        <f t="shared" si="5"/>
        <v/>
      </c>
      <c r="Y20" s="24"/>
    </row>
    <row r="21" spans="2:25" ht="15" customHeight="1" x14ac:dyDescent="0.2">
      <c r="B21" s="31">
        <v>41687</v>
      </c>
      <c r="C21" s="25">
        <v>12.49</v>
      </c>
      <c r="D21" s="26">
        <v>7.8289999999999997</v>
      </c>
      <c r="E21" s="26">
        <v>7.5179999999999998</v>
      </c>
      <c r="F21" s="16"/>
      <c r="G21" s="16"/>
      <c r="H21" s="16"/>
      <c r="I21" s="17">
        <v>101.996</v>
      </c>
      <c r="J21" s="32">
        <v>485</v>
      </c>
      <c r="K21" s="18">
        <f t="shared" si="0"/>
        <v>29</v>
      </c>
      <c r="L21" s="19">
        <f t="shared" si="1"/>
        <v>-0.99999999999944578</v>
      </c>
      <c r="M21" s="19">
        <f t="shared" si="2"/>
        <v>-4.0000000000004476</v>
      </c>
      <c r="N21" s="19">
        <f t="shared" si="3"/>
        <v>0.99999999999944578</v>
      </c>
      <c r="O21" s="19" t="str">
        <f t="shared" si="4"/>
        <v/>
      </c>
      <c r="P21" s="19" t="str">
        <f t="shared" si="4"/>
        <v/>
      </c>
      <c r="Q21" s="19" t="str">
        <f t="shared" si="4"/>
        <v/>
      </c>
      <c r="R21" s="19">
        <f t="shared" si="4"/>
        <v>0</v>
      </c>
      <c r="S21" s="27">
        <f t="shared" si="5"/>
        <v>0</v>
      </c>
      <c r="T21" s="28">
        <f t="shared" si="5"/>
        <v>0.33333333333314857</v>
      </c>
      <c r="U21" s="28">
        <f t="shared" si="5"/>
        <v>0</v>
      </c>
      <c r="V21" s="28" t="str">
        <f t="shared" si="5"/>
        <v/>
      </c>
      <c r="W21" s="28" t="str">
        <f t="shared" si="5"/>
        <v/>
      </c>
      <c r="X21" s="29" t="str">
        <f t="shared" si="5"/>
        <v/>
      </c>
      <c r="Y21" s="24"/>
    </row>
    <row r="22" spans="2:25" ht="15" customHeight="1" x14ac:dyDescent="0.2">
      <c r="B22" s="31">
        <v>41688</v>
      </c>
      <c r="C22" s="25">
        <v>12.49</v>
      </c>
      <c r="D22" s="26">
        <v>7.8289999999999997</v>
      </c>
      <c r="E22" s="26">
        <v>7.5179999999999998</v>
      </c>
      <c r="F22" s="16"/>
      <c r="G22" s="16"/>
      <c r="H22" s="16"/>
      <c r="I22" s="17">
        <v>101.996</v>
      </c>
      <c r="J22" s="32">
        <v>492</v>
      </c>
      <c r="K22" s="18">
        <f t="shared" si="0"/>
        <v>36</v>
      </c>
      <c r="L22" s="19">
        <f t="shared" si="1"/>
        <v>-0.99999999999944578</v>
      </c>
      <c r="M22" s="19">
        <f t="shared" si="2"/>
        <v>-4.0000000000004476</v>
      </c>
      <c r="N22" s="19">
        <f t="shared" si="3"/>
        <v>0.99999999999944578</v>
      </c>
      <c r="O22" s="19" t="str">
        <f t="shared" si="4"/>
        <v/>
      </c>
      <c r="P22" s="19" t="str">
        <f t="shared" si="4"/>
        <v/>
      </c>
      <c r="Q22" s="19" t="str">
        <f t="shared" si="4"/>
        <v/>
      </c>
      <c r="R22" s="19">
        <f t="shared" si="4"/>
        <v>0</v>
      </c>
      <c r="S22" s="27">
        <f t="shared" si="5"/>
        <v>0</v>
      </c>
      <c r="T22" s="28">
        <f t="shared" si="5"/>
        <v>0</v>
      </c>
      <c r="U22" s="28">
        <f t="shared" si="5"/>
        <v>0</v>
      </c>
      <c r="V22" s="28" t="str">
        <f t="shared" si="5"/>
        <v/>
      </c>
      <c r="W22" s="28" t="str">
        <f t="shared" si="5"/>
        <v/>
      </c>
      <c r="X22" s="29" t="str">
        <f t="shared" si="5"/>
        <v/>
      </c>
      <c r="Y22" s="24"/>
    </row>
    <row r="23" spans="2:25" ht="15" customHeight="1" x14ac:dyDescent="0.2">
      <c r="B23" s="31">
        <v>41689</v>
      </c>
      <c r="C23" s="25">
        <v>12.49</v>
      </c>
      <c r="D23" s="26">
        <v>7.8289999999999997</v>
      </c>
      <c r="E23" s="26">
        <v>7.5170000000000003</v>
      </c>
      <c r="F23" s="16"/>
      <c r="G23" s="16"/>
      <c r="H23" s="16"/>
      <c r="I23" s="17">
        <v>101.995</v>
      </c>
      <c r="J23" s="32">
        <v>502</v>
      </c>
      <c r="K23" s="18">
        <f t="shared" si="0"/>
        <v>46</v>
      </c>
      <c r="L23" s="19">
        <f t="shared" si="1"/>
        <v>-0.99999999999944578</v>
      </c>
      <c r="M23" s="19">
        <f t="shared" si="2"/>
        <v>-4.0000000000004476</v>
      </c>
      <c r="N23" s="19">
        <f t="shared" si="3"/>
        <v>0</v>
      </c>
      <c r="O23" s="19" t="str">
        <f t="shared" si="4"/>
        <v/>
      </c>
      <c r="P23" s="19" t="str">
        <f t="shared" si="4"/>
        <v/>
      </c>
      <c r="Q23" s="19" t="str">
        <f t="shared" si="4"/>
        <v/>
      </c>
      <c r="R23" s="19">
        <f t="shared" si="4"/>
        <v>-0.99999999999056399</v>
      </c>
      <c r="S23" s="27">
        <f t="shared" si="5"/>
        <v>0</v>
      </c>
      <c r="T23" s="28">
        <f t="shared" si="5"/>
        <v>0</v>
      </c>
      <c r="U23" s="28">
        <f t="shared" si="5"/>
        <v>-0.99999999999944578</v>
      </c>
      <c r="V23" s="28" t="str">
        <f t="shared" si="5"/>
        <v/>
      </c>
      <c r="W23" s="28" t="str">
        <f t="shared" si="5"/>
        <v/>
      </c>
      <c r="X23" s="29" t="str">
        <f t="shared" si="5"/>
        <v/>
      </c>
      <c r="Y23" s="24"/>
    </row>
    <row r="24" spans="2:25" ht="15" customHeight="1" x14ac:dyDescent="0.2">
      <c r="B24" s="31">
        <v>41690</v>
      </c>
      <c r="C24" s="25">
        <v>12.49</v>
      </c>
      <c r="D24" s="26">
        <v>7.83</v>
      </c>
      <c r="E24" s="26">
        <v>7.5170000000000003</v>
      </c>
      <c r="F24" s="16"/>
      <c r="G24" s="16"/>
      <c r="H24" s="16"/>
      <c r="I24" s="17">
        <v>101.995</v>
      </c>
      <c r="J24" s="32">
        <v>510</v>
      </c>
      <c r="K24" s="18">
        <f t="shared" si="0"/>
        <v>54</v>
      </c>
      <c r="L24" s="19">
        <f t="shared" si="1"/>
        <v>-0.99999999999944578</v>
      </c>
      <c r="M24" s="19">
        <f t="shared" si="2"/>
        <v>-3.0000000000001137</v>
      </c>
      <c r="N24" s="19">
        <f t="shared" si="3"/>
        <v>0</v>
      </c>
      <c r="O24" s="19" t="str">
        <f t="shared" si="4"/>
        <v/>
      </c>
      <c r="P24" s="19" t="str">
        <f t="shared" si="4"/>
        <v/>
      </c>
      <c r="Q24" s="19" t="str">
        <f t="shared" si="4"/>
        <v/>
      </c>
      <c r="R24" s="19">
        <f t="shared" si="4"/>
        <v>-0.99999999999056399</v>
      </c>
      <c r="S24" s="27">
        <f t="shared" si="5"/>
        <v>0</v>
      </c>
      <c r="T24" s="28">
        <f t="shared" si="5"/>
        <v>1.000000000000334</v>
      </c>
      <c r="U24" s="28">
        <f t="shared" si="5"/>
        <v>0</v>
      </c>
      <c r="V24" s="28" t="str">
        <f t="shared" si="5"/>
        <v/>
      </c>
      <c r="W24" s="28" t="str">
        <f t="shared" si="5"/>
        <v/>
      </c>
      <c r="X24" s="29" t="str">
        <f t="shared" si="5"/>
        <v/>
      </c>
      <c r="Y24" s="24"/>
    </row>
    <row r="25" spans="2:25" ht="15" customHeight="1" x14ac:dyDescent="0.2">
      <c r="B25" s="31">
        <v>41691</v>
      </c>
      <c r="C25" s="25">
        <v>12.49</v>
      </c>
      <c r="D25" s="45">
        <v>7.3230000000000004</v>
      </c>
      <c r="E25" s="45">
        <v>7.9509999999999996</v>
      </c>
      <c r="F25" s="16"/>
      <c r="G25" s="16"/>
      <c r="H25" s="16"/>
      <c r="I25" s="52">
        <v>101.93</v>
      </c>
      <c r="J25" s="32">
        <v>517</v>
      </c>
      <c r="K25" s="18">
        <f t="shared" si="0"/>
        <v>61</v>
      </c>
      <c r="L25" s="19">
        <f t="shared" ref="L25:L62" si="6">IF(ISBLANK(C25),"",(C25-C$16)*1000)</f>
        <v>-0.99999999999944578</v>
      </c>
      <c r="M25" s="19">
        <f>IF(ISBLANK(D25),"",((D25-D$25)*1000)+M$24)</f>
        <v>-3.0000000000001137</v>
      </c>
      <c r="N25" s="19">
        <f>IF(ISBLANK(E25),"",((E25-E$25)*1000)+N$24)</f>
        <v>0</v>
      </c>
      <c r="O25" s="19" t="str">
        <f t="shared" si="4"/>
        <v/>
      </c>
      <c r="P25" s="19" t="str">
        <f t="shared" si="4"/>
        <v/>
      </c>
      <c r="Q25" s="19" t="str">
        <f t="shared" si="4"/>
        <v/>
      </c>
      <c r="R25" s="19">
        <f>IF(ISBLANK(I25),"",((I25-I$25)*1000)+R$24)</f>
        <v>-0.99999999999056399</v>
      </c>
      <c r="S25" s="27">
        <f t="shared" si="5"/>
        <v>0</v>
      </c>
      <c r="T25" s="28">
        <f t="shared" si="5"/>
        <v>-506.99999999999966</v>
      </c>
      <c r="U25" s="28">
        <f t="shared" si="5"/>
        <v>433.99999999999926</v>
      </c>
      <c r="V25" s="28" t="str">
        <f t="shared" si="5"/>
        <v/>
      </c>
      <c r="W25" s="28" t="str">
        <f t="shared" si="5"/>
        <v/>
      </c>
      <c r="X25" s="29" t="str">
        <f t="shared" si="5"/>
        <v/>
      </c>
      <c r="Y25" s="24" t="s">
        <v>42</v>
      </c>
    </row>
    <row r="26" spans="2:25" ht="15" customHeight="1" x14ac:dyDescent="0.2">
      <c r="B26" s="31">
        <v>41694</v>
      </c>
      <c r="C26" s="25">
        <v>12.49</v>
      </c>
      <c r="D26" s="26">
        <v>7.3230000000000004</v>
      </c>
      <c r="E26" s="26">
        <v>7.9509999999999996</v>
      </c>
      <c r="F26" s="16"/>
      <c r="G26" s="16"/>
      <c r="H26" s="16"/>
      <c r="I26" s="17">
        <v>101.93</v>
      </c>
      <c r="J26" s="32">
        <v>523.5</v>
      </c>
      <c r="K26" s="18">
        <f t="shared" si="0"/>
        <v>67.5</v>
      </c>
      <c r="L26" s="19">
        <f t="shared" si="6"/>
        <v>-0.99999999999944578</v>
      </c>
      <c r="M26" s="19">
        <f t="shared" ref="M26:M89" si="7">IF(ISBLANK(D26),"",((D26-D$25)*1000)+M$24)</f>
        <v>-3.0000000000001137</v>
      </c>
      <c r="N26" s="19">
        <f t="shared" ref="N26:N89" si="8">IF(ISBLANK(E26),"",((E26-E$25)*1000)+N$24)</f>
        <v>0</v>
      </c>
      <c r="O26" s="19" t="str">
        <f t="shared" si="4"/>
        <v/>
      </c>
      <c r="P26" s="19" t="str">
        <f t="shared" si="4"/>
        <v/>
      </c>
      <c r="Q26" s="19" t="str">
        <f t="shared" si="4"/>
        <v/>
      </c>
      <c r="R26" s="19">
        <f t="shared" ref="R26:R89" si="9">IF(ISBLANK(I26),"",((I26-I$25)*1000)+R$24)</f>
        <v>-0.99999999999056399</v>
      </c>
      <c r="S26" s="27">
        <f t="shared" si="5"/>
        <v>0</v>
      </c>
      <c r="T26" s="28">
        <f t="shared" si="5"/>
        <v>0</v>
      </c>
      <c r="U26" s="28">
        <f t="shared" si="5"/>
        <v>0</v>
      </c>
      <c r="V26" s="28" t="str">
        <f t="shared" si="5"/>
        <v/>
      </c>
      <c r="W26" s="28" t="str">
        <f t="shared" si="5"/>
        <v/>
      </c>
      <c r="X26" s="29" t="str">
        <f t="shared" si="5"/>
        <v/>
      </c>
      <c r="Y26" s="24"/>
    </row>
    <row r="27" spans="2:25" ht="15" customHeight="1" x14ac:dyDescent="0.2">
      <c r="B27" s="31">
        <v>41701</v>
      </c>
      <c r="C27" s="25">
        <v>12.49</v>
      </c>
      <c r="D27" s="26">
        <v>7.3220000000000001</v>
      </c>
      <c r="E27" s="26">
        <v>7.9509999999999996</v>
      </c>
      <c r="F27" s="16"/>
      <c r="G27" s="16"/>
      <c r="H27" s="16"/>
      <c r="I27" s="17">
        <v>101.929</v>
      </c>
      <c r="J27" s="58">
        <v>555.5</v>
      </c>
      <c r="K27" s="18">
        <f>IF(ISBLANK(J27),"",(J27-$J$8))</f>
        <v>99.5</v>
      </c>
      <c r="L27" s="19">
        <f t="shared" si="6"/>
        <v>-0.99999999999944578</v>
      </c>
      <c r="M27" s="19">
        <f t="shared" si="7"/>
        <v>-4.0000000000004476</v>
      </c>
      <c r="N27" s="19">
        <f t="shared" si="8"/>
        <v>0</v>
      </c>
      <c r="O27" s="19" t="str">
        <f t="shared" si="4"/>
        <v/>
      </c>
      <c r="P27" s="19" t="str">
        <f t="shared" si="4"/>
        <v/>
      </c>
      <c r="Q27" s="19" t="str">
        <f t="shared" si="4"/>
        <v/>
      </c>
      <c r="R27" s="19">
        <f t="shared" si="9"/>
        <v>-1.9999999999953388</v>
      </c>
      <c r="S27" s="27">
        <f t="shared" si="5"/>
        <v>0</v>
      </c>
      <c r="T27" s="28">
        <f t="shared" si="5"/>
        <v>-0.14285714285719056</v>
      </c>
      <c r="U27" s="28">
        <f t="shared" si="5"/>
        <v>0</v>
      </c>
      <c r="V27" s="28" t="str">
        <f t="shared" si="5"/>
        <v/>
      </c>
      <c r="W27" s="28" t="str">
        <f t="shared" si="5"/>
        <v/>
      </c>
      <c r="X27" s="29" t="str">
        <f t="shared" si="5"/>
        <v/>
      </c>
      <c r="Y27" s="24"/>
    </row>
    <row r="28" spans="2:25" ht="15" customHeight="1" x14ac:dyDescent="0.2">
      <c r="B28" s="31">
        <v>41708</v>
      </c>
      <c r="C28" s="25">
        <v>12.49</v>
      </c>
      <c r="D28" s="26">
        <v>7.3230000000000004</v>
      </c>
      <c r="E28" s="26">
        <v>7.95</v>
      </c>
      <c r="F28" s="16"/>
      <c r="G28" s="16"/>
      <c r="H28" s="16"/>
      <c r="I28" s="17">
        <v>101.93</v>
      </c>
      <c r="J28" s="58">
        <v>576</v>
      </c>
      <c r="K28" s="18">
        <f>IF(ISBLANK(J28),"",(J28-$J$8))</f>
        <v>120</v>
      </c>
      <c r="L28" s="19">
        <f t="shared" si="6"/>
        <v>-0.99999999999944578</v>
      </c>
      <c r="M28" s="19">
        <f t="shared" si="7"/>
        <v>-3.0000000000001137</v>
      </c>
      <c r="N28" s="19">
        <f t="shared" si="8"/>
        <v>-0.99999999999944578</v>
      </c>
      <c r="O28" s="19" t="str">
        <f t="shared" si="4"/>
        <v/>
      </c>
      <c r="P28" s="19" t="str">
        <f t="shared" si="4"/>
        <v/>
      </c>
      <c r="Q28" s="19" t="str">
        <f t="shared" si="4"/>
        <v/>
      </c>
      <c r="R28" s="19">
        <f t="shared" si="9"/>
        <v>-0.99999999999056399</v>
      </c>
      <c r="S28" s="27">
        <f t="shared" si="5"/>
        <v>0</v>
      </c>
      <c r="T28" s="28">
        <f t="shared" si="5"/>
        <v>0.14285714285719056</v>
      </c>
      <c r="U28" s="28">
        <f t="shared" si="5"/>
        <v>-0.14285714285706369</v>
      </c>
      <c r="V28" s="28" t="str">
        <f t="shared" si="5"/>
        <v/>
      </c>
      <c r="W28" s="28" t="str">
        <f t="shared" si="5"/>
        <v/>
      </c>
      <c r="X28" s="29" t="str">
        <f t="shared" si="5"/>
        <v/>
      </c>
      <c r="Y28" s="24"/>
    </row>
    <row r="29" spans="2:25" ht="15" customHeight="1" x14ac:dyDescent="0.2">
      <c r="B29" s="31">
        <v>41723</v>
      </c>
      <c r="C29" s="25">
        <v>12.49</v>
      </c>
      <c r="D29" s="26">
        <v>7.3230000000000004</v>
      </c>
      <c r="E29" s="26">
        <v>7.9509999999999996</v>
      </c>
      <c r="F29" s="16"/>
      <c r="G29" s="16"/>
      <c r="H29" s="16"/>
      <c r="I29" s="17">
        <v>101.93</v>
      </c>
      <c r="J29" s="32">
        <v>308</v>
      </c>
      <c r="K29" s="18">
        <f>IF(ISBLANK(J29),"",(J29-$J$8))</f>
        <v>-148</v>
      </c>
      <c r="L29" s="19">
        <f t="shared" si="6"/>
        <v>-0.99999999999944578</v>
      </c>
      <c r="M29" s="19">
        <f t="shared" si="7"/>
        <v>-3.0000000000001137</v>
      </c>
      <c r="N29" s="19">
        <f t="shared" si="8"/>
        <v>0</v>
      </c>
      <c r="O29" s="19" t="str">
        <f t="shared" si="4"/>
        <v/>
      </c>
      <c r="P29" s="19" t="str">
        <f t="shared" si="4"/>
        <v/>
      </c>
      <c r="Q29" s="19" t="str">
        <f t="shared" si="4"/>
        <v/>
      </c>
      <c r="R29" s="19">
        <f t="shared" si="9"/>
        <v>-0.99999999999056399</v>
      </c>
      <c r="S29" s="27">
        <f t="shared" si="5"/>
        <v>0</v>
      </c>
      <c r="T29" s="28">
        <f t="shared" si="5"/>
        <v>0</v>
      </c>
      <c r="U29" s="28">
        <f t="shared" si="5"/>
        <v>6.6666666666629723E-2</v>
      </c>
      <c r="V29" s="28" t="str">
        <f t="shared" si="5"/>
        <v/>
      </c>
      <c r="W29" s="28" t="str">
        <f t="shared" si="5"/>
        <v/>
      </c>
      <c r="X29" s="29" t="str">
        <f t="shared" si="5"/>
        <v/>
      </c>
      <c r="Y29" s="24" t="s">
        <v>23</v>
      </c>
    </row>
    <row r="30" spans="2:25" ht="15" customHeight="1" x14ac:dyDescent="0.2">
      <c r="B30" s="31">
        <v>41724</v>
      </c>
      <c r="C30" s="25">
        <v>12.49</v>
      </c>
      <c r="D30" s="26">
        <v>7.3239999999999998</v>
      </c>
      <c r="E30" s="26">
        <v>7.9509999999999996</v>
      </c>
      <c r="F30" s="16"/>
      <c r="G30" s="16"/>
      <c r="H30" s="16"/>
      <c r="I30" s="17">
        <v>101.929</v>
      </c>
      <c r="J30" s="32">
        <v>319</v>
      </c>
      <c r="K30" s="18">
        <f>IF(ISBLANK(J30),"",(J30-$J$8))</f>
        <v>-137</v>
      </c>
      <c r="L30" s="19">
        <f t="shared" si="6"/>
        <v>-0.99999999999944578</v>
      </c>
      <c r="M30" s="19">
        <f t="shared" si="7"/>
        <v>-2.0000000000006679</v>
      </c>
      <c r="N30" s="19">
        <f t="shared" si="8"/>
        <v>0</v>
      </c>
      <c r="O30" s="19" t="str">
        <f t="shared" si="4"/>
        <v/>
      </c>
      <c r="P30" s="19" t="str">
        <f t="shared" si="4"/>
        <v/>
      </c>
      <c r="Q30" s="19" t="str">
        <f t="shared" si="4"/>
        <v/>
      </c>
      <c r="R30" s="19">
        <f t="shared" si="9"/>
        <v>-1.9999999999953388</v>
      </c>
      <c r="S30" s="27">
        <f t="shared" si="5"/>
        <v>0</v>
      </c>
      <c r="T30" s="28">
        <f t="shared" si="5"/>
        <v>0.99999999999944578</v>
      </c>
      <c r="U30" s="28">
        <f t="shared" si="5"/>
        <v>0</v>
      </c>
      <c r="V30" s="28" t="str">
        <f t="shared" si="5"/>
        <v/>
      </c>
      <c r="W30" s="28" t="str">
        <f t="shared" si="5"/>
        <v/>
      </c>
      <c r="X30" s="29" t="str">
        <f t="shared" si="5"/>
        <v/>
      </c>
      <c r="Y30" s="24"/>
    </row>
    <row r="31" spans="2:25" ht="15" customHeight="1" x14ac:dyDescent="0.2">
      <c r="B31" s="31">
        <v>41739</v>
      </c>
      <c r="C31" s="25">
        <v>12.486000000000001</v>
      </c>
      <c r="D31" s="26">
        <v>7.3230000000000004</v>
      </c>
      <c r="E31" s="26">
        <v>7.9489999999999998</v>
      </c>
      <c r="F31" s="16"/>
      <c r="G31" s="16"/>
      <c r="H31" s="16"/>
      <c r="I31" s="17">
        <v>101.925</v>
      </c>
      <c r="J31" s="32">
        <v>457</v>
      </c>
      <c r="K31" s="18">
        <f>IF(ISBLANK(J31),"",(J31-$J$8))</f>
        <v>1</v>
      </c>
      <c r="L31" s="19">
        <f t="shared" si="6"/>
        <v>-4.9999999999990052</v>
      </c>
      <c r="M31" s="19">
        <f t="shared" si="7"/>
        <v>-3.0000000000001137</v>
      </c>
      <c r="N31" s="19">
        <f t="shared" si="8"/>
        <v>-1.9999999999997797</v>
      </c>
      <c r="O31" s="19" t="str">
        <f t="shared" si="4"/>
        <v/>
      </c>
      <c r="P31" s="19" t="str">
        <f t="shared" si="4"/>
        <v/>
      </c>
      <c r="Q31" s="19" t="str">
        <f t="shared" si="4"/>
        <v/>
      </c>
      <c r="R31" s="19">
        <f>IF(ISBLANK(I31),"",((I31-I$25)*1000)+R$24)</f>
        <v>-6.0000000000002274</v>
      </c>
      <c r="S31" s="27">
        <f t="shared" si="5"/>
        <v>-0.2666666666666373</v>
      </c>
      <c r="T31" s="28">
        <f t="shared" si="5"/>
        <v>-6.6666666666629723E-2</v>
      </c>
      <c r="U31" s="28">
        <f t="shared" si="5"/>
        <v>-0.13333333333331865</v>
      </c>
      <c r="V31" s="28" t="str">
        <f t="shared" si="5"/>
        <v/>
      </c>
      <c r="W31" s="28" t="str">
        <f t="shared" si="5"/>
        <v/>
      </c>
      <c r="X31" s="29" t="str">
        <f t="shared" si="5"/>
        <v/>
      </c>
      <c r="Y31" s="24"/>
    </row>
    <row r="32" spans="2:25" ht="15" customHeight="1" x14ac:dyDescent="0.2">
      <c r="B32" s="31">
        <v>41740</v>
      </c>
      <c r="C32" s="25">
        <v>12.486000000000001</v>
      </c>
      <c r="D32" s="26">
        <v>7.3230000000000004</v>
      </c>
      <c r="E32" s="26">
        <v>7.9480000000000004</v>
      </c>
      <c r="F32" s="16"/>
      <c r="G32" s="16"/>
      <c r="H32" s="16"/>
      <c r="I32" s="17">
        <v>101.92400000000001</v>
      </c>
      <c r="J32" s="32">
        <v>466</v>
      </c>
      <c r="K32" s="18">
        <f t="shared" ref="K32:K42" si="10">IF(ISBLANK(J32),"",(J32-$J$8))</f>
        <v>10</v>
      </c>
      <c r="L32" s="19">
        <f t="shared" si="6"/>
        <v>-4.9999999999990052</v>
      </c>
      <c r="M32" s="19">
        <f t="shared" si="7"/>
        <v>-3.0000000000001137</v>
      </c>
      <c r="N32" s="19">
        <f t="shared" si="8"/>
        <v>-2.9999999999992255</v>
      </c>
      <c r="O32" s="19" t="str">
        <f t="shared" si="4"/>
        <v/>
      </c>
      <c r="P32" s="19" t="str">
        <f t="shared" si="4"/>
        <v/>
      </c>
      <c r="Q32" s="19" t="str">
        <f t="shared" si="4"/>
        <v/>
      </c>
      <c r="R32" s="19">
        <f t="shared" si="9"/>
        <v>-6.9999999999907914</v>
      </c>
      <c r="S32" s="27">
        <f t="shared" si="5"/>
        <v>0</v>
      </c>
      <c r="T32" s="28">
        <f t="shared" si="5"/>
        <v>0</v>
      </c>
      <c r="U32" s="28">
        <f t="shared" si="5"/>
        <v>-0.99999999999944578</v>
      </c>
      <c r="V32" s="28" t="str">
        <f t="shared" si="5"/>
        <v/>
      </c>
      <c r="W32" s="28" t="str">
        <f t="shared" si="5"/>
        <v/>
      </c>
      <c r="X32" s="29" t="str">
        <f t="shared" si="5"/>
        <v/>
      </c>
      <c r="Y32" s="24"/>
    </row>
    <row r="33" spans="2:25" ht="15" customHeight="1" x14ac:dyDescent="0.2">
      <c r="B33" s="31">
        <v>41743</v>
      </c>
      <c r="C33" s="25">
        <v>12.486000000000001</v>
      </c>
      <c r="D33" s="26">
        <v>7.3230000000000004</v>
      </c>
      <c r="E33" s="26">
        <v>7.9480000000000004</v>
      </c>
      <c r="F33" s="16"/>
      <c r="G33" s="16"/>
      <c r="H33" s="16"/>
      <c r="I33" s="17">
        <v>101.92400000000001</v>
      </c>
      <c r="J33" s="32">
        <v>484</v>
      </c>
      <c r="K33" s="18">
        <f t="shared" si="10"/>
        <v>28</v>
      </c>
      <c r="L33" s="19">
        <f t="shared" si="6"/>
        <v>-4.9999999999990052</v>
      </c>
      <c r="M33" s="19">
        <f t="shared" si="7"/>
        <v>-3.0000000000001137</v>
      </c>
      <c r="N33" s="19">
        <f t="shared" si="8"/>
        <v>-2.9999999999992255</v>
      </c>
      <c r="O33" s="19" t="str">
        <f>IF(ISBLANK(F33),"",(F33-F$16)*1000)</f>
        <v/>
      </c>
      <c r="P33" s="19" t="str">
        <f>IF(ISBLANK(G33),"",(G33-G$16)*1000)</f>
        <v/>
      </c>
      <c r="Q33" s="19" t="str">
        <f>IF(ISBLANK(H33),"",(H33-H$16)*1000)</f>
        <v/>
      </c>
      <c r="R33" s="19">
        <f t="shared" si="9"/>
        <v>-6.9999999999907914</v>
      </c>
      <c r="S33" s="27">
        <f t="shared" ref="S33:X48" si="11">IF(C33="","",((C33-C32)*1000)/($B33-$B32))</f>
        <v>0</v>
      </c>
      <c r="T33" s="28">
        <f t="shared" si="11"/>
        <v>0</v>
      </c>
      <c r="U33" s="28">
        <f t="shared" si="11"/>
        <v>0</v>
      </c>
      <c r="V33" s="28" t="str">
        <f t="shared" si="11"/>
        <v/>
      </c>
      <c r="W33" s="28" t="str">
        <f t="shared" si="11"/>
        <v/>
      </c>
      <c r="X33" s="29" t="str">
        <f t="shared" si="11"/>
        <v/>
      </c>
      <c r="Y33" s="24"/>
    </row>
    <row r="34" spans="2:25" ht="15" customHeight="1" x14ac:dyDescent="0.2">
      <c r="B34" s="31">
        <v>41744</v>
      </c>
      <c r="C34" s="25">
        <v>12.486000000000001</v>
      </c>
      <c r="D34" s="26">
        <v>7.3230000000000004</v>
      </c>
      <c r="E34" s="26">
        <v>7.9480000000000004</v>
      </c>
      <c r="F34" s="16">
        <v>13.002000000000001</v>
      </c>
      <c r="G34" s="16">
        <v>9.8170000000000002</v>
      </c>
      <c r="H34" s="16">
        <v>10.428000000000001</v>
      </c>
      <c r="I34" s="17">
        <v>101.92400000000001</v>
      </c>
      <c r="J34" s="32">
        <v>499</v>
      </c>
      <c r="K34" s="18">
        <f t="shared" si="10"/>
        <v>43</v>
      </c>
      <c r="L34" s="19">
        <f t="shared" si="6"/>
        <v>-4.9999999999990052</v>
      </c>
      <c r="M34" s="19">
        <f t="shared" si="7"/>
        <v>-3.0000000000001137</v>
      </c>
      <c r="N34" s="19">
        <f t="shared" si="8"/>
        <v>-2.9999999999992255</v>
      </c>
      <c r="O34" s="19">
        <f>IF(ISBLANK(F34),"",((F34-F$34)*1000)+L$34)</f>
        <v>-4.9999999999990052</v>
      </c>
      <c r="P34" s="19">
        <f>IF(ISBLANK(G34),"",((G34-G$34)*1000)+M$34)</f>
        <v>-3.0000000000001137</v>
      </c>
      <c r="Q34" s="19">
        <f>IF(ISBLANK(H34),"",((H34-H$34)*1000)+N$34)</f>
        <v>-2.9999999999992255</v>
      </c>
      <c r="R34" s="19">
        <f t="shared" si="9"/>
        <v>-6.9999999999907914</v>
      </c>
      <c r="S34" s="27">
        <f t="shared" si="11"/>
        <v>0</v>
      </c>
      <c r="T34" s="28">
        <f t="shared" si="11"/>
        <v>0</v>
      </c>
      <c r="U34" s="28">
        <f t="shared" si="11"/>
        <v>0</v>
      </c>
      <c r="V34" s="28"/>
      <c r="W34" s="28"/>
      <c r="X34" s="29"/>
      <c r="Y34" s="24"/>
    </row>
    <row r="35" spans="2:25" ht="15" customHeight="1" x14ac:dyDescent="0.2">
      <c r="B35" s="31">
        <v>41745</v>
      </c>
      <c r="C35" s="25">
        <v>12.486000000000001</v>
      </c>
      <c r="D35" s="26">
        <v>7.3230000000000004</v>
      </c>
      <c r="E35" s="26">
        <v>7.9480000000000004</v>
      </c>
      <c r="F35" s="16">
        <v>13.000999999999999</v>
      </c>
      <c r="G35" s="16">
        <v>9.8160000000000007</v>
      </c>
      <c r="H35" s="16">
        <v>10.427</v>
      </c>
      <c r="I35" s="17">
        <v>101.92400000000001</v>
      </c>
      <c r="J35" s="32">
        <v>516.5</v>
      </c>
      <c r="K35" s="18">
        <f t="shared" si="10"/>
        <v>60.5</v>
      </c>
      <c r="L35" s="19">
        <f t="shared" si="6"/>
        <v>-4.9999999999990052</v>
      </c>
      <c r="M35" s="19">
        <f t="shared" si="7"/>
        <v>-3.0000000000001137</v>
      </c>
      <c r="N35" s="19">
        <f t="shared" si="8"/>
        <v>-2.9999999999992255</v>
      </c>
      <c r="O35" s="19">
        <f t="shared" ref="O35:O98" si="12">IF(ISBLANK(F35),"",((F35-F$34)*1000)+L$34)</f>
        <v>-6.0000000000002274</v>
      </c>
      <c r="P35" s="19">
        <f t="shared" ref="P35:P98" si="13">IF(ISBLANK(G35),"",((G35-G$34)*1000)+M$34)</f>
        <v>-3.9999999999995595</v>
      </c>
      <c r="Q35" s="19">
        <f t="shared" ref="Q35:Q98" si="14">IF(ISBLANK(H35),"",((H35-H$34)*1000)+N$34)</f>
        <v>-4.0000000000004476</v>
      </c>
      <c r="R35" s="19">
        <f t="shared" si="9"/>
        <v>-6.9999999999907914</v>
      </c>
      <c r="S35" s="27">
        <f t="shared" ref="S35:X35" si="15">IF(C35="","",((C35-C34)*1000)/($B35-$B34))</f>
        <v>0</v>
      </c>
      <c r="T35" s="28">
        <f t="shared" si="15"/>
        <v>0</v>
      </c>
      <c r="U35" s="28">
        <f t="shared" si="15"/>
        <v>0</v>
      </c>
      <c r="V35" s="28">
        <f t="shared" si="15"/>
        <v>-1.0000000000012221</v>
      </c>
      <c r="W35" s="28">
        <f t="shared" si="15"/>
        <v>-0.99999999999944578</v>
      </c>
      <c r="X35" s="29">
        <f t="shared" si="15"/>
        <v>-1.0000000000012221</v>
      </c>
      <c r="Y35" s="24"/>
    </row>
    <row r="36" spans="2:25" ht="15" customHeight="1" x14ac:dyDescent="0.2">
      <c r="B36" s="31">
        <v>41751</v>
      </c>
      <c r="C36" s="25"/>
      <c r="D36" s="26"/>
      <c r="E36" s="26"/>
      <c r="F36" s="16">
        <v>13.002000000000001</v>
      </c>
      <c r="G36" s="16">
        <v>9.8160000000000007</v>
      </c>
      <c r="H36" s="16">
        <v>10.426</v>
      </c>
      <c r="I36" s="17">
        <v>101.92400000000001</v>
      </c>
      <c r="J36" s="32">
        <v>534.5</v>
      </c>
      <c r="K36" s="18">
        <f t="shared" si="10"/>
        <v>78.5</v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  <c r="O36" s="19">
        <f t="shared" si="12"/>
        <v>-4.9999999999990052</v>
      </c>
      <c r="P36" s="19">
        <f t="shared" si="13"/>
        <v>-3.9999999999995595</v>
      </c>
      <c r="Q36" s="19">
        <f t="shared" si="14"/>
        <v>-4.9999999999998934</v>
      </c>
      <c r="R36" s="19">
        <f t="shared" si="9"/>
        <v>-6.9999999999907914</v>
      </c>
      <c r="S36" s="27" t="str">
        <f t="shared" si="11"/>
        <v/>
      </c>
      <c r="T36" s="28" t="str">
        <f t="shared" si="11"/>
        <v/>
      </c>
      <c r="U36" s="28" t="str">
        <f t="shared" si="11"/>
        <v/>
      </c>
      <c r="V36" s="28">
        <f t="shared" si="11"/>
        <v>0.16666666666687036</v>
      </c>
      <c r="W36" s="28">
        <f t="shared" si="11"/>
        <v>0</v>
      </c>
      <c r="X36" s="29">
        <f t="shared" si="11"/>
        <v>-0.16666666666657429</v>
      </c>
      <c r="Y36" s="24" t="s">
        <v>35</v>
      </c>
    </row>
    <row r="37" spans="2:25" ht="15" customHeight="1" x14ac:dyDescent="0.2">
      <c r="B37" s="31">
        <v>41752</v>
      </c>
      <c r="C37" s="25"/>
      <c r="D37" s="26"/>
      <c r="E37" s="26"/>
      <c r="F37" s="16">
        <v>13.000999999999999</v>
      </c>
      <c r="G37" s="16">
        <v>9.8170000000000002</v>
      </c>
      <c r="H37" s="16">
        <v>10.427</v>
      </c>
      <c r="I37" s="17">
        <v>101.92400000000001</v>
      </c>
      <c r="J37" s="32">
        <v>534.5</v>
      </c>
      <c r="K37" s="18">
        <f t="shared" si="10"/>
        <v>78.5</v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  <c r="O37" s="19">
        <f t="shared" si="12"/>
        <v>-6.0000000000002274</v>
      </c>
      <c r="P37" s="19">
        <f t="shared" si="13"/>
        <v>-3.0000000000001137</v>
      </c>
      <c r="Q37" s="19">
        <f t="shared" si="14"/>
        <v>-4.0000000000004476</v>
      </c>
      <c r="R37" s="19">
        <f t="shared" si="9"/>
        <v>-6.9999999999907914</v>
      </c>
      <c r="S37" s="27" t="str">
        <f t="shared" si="11"/>
        <v/>
      </c>
      <c r="T37" s="28" t="str">
        <f t="shared" si="11"/>
        <v/>
      </c>
      <c r="U37" s="28" t="str">
        <f t="shared" si="11"/>
        <v/>
      </c>
      <c r="V37" s="28">
        <f t="shared" si="11"/>
        <v>-1.0000000000012221</v>
      </c>
      <c r="W37" s="28">
        <f t="shared" si="11"/>
        <v>0.99999999999944578</v>
      </c>
      <c r="X37" s="29">
        <f t="shared" si="11"/>
        <v>0.99999999999944578</v>
      </c>
      <c r="Y37" s="24"/>
    </row>
    <row r="38" spans="2:25" ht="15" customHeight="1" x14ac:dyDescent="0.2">
      <c r="B38" s="31">
        <v>41753</v>
      </c>
      <c r="C38" s="25"/>
      <c r="D38" s="26"/>
      <c r="E38" s="26"/>
      <c r="F38" s="16">
        <v>13</v>
      </c>
      <c r="G38" s="16">
        <v>9.8160000000000007</v>
      </c>
      <c r="H38" s="16">
        <v>10.427</v>
      </c>
      <c r="I38" s="17">
        <v>101.92400000000001</v>
      </c>
      <c r="J38" s="32">
        <v>534.5</v>
      </c>
      <c r="K38" s="18">
        <f t="shared" si="10"/>
        <v>78.5</v>
      </c>
      <c r="L38" s="19" t="str">
        <f t="shared" si="6"/>
        <v/>
      </c>
      <c r="M38" s="19" t="str">
        <f t="shared" si="7"/>
        <v/>
      </c>
      <c r="N38" s="19" t="str">
        <f t="shared" si="8"/>
        <v/>
      </c>
      <c r="O38" s="19">
        <f t="shared" si="12"/>
        <v>-6.9999999999996732</v>
      </c>
      <c r="P38" s="19">
        <f t="shared" si="13"/>
        <v>-3.9999999999995595</v>
      </c>
      <c r="Q38" s="19">
        <f t="shared" si="14"/>
        <v>-4.0000000000004476</v>
      </c>
      <c r="R38" s="19">
        <f t="shared" si="9"/>
        <v>-6.9999999999907914</v>
      </c>
      <c r="S38" s="27" t="str">
        <f t="shared" si="11"/>
        <v/>
      </c>
      <c r="T38" s="28" t="str">
        <f t="shared" si="11"/>
        <v/>
      </c>
      <c r="U38" s="28" t="str">
        <f t="shared" si="11"/>
        <v/>
      </c>
      <c r="V38" s="28">
        <f t="shared" si="11"/>
        <v>-0.99999999999944578</v>
      </c>
      <c r="W38" s="28">
        <f t="shared" si="11"/>
        <v>-0.99999999999944578</v>
      </c>
      <c r="X38" s="29">
        <f t="shared" si="11"/>
        <v>0</v>
      </c>
      <c r="Y38" s="24"/>
    </row>
    <row r="39" spans="2:25" ht="15" customHeight="1" x14ac:dyDescent="0.2">
      <c r="B39" s="31">
        <v>41754</v>
      </c>
      <c r="C39" s="25"/>
      <c r="D39" s="26"/>
      <c r="E39" s="26"/>
      <c r="F39" s="16">
        <v>13.000999999999999</v>
      </c>
      <c r="G39" s="16">
        <v>9.8160000000000007</v>
      </c>
      <c r="H39" s="16">
        <v>10.427</v>
      </c>
      <c r="I39" s="17">
        <v>101.92400000000001</v>
      </c>
      <c r="J39" s="32">
        <v>534.5</v>
      </c>
      <c r="K39" s="18">
        <f t="shared" si="10"/>
        <v>78.5</v>
      </c>
      <c r="L39" s="19" t="str">
        <f t="shared" si="6"/>
        <v/>
      </c>
      <c r="M39" s="19" t="str">
        <f t="shared" si="7"/>
        <v/>
      </c>
      <c r="N39" s="19" t="str">
        <f t="shared" si="8"/>
        <v/>
      </c>
      <c r="O39" s="19">
        <f t="shared" si="12"/>
        <v>-6.0000000000002274</v>
      </c>
      <c r="P39" s="19">
        <f t="shared" si="13"/>
        <v>-3.9999999999995595</v>
      </c>
      <c r="Q39" s="19">
        <f t="shared" si="14"/>
        <v>-4.0000000000004476</v>
      </c>
      <c r="R39" s="19">
        <f t="shared" si="9"/>
        <v>-6.9999999999907914</v>
      </c>
      <c r="S39" s="27" t="str">
        <f t="shared" si="11"/>
        <v/>
      </c>
      <c r="T39" s="28" t="str">
        <f t="shared" si="11"/>
        <v/>
      </c>
      <c r="U39" s="28" t="str">
        <f t="shared" si="11"/>
        <v/>
      </c>
      <c r="V39" s="28">
        <f t="shared" si="11"/>
        <v>0.99999999999944578</v>
      </c>
      <c r="W39" s="28">
        <f t="shared" si="11"/>
        <v>0</v>
      </c>
      <c r="X39" s="29">
        <f t="shared" si="11"/>
        <v>0</v>
      </c>
      <c r="Y39" s="24"/>
    </row>
    <row r="40" spans="2:25" ht="15" customHeight="1" x14ac:dyDescent="0.2">
      <c r="B40" s="31">
        <v>41757</v>
      </c>
      <c r="C40" s="25"/>
      <c r="D40" s="26"/>
      <c r="E40" s="26"/>
      <c r="F40" s="16">
        <v>13</v>
      </c>
      <c r="G40" s="16">
        <v>9.8160000000000007</v>
      </c>
      <c r="H40" s="16">
        <v>10.427</v>
      </c>
      <c r="I40" s="17">
        <v>101.92400000000001</v>
      </c>
      <c r="J40" s="32">
        <v>534.5</v>
      </c>
      <c r="K40" s="18">
        <f t="shared" si="10"/>
        <v>78.5</v>
      </c>
      <c r="L40" s="19" t="str">
        <f t="shared" si="6"/>
        <v/>
      </c>
      <c r="M40" s="19" t="str">
        <f t="shared" si="7"/>
        <v/>
      </c>
      <c r="N40" s="19" t="str">
        <f t="shared" si="8"/>
        <v/>
      </c>
      <c r="O40" s="19">
        <f t="shared" si="12"/>
        <v>-6.9999999999996732</v>
      </c>
      <c r="P40" s="19">
        <f t="shared" si="13"/>
        <v>-3.9999999999995595</v>
      </c>
      <c r="Q40" s="19">
        <f t="shared" si="14"/>
        <v>-4.0000000000004476</v>
      </c>
      <c r="R40" s="19">
        <f t="shared" si="9"/>
        <v>-6.9999999999907914</v>
      </c>
      <c r="S40" s="27" t="str">
        <f t="shared" si="11"/>
        <v/>
      </c>
      <c r="T40" s="28" t="str">
        <f t="shared" si="11"/>
        <v/>
      </c>
      <c r="U40" s="28" t="str">
        <f t="shared" si="11"/>
        <v/>
      </c>
      <c r="V40" s="28">
        <f t="shared" si="11"/>
        <v>-0.33333333333314857</v>
      </c>
      <c r="W40" s="28">
        <f t="shared" si="11"/>
        <v>0</v>
      </c>
      <c r="X40" s="29">
        <f t="shared" si="11"/>
        <v>0</v>
      </c>
      <c r="Y40" s="24"/>
    </row>
    <row r="41" spans="2:25" ht="15" customHeight="1" x14ac:dyDescent="0.2">
      <c r="B41" s="31">
        <v>41758</v>
      </c>
      <c r="C41" s="25"/>
      <c r="D41" s="26"/>
      <c r="E41" s="26"/>
      <c r="F41" s="16">
        <v>13</v>
      </c>
      <c r="G41" s="16">
        <v>9.8160000000000007</v>
      </c>
      <c r="H41" s="16">
        <v>10.426</v>
      </c>
      <c r="I41" s="17">
        <v>101.92400000000001</v>
      </c>
      <c r="J41" s="32">
        <v>534.5</v>
      </c>
      <c r="K41" s="18">
        <f t="shared" si="10"/>
        <v>78.5</v>
      </c>
      <c r="L41" s="19" t="str">
        <f t="shared" si="6"/>
        <v/>
      </c>
      <c r="M41" s="19" t="str">
        <f t="shared" si="7"/>
        <v/>
      </c>
      <c r="N41" s="19" t="str">
        <f t="shared" si="8"/>
        <v/>
      </c>
      <c r="O41" s="19">
        <f t="shared" si="12"/>
        <v>-6.9999999999996732</v>
      </c>
      <c r="P41" s="19">
        <f t="shared" si="13"/>
        <v>-3.9999999999995595</v>
      </c>
      <c r="Q41" s="19">
        <f t="shared" si="14"/>
        <v>-4.9999999999998934</v>
      </c>
      <c r="R41" s="19">
        <f t="shared" si="9"/>
        <v>-6.9999999999907914</v>
      </c>
      <c r="S41" s="27" t="str">
        <f t="shared" si="11"/>
        <v/>
      </c>
      <c r="T41" s="28" t="str">
        <f t="shared" si="11"/>
        <v/>
      </c>
      <c r="U41" s="28" t="str">
        <f t="shared" si="11"/>
        <v/>
      </c>
      <c r="V41" s="28">
        <f t="shared" si="11"/>
        <v>0</v>
      </c>
      <c r="W41" s="28">
        <f t="shared" si="11"/>
        <v>0</v>
      </c>
      <c r="X41" s="29">
        <f t="shared" si="11"/>
        <v>-0.99999999999944578</v>
      </c>
      <c r="Y41" s="24"/>
    </row>
    <row r="42" spans="2:25" ht="15" customHeight="1" x14ac:dyDescent="0.2">
      <c r="B42" s="31">
        <v>41759</v>
      </c>
      <c r="C42" s="25"/>
      <c r="D42" s="26"/>
      <c r="E42" s="26"/>
      <c r="F42" s="16">
        <v>13</v>
      </c>
      <c r="G42" s="16">
        <v>9.8160000000000007</v>
      </c>
      <c r="H42" s="16">
        <v>10.426</v>
      </c>
      <c r="I42" s="17">
        <v>101.92400000000001</v>
      </c>
      <c r="J42" s="32">
        <v>534.5</v>
      </c>
      <c r="K42" s="18">
        <f t="shared" si="10"/>
        <v>78.5</v>
      </c>
      <c r="L42" s="19" t="str">
        <f t="shared" si="6"/>
        <v/>
      </c>
      <c r="M42" s="19" t="str">
        <f t="shared" si="7"/>
        <v/>
      </c>
      <c r="N42" s="19" t="str">
        <f t="shared" si="8"/>
        <v/>
      </c>
      <c r="O42" s="19">
        <f t="shared" si="12"/>
        <v>-6.9999999999996732</v>
      </c>
      <c r="P42" s="19">
        <f t="shared" si="13"/>
        <v>-3.9999999999995595</v>
      </c>
      <c r="Q42" s="19">
        <f t="shared" si="14"/>
        <v>-4.9999999999998934</v>
      </c>
      <c r="R42" s="19">
        <f t="shared" si="9"/>
        <v>-6.9999999999907914</v>
      </c>
      <c r="S42" s="27" t="str">
        <f t="shared" si="11"/>
        <v/>
      </c>
      <c r="T42" s="28" t="str">
        <f t="shared" si="11"/>
        <v/>
      </c>
      <c r="U42" s="28" t="str">
        <f t="shared" si="11"/>
        <v/>
      </c>
      <c r="V42" s="28">
        <f t="shared" si="11"/>
        <v>0</v>
      </c>
      <c r="W42" s="28">
        <f t="shared" si="11"/>
        <v>0</v>
      </c>
      <c r="X42" s="29">
        <f t="shared" si="11"/>
        <v>0</v>
      </c>
      <c r="Y42" s="24"/>
    </row>
    <row r="43" spans="2:25" ht="15" customHeight="1" x14ac:dyDescent="0.2">
      <c r="B43" s="31">
        <v>41781</v>
      </c>
      <c r="C43" s="25"/>
      <c r="D43" s="26"/>
      <c r="E43" s="26"/>
      <c r="F43" s="16">
        <v>13.000999999999999</v>
      </c>
      <c r="G43" s="16">
        <v>9.8160000000000007</v>
      </c>
      <c r="H43" s="16">
        <v>10.426</v>
      </c>
      <c r="I43" s="17">
        <v>101.92400000000001</v>
      </c>
      <c r="J43" s="58">
        <v>792</v>
      </c>
      <c r="K43" s="18">
        <f t="shared" ref="K43:K48" si="16">IF(ISBLANK(J43),"",(J43-$J$8))</f>
        <v>336</v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>
        <f t="shared" si="12"/>
        <v>-6.0000000000002274</v>
      </c>
      <c r="P43" s="19">
        <f t="shared" si="13"/>
        <v>-3.9999999999995595</v>
      </c>
      <c r="Q43" s="19">
        <f t="shared" si="14"/>
        <v>-4.9999999999998934</v>
      </c>
      <c r="R43" s="19">
        <f t="shared" si="9"/>
        <v>-6.9999999999907914</v>
      </c>
      <c r="S43" s="27" t="str">
        <f t="shared" si="11"/>
        <v/>
      </c>
      <c r="T43" s="28" t="str">
        <f t="shared" si="11"/>
        <v/>
      </c>
      <c r="U43" s="28" t="str">
        <f t="shared" si="11"/>
        <v/>
      </c>
      <c r="V43" s="28">
        <f t="shared" si="11"/>
        <v>4.5454545454520261E-2</v>
      </c>
      <c r="W43" s="28">
        <f t="shared" si="11"/>
        <v>0</v>
      </c>
      <c r="X43" s="29">
        <f t="shared" si="11"/>
        <v>0</v>
      </c>
      <c r="Y43" s="24"/>
    </row>
    <row r="44" spans="2:25" ht="15" customHeight="1" x14ac:dyDescent="0.2">
      <c r="B44" s="31">
        <v>41843</v>
      </c>
      <c r="C44" s="25"/>
      <c r="D44" s="26"/>
      <c r="E44" s="26"/>
      <c r="F44" s="16">
        <v>13</v>
      </c>
      <c r="G44" s="16">
        <v>9.8160000000000007</v>
      </c>
      <c r="H44" s="16">
        <v>10.426</v>
      </c>
      <c r="I44" s="17">
        <v>101.92400000000001</v>
      </c>
      <c r="J44" s="58">
        <v>943</v>
      </c>
      <c r="K44" s="18">
        <f t="shared" si="16"/>
        <v>487</v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>
        <f t="shared" si="12"/>
        <v>-6.9999999999996732</v>
      </c>
      <c r="P44" s="19">
        <f t="shared" si="13"/>
        <v>-3.9999999999995595</v>
      </c>
      <c r="Q44" s="19">
        <f t="shared" si="14"/>
        <v>-4.9999999999998934</v>
      </c>
      <c r="R44" s="19">
        <f t="shared" si="9"/>
        <v>-6.9999999999907914</v>
      </c>
      <c r="S44" s="27" t="str">
        <f t="shared" si="11"/>
        <v/>
      </c>
      <c r="T44" s="28" t="str">
        <f t="shared" si="11"/>
        <v/>
      </c>
      <c r="U44" s="28" t="str">
        <f t="shared" si="11"/>
        <v/>
      </c>
      <c r="V44" s="28">
        <f t="shared" si="11"/>
        <v>-1.6129032258055578E-2</v>
      </c>
      <c r="W44" s="28">
        <f t="shared" si="11"/>
        <v>0</v>
      </c>
      <c r="X44" s="29">
        <f t="shared" si="11"/>
        <v>0</v>
      </c>
      <c r="Y44" s="24"/>
    </row>
    <row r="45" spans="2:25" ht="15" customHeight="1" x14ac:dyDescent="0.2">
      <c r="B45" s="31">
        <v>41933</v>
      </c>
      <c r="C45" s="25">
        <v>12.486000000000001</v>
      </c>
      <c r="D45" s="26">
        <v>7.3239999999999998</v>
      </c>
      <c r="E45" s="26">
        <v>7.9470000000000001</v>
      </c>
      <c r="F45" s="16">
        <v>12.999000000000001</v>
      </c>
      <c r="G45" s="16">
        <v>9.8149999999999995</v>
      </c>
      <c r="H45" s="16">
        <v>10.425000000000001</v>
      </c>
      <c r="I45" s="17">
        <v>101.92400000000001</v>
      </c>
      <c r="J45" s="58">
        <v>943</v>
      </c>
      <c r="K45" s="18">
        <f t="shared" si="16"/>
        <v>487</v>
      </c>
      <c r="L45" s="19">
        <f t="shared" si="6"/>
        <v>-4.9999999999990052</v>
      </c>
      <c r="M45" s="19">
        <f t="shared" si="7"/>
        <v>-2.0000000000006679</v>
      </c>
      <c r="N45" s="19">
        <f t="shared" si="8"/>
        <v>-3.9999999999995595</v>
      </c>
      <c r="O45" s="19">
        <f t="shared" si="12"/>
        <v>-7.9999999999991189</v>
      </c>
      <c r="P45" s="19">
        <f t="shared" si="13"/>
        <v>-5.0000000000007816</v>
      </c>
      <c r="Q45" s="19">
        <f t="shared" si="14"/>
        <v>-5.9999999999993392</v>
      </c>
      <c r="R45" s="19">
        <f t="shared" si="9"/>
        <v>-6.9999999999907914</v>
      </c>
      <c r="S45" s="27"/>
      <c r="T45" s="28"/>
      <c r="U45" s="28"/>
      <c r="V45" s="28">
        <f t="shared" si="11"/>
        <v>-1.1111111111104953E-2</v>
      </c>
      <c r="W45" s="28">
        <f t="shared" si="11"/>
        <v>-1.1111111111124691E-2</v>
      </c>
      <c r="X45" s="29">
        <f t="shared" si="11"/>
        <v>-1.1111111111104953E-2</v>
      </c>
      <c r="Y45" s="24"/>
    </row>
    <row r="46" spans="2:25" ht="15" customHeight="1" x14ac:dyDescent="0.2">
      <c r="B46" s="31">
        <v>42025</v>
      </c>
      <c r="C46" s="25">
        <v>12.484999999999999</v>
      </c>
      <c r="D46" s="26">
        <v>7.3239999999999998</v>
      </c>
      <c r="E46" s="26">
        <v>7.9470000000000001</v>
      </c>
      <c r="F46" s="16">
        <v>13</v>
      </c>
      <c r="G46" s="16">
        <v>9.8149999999999995</v>
      </c>
      <c r="H46" s="16">
        <v>10.426</v>
      </c>
      <c r="I46" s="17">
        <v>101.92400000000001</v>
      </c>
      <c r="J46" s="58">
        <v>943</v>
      </c>
      <c r="K46" s="18">
        <f t="shared" si="16"/>
        <v>487</v>
      </c>
      <c r="L46" s="19">
        <f t="shared" si="6"/>
        <v>-6.0000000000002274</v>
      </c>
      <c r="M46" s="19">
        <f t="shared" si="7"/>
        <v>-2.0000000000006679</v>
      </c>
      <c r="N46" s="19">
        <f t="shared" si="8"/>
        <v>-3.9999999999995595</v>
      </c>
      <c r="O46" s="19">
        <f t="shared" si="12"/>
        <v>-6.9999999999996732</v>
      </c>
      <c r="P46" s="19">
        <f t="shared" si="13"/>
        <v>-5.0000000000007816</v>
      </c>
      <c r="Q46" s="19">
        <f t="shared" si="14"/>
        <v>-4.9999999999998934</v>
      </c>
      <c r="R46" s="19">
        <f t="shared" si="9"/>
        <v>-6.9999999999907914</v>
      </c>
      <c r="S46" s="27">
        <f t="shared" si="11"/>
        <v>-1.0869565217404589E-2</v>
      </c>
      <c r="T46" s="28">
        <f t="shared" si="11"/>
        <v>0</v>
      </c>
      <c r="U46" s="28">
        <f t="shared" si="11"/>
        <v>0</v>
      </c>
      <c r="V46" s="28">
        <f t="shared" si="11"/>
        <v>1.0869565217385279E-2</v>
      </c>
      <c r="W46" s="28">
        <f t="shared" si="11"/>
        <v>0</v>
      </c>
      <c r="X46" s="29">
        <f t="shared" si="11"/>
        <v>1.0869565217385279E-2</v>
      </c>
      <c r="Y46" s="24"/>
    </row>
    <row r="47" spans="2:25" ht="15" customHeight="1" x14ac:dyDescent="0.2">
      <c r="B47" s="31">
        <v>42109</v>
      </c>
      <c r="C47" s="25"/>
      <c r="D47" s="26"/>
      <c r="E47" s="26"/>
      <c r="F47" s="16">
        <v>12.999000000000001</v>
      </c>
      <c r="G47" s="16">
        <v>9.8149999999999995</v>
      </c>
      <c r="H47" s="16">
        <v>10.425000000000001</v>
      </c>
      <c r="I47" s="17">
        <v>101.923</v>
      </c>
      <c r="J47" s="58">
        <v>943</v>
      </c>
      <c r="K47" s="18">
        <f t="shared" si="16"/>
        <v>487</v>
      </c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>
        <f t="shared" si="12"/>
        <v>-7.9999999999991189</v>
      </c>
      <c r="P47" s="19">
        <f t="shared" si="13"/>
        <v>-5.0000000000007816</v>
      </c>
      <c r="Q47" s="19">
        <f t="shared" si="14"/>
        <v>-5.9999999999993392</v>
      </c>
      <c r="R47" s="19">
        <f t="shared" si="9"/>
        <v>-7.9999999999955662</v>
      </c>
      <c r="S47" s="27" t="str">
        <f t="shared" si="11"/>
        <v/>
      </c>
      <c r="T47" s="28" t="str">
        <f t="shared" si="11"/>
        <v/>
      </c>
      <c r="U47" s="28" t="str">
        <f t="shared" si="11"/>
        <v/>
      </c>
      <c r="V47" s="28">
        <f t="shared" si="11"/>
        <v>-1.1904761904755307E-2</v>
      </c>
      <c r="W47" s="28">
        <f t="shared" si="11"/>
        <v>0</v>
      </c>
      <c r="X47" s="29">
        <f t="shared" si="11"/>
        <v>-1.1904761904755307E-2</v>
      </c>
      <c r="Y47" s="24"/>
    </row>
    <row r="48" spans="2:25" ht="15" customHeight="1" x14ac:dyDescent="0.2">
      <c r="B48" s="31">
        <v>42221</v>
      </c>
      <c r="C48" s="25"/>
      <c r="D48" s="26"/>
      <c r="E48" s="26"/>
      <c r="F48" s="16">
        <v>13</v>
      </c>
      <c r="G48" s="16">
        <v>9.8170000000000002</v>
      </c>
      <c r="H48" s="16">
        <v>10.425000000000001</v>
      </c>
      <c r="I48" s="17">
        <v>101.92400000000001</v>
      </c>
      <c r="J48" s="32">
        <v>1253</v>
      </c>
      <c r="K48" s="18">
        <f t="shared" si="16"/>
        <v>797</v>
      </c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>
        <f t="shared" si="12"/>
        <v>-6.9999999999996732</v>
      </c>
      <c r="P48" s="19">
        <f t="shared" si="13"/>
        <v>-3.0000000000001137</v>
      </c>
      <c r="Q48" s="19">
        <f t="shared" si="14"/>
        <v>-5.9999999999993392</v>
      </c>
      <c r="R48" s="19">
        <f t="shared" si="9"/>
        <v>-6.9999999999907914</v>
      </c>
      <c r="S48" s="27" t="str">
        <f t="shared" si="11"/>
        <v/>
      </c>
      <c r="T48" s="28" t="str">
        <f t="shared" si="11"/>
        <v/>
      </c>
      <c r="U48" s="28" t="str">
        <f t="shared" si="11"/>
        <v/>
      </c>
      <c r="V48" s="28">
        <f t="shared" si="11"/>
        <v>8.9285714285664806E-3</v>
      </c>
      <c r="W48" s="28">
        <f t="shared" si="11"/>
        <v>1.785714285714882E-2</v>
      </c>
      <c r="X48" s="29">
        <f t="shared" si="11"/>
        <v>0</v>
      </c>
      <c r="Y48" s="24"/>
    </row>
    <row r="49" spans="2:25" ht="15" customHeight="1" x14ac:dyDescent="0.2">
      <c r="B49" s="31">
        <v>42318</v>
      </c>
      <c r="C49" s="25"/>
      <c r="D49" s="26"/>
      <c r="E49" s="26"/>
      <c r="F49" s="16">
        <v>13.997999999999999</v>
      </c>
      <c r="G49" s="16">
        <v>9.8149999999999995</v>
      </c>
      <c r="H49" s="16">
        <v>10.425000000000001</v>
      </c>
      <c r="I49" s="17">
        <v>101.922</v>
      </c>
      <c r="J49" s="32">
        <v>2220</v>
      </c>
      <c r="K49" s="18">
        <f t="shared" ref="K49:K51" si="17">IF(ISBLANK(J49),"",(J49-$J$8))</f>
        <v>1764</v>
      </c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>
        <f t="shared" si="12"/>
        <v>990.99999999999966</v>
      </c>
      <c r="P49" s="19">
        <f t="shared" si="13"/>
        <v>-5.0000000000007816</v>
      </c>
      <c r="Q49" s="19">
        <f t="shared" si="14"/>
        <v>-5.9999999999993392</v>
      </c>
      <c r="R49" s="19">
        <f t="shared" si="9"/>
        <v>-9.0000000000003411</v>
      </c>
      <c r="S49" s="27" t="str">
        <f t="shared" ref="S49:X64" si="18">IF(C49="","",((C49-C48)*1000)/($B49-$B48))</f>
        <v/>
      </c>
      <c r="T49" s="28" t="str">
        <f t="shared" si="18"/>
        <v/>
      </c>
      <c r="U49" s="28" t="str">
        <f t="shared" si="18"/>
        <v/>
      </c>
      <c r="V49" s="28">
        <f t="shared" si="18"/>
        <v>10.288659793814427</v>
      </c>
      <c r="W49" s="28">
        <f t="shared" si="18"/>
        <v>-2.0618556701037814E-2</v>
      </c>
      <c r="X49" s="29">
        <f t="shared" si="18"/>
        <v>0</v>
      </c>
      <c r="Y49" s="24"/>
    </row>
    <row r="50" spans="2:25" ht="15" customHeight="1" x14ac:dyDescent="0.2">
      <c r="B50" s="31">
        <v>42404</v>
      </c>
      <c r="C50" s="25">
        <v>12.484999999999999</v>
      </c>
      <c r="D50" s="26">
        <v>7.3239999999999998</v>
      </c>
      <c r="E50" s="26">
        <v>7.9459999999999997</v>
      </c>
      <c r="F50" s="16">
        <v>13.997</v>
      </c>
      <c r="G50" s="16">
        <v>9.8140000000000001</v>
      </c>
      <c r="H50" s="16">
        <v>10.423</v>
      </c>
      <c r="I50" s="17">
        <v>101.923</v>
      </c>
      <c r="J50" s="58">
        <v>2484</v>
      </c>
      <c r="K50" s="18">
        <f t="shared" si="17"/>
        <v>2028</v>
      </c>
      <c r="L50" s="19">
        <f t="shared" si="6"/>
        <v>-6.0000000000002274</v>
      </c>
      <c r="M50" s="19">
        <f t="shared" si="7"/>
        <v>-2.0000000000006679</v>
      </c>
      <c r="N50" s="19">
        <f t="shared" si="8"/>
        <v>-4.9999999999998934</v>
      </c>
      <c r="O50" s="19">
        <f t="shared" si="12"/>
        <v>990.00000000000023</v>
      </c>
      <c r="P50" s="19">
        <f t="shared" si="13"/>
        <v>-6.0000000000002274</v>
      </c>
      <c r="Q50" s="19">
        <f t="shared" si="14"/>
        <v>-8.0000000000000071</v>
      </c>
      <c r="R50" s="19">
        <f t="shared" si="9"/>
        <v>-7.9999999999955662</v>
      </c>
      <c r="S50" s="27"/>
      <c r="T50" s="28"/>
      <c r="U50" s="28"/>
      <c r="V50" s="28">
        <f t="shared" si="18"/>
        <v>-1.1627906976737741E-2</v>
      </c>
      <c r="W50" s="28">
        <f t="shared" si="18"/>
        <v>-1.1627906976737741E-2</v>
      </c>
      <c r="X50" s="29">
        <f t="shared" si="18"/>
        <v>-2.325581395349614E-2</v>
      </c>
      <c r="Y50" s="24"/>
    </row>
    <row r="51" spans="2:25" ht="15" customHeight="1" x14ac:dyDescent="0.2">
      <c r="B51" s="31">
        <v>42529</v>
      </c>
      <c r="C51" s="25"/>
      <c r="D51" s="26"/>
      <c r="E51" s="26"/>
      <c r="F51" s="16">
        <v>13.997999999999999</v>
      </c>
      <c r="G51" s="16">
        <v>9.8149999999999995</v>
      </c>
      <c r="H51" s="16">
        <v>10.423999999999999</v>
      </c>
      <c r="I51" s="17">
        <v>101.923</v>
      </c>
      <c r="J51" s="58">
        <v>2603</v>
      </c>
      <c r="K51" s="18">
        <f t="shared" si="17"/>
        <v>2147</v>
      </c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>
        <f t="shared" si="12"/>
        <v>990.99999999999966</v>
      </c>
      <c r="P51" s="19">
        <f t="shared" si="13"/>
        <v>-5.0000000000007816</v>
      </c>
      <c r="Q51" s="19">
        <f t="shared" si="14"/>
        <v>-7.0000000000005613</v>
      </c>
      <c r="R51" s="19">
        <f t="shared" si="9"/>
        <v>-7.9999999999955662</v>
      </c>
      <c r="S51" s="27" t="str">
        <f t="shared" si="18"/>
        <v/>
      </c>
      <c r="T51" s="28" t="str">
        <f t="shared" si="18"/>
        <v/>
      </c>
      <c r="U51" s="28" t="str">
        <f t="shared" si="18"/>
        <v/>
      </c>
      <c r="V51" s="28">
        <f t="shared" si="18"/>
        <v>7.9999999999955662E-3</v>
      </c>
      <c r="W51" s="28">
        <f t="shared" si="18"/>
        <v>7.9999999999955662E-3</v>
      </c>
      <c r="X51" s="29">
        <f t="shared" si="18"/>
        <v>7.9999999999955662E-3</v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12"/>
        <v/>
      </c>
      <c r="P52" s="19" t="str">
        <f t="shared" si="13"/>
        <v/>
      </c>
      <c r="Q52" s="19" t="str">
        <f t="shared" si="14"/>
        <v/>
      </c>
      <c r="R52" s="19" t="str">
        <f t="shared" si="9"/>
        <v/>
      </c>
      <c r="S52" s="27" t="str">
        <f t="shared" si="18"/>
        <v/>
      </c>
      <c r="T52" s="28" t="str">
        <f t="shared" si="18"/>
        <v/>
      </c>
      <c r="U52" s="28" t="str">
        <f t="shared" si="18"/>
        <v/>
      </c>
      <c r="V52" s="28" t="str">
        <f t="shared" si="18"/>
        <v/>
      </c>
      <c r="W52" s="28" t="str">
        <f t="shared" si="18"/>
        <v/>
      </c>
      <c r="X52" s="29" t="str">
        <f t="shared" si="18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12"/>
        <v/>
      </c>
      <c r="P53" s="19" t="str">
        <f t="shared" si="13"/>
        <v/>
      </c>
      <c r="Q53" s="19" t="str">
        <f t="shared" si="14"/>
        <v/>
      </c>
      <c r="R53" s="19" t="str">
        <f t="shared" si="9"/>
        <v/>
      </c>
      <c r="S53" s="27" t="str">
        <f t="shared" si="18"/>
        <v/>
      </c>
      <c r="T53" s="28" t="str">
        <f t="shared" si="18"/>
        <v/>
      </c>
      <c r="U53" s="28" t="str">
        <f t="shared" si="18"/>
        <v/>
      </c>
      <c r="V53" s="28" t="str">
        <f t="shared" si="18"/>
        <v/>
      </c>
      <c r="W53" s="28" t="str">
        <f t="shared" si="18"/>
        <v/>
      </c>
      <c r="X53" s="29" t="str">
        <f t="shared" si="18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12"/>
        <v/>
      </c>
      <c r="P54" s="19" t="str">
        <f t="shared" si="13"/>
        <v/>
      </c>
      <c r="Q54" s="19" t="str">
        <f t="shared" si="14"/>
        <v/>
      </c>
      <c r="R54" s="19" t="str">
        <f t="shared" si="9"/>
        <v/>
      </c>
      <c r="S54" s="27" t="str">
        <f t="shared" si="18"/>
        <v/>
      </c>
      <c r="T54" s="28" t="str">
        <f t="shared" si="18"/>
        <v/>
      </c>
      <c r="U54" s="28" t="str">
        <f t="shared" si="18"/>
        <v/>
      </c>
      <c r="V54" s="28" t="str">
        <f t="shared" si="18"/>
        <v/>
      </c>
      <c r="W54" s="28" t="str">
        <f t="shared" si="18"/>
        <v/>
      </c>
      <c r="X54" s="29" t="str">
        <f t="shared" si="18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12"/>
        <v/>
      </c>
      <c r="P55" s="19" t="str">
        <f t="shared" si="13"/>
        <v/>
      </c>
      <c r="Q55" s="19" t="str">
        <f t="shared" si="14"/>
        <v/>
      </c>
      <c r="R55" s="19" t="str">
        <f t="shared" si="9"/>
        <v/>
      </c>
      <c r="S55" s="27" t="str">
        <f t="shared" si="18"/>
        <v/>
      </c>
      <c r="T55" s="28" t="str">
        <f t="shared" si="18"/>
        <v/>
      </c>
      <c r="U55" s="28" t="str">
        <f t="shared" si="18"/>
        <v/>
      </c>
      <c r="V55" s="28" t="str">
        <f t="shared" si="18"/>
        <v/>
      </c>
      <c r="W55" s="28" t="str">
        <f t="shared" si="18"/>
        <v/>
      </c>
      <c r="X55" s="29" t="str">
        <f t="shared" si="18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12"/>
        <v/>
      </c>
      <c r="P56" s="19" t="str">
        <f t="shared" si="13"/>
        <v/>
      </c>
      <c r="Q56" s="19" t="str">
        <f t="shared" si="14"/>
        <v/>
      </c>
      <c r="R56" s="19" t="str">
        <f t="shared" si="9"/>
        <v/>
      </c>
      <c r="S56" s="27" t="str">
        <f t="shared" si="18"/>
        <v/>
      </c>
      <c r="T56" s="28" t="str">
        <f t="shared" si="18"/>
        <v/>
      </c>
      <c r="U56" s="28" t="str">
        <f t="shared" si="18"/>
        <v/>
      </c>
      <c r="V56" s="28" t="str">
        <f t="shared" si="18"/>
        <v/>
      </c>
      <c r="W56" s="28" t="str">
        <f t="shared" si="18"/>
        <v/>
      </c>
      <c r="X56" s="29" t="str">
        <f t="shared" si="18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12"/>
        <v/>
      </c>
      <c r="P57" s="19" t="str">
        <f t="shared" si="13"/>
        <v/>
      </c>
      <c r="Q57" s="19" t="str">
        <f t="shared" si="14"/>
        <v/>
      </c>
      <c r="R57" s="19" t="str">
        <f t="shared" si="9"/>
        <v/>
      </c>
      <c r="S57" s="27" t="str">
        <f t="shared" si="18"/>
        <v/>
      </c>
      <c r="T57" s="28" t="str">
        <f t="shared" si="18"/>
        <v/>
      </c>
      <c r="U57" s="28" t="str">
        <f t="shared" si="18"/>
        <v/>
      </c>
      <c r="V57" s="28" t="str">
        <f t="shared" si="18"/>
        <v/>
      </c>
      <c r="W57" s="28" t="str">
        <f t="shared" si="18"/>
        <v/>
      </c>
      <c r="X57" s="29" t="str">
        <f t="shared" si="18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12"/>
        <v/>
      </c>
      <c r="P58" s="19" t="str">
        <f t="shared" si="13"/>
        <v/>
      </c>
      <c r="Q58" s="19" t="str">
        <f t="shared" si="14"/>
        <v/>
      </c>
      <c r="R58" s="19" t="str">
        <f t="shared" si="9"/>
        <v/>
      </c>
      <c r="S58" s="27" t="str">
        <f t="shared" si="18"/>
        <v/>
      </c>
      <c r="T58" s="28" t="str">
        <f t="shared" si="18"/>
        <v/>
      </c>
      <c r="U58" s="28" t="str">
        <f t="shared" si="18"/>
        <v/>
      </c>
      <c r="V58" s="28" t="str">
        <f t="shared" si="18"/>
        <v/>
      </c>
      <c r="W58" s="28" t="str">
        <f t="shared" si="18"/>
        <v/>
      </c>
      <c r="X58" s="29" t="str">
        <f t="shared" si="18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12"/>
        <v/>
      </c>
      <c r="P59" s="19" t="str">
        <f t="shared" si="13"/>
        <v/>
      </c>
      <c r="Q59" s="19" t="str">
        <f t="shared" si="14"/>
        <v/>
      </c>
      <c r="R59" s="19" t="str">
        <f t="shared" si="9"/>
        <v/>
      </c>
      <c r="S59" s="27" t="str">
        <f t="shared" si="18"/>
        <v/>
      </c>
      <c r="T59" s="28" t="str">
        <f t="shared" si="18"/>
        <v/>
      </c>
      <c r="U59" s="28" t="str">
        <f t="shared" si="18"/>
        <v/>
      </c>
      <c r="V59" s="28" t="str">
        <f t="shared" si="18"/>
        <v/>
      </c>
      <c r="W59" s="28" t="str">
        <f t="shared" si="18"/>
        <v/>
      </c>
      <c r="X59" s="29" t="str">
        <f t="shared" si="18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12"/>
        <v/>
      </c>
      <c r="P60" s="19" t="str">
        <f t="shared" si="13"/>
        <v/>
      </c>
      <c r="Q60" s="19" t="str">
        <f t="shared" si="14"/>
        <v/>
      </c>
      <c r="R60" s="19" t="str">
        <f t="shared" si="9"/>
        <v/>
      </c>
      <c r="S60" s="27" t="str">
        <f t="shared" si="18"/>
        <v/>
      </c>
      <c r="T60" s="28" t="str">
        <f t="shared" si="18"/>
        <v/>
      </c>
      <c r="U60" s="28" t="str">
        <f t="shared" si="18"/>
        <v/>
      </c>
      <c r="V60" s="28" t="str">
        <f t="shared" si="18"/>
        <v/>
      </c>
      <c r="W60" s="28" t="str">
        <f t="shared" si="18"/>
        <v/>
      </c>
      <c r="X60" s="29" t="str">
        <f t="shared" si="18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12"/>
        <v/>
      </c>
      <c r="P61" s="19" t="str">
        <f t="shared" si="13"/>
        <v/>
      </c>
      <c r="Q61" s="19" t="str">
        <f t="shared" si="14"/>
        <v/>
      </c>
      <c r="R61" s="19" t="str">
        <f t="shared" si="9"/>
        <v/>
      </c>
      <c r="S61" s="27" t="str">
        <f t="shared" si="18"/>
        <v/>
      </c>
      <c r="T61" s="28" t="str">
        <f t="shared" si="18"/>
        <v/>
      </c>
      <c r="U61" s="28" t="str">
        <f t="shared" si="18"/>
        <v/>
      </c>
      <c r="V61" s="28" t="str">
        <f t="shared" si="18"/>
        <v/>
      </c>
      <c r="W61" s="28" t="str">
        <f t="shared" si="18"/>
        <v/>
      </c>
      <c r="X61" s="29" t="str">
        <f t="shared" si="18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12"/>
        <v/>
      </c>
      <c r="P62" s="19" t="str">
        <f t="shared" si="13"/>
        <v/>
      </c>
      <c r="Q62" s="19" t="str">
        <f t="shared" si="14"/>
        <v/>
      </c>
      <c r="R62" s="19" t="str">
        <f t="shared" si="9"/>
        <v/>
      </c>
      <c r="S62" s="27" t="str">
        <f t="shared" si="18"/>
        <v/>
      </c>
      <c r="T62" s="28" t="str">
        <f t="shared" si="18"/>
        <v/>
      </c>
      <c r="U62" s="28" t="str">
        <f t="shared" si="18"/>
        <v/>
      </c>
      <c r="V62" s="28" t="str">
        <f t="shared" si="18"/>
        <v/>
      </c>
      <c r="W62" s="28" t="str">
        <f t="shared" si="18"/>
        <v/>
      </c>
      <c r="X62" s="29" t="str">
        <f t="shared" si="18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9">IF(ISBLANK(C63),"",(C63-C$16)*1000)</f>
        <v/>
      </c>
      <c r="M63" s="19" t="str">
        <f t="shared" si="7"/>
        <v/>
      </c>
      <c r="N63" s="19" t="str">
        <f t="shared" si="8"/>
        <v/>
      </c>
      <c r="O63" s="19" t="str">
        <f t="shared" si="12"/>
        <v/>
      </c>
      <c r="P63" s="19" t="str">
        <f t="shared" si="13"/>
        <v/>
      </c>
      <c r="Q63" s="19" t="str">
        <f t="shared" si="14"/>
        <v/>
      </c>
      <c r="R63" s="19" t="str">
        <f t="shared" si="9"/>
        <v/>
      </c>
      <c r="S63" s="27" t="str">
        <f t="shared" si="18"/>
        <v/>
      </c>
      <c r="T63" s="28" t="str">
        <f t="shared" si="18"/>
        <v/>
      </c>
      <c r="U63" s="28" t="str">
        <f t="shared" si="18"/>
        <v/>
      </c>
      <c r="V63" s="28" t="str">
        <f t="shared" si="18"/>
        <v/>
      </c>
      <c r="W63" s="28" t="str">
        <f t="shared" si="18"/>
        <v/>
      </c>
      <c r="X63" s="29" t="str">
        <f t="shared" si="18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9"/>
        <v/>
      </c>
      <c r="M64" s="19" t="str">
        <f t="shared" si="7"/>
        <v/>
      </c>
      <c r="N64" s="19" t="str">
        <f t="shared" si="8"/>
        <v/>
      </c>
      <c r="O64" s="19" t="str">
        <f t="shared" si="12"/>
        <v/>
      </c>
      <c r="P64" s="19" t="str">
        <f t="shared" si="13"/>
        <v/>
      </c>
      <c r="Q64" s="19" t="str">
        <f t="shared" si="14"/>
        <v/>
      </c>
      <c r="R64" s="19" t="str">
        <f t="shared" si="9"/>
        <v/>
      </c>
      <c r="S64" s="27" t="str">
        <f t="shared" si="18"/>
        <v/>
      </c>
      <c r="T64" s="28" t="str">
        <f t="shared" si="18"/>
        <v/>
      </c>
      <c r="U64" s="28" t="str">
        <f t="shared" si="18"/>
        <v/>
      </c>
      <c r="V64" s="28" t="str">
        <f t="shared" si="18"/>
        <v/>
      </c>
      <c r="W64" s="28" t="str">
        <f t="shared" si="18"/>
        <v/>
      </c>
      <c r="X64" s="29" t="str">
        <f t="shared" si="18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9"/>
        <v/>
      </c>
      <c r="M65" s="19" t="str">
        <f t="shared" si="7"/>
        <v/>
      </c>
      <c r="N65" s="19" t="str">
        <f t="shared" si="8"/>
        <v/>
      </c>
      <c r="O65" s="19" t="str">
        <f t="shared" si="12"/>
        <v/>
      </c>
      <c r="P65" s="19" t="str">
        <f t="shared" si="13"/>
        <v/>
      </c>
      <c r="Q65" s="19" t="str">
        <f t="shared" si="14"/>
        <v/>
      </c>
      <c r="R65" s="19" t="str">
        <f t="shared" si="9"/>
        <v/>
      </c>
      <c r="S65" s="27" t="str">
        <f t="shared" ref="S65:X80" si="20">IF(C65="","",((C65-C64)*1000)/($B65-$B64))</f>
        <v/>
      </c>
      <c r="T65" s="28" t="str">
        <f t="shared" si="20"/>
        <v/>
      </c>
      <c r="U65" s="28" t="str">
        <f t="shared" si="20"/>
        <v/>
      </c>
      <c r="V65" s="28" t="str">
        <f t="shared" si="20"/>
        <v/>
      </c>
      <c r="W65" s="28" t="str">
        <f t="shared" si="20"/>
        <v/>
      </c>
      <c r="X65" s="29" t="str">
        <f t="shared" si="20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9"/>
        <v/>
      </c>
      <c r="M66" s="19" t="str">
        <f t="shared" si="7"/>
        <v/>
      </c>
      <c r="N66" s="19" t="str">
        <f t="shared" si="8"/>
        <v/>
      </c>
      <c r="O66" s="19" t="str">
        <f t="shared" si="12"/>
        <v/>
      </c>
      <c r="P66" s="19" t="str">
        <f t="shared" si="13"/>
        <v/>
      </c>
      <c r="Q66" s="19" t="str">
        <f t="shared" si="14"/>
        <v/>
      </c>
      <c r="R66" s="19" t="str">
        <f t="shared" si="9"/>
        <v/>
      </c>
      <c r="S66" s="27" t="str">
        <f t="shared" si="20"/>
        <v/>
      </c>
      <c r="T66" s="28" t="str">
        <f t="shared" si="20"/>
        <v/>
      </c>
      <c r="U66" s="28" t="str">
        <f t="shared" si="20"/>
        <v/>
      </c>
      <c r="V66" s="28" t="str">
        <f t="shared" si="20"/>
        <v/>
      </c>
      <c r="W66" s="28" t="str">
        <f t="shared" si="20"/>
        <v/>
      </c>
      <c r="X66" s="29" t="str">
        <f t="shared" si="20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9"/>
        <v/>
      </c>
      <c r="M67" s="19" t="str">
        <f t="shared" si="7"/>
        <v/>
      </c>
      <c r="N67" s="19" t="str">
        <f t="shared" si="8"/>
        <v/>
      </c>
      <c r="O67" s="19" t="str">
        <f t="shared" si="12"/>
        <v/>
      </c>
      <c r="P67" s="19" t="str">
        <f t="shared" si="13"/>
        <v/>
      </c>
      <c r="Q67" s="19" t="str">
        <f t="shared" si="14"/>
        <v/>
      </c>
      <c r="R67" s="19" t="str">
        <f t="shared" si="9"/>
        <v/>
      </c>
      <c r="S67" s="27" t="str">
        <f t="shared" si="20"/>
        <v/>
      </c>
      <c r="T67" s="28" t="str">
        <f t="shared" si="20"/>
        <v/>
      </c>
      <c r="U67" s="28" t="str">
        <f t="shared" si="20"/>
        <v/>
      </c>
      <c r="V67" s="28" t="str">
        <f t="shared" si="20"/>
        <v/>
      </c>
      <c r="W67" s="28" t="str">
        <f t="shared" si="20"/>
        <v/>
      </c>
      <c r="X67" s="29" t="str">
        <f t="shared" si="20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9"/>
        <v/>
      </c>
      <c r="M68" s="19" t="str">
        <f t="shared" si="7"/>
        <v/>
      </c>
      <c r="N68" s="19" t="str">
        <f t="shared" si="8"/>
        <v/>
      </c>
      <c r="O68" s="19" t="str">
        <f t="shared" si="12"/>
        <v/>
      </c>
      <c r="P68" s="19" t="str">
        <f t="shared" si="13"/>
        <v/>
      </c>
      <c r="Q68" s="19" t="str">
        <f t="shared" si="14"/>
        <v/>
      </c>
      <c r="R68" s="19" t="str">
        <f t="shared" si="9"/>
        <v/>
      </c>
      <c r="S68" s="27" t="str">
        <f t="shared" si="20"/>
        <v/>
      </c>
      <c r="T68" s="28" t="str">
        <f t="shared" si="20"/>
        <v/>
      </c>
      <c r="U68" s="28" t="str">
        <f t="shared" si="20"/>
        <v/>
      </c>
      <c r="V68" s="28" t="str">
        <f t="shared" si="20"/>
        <v/>
      </c>
      <c r="W68" s="28" t="str">
        <f t="shared" si="20"/>
        <v/>
      </c>
      <c r="X68" s="29" t="str">
        <f t="shared" si="20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9"/>
        <v/>
      </c>
      <c r="M69" s="19" t="str">
        <f t="shared" si="7"/>
        <v/>
      </c>
      <c r="N69" s="19" t="str">
        <f t="shared" si="8"/>
        <v/>
      </c>
      <c r="O69" s="19" t="str">
        <f t="shared" si="12"/>
        <v/>
      </c>
      <c r="P69" s="19" t="str">
        <f t="shared" si="13"/>
        <v/>
      </c>
      <c r="Q69" s="19" t="str">
        <f t="shared" si="14"/>
        <v/>
      </c>
      <c r="R69" s="19" t="str">
        <f t="shared" si="9"/>
        <v/>
      </c>
      <c r="S69" s="27" t="str">
        <f t="shared" si="20"/>
        <v/>
      </c>
      <c r="T69" s="28" t="str">
        <f t="shared" si="20"/>
        <v/>
      </c>
      <c r="U69" s="28" t="str">
        <f t="shared" si="20"/>
        <v/>
      </c>
      <c r="V69" s="28" t="str">
        <f t="shared" si="20"/>
        <v/>
      </c>
      <c r="W69" s="28" t="str">
        <f t="shared" si="20"/>
        <v/>
      </c>
      <c r="X69" s="29" t="str">
        <f t="shared" si="20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9"/>
        <v/>
      </c>
      <c r="M70" s="19" t="str">
        <f t="shared" si="7"/>
        <v/>
      </c>
      <c r="N70" s="19" t="str">
        <f t="shared" si="8"/>
        <v/>
      </c>
      <c r="O70" s="19" t="str">
        <f t="shared" si="12"/>
        <v/>
      </c>
      <c r="P70" s="19" t="str">
        <f t="shared" si="13"/>
        <v/>
      </c>
      <c r="Q70" s="19" t="str">
        <f t="shared" si="14"/>
        <v/>
      </c>
      <c r="R70" s="19" t="str">
        <f t="shared" si="9"/>
        <v/>
      </c>
      <c r="S70" s="27" t="str">
        <f t="shared" si="20"/>
        <v/>
      </c>
      <c r="T70" s="28" t="str">
        <f t="shared" si="20"/>
        <v/>
      </c>
      <c r="U70" s="28" t="str">
        <f t="shared" si="20"/>
        <v/>
      </c>
      <c r="V70" s="28" t="str">
        <f t="shared" si="20"/>
        <v/>
      </c>
      <c r="W70" s="28" t="str">
        <f t="shared" si="20"/>
        <v/>
      </c>
      <c r="X70" s="29" t="str">
        <f t="shared" si="20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9"/>
        <v/>
      </c>
      <c r="M71" s="19" t="str">
        <f t="shared" si="7"/>
        <v/>
      </c>
      <c r="N71" s="19" t="str">
        <f t="shared" si="8"/>
        <v/>
      </c>
      <c r="O71" s="19" t="str">
        <f t="shared" si="12"/>
        <v/>
      </c>
      <c r="P71" s="19" t="str">
        <f t="shared" si="13"/>
        <v/>
      </c>
      <c r="Q71" s="19" t="str">
        <f t="shared" si="14"/>
        <v/>
      </c>
      <c r="R71" s="19" t="str">
        <f t="shared" si="9"/>
        <v/>
      </c>
      <c r="S71" s="27" t="str">
        <f t="shared" si="20"/>
        <v/>
      </c>
      <c r="T71" s="28" t="str">
        <f t="shared" si="20"/>
        <v/>
      </c>
      <c r="U71" s="28" t="str">
        <f t="shared" si="20"/>
        <v/>
      </c>
      <c r="V71" s="28" t="str">
        <f t="shared" si="20"/>
        <v/>
      </c>
      <c r="W71" s="28" t="str">
        <f t="shared" si="20"/>
        <v/>
      </c>
      <c r="X71" s="29" t="str">
        <f t="shared" si="20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9"/>
        <v/>
      </c>
      <c r="M72" s="19" t="str">
        <f t="shared" si="7"/>
        <v/>
      </c>
      <c r="N72" s="19" t="str">
        <f t="shared" si="8"/>
        <v/>
      </c>
      <c r="O72" s="19" t="str">
        <f t="shared" si="12"/>
        <v/>
      </c>
      <c r="P72" s="19" t="str">
        <f t="shared" si="13"/>
        <v/>
      </c>
      <c r="Q72" s="19" t="str">
        <f t="shared" si="14"/>
        <v/>
      </c>
      <c r="R72" s="19" t="str">
        <f t="shared" si="9"/>
        <v/>
      </c>
      <c r="S72" s="27" t="str">
        <f t="shared" si="20"/>
        <v/>
      </c>
      <c r="T72" s="28" t="str">
        <f t="shared" si="20"/>
        <v/>
      </c>
      <c r="U72" s="28" t="str">
        <f t="shared" si="20"/>
        <v/>
      </c>
      <c r="V72" s="28" t="str">
        <f t="shared" si="20"/>
        <v/>
      </c>
      <c r="W72" s="28" t="str">
        <f t="shared" si="20"/>
        <v/>
      </c>
      <c r="X72" s="29" t="str">
        <f t="shared" si="20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9"/>
        <v/>
      </c>
      <c r="M73" s="19" t="str">
        <f t="shared" si="7"/>
        <v/>
      </c>
      <c r="N73" s="19" t="str">
        <f t="shared" si="8"/>
        <v/>
      </c>
      <c r="O73" s="19" t="str">
        <f t="shared" si="12"/>
        <v/>
      </c>
      <c r="P73" s="19" t="str">
        <f t="shared" si="13"/>
        <v/>
      </c>
      <c r="Q73" s="19" t="str">
        <f t="shared" si="14"/>
        <v/>
      </c>
      <c r="R73" s="19" t="str">
        <f t="shared" si="9"/>
        <v/>
      </c>
      <c r="S73" s="27" t="str">
        <f t="shared" si="20"/>
        <v/>
      </c>
      <c r="T73" s="28" t="str">
        <f t="shared" si="20"/>
        <v/>
      </c>
      <c r="U73" s="28" t="str">
        <f t="shared" si="20"/>
        <v/>
      </c>
      <c r="V73" s="28" t="str">
        <f t="shared" si="20"/>
        <v/>
      </c>
      <c r="W73" s="28" t="str">
        <f t="shared" si="20"/>
        <v/>
      </c>
      <c r="X73" s="29" t="str">
        <f t="shared" si="20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9"/>
        <v/>
      </c>
      <c r="M74" s="19" t="str">
        <f t="shared" si="7"/>
        <v/>
      </c>
      <c r="N74" s="19" t="str">
        <f t="shared" si="8"/>
        <v/>
      </c>
      <c r="O74" s="19" t="str">
        <f t="shared" si="12"/>
        <v/>
      </c>
      <c r="P74" s="19" t="str">
        <f t="shared" si="13"/>
        <v/>
      </c>
      <c r="Q74" s="19" t="str">
        <f t="shared" si="14"/>
        <v/>
      </c>
      <c r="R74" s="19" t="str">
        <f t="shared" si="9"/>
        <v/>
      </c>
      <c r="S74" s="27" t="str">
        <f t="shared" si="20"/>
        <v/>
      </c>
      <c r="T74" s="28" t="str">
        <f t="shared" si="20"/>
        <v/>
      </c>
      <c r="U74" s="28" t="str">
        <f t="shared" si="20"/>
        <v/>
      </c>
      <c r="V74" s="28" t="str">
        <f t="shared" si="20"/>
        <v/>
      </c>
      <c r="W74" s="28" t="str">
        <f t="shared" si="20"/>
        <v/>
      </c>
      <c r="X74" s="29" t="str">
        <f t="shared" si="20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9"/>
        <v/>
      </c>
      <c r="M75" s="19" t="str">
        <f t="shared" si="7"/>
        <v/>
      </c>
      <c r="N75" s="19" t="str">
        <f t="shared" si="8"/>
        <v/>
      </c>
      <c r="O75" s="19" t="str">
        <f t="shared" si="12"/>
        <v/>
      </c>
      <c r="P75" s="19" t="str">
        <f t="shared" si="13"/>
        <v/>
      </c>
      <c r="Q75" s="19" t="str">
        <f t="shared" si="14"/>
        <v/>
      </c>
      <c r="R75" s="19" t="str">
        <f t="shared" si="9"/>
        <v/>
      </c>
      <c r="S75" s="27" t="str">
        <f t="shared" si="20"/>
        <v/>
      </c>
      <c r="T75" s="28" t="str">
        <f t="shared" si="20"/>
        <v/>
      </c>
      <c r="U75" s="28" t="str">
        <f t="shared" si="20"/>
        <v/>
      </c>
      <c r="V75" s="28" t="str">
        <f t="shared" si="20"/>
        <v/>
      </c>
      <c r="W75" s="28" t="str">
        <f t="shared" si="20"/>
        <v/>
      </c>
      <c r="X75" s="29" t="str">
        <f t="shared" si="20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9"/>
        <v/>
      </c>
      <c r="M76" s="19" t="str">
        <f t="shared" si="7"/>
        <v/>
      </c>
      <c r="N76" s="19" t="str">
        <f t="shared" si="8"/>
        <v/>
      </c>
      <c r="O76" s="19" t="str">
        <f t="shared" si="12"/>
        <v/>
      </c>
      <c r="P76" s="19" t="str">
        <f t="shared" si="13"/>
        <v/>
      </c>
      <c r="Q76" s="19" t="str">
        <f t="shared" si="14"/>
        <v/>
      </c>
      <c r="R76" s="19" t="str">
        <f t="shared" si="9"/>
        <v/>
      </c>
      <c r="S76" s="27" t="str">
        <f t="shared" si="20"/>
        <v/>
      </c>
      <c r="T76" s="28" t="str">
        <f t="shared" si="20"/>
        <v/>
      </c>
      <c r="U76" s="28" t="str">
        <f t="shared" si="20"/>
        <v/>
      </c>
      <c r="V76" s="28" t="str">
        <f t="shared" si="20"/>
        <v/>
      </c>
      <c r="W76" s="28" t="str">
        <f t="shared" si="20"/>
        <v/>
      </c>
      <c r="X76" s="29" t="str">
        <f t="shared" si="20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9"/>
        <v/>
      </c>
      <c r="M77" s="19" t="str">
        <f t="shared" si="7"/>
        <v/>
      </c>
      <c r="N77" s="19" t="str">
        <f t="shared" si="8"/>
        <v/>
      </c>
      <c r="O77" s="19" t="str">
        <f t="shared" si="12"/>
        <v/>
      </c>
      <c r="P77" s="19" t="str">
        <f t="shared" si="13"/>
        <v/>
      </c>
      <c r="Q77" s="19" t="str">
        <f t="shared" si="14"/>
        <v/>
      </c>
      <c r="R77" s="19" t="str">
        <f t="shared" si="9"/>
        <v/>
      </c>
      <c r="S77" s="27" t="str">
        <f t="shared" si="20"/>
        <v/>
      </c>
      <c r="T77" s="28" t="str">
        <f t="shared" si="20"/>
        <v/>
      </c>
      <c r="U77" s="28" t="str">
        <f t="shared" si="20"/>
        <v/>
      </c>
      <c r="V77" s="28" t="str">
        <f t="shared" si="20"/>
        <v/>
      </c>
      <c r="W77" s="28" t="str">
        <f t="shared" si="20"/>
        <v/>
      </c>
      <c r="X77" s="29" t="str">
        <f t="shared" si="20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9"/>
        <v/>
      </c>
      <c r="M78" s="19" t="str">
        <f t="shared" si="7"/>
        <v/>
      </c>
      <c r="N78" s="19" t="str">
        <f t="shared" si="8"/>
        <v/>
      </c>
      <c r="O78" s="19" t="str">
        <f t="shared" si="12"/>
        <v/>
      </c>
      <c r="P78" s="19" t="str">
        <f t="shared" si="13"/>
        <v/>
      </c>
      <c r="Q78" s="19" t="str">
        <f t="shared" si="14"/>
        <v/>
      </c>
      <c r="R78" s="19" t="str">
        <f t="shared" si="9"/>
        <v/>
      </c>
      <c r="S78" s="27" t="str">
        <f t="shared" si="20"/>
        <v/>
      </c>
      <c r="T78" s="28" t="str">
        <f t="shared" si="20"/>
        <v/>
      </c>
      <c r="U78" s="28" t="str">
        <f t="shared" si="20"/>
        <v/>
      </c>
      <c r="V78" s="28" t="str">
        <f t="shared" si="20"/>
        <v/>
      </c>
      <c r="W78" s="28" t="str">
        <f t="shared" si="20"/>
        <v/>
      </c>
      <c r="X78" s="29" t="str">
        <f t="shared" si="20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9"/>
        <v/>
      </c>
      <c r="M79" s="19" t="str">
        <f t="shared" si="7"/>
        <v/>
      </c>
      <c r="N79" s="19" t="str">
        <f t="shared" si="8"/>
        <v/>
      </c>
      <c r="O79" s="19" t="str">
        <f t="shared" si="12"/>
        <v/>
      </c>
      <c r="P79" s="19" t="str">
        <f t="shared" si="13"/>
        <v/>
      </c>
      <c r="Q79" s="19" t="str">
        <f t="shared" si="14"/>
        <v/>
      </c>
      <c r="R79" s="19" t="str">
        <f t="shared" si="9"/>
        <v/>
      </c>
      <c r="S79" s="27" t="str">
        <f t="shared" si="20"/>
        <v/>
      </c>
      <c r="T79" s="28" t="str">
        <f t="shared" si="20"/>
        <v/>
      </c>
      <c r="U79" s="28" t="str">
        <f t="shared" si="20"/>
        <v/>
      </c>
      <c r="V79" s="28" t="str">
        <f t="shared" si="20"/>
        <v/>
      </c>
      <c r="W79" s="28" t="str">
        <f t="shared" si="20"/>
        <v/>
      </c>
      <c r="X79" s="29" t="str">
        <f t="shared" si="20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9"/>
        <v/>
      </c>
      <c r="M80" s="19" t="str">
        <f t="shared" si="7"/>
        <v/>
      </c>
      <c r="N80" s="19" t="str">
        <f t="shared" si="8"/>
        <v/>
      </c>
      <c r="O80" s="19" t="str">
        <f t="shared" si="12"/>
        <v/>
      </c>
      <c r="P80" s="19" t="str">
        <f t="shared" si="13"/>
        <v/>
      </c>
      <c r="Q80" s="19" t="str">
        <f t="shared" si="14"/>
        <v/>
      </c>
      <c r="R80" s="19" t="str">
        <f t="shared" si="9"/>
        <v/>
      </c>
      <c r="S80" s="27" t="str">
        <f t="shared" si="20"/>
        <v/>
      </c>
      <c r="T80" s="28" t="str">
        <f t="shared" si="20"/>
        <v/>
      </c>
      <c r="U80" s="28" t="str">
        <f t="shared" si="20"/>
        <v/>
      </c>
      <c r="V80" s="28" t="str">
        <f t="shared" si="20"/>
        <v/>
      </c>
      <c r="W80" s="28" t="str">
        <f t="shared" si="20"/>
        <v/>
      </c>
      <c r="X80" s="29" t="str">
        <f t="shared" si="20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9"/>
        <v/>
      </c>
      <c r="M81" s="19" t="str">
        <f t="shared" si="7"/>
        <v/>
      </c>
      <c r="N81" s="19" t="str">
        <f t="shared" si="8"/>
        <v/>
      </c>
      <c r="O81" s="19" t="str">
        <f t="shared" si="12"/>
        <v/>
      </c>
      <c r="P81" s="19" t="str">
        <f t="shared" si="13"/>
        <v/>
      </c>
      <c r="Q81" s="19" t="str">
        <f t="shared" si="14"/>
        <v/>
      </c>
      <c r="R81" s="19" t="str">
        <f t="shared" si="9"/>
        <v/>
      </c>
      <c r="S81" s="27" t="str">
        <f t="shared" ref="S81:X96" si="21">IF(C81="","",((C81-C80)*1000)/($B81-$B80))</f>
        <v/>
      </c>
      <c r="T81" s="28" t="str">
        <f t="shared" si="21"/>
        <v/>
      </c>
      <c r="U81" s="28" t="str">
        <f t="shared" si="21"/>
        <v/>
      </c>
      <c r="V81" s="28" t="str">
        <f t="shared" si="21"/>
        <v/>
      </c>
      <c r="W81" s="28" t="str">
        <f t="shared" si="21"/>
        <v/>
      </c>
      <c r="X81" s="29" t="str">
        <f t="shared" si="21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9"/>
        <v/>
      </c>
      <c r="M82" s="19" t="str">
        <f t="shared" si="7"/>
        <v/>
      </c>
      <c r="N82" s="19" t="str">
        <f t="shared" si="8"/>
        <v/>
      </c>
      <c r="O82" s="19" t="str">
        <f t="shared" si="12"/>
        <v/>
      </c>
      <c r="P82" s="19" t="str">
        <f t="shared" si="13"/>
        <v/>
      </c>
      <c r="Q82" s="19" t="str">
        <f t="shared" si="14"/>
        <v/>
      </c>
      <c r="R82" s="19" t="str">
        <f t="shared" si="9"/>
        <v/>
      </c>
      <c r="S82" s="27" t="str">
        <f t="shared" si="21"/>
        <v/>
      </c>
      <c r="T82" s="28" t="str">
        <f t="shared" si="21"/>
        <v/>
      </c>
      <c r="U82" s="28" t="str">
        <f t="shared" si="21"/>
        <v/>
      </c>
      <c r="V82" s="28" t="str">
        <f t="shared" si="21"/>
        <v/>
      </c>
      <c r="W82" s="28" t="str">
        <f t="shared" si="21"/>
        <v/>
      </c>
      <c r="X82" s="29" t="str">
        <f t="shared" si="21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9"/>
        <v/>
      </c>
      <c r="M83" s="19" t="str">
        <f t="shared" si="7"/>
        <v/>
      </c>
      <c r="N83" s="19" t="str">
        <f t="shared" si="8"/>
        <v/>
      </c>
      <c r="O83" s="19" t="str">
        <f t="shared" si="12"/>
        <v/>
      </c>
      <c r="P83" s="19" t="str">
        <f t="shared" si="13"/>
        <v/>
      </c>
      <c r="Q83" s="19" t="str">
        <f t="shared" si="14"/>
        <v/>
      </c>
      <c r="R83" s="19" t="str">
        <f t="shared" si="9"/>
        <v/>
      </c>
      <c r="S83" s="27" t="str">
        <f t="shared" si="21"/>
        <v/>
      </c>
      <c r="T83" s="28" t="str">
        <f t="shared" si="21"/>
        <v/>
      </c>
      <c r="U83" s="28" t="str">
        <f t="shared" si="21"/>
        <v/>
      </c>
      <c r="V83" s="28" t="str">
        <f t="shared" si="21"/>
        <v/>
      </c>
      <c r="W83" s="28" t="str">
        <f t="shared" si="21"/>
        <v/>
      </c>
      <c r="X83" s="29" t="str">
        <f t="shared" si="21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9"/>
        <v/>
      </c>
      <c r="M84" s="19" t="str">
        <f t="shared" si="7"/>
        <v/>
      </c>
      <c r="N84" s="19" t="str">
        <f t="shared" si="8"/>
        <v/>
      </c>
      <c r="O84" s="19" t="str">
        <f t="shared" si="12"/>
        <v/>
      </c>
      <c r="P84" s="19" t="str">
        <f t="shared" si="13"/>
        <v/>
      </c>
      <c r="Q84" s="19" t="str">
        <f t="shared" si="14"/>
        <v/>
      </c>
      <c r="R84" s="19" t="str">
        <f t="shared" si="9"/>
        <v/>
      </c>
      <c r="S84" s="27" t="str">
        <f t="shared" si="21"/>
        <v/>
      </c>
      <c r="T84" s="28" t="str">
        <f t="shared" si="21"/>
        <v/>
      </c>
      <c r="U84" s="28" t="str">
        <f t="shared" si="21"/>
        <v/>
      </c>
      <c r="V84" s="28" t="str">
        <f t="shared" si="21"/>
        <v/>
      </c>
      <c r="W84" s="28" t="str">
        <f t="shared" si="21"/>
        <v/>
      </c>
      <c r="X84" s="29" t="str">
        <f t="shared" si="21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9"/>
        <v/>
      </c>
      <c r="M85" s="19" t="str">
        <f t="shared" si="7"/>
        <v/>
      </c>
      <c r="N85" s="19" t="str">
        <f t="shared" si="8"/>
        <v/>
      </c>
      <c r="O85" s="19" t="str">
        <f t="shared" si="12"/>
        <v/>
      </c>
      <c r="P85" s="19" t="str">
        <f t="shared" si="13"/>
        <v/>
      </c>
      <c r="Q85" s="19" t="str">
        <f t="shared" si="14"/>
        <v/>
      </c>
      <c r="R85" s="19" t="str">
        <f t="shared" si="9"/>
        <v/>
      </c>
      <c r="S85" s="27" t="str">
        <f t="shared" si="21"/>
        <v/>
      </c>
      <c r="T85" s="28" t="str">
        <f t="shared" si="21"/>
        <v/>
      </c>
      <c r="U85" s="28" t="str">
        <f t="shared" si="21"/>
        <v/>
      </c>
      <c r="V85" s="28" t="str">
        <f t="shared" si="21"/>
        <v/>
      </c>
      <c r="W85" s="28" t="str">
        <f t="shared" si="21"/>
        <v/>
      </c>
      <c r="X85" s="29" t="str">
        <f t="shared" si="21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9"/>
        <v/>
      </c>
      <c r="M86" s="19" t="str">
        <f t="shared" si="7"/>
        <v/>
      </c>
      <c r="N86" s="19" t="str">
        <f t="shared" si="8"/>
        <v/>
      </c>
      <c r="O86" s="19" t="str">
        <f t="shared" si="12"/>
        <v/>
      </c>
      <c r="P86" s="19" t="str">
        <f t="shared" si="13"/>
        <v/>
      </c>
      <c r="Q86" s="19" t="str">
        <f t="shared" si="14"/>
        <v/>
      </c>
      <c r="R86" s="19" t="str">
        <f t="shared" si="9"/>
        <v/>
      </c>
      <c r="S86" s="27" t="str">
        <f t="shared" si="21"/>
        <v/>
      </c>
      <c r="T86" s="28" t="str">
        <f t="shared" si="21"/>
        <v/>
      </c>
      <c r="U86" s="28" t="str">
        <f t="shared" si="21"/>
        <v/>
      </c>
      <c r="V86" s="28" t="str">
        <f t="shared" si="21"/>
        <v/>
      </c>
      <c r="W86" s="28" t="str">
        <f t="shared" si="21"/>
        <v/>
      </c>
      <c r="X86" s="29" t="str">
        <f t="shared" si="21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9"/>
        <v/>
      </c>
      <c r="M87" s="19" t="str">
        <f t="shared" si="7"/>
        <v/>
      </c>
      <c r="N87" s="19" t="str">
        <f t="shared" si="8"/>
        <v/>
      </c>
      <c r="O87" s="19" t="str">
        <f t="shared" si="12"/>
        <v/>
      </c>
      <c r="P87" s="19" t="str">
        <f t="shared" si="13"/>
        <v/>
      </c>
      <c r="Q87" s="19" t="str">
        <f t="shared" si="14"/>
        <v/>
      </c>
      <c r="R87" s="19" t="str">
        <f t="shared" si="9"/>
        <v/>
      </c>
      <c r="S87" s="27" t="str">
        <f t="shared" si="21"/>
        <v/>
      </c>
      <c r="T87" s="28" t="str">
        <f t="shared" si="21"/>
        <v/>
      </c>
      <c r="U87" s="28" t="str">
        <f t="shared" si="21"/>
        <v/>
      </c>
      <c r="V87" s="28" t="str">
        <f t="shared" si="21"/>
        <v/>
      </c>
      <c r="W87" s="28" t="str">
        <f t="shared" si="21"/>
        <v/>
      </c>
      <c r="X87" s="29" t="str">
        <f t="shared" si="21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9"/>
        <v/>
      </c>
      <c r="M88" s="19" t="str">
        <f t="shared" si="7"/>
        <v/>
      </c>
      <c r="N88" s="19" t="str">
        <f t="shared" si="8"/>
        <v/>
      </c>
      <c r="O88" s="19" t="str">
        <f t="shared" si="12"/>
        <v/>
      </c>
      <c r="P88" s="19" t="str">
        <f t="shared" si="13"/>
        <v/>
      </c>
      <c r="Q88" s="19" t="str">
        <f t="shared" si="14"/>
        <v/>
      </c>
      <c r="R88" s="19" t="str">
        <f t="shared" si="9"/>
        <v/>
      </c>
      <c r="S88" s="27" t="str">
        <f t="shared" si="21"/>
        <v/>
      </c>
      <c r="T88" s="28" t="str">
        <f t="shared" si="21"/>
        <v/>
      </c>
      <c r="U88" s="28" t="str">
        <f t="shared" si="21"/>
        <v/>
      </c>
      <c r="V88" s="28" t="str">
        <f t="shared" si="21"/>
        <v/>
      </c>
      <c r="W88" s="28" t="str">
        <f t="shared" si="21"/>
        <v/>
      </c>
      <c r="X88" s="29" t="str">
        <f t="shared" si="21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9"/>
        <v/>
      </c>
      <c r="M89" s="19" t="str">
        <f t="shared" si="7"/>
        <v/>
      </c>
      <c r="N89" s="19" t="str">
        <f t="shared" si="8"/>
        <v/>
      </c>
      <c r="O89" s="19" t="str">
        <f t="shared" si="12"/>
        <v/>
      </c>
      <c r="P89" s="19" t="str">
        <f t="shared" si="13"/>
        <v/>
      </c>
      <c r="Q89" s="19" t="str">
        <f t="shared" si="14"/>
        <v/>
      </c>
      <c r="R89" s="19" t="str">
        <f t="shared" si="9"/>
        <v/>
      </c>
      <c r="S89" s="27" t="str">
        <f t="shared" si="21"/>
        <v/>
      </c>
      <c r="T89" s="28" t="str">
        <f t="shared" si="21"/>
        <v/>
      </c>
      <c r="U89" s="28" t="str">
        <f t="shared" si="21"/>
        <v/>
      </c>
      <c r="V89" s="28" t="str">
        <f t="shared" si="21"/>
        <v/>
      </c>
      <c r="W89" s="28" t="str">
        <f t="shared" si="21"/>
        <v/>
      </c>
      <c r="X89" s="29" t="str">
        <f t="shared" si="21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9"/>
        <v/>
      </c>
      <c r="M90" s="19" t="str">
        <f t="shared" ref="M90:M153" si="22">IF(ISBLANK(D90),"",((D90-D$25)*1000)+M$24)</f>
        <v/>
      </c>
      <c r="N90" s="19" t="str">
        <f t="shared" ref="N90:N153" si="23">IF(ISBLANK(E90),"",((E90-E$25)*1000)+N$24)</f>
        <v/>
      </c>
      <c r="O90" s="19" t="str">
        <f t="shared" si="12"/>
        <v/>
      </c>
      <c r="P90" s="19" t="str">
        <f t="shared" si="13"/>
        <v/>
      </c>
      <c r="Q90" s="19" t="str">
        <f t="shared" si="14"/>
        <v/>
      </c>
      <c r="R90" s="19" t="str">
        <f t="shared" ref="R90:R153" si="24">IF(ISBLANK(I90),"",((I90-I$25)*1000)+R$24)</f>
        <v/>
      </c>
      <c r="S90" s="27" t="str">
        <f t="shared" si="21"/>
        <v/>
      </c>
      <c r="T90" s="28" t="str">
        <f t="shared" si="21"/>
        <v/>
      </c>
      <c r="U90" s="28" t="str">
        <f t="shared" si="21"/>
        <v/>
      </c>
      <c r="V90" s="28" t="str">
        <f t="shared" si="21"/>
        <v/>
      </c>
      <c r="W90" s="28" t="str">
        <f t="shared" si="21"/>
        <v/>
      </c>
      <c r="X90" s="29" t="str">
        <f t="shared" si="21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9"/>
        <v/>
      </c>
      <c r="M91" s="19" t="str">
        <f t="shared" si="22"/>
        <v/>
      </c>
      <c r="N91" s="19" t="str">
        <f t="shared" si="23"/>
        <v/>
      </c>
      <c r="O91" s="19" t="str">
        <f t="shared" si="12"/>
        <v/>
      </c>
      <c r="P91" s="19" t="str">
        <f t="shared" si="13"/>
        <v/>
      </c>
      <c r="Q91" s="19" t="str">
        <f t="shared" si="14"/>
        <v/>
      </c>
      <c r="R91" s="19" t="str">
        <f t="shared" si="24"/>
        <v/>
      </c>
      <c r="S91" s="27" t="str">
        <f t="shared" si="21"/>
        <v/>
      </c>
      <c r="T91" s="28" t="str">
        <f t="shared" si="21"/>
        <v/>
      </c>
      <c r="U91" s="28" t="str">
        <f t="shared" si="21"/>
        <v/>
      </c>
      <c r="V91" s="28" t="str">
        <f t="shared" si="21"/>
        <v/>
      </c>
      <c r="W91" s="28" t="str">
        <f t="shared" si="21"/>
        <v/>
      </c>
      <c r="X91" s="29" t="str">
        <f t="shared" si="21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9"/>
        <v/>
      </c>
      <c r="M92" s="19" t="str">
        <f t="shared" si="22"/>
        <v/>
      </c>
      <c r="N92" s="19" t="str">
        <f t="shared" si="23"/>
        <v/>
      </c>
      <c r="O92" s="19" t="str">
        <f t="shared" si="12"/>
        <v/>
      </c>
      <c r="P92" s="19" t="str">
        <f t="shared" si="13"/>
        <v/>
      </c>
      <c r="Q92" s="19" t="str">
        <f t="shared" si="14"/>
        <v/>
      </c>
      <c r="R92" s="19" t="str">
        <f t="shared" si="24"/>
        <v/>
      </c>
      <c r="S92" s="27" t="str">
        <f t="shared" si="21"/>
        <v/>
      </c>
      <c r="T92" s="28" t="str">
        <f t="shared" si="21"/>
        <v/>
      </c>
      <c r="U92" s="28" t="str">
        <f t="shared" si="21"/>
        <v/>
      </c>
      <c r="V92" s="28" t="str">
        <f t="shared" si="21"/>
        <v/>
      </c>
      <c r="W92" s="28" t="str">
        <f t="shared" si="21"/>
        <v/>
      </c>
      <c r="X92" s="29" t="str">
        <f t="shared" si="21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9"/>
        <v/>
      </c>
      <c r="M93" s="19" t="str">
        <f t="shared" si="22"/>
        <v/>
      </c>
      <c r="N93" s="19" t="str">
        <f t="shared" si="23"/>
        <v/>
      </c>
      <c r="O93" s="19" t="str">
        <f t="shared" si="12"/>
        <v/>
      </c>
      <c r="P93" s="19" t="str">
        <f t="shared" si="13"/>
        <v/>
      </c>
      <c r="Q93" s="19" t="str">
        <f t="shared" si="14"/>
        <v/>
      </c>
      <c r="R93" s="19" t="str">
        <f t="shared" si="24"/>
        <v/>
      </c>
      <c r="S93" s="27" t="str">
        <f t="shared" si="21"/>
        <v/>
      </c>
      <c r="T93" s="28" t="str">
        <f t="shared" si="21"/>
        <v/>
      </c>
      <c r="U93" s="28" t="str">
        <f t="shared" si="21"/>
        <v/>
      </c>
      <c r="V93" s="28" t="str">
        <f t="shared" si="21"/>
        <v/>
      </c>
      <c r="W93" s="28" t="str">
        <f t="shared" si="21"/>
        <v/>
      </c>
      <c r="X93" s="29" t="str">
        <f t="shared" si="21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9"/>
        <v/>
      </c>
      <c r="M94" s="19" t="str">
        <f t="shared" si="22"/>
        <v/>
      </c>
      <c r="N94" s="19" t="str">
        <f t="shared" si="23"/>
        <v/>
      </c>
      <c r="O94" s="19" t="str">
        <f t="shared" si="12"/>
        <v/>
      </c>
      <c r="P94" s="19" t="str">
        <f t="shared" si="13"/>
        <v/>
      </c>
      <c r="Q94" s="19" t="str">
        <f t="shared" si="14"/>
        <v/>
      </c>
      <c r="R94" s="19" t="str">
        <f t="shared" si="24"/>
        <v/>
      </c>
      <c r="S94" s="27" t="str">
        <f t="shared" si="21"/>
        <v/>
      </c>
      <c r="T94" s="28" t="str">
        <f t="shared" si="21"/>
        <v/>
      </c>
      <c r="U94" s="28" t="str">
        <f t="shared" si="21"/>
        <v/>
      </c>
      <c r="V94" s="28" t="str">
        <f t="shared" si="21"/>
        <v/>
      </c>
      <c r="W94" s="28" t="str">
        <f t="shared" si="21"/>
        <v/>
      </c>
      <c r="X94" s="29" t="str">
        <f t="shared" si="21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7" si="25">IF(ISBLANK(C95),"",(C95-C$16)*1000)</f>
        <v/>
      </c>
      <c r="M95" s="19" t="str">
        <f t="shared" si="22"/>
        <v/>
      </c>
      <c r="N95" s="19" t="str">
        <f t="shared" si="23"/>
        <v/>
      </c>
      <c r="O95" s="19" t="str">
        <f t="shared" si="12"/>
        <v/>
      </c>
      <c r="P95" s="19" t="str">
        <f t="shared" si="13"/>
        <v/>
      </c>
      <c r="Q95" s="19" t="str">
        <f t="shared" si="14"/>
        <v/>
      </c>
      <c r="R95" s="19" t="str">
        <f t="shared" si="24"/>
        <v/>
      </c>
      <c r="S95" s="27" t="str">
        <f t="shared" si="21"/>
        <v/>
      </c>
      <c r="T95" s="28" t="str">
        <f t="shared" si="21"/>
        <v/>
      </c>
      <c r="U95" s="28" t="str">
        <f t="shared" si="21"/>
        <v/>
      </c>
      <c r="V95" s="28" t="str">
        <f t="shared" si="21"/>
        <v/>
      </c>
      <c r="W95" s="28" t="str">
        <f t="shared" si="21"/>
        <v/>
      </c>
      <c r="X95" s="29" t="str">
        <f t="shared" si="21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5"/>
        <v/>
      </c>
      <c r="M96" s="19" t="str">
        <f t="shared" si="22"/>
        <v/>
      </c>
      <c r="N96" s="19" t="str">
        <f t="shared" si="23"/>
        <v/>
      </c>
      <c r="O96" s="19" t="str">
        <f t="shared" si="12"/>
        <v/>
      </c>
      <c r="P96" s="19" t="str">
        <f t="shared" si="13"/>
        <v/>
      </c>
      <c r="Q96" s="19" t="str">
        <f t="shared" si="14"/>
        <v/>
      </c>
      <c r="R96" s="19" t="str">
        <f t="shared" si="24"/>
        <v/>
      </c>
      <c r="S96" s="27" t="str">
        <f t="shared" si="21"/>
        <v/>
      </c>
      <c r="T96" s="28" t="str">
        <f t="shared" si="21"/>
        <v/>
      </c>
      <c r="U96" s="28" t="str">
        <f t="shared" si="21"/>
        <v/>
      </c>
      <c r="V96" s="28" t="str">
        <f t="shared" si="21"/>
        <v/>
      </c>
      <c r="W96" s="28" t="str">
        <f t="shared" si="21"/>
        <v/>
      </c>
      <c r="X96" s="29" t="str">
        <f t="shared" si="21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5"/>
        <v/>
      </c>
      <c r="M97" s="19" t="str">
        <f t="shared" si="22"/>
        <v/>
      </c>
      <c r="N97" s="19" t="str">
        <f t="shared" si="23"/>
        <v/>
      </c>
      <c r="O97" s="19" t="str">
        <f t="shared" si="12"/>
        <v/>
      </c>
      <c r="P97" s="19" t="str">
        <f t="shared" si="13"/>
        <v/>
      </c>
      <c r="Q97" s="19" t="str">
        <f t="shared" si="14"/>
        <v/>
      </c>
      <c r="R97" s="19" t="str">
        <f t="shared" si="24"/>
        <v/>
      </c>
      <c r="S97" s="27" t="str">
        <f t="shared" ref="S97:X112" si="26">IF(C97="","",((C97-C96)*1000)/($B97-$B96))</f>
        <v/>
      </c>
      <c r="T97" s="28" t="str">
        <f t="shared" si="26"/>
        <v/>
      </c>
      <c r="U97" s="28" t="str">
        <f t="shared" si="26"/>
        <v/>
      </c>
      <c r="V97" s="28" t="str">
        <f t="shared" si="26"/>
        <v/>
      </c>
      <c r="W97" s="28" t="str">
        <f t="shared" si="26"/>
        <v/>
      </c>
      <c r="X97" s="29" t="str">
        <f t="shared" si="26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5"/>
        <v/>
      </c>
      <c r="M98" s="19" t="str">
        <f t="shared" si="22"/>
        <v/>
      </c>
      <c r="N98" s="19" t="str">
        <f t="shared" si="23"/>
        <v/>
      </c>
      <c r="O98" s="19" t="str">
        <f t="shared" si="12"/>
        <v/>
      </c>
      <c r="P98" s="19" t="str">
        <f t="shared" si="13"/>
        <v/>
      </c>
      <c r="Q98" s="19" t="str">
        <f t="shared" si="14"/>
        <v/>
      </c>
      <c r="R98" s="19" t="str">
        <f t="shared" si="24"/>
        <v/>
      </c>
      <c r="S98" s="27" t="str">
        <f t="shared" si="26"/>
        <v/>
      </c>
      <c r="T98" s="28" t="str">
        <f t="shared" si="26"/>
        <v/>
      </c>
      <c r="U98" s="28" t="str">
        <f t="shared" si="26"/>
        <v/>
      </c>
      <c r="V98" s="28" t="str">
        <f t="shared" si="26"/>
        <v/>
      </c>
      <c r="W98" s="28" t="str">
        <f t="shared" si="26"/>
        <v/>
      </c>
      <c r="X98" s="29" t="str">
        <f t="shared" si="26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5"/>
        <v/>
      </c>
      <c r="M99" s="19" t="str">
        <f t="shared" si="22"/>
        <v/>
      </c>
      <c r="N99" s="19" t="str">
        <f t="shared" si="23"/>
        <v/>
      </c>
      <c r="O99" s="19" t="str">
        <f t="shared" ref="O99:O153" si="27">IF(ISBLANK(F99),"",((F99-F$34)*1000)+L$34)</f>
        <v/>
      </c>
      <c r="P99" s="19" t="str">
        <f t="shared" ref="P99:P153" si="28">IF(ISBLANK(G99),"",((G99-G$34)*1000)+M$34)</f>
        <v/>
      </c>
      <c r="Q99" s="19" t="str">
        <f t="shared" ref="Q99:Q153" si="29">IF(ISBLANK(H99),"",((H99-H$34)*1000)+N$34)</f>
        <v/>
      </c>
      <c r="R99" s="19" t="str">
        <f t="shared" si="24"/>
        <v/>
      </c>
      <c r="S99" s="27" t="str">
        <f t="shared" si="26"/>
        <v/>
      </c>
      <c r="T99" s="28" t="str">
        <f t="shared" si="26"/>
        <v/>
      </c>
      <c r="U99" s="28" t="str">
        <f t="shared" si="26"/>
        <v/>
      </c>
      <c r="V99" s="28" t="str">
        <f t="shared" si="26"/>
        <v/>
      </c>
      <c r="W99" s="28" t="str">
        <f t="shared" si="26"/>
        <v/>
      </c>
      <c r="X99" s="29" t="str">
        <f t="shared" si="26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5"/>
        <v/>
      </c>
      <c r="M100" s="19" t="str">
        <f t="shared" si="22"/>
        <v/>
      </c>
      <c r="N100" s="19" t="str">
        <f t="shared" si="23"/>
        <v/>
      </c>
      <c r="O100" s="19" t="str">
        <f t="shared" si="27"/>
        <v/>
      </c>
      <c r="P100" s="19" t="str">
        <f t="shared" si="28"/>
        <v/>
      </c>
      <c r="Q100" s="19" t="str">
        <f t="shared" si="29"/>
        <v/>
      </c>
      <c r="R100" s="19" t="str">
        <f t="shared" si="24"/>
        <v/>
      </c>
      <c r="S100" s="27" t="str">
        <f t="shared" si="26"/>
        <v/>
      </c>
      <c r="T100" s="28" t="str">
        <f t="shared" si="26"/>
        <v/>
      </c>
      <c r="U100" s="28" t="str">
        <f t="shared" si="26"/>
        <v/>
      </c>
      <c r="V100" s="28" t="str">
        <f t="shared" si="26"/>
        <v/>
      </c>
      <c r="W100" s="28" t="str">
        <f t="shared" si="26"/>
        <v/>
      </c>
      <c r="X100" s="29" t="str">
        <f t="shared" si="26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5"/>
        <v/>
      </c>
      <c r="M101" s="19" t="str">
        <f t="shared" si="22"/>
        <v/>
      </c>
      <c r="N101" s="19" t="str">
        <f t="shared" si="23"/>
        <v/>
      </c>
      <c r="O101" s="19" t="str">
        <f t="shared" si="27"/>
        <v/>
      </c>
      <c r="P101" s="19" t="str">
        <f t="shared" si="28"/>
        <v/>
      </c>
      <c r="Q101" s="19" t="str">
        <f t="shared" si="29"/>
        <v/>
      </c>
      <c r="R101" s="19" t="str">
        <f t="shared" si="24"/>
        <v/>
      </c>
      <c r="S101" s="27" t="str">
        <f t="shared" si="26"/>
        <v/>
      </c>
      <c r="T101" s="28" t="str">
        <f t="shared" si="26"/>
        <v/>
      </c>
      <c r="U101" s="28" t="str">
        <f t="shared" si="26"/>
        <v/>
      </c>
      <c r="V101" s="28" t="str">
        <f t="shared" si="26"/>
        <v/>
      </c>
      <c r="W101" s="28" t="str">
        <f t="shared" si="26"/>
        <v/>
      </c>
      <c r="X101" s="29" t="str">
        <f t="shared" si="26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5"/>
        <v/>
      </c>
      <c r="M102" s="19" t="str">
        <f t="shared" si="22"/>
        <v/>
      </c>
      <c r="N102" s="19" t="str">
        <f t="shared" si="23"/>
        <v/>
      </c>
      <c r="O102" s="19" t="str">
        <f t="shared" si="27"/>
        <v/>
      </c>
      <c r="P102" s="19" t="str">
        <f t="shared" si="28"/>
        <v/>
      </c>
      <c r="Q102" s="19" t="str">
        <f t="shared" si="29"/>
        <v/>
      </c>
      <c r="R102" s="19" t="str">
        <f t="shared" si="24"/>
        <v/>
      </c>
      <c r="S102" s="27" t="str">
        <f t="shared" si="26"/>
        <v/>
      </c>
      <c r="T102" s="28" t="str">
        <f t="shared" si="26"/>
        <v/>
      </c>
      <c r="U102" s="28" t="str">
        <f t="shared" si="26"/>
        <v/>
      </c>
      <c r="V102" s="28" t="str">
        <f t="shared" si="26"/>
        <v/>
      </c>
      <c r="W102" s="28" t="str">
        <f t="shared" si="26"/>
        <v/>
      </c>
      <c r="X102" s="29" t="str">
        <f t="shared" si="26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5"/>
        <v/>
      </c>
      <c r="M103" s="19" t="str">
        <f t="shared" si="22"/>
        <v/>
      </c>
      <c r="N103" s="19" t="str">
        <f t="shared" si="23"/>
        <v/>
      </c>
      <c r="O103" s="19" t="str">
        <f t="shared" si="27"/>
        <v/>
      </c>
      <c r="P103" s="19" t="str">
        <f t="shared" si="28"/>
        <v/>
      </c>
      <c r="Q103" s="19" t="str">
        <f t="shared" si="29"/>
        <v/>
      </c>
      <c r="R103" s="19" t="str">
        <f t="shared" si="24"/>
        <v/>
      </c>
      <c r="S103" s="27" t="str">
        <f t="shared" si="26"/>
        <v/>
      </c>
      <c r="T103" s="28" t="str">
        <f t="shared" si="26"/>
        <v/>
      </c>
      <c r="U103" s="28" t="str">
        <f t="shared" si="26"/>
        <v/>
      </c>
      <c r="V103" s="28" t="str">
        <f t="shared" si="26"/>
        <v/>
      </c>
      <c r="W103" s="28" t="str">
        <f t="shared" si="26"/>
        <v/>
      </c>
      <c r="X103" s="29" t="str">
        <f t="shared" si="26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5"/>
        <v/>
      </c>
      <c r="M104" s="19" t="str">
        <f t="shared" si="22"/>
        <v/>
      </c>
      <c r="N104" s="19" t="str">
        <f t="shared" si="23"/>
        <v/>
      </c>
      <c r="O104" s="19" t="str">
        <f t="shared" si="27"/>
        <v/>
      </c>
      <c r="P104" s="19" t="str">
        <f t="shared" si="28"/>
        <v/>
      </c>
      <c r="Q104" s="19" t="str">
        <f t="shared" si="29"/>
        <v/>
      </c>
      <c r="R104" s="19" t="str">
        <f t="shared" si="24"/>
        <v/>
      </c>
      <c r="S104" s="27" t="str">
        <f t="shared" si="26"/>
        <v/>
      </c>
      <c r="T104" s="28" t="str">
        <f t="shared" si="26"/>
        <v/>
      </c>
      <c r="U104" s="28" t="str">
        <f t="shared" si="26"/>
        <v/>
      </c>
      <c r="V104" s="28" t="str">
        <f t="shared" si="26"/>
        <v/>
      </c>
      <c r="W104" s="28" t="str">
        <f t="shared" si="26"/>
        <v/>
      </c>
      <c r="X104" s="29" t="str">
        <f t="shared" si="26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5"/>
        <v/>
      </c>
      <c r="M105" s="19" t="str">
        <f t="shared" si="22"/>
        <v/>
      </c>
      <c r="N105" s="19" t="str">
        <f t="shared" si="23"/>
        <v/>
      </c>
      <c r="O105" s="19" t="str">
        <f t="shared" si="27"/>
        <v/>
      </c>
      <c r="P105" s="19" t="str">
        <f t="shared" si="28"/>
        <v/>
      </c>
      <c r="Q105" s="19" t="str">
        <f t="shared" si="29"/>
        <v/>
      </c>
      <c r="R105" s="19" t="str">
        <f t="shared" si="24"/>
        <v/>
      </c>
      <c r="S105" s="27" t="str">
        <f t="shared" si="26"/>
        <v/>
      </c>
      <c r="T105" s="28" t="str">
        <f t="shared" si="26"/>
        <v/>
      </c>
      <c r="U105" s="28" t="str">
        <f t="shared" si="26"/>
        <v/>
      </c>
      <c r="V105" s="28" t="str">
        <f t="shared" si="26"/>
        <v/>
      </c>
      <c r="W105" s="28" t="str">
        <f t="shared" si="26"/>
        <v/>
      </c>
      <c r="X105" s="29" t="str">
        <f t="shared" si="26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5"/>
        <v/>
      </c>
      <c r="M106" s="19" t="str">
        <f t="shared" si="22"/>
        <v/>
      </c>
      <c r="N106" s="19" t="str">
        <f t="shared" si="23"/>
        <v/>
      </c>
      <c r="O106" s="19" t="str">
        <f t="shared" si="27"/>
        <v/>
      </c>
      <c r="P106" s="19" t="str">
        <f t="shared" si="28"/>
        <v/>
      </c>
      <c r="Q106" s="19" t="str">
        <f t="shared" si="29"/>
        <v/>
      </c>
      <c r="R106" s="19" t="str">
        <f t="shared" si="24"/>
        <v/>
      </c>
      <c r="S106" s="27" t="str">
        <f t="shared" si="26"/>
        <v/>
      </c>
      <c r="T106" s="28" t="str">
        <f t="shared" si="26"/>
        <v/>
      </c>
      <c r="U106" s="28" t="str">
        <f t="shared" si="26"/>
        <v/>
      </c>
      <c r="V106" s="28" t="str">
        <f t="shared" si="26"/>
        <v/>
      </c>
      <c r="W106" s="28" t="str">
        <f t="shared" si="26"/>
        <v/>
      </c>
      <c r="X106" s="29" t="str">
        <f t="shared" si="26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5"/>
        <v/>
      </c>
      <c r="M107" s="19" t="str">
        <f t="shared" si="22"/>
        <v/>
      </c>
      <c r="N107" s="19" t="str">
        <f t="shared" si="23"/>
        <v/>
      </c>
      <c r="O107" s="19" t="str">
        <f t="shared" si="27"/>
        <v/>
      </c>
      <c r="P107" s="19" t="str">
        <f t="shared" si="28"/>
        <v/>
      </c>
      <c r="Q107" s="19" t="str">
        <f t="shared" si="29"/>
        <v/>
      </c>
      <c r="R107" s="19" t="str">
        <f t="shared" si="24"/>
        <v/>
      </c>
      <c r="S107" s="27" t="str">
        <f t="shared" si="26"/>
        <v/>
      </c>
      <c r="T107" s="28" t="str">
        <f t="shared" si="26"/>
        <v/>
      </c>
      <c r="U107" s="28" t="str">
        <f t="shared" si="26"/>
        <v/>
      </c>
      <c r="V107" s="28" t="str">
        <f t="shared" si="26"/>
        <v/>
      </c>
      <c r="W107" s="28" t="str">
        <f t="shared" si="26"/>
        <v/>
      </c>
      <c r="X107" s="29" t="str">
        <f t="shared" si="26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5"/>
        <v/>
      </c>
      <c r="M108" s="19" t="str">
        <f t="shared" si="22"/>
        <v/>
      </c>
      <c r="N108" s="19" t="str">
        <f t="shared" si="23"/>
        <v/>
      </c>
      <c r="O108" s="19" t="str">
        <f t="shared" si="27"/>
        <v/>
      </c>
      <c r="P108" s="19" t="str">
        <f t="shared" si="28"/>
        <v/>
      </c>
      <c r="Q108" s="19" t="str">
        <f t="shared" si="29"/>
        <v/>
      </c>
      <c r="R108" s="19" t="str">
        <f t="shared" si="24"/>
        <v/>
      </c>
      <c r="S108" s="27" t="str">
        <f t="shared" si="26"/>
        <v/>
      </c>
      <c r="T108" s="28" t="str">
        <f t="shared" si="26"/>
        <v/>
      </c>
      <c r="U108" s="28" t="str">
        <f t="shared" si="26"/>
        <v/>
      </c>
      <c r="V108" s="28" t="str">
        <f t="shared" si="26"/>
        <v/>
      </c>
      <c r="W108" s="28" t="str">
        <f t="shared" si="26"/>
        <v/>
      </c>
      <c r="X108" s="29" t="str">
        <f t="shared" si="26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5"/>
        <v/>
      </c>
      <c r="M109" s="19" t="str">
        <f t="shared" si="22"/>
        <v/>
      </c>
      <c r="N109" s="19" t="str">
        <f t="shared" si="23"/>
        <v/>
      </c>
      <c r="O109" s="19" t="str">
        <f t="shared" si="27"/>
        <v/>
      </c>
      <c r="P109" s="19" t="str">
        <f t="shared" si="28"/>
        <v/>
      </c>
      <c r="Q109" s="19" t="str">
        <f t="shared" si="29"/>
        <v/>
      </c>
      <c r="R109" s="19" t="str">
        <f t="shared" si="24"/>
        <v/>
      </c>
      <c r="S109" s="27" t="str">
        <f t="shared" si="26"/>
        <v/>
      </c>
      <c r="T109" s="28" t="str">
        <f t="shared" si="26"/>
        <v/>
      </c>
      <c r="U109" s="28" t="str">
        <f t="shared" si="26"/>
        <v/>
      </c>
      <c r="V109" s="28" t="str">
        <f t="shared" si="26"/>
        <v/>
      </c>
      <c r="W109" s="28" t="str">
        <f t="shared" si="26"/>
        <v/>
      </c>
      <c r="X109" s="29" t="str">
        <f t="shared" si="26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5"/>
        <v/>
      </c>
      <c r="M110" s="19" t="str">
        <f t="shared" si="22"/>
        <v/>
      </c>
      <c r="N110" s="19" t="str">
        <f t="shared" si="23"/>
        <v/>
      </c>
      <c r="O110" s="19" t="str">
        <f t="shared" si="27"/>
        <v/>
      </c>
      <c r="P110" s="19" t="str">
        <f t="shared" si="28"/>
        <v/>
      </c>
      <c r="Q110" s="19" t="str">
        <f t="shared" si="29"/>
        <v/>
      </c>
      <c r="R110" s="19" t="str">
        <f t="shared" si="24"/>
        <v/>
      </c>
      <c r="S110" s="27" t="str">
        <f t="shared" si="26"/>
        <v/>
      </c>
      <c r="T110" s="28" t="str">
        <f t="shared" si="26"/>
        <v/>
      </c>
      <c r="U110" s="28" t="str">
        <f t="shared" si="26"/>
        <v/>
      </c>
      <c r="V110" s="28" t="str">
        <f t="shared" si="26"/>
        <v/>
      </c>
      <c r="W110" s="28" t="str">
        <f t="shared" si="26"/>
        <v/>
      </c>
      <c r="X110" s="29" t="str">
        <f t="shared" si="26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5"/>
        <v/>
      </c>
      <c r="M111" s="19" t="str">
        <f t="shared" si="22"/>
        <v/>
      </c>
      <c r="N111" s="19" t="str">
        <f t="shared" si="23"/>
        <v/>
      </c>
      <c r="O111" s="19" t="str">
        <f t="shared" si="27"/>
        <v/>
      </c>
      <c r="P111" s="19" t="str">
        <f t="shared" si="28"/>
        <v/>
      </c>
      <c r="Q111" s="19" t="str">
        <f t="shared" si="29"/>
        <v/>
      </c>
      <c r="R111" s="19" t="str">
        <f t="shared" si="24"/>
        <v/>
      </c>
      <c r="S111" s="27" t="str">
        <f t="shared" si="26"/>
        <v/>
      </c>
      <c r="T111" s="28" t="str">
        <f t="shared" si="26"/>
        <v/>
      </c>
      <c r="U111" s="28" t="str">
        <f t="shared" si="26"/>
        <v/>
      </c>
      <c r="V111" s="28" t="str">
        <f t="shared" si="26"/>
        <v/>
      </c>
      <c r="W111" s="28" t="str">
        <f t="shared" si="26"/>
        <v/>
      </c>
      <c r="X111" s="29" t="str">
        <f t="shared" si="26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5"/>
        <v/>
      </c>
      <c r="M112" s="19" t="str">
        <f t="shared" si="22"/>
        <v/>
      </c>
      <c r="N112" s="19" t="str">
        <f t="shared" si="23"/>
        <v/>
      </c>
      <c r="O112" s="19" t="str">
        <f t="shared" si="27"/>
        <v/>
      </c>
      <c r="P112" s="19" t="str">
        <f t="shared" si="28"/>
        <v/>
      </c>
      <c r="Q112" s="19" t="str">
        <f t="shared" si="29"/>
        <v/>
      </c>
      <c r="R112" s="19" t="str">
        <f t="shared" si="24"/>
        <v/>
      </c>
      <c r="S112" s="27" t="str">
        <f t="shared" si="26"/>
        <v/>
      </c>
      <c r="T112" s="28" t="str">
        <f t="shared" si="26"/>
        <v/>
      </c>
      <c r="U112" s="28" t="str">
        <f t="shared" si="26"/>
        <v/>
      </c>
      <c r="V112" s="28" t="str">
        <f t="shared" si="26"/>
        <v/>
      </c>
      <c r="W112" s="28" t="str">
        <f t="shared" si="26"/>
        <v/>
      </c>
      <c r="X112" s="29" t="str">
        <f t="shared" si="26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5"/>
        <v/>
      </c>
      <c r="M113" s="19" t="str">
        <f t="shared" si="22"/>
        <v/>
      </c>
      <c r="N113" s="19" t="str">
        <f t="shared" si="23"/>
        <v/>
      </c>
      <c r="O113" s="19" t="str">
        <f t="shared" si="27"/>
        <v/>
      </c>
      <c r="P113" s="19" t="str">
        <f t="shared" si="28"/>
        <v/>
      </c>
      <c r="Q113" s="19" t="str">
        <f t="shared" si="29"/>
        <v/>
      </c>
      <c r="R113" s="19" t="str">
        <f t="shared" si="24"/>
        <v/>
      </c>
      <c r="S113" s="27" t="str">
        <f t="shared" ref="S113:X128" si="30">IF(C113="","",((C113-C112)*1000)/($B113-$B112))</f>
        <v/>
      </c>
      <c r="T113" s="28" t="str">
        <f t="shared" si="30"/>
        <v/>
      </c>
      <c r="U113" s="28" t="str">
        <f t="shared" si="30"/>
        <v/>
      </c>
      <c r="V113" s="28" t="str">
        <f t="shared" si="30"/>
        <v/>
      </c>
      <c r="W113" s="28" t="str">
        <f t="shared" si="30"/>
        <v/>
      </c>
      <c r="X113" s="29" t="str">
        <f t="shared" si="30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5"/>
        <v/>
      </c>
      <c r="M114" s="19" t="str">
        <f t="shared" si="22"/>
        <v/>
      </c>
      <c r="N114" s="19" t="str">
        <f t="shared" si="23"/>
        <v/>
      </c>
      <c r="O114" s="19" t="str">
        <f t="shared" si="27"/>
        <v/>
      </c>
      <c r="P114" s="19" t="str">
        <f t="shared" si="28"/>
        <v/>
      </c>
      <c r="Q114" s="19" t="str">
        <f t="shared" si="29"/>
        <v/>
      </c>
      <c r="R114" s="19" t="str">
        <f t="shared" si="24"/>
        <v/>
      </c>
      <c r="S114" s="27" t="str">
        <f t="shared" si="30"/>
        <v/>
      </c>
      <c r="T114" s="28" t="str">
        <f t="shared" si="30"/>
        <v/>
      </c>
      <c r="U114" s="28" t="str">
        <f t="shared" si="30"/>
        <v/>
      </c>
      <c r="V114" s="28" t="str">
        <f t="shared" si="30"/>
        <v/>
      </c>
      <c r="W114" s="28" t="str">
        <f t="shared" si="30"/>
        <v/>
      </c>
      <c r="X114" s="29" t="str">
        <f t="shared" si="30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5"/>
        <v/>
      </c>
      <c r="M115" s="19" t="str">
        <f t="shared" si="22"/>
        <v/>
      </c>
      <c r="N115" s="19" t="str">
        <f t="shared" si="23"/>
        <v/>
      </c>
      <c r="O115" s="19" t="str">
        <f t="shared" si="27"/>
        <v/>
      </c>
      <c r="P115" s="19" t="str">
        <f t="shared" si="28"/>
        <v/>
      </c>
      <c r="Q115" s="19" t="str">
        <f t="shared" si="29"/>
        <v/>
      </c>
      <c r="R115" s="19" t="str">
        <f t="shared" si="24"/>
        <v/>
      </c>
      <c r="S115" s="27" t="str">
        <f t="shared" si="30"/>
        <v/>
      </c>
      <c r="T115" s="28" t="str">
        <f t="shared" si="30"/>
        <v/>
      </c>
      <c r="U115" s="28" t="str">
        <f t="shared" si="30"/>
        <v/>
      </c>
      <c r="V115" s="28" t="str">
        <f t="shared" si="30"/>
        <v/>
      </c>
      <c r="W115" s="28" t="str">
        <f t="shared" si="30"/>
        <v/>
      </c>
      <c r="X115" s="29" t="str">
        <f t="shared" si="30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5"/>
        <v/>
      </c>
      <c r="M116" s="19" t="str">
        <f t="shared" si="22"/>
        <v/>
      </c>
      <c r="N116" s="19" t="str">
        <f t="shared" si="23"/>
        <v/>
      </c>
      <c r="O116" s="19" t="str">
        <f t="shared" si="27"/>
        <v/>
      </c>
      <c r="P116" s="19" t="str">
        <f t="shared" si="28"/>
        <v/>
      </c>
      <c r="Q116" s="19" t="str">
        <f t="shared" si="29"/>
        <v/>
      </c>
      <c r="R116" s="19" t="str">
        <f t="shared" si="24"/>
        <v/>
      </c>
      <c r="S116" s="27" t="str">
        <f t="shared" si="30"/>
        <v/>
      </c>
      <c r="T116" s="28" t="str">
        <f t="shared" si="30"/>
        <v/>
      </c>
      <c r="U116" s="28" t="str">
        <f t="shared" si="30"/>
        <v/>
      </c>
      <c r="V116" s="28" t="str">
        <f t="shared" si="30"/>
        <v/>
      </c>
      <c r="W116" s="28" t="str">
        <f t="shared" si="30"/>
        <v/>
      </c>
      <c r="X116" s="29" t="str">
        <f t="shared" si="30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5"/>
        <v/>
      </c>
      <c r="M117" s="19" t="str">
        <f t="shared" si="22"/>
        <v/>
      </c>
      <c r="N117" s="19" t="str">
        <f t="shared" si="23"/>
        <v/>
      </c>
      <c r="O117" s="19" t="str">
        <f t="shared" si="27"/>
        <v/>
      </c>
      <c r="P117" s="19" t="str">
        <f t="shared" si="28"/>
        <v/>
      </c>
      <c r="Q117" s="19" t="str">
        <f t="shared" si="29"/>
        <v/>
      </c>
      <c r="R117" s="19" t="str">
        <f t="shared" si="24"/>
        <v/>
      </c>
      <c r="S117" s="27" t="str">
        <f t="shared" si="30"/>
        <v/>
      </c>
      <c r="T117" s="28" t="str">
        <f t="shared" si="30"/>
        <v/>
      </c>
      <c r="U117" s="28" t="str">
        <f t="shared" si="30"/>
        <v/>
      </c>
      <c r="V117" s="28" t="str">
        <f t="shared" si="30"/>
        <v/>
      </c>
      <c r="W117" s="28" t="str">
        <f t="shared" si="30"/>
        <v/>
      </c>
      <c r="X117" s="29" t="str">
        <f t="shared" si="30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31">IF(ISBLANK(C118),"",(C118-C$16)*1000)</f>
        <v/>
      </c>
      <c r="M118" s="19" t="str">
        <f t="shared" si="22"/>
        <v/>
      </c>
      <c r="N118" s="19" t="str">
        <f t="shared" si="23"/>
        <v/>
      </c>
      <c r="O118" s="19" t="str">
        <f t="shared" si="27"/>
        <v/>
      </c>
      <c r="P118" s="19" t="str">
        <f t="shared" si="28"/>
        <v/>
      </c>
      <c r="Q118" s="19" t="str">
        <f t="shared" si="29"/>
        <v/>
      </c>
      <c r="R118" s="19" t="str">
        <f t="shared" si="24"/>
        <v/>
      </c>
      <c r="S118" s="27" t="str">
        <f t="shared" si="30"/>
        <v/>
      </c>
      <c r="T118" s="28" t="str">
        <f t="shared" si="30"/>
        <v/>
      </c>
      <c r="U118" s="28" t="str">
        <f t="shared" si="30"/>
        <v/>
      </c>
      <c r="V118" s="28" t="str">
        <f t="shared" si="30"/>
        <v/>
      </c>
      <c r="W118" s="28" t="str">
        <f t="shared" si="30"/>
        <v/>
      </c>
      <c r="X118" s="29" t="str">
        <f t="shared" si="30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1"/>
        <v/>
      </c>
      <c r="M119" s="19" t="str">
        <f t="shared" si="22"/>
        <v/>
      </c>
      <c r="N119" s="19" t="str">
        <f t="shared" si="23"/>
        <v/>
      </c>
      <c r="O119" s="19" t="str">
        <f t="shared" si="27"/>
        <v/>
      </c>
      <c r="P119" s="19" t="str">
        <f t="shared" si="28"/>
        <v/>
      </c>
      <c r="Q119" s="19" t="str">
        <f t="shared" si="29"/>
        <v/>
      </c>
      <c r="R119" s="19" t="str">
        <f t="shared" si="24"/>
        <v/>
      </c>
      <c r="S119" s="27" t="str">
        <f t="shared" si="30"/>
        <v/>
      </c>
      <c r="T119" s="28" t="str">
        <f t="shared" si="30"/>
        <v/>
      </c>
      <c r="U119" s="28" t="str">
        <f t="shared" si="30"/>
        <v/>
      </c>
      <c r="V119" s="28" t="str">
        <f t="shared" si="30"/>
        <v/>
      </c>
      <c r="W119" s="28" t="str">
        <f t="shared" si="30"/>
        <v/>
      </c>
      <c r="X119" s="29" t="str">
        <f t="shared" si="30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1"/>
        <v/>
      </c>
      <c r="M120" s="19" t="str">
        <f t="shared" si="22"/>
        <v/>
      </c>
      <c r="N120" s="19" t="str">
        <f t="shared" si="23"/>
        <v/>
      </c>
      <c r="O120" s="19" t="str">
        <f t="shared" si="27"/>
        <v/>
      </c>
      <c r="P120" s="19" t="str">
        <f t="shared" si="28"/>
        <v/>
      </c>
      <c r="Q120" s="19" t="str">
        <f t="shared" si="29"/>
        <v/>
      </c>
      <c r="R120" s="19" t="str">
        <f t="shared" si="24"/>
        <v/>
      </c>
      <c r="S120" s="27" t="str">
        <f t="shared" si="30"/>
        <v/>
      </c>
      <c r="T120" s="28" t="str">
        <f t="shared" si="30"/>
        <v/>
      </c>
      <c r="U120" s="28" t="str">
        <f t="shared" si="30"/>
        <v/>
      </c>
      <c r="V120" s="28" t="str">
        <f t="shared" si="30"/>
        <v/>
      </c>
      <c r="W120" s="28" t="str">
        <f t="shared" si="30"/>
        <v/>
      </c>
      <c r="X120" s="29" t="str">
        <f t="shared" si="30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1"/>
        <v/>
      </c>
      <c r="M121" s="19" t="str">
        <f t="shared" si="22"/>
        <v/>
      </c>
      <c r="N121" s="19" t="str">
        <f t="shared" si="23"/>
        <v/>
      </c>
      <c r="O121" s="19" t="str">
        <f t="shared" si="27"/>
        <v/>
      </c>
      <c r="P121" s="19" t="str">
        <f t="shared" si="28"/>
        <v/>
      </c>
      <c r="Q121" s="19" t="str">
        <f t="shared" si="29"/>
        <v/>
      </c>
      <c r="R121" s="19" t="str">
        <f t="shared" si="24"/>
        <v/>
      </c>
      <c r="S121" s="27" t="str">
        <f t="shared" si="30"/>
        <v/>
      </c>
      <c r="T121" s="28" t="str">
        <f t="shared" si="30"/>
        <v/>
      </c>
      <c r="U121" s="28" t="str">
        <f t="shared" si="30"/>
        <v/>
      </c>
      <c r="V121" s="28" t="str">
        <f t="shared" si="30"/>
        <v/>
      </c>
      <c r="W121" s="28" t="str">
        <f t="shared" si="30"/>
        <v/>
      </c>
      <c r="X121" s="29" t="str">
        <f t="shared" si="30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1"/>
        <v/>
      </c>
      <c r="M122" s="19" t="str">
        <f t="shared" si="22"/>
        <v/>
      </c>
      <c r="N122" s="19" t="str">
        <f t="shared" si="23"/>
        <v/>
      </c>
      <c r="O122" s="19" t="str">
        <f t="shared" si="27"/>
        <v/>
      </c>
      <c r="P122" s="19" t="str">
        <f t="shared" si="28"/>
        <v/>
      </c>
      <c r="Q122" s="19" t="str">
        <f t="shared" si="29"/>
        <v/>
      </c>
      <c r="R122" s="19" t="str">
        <f t="shared" si="24"/>
        <v/>
      </c>
      <c r="S122" s="27" t="str">
        <f t="shared" si="30"/>
        <v/>
      </c>
      <c r="T122" s="28" t="str">
        <f t="shared" si="30"/>
        <v/>
      </c>
      <c r="U122" s="28" t="str">
        <f t="shared" si="30"/>
        <v/>
      </c>
      <c r="V122" s="28" t="str">
        <f t="shared" si="30"/>
        <v/>
      </c>
      <c r="W122" s="28" t="str">
        <f t="shared" si="30"/>
        <v/>
      </c>
      <c r="X122" s="29" t="str">
        <f t="shared" si="30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1"/>
        <v/>
      </c>
      <c r="M123" s="19" t="str">
        <f t="shared" si="22"/>
        <v/>
      </c>
      <c r="N123" s="19" t="str">
        <f t="shared" si="23"/>
        <v/>
      </c>
      <c r="O123" s="19" t="str">
        <f t="shared" si="27"/>
        <v/>
      </c>
      <c r="P123" s="19" t="str">
        <f t="shared" si="28"/>
        <v/>
      </c>
      <c r="Q123" s="19" t="str">
        <f t="shared" si="29"/>
        <v/>
      </c>
      <c r="R123" s="19" t="str">
        <f t="shared" si="24"/>
        <v/>
      </c>
      <c r="S123" s="27" t="str">
        <f t="shared" si="30"/>
        <v/>
      </c>
      <c r="T123" s="28" t="str">
        <f t="shared" si="30"/>
        <v/>
      </c>
      <c r="U123" s="28" t="str">
        <f t="shared" si="30"/>
        <v/>
      </c>
      <c r="V123" s="28" t="str">
        <f t="shared" si="30"/>
        <v/>
      </c>
      <c r="W123" s="28" t="str">
        <f t="shared" si="30"/>
        <v/>
      </c>
      <c r="X123" s="29" t="str">
        <f t="shared" si="30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1"/>
        <v/>
      </c>
      <c r="M124" s="19" t="str">
        <f t="shared" si="22"/>
        <v/>
      </c>
      <c r="N124" s="19" t="str">
        <f t="shared" si="23"/>
        <v/>
      </c>
      <c r="O124" s="19" t="str">
        <f t="shared" si="27"/>
        <v/>
      </c>
      <c r="P124" s="19" t="str">
        <f t="shared" si="28"/>
        <v/>
      </c>
      <c r="Q124" s="19" t="str">
        <f t="shared" si="29"/>
        <v/>
      </c>
      <c r="R124" s="19" t="str">
        <f t="shared" si="24"/>
        <v/>
      </c>
      <c r="S124" s="27" t="str">
        <f t="shared" si="30"/>
        <v/>
      </c>
      <c r="T124" s="28" t="str">
        <f t="shared" si="30"/>
        <v/>
      </c>
      <c r="U124" s="28" t="str">
        <f t="shared" si="30"/>
        <v/>
      </c>
      <c r="V124" s="28" t="str">
        <f t="shared" si="30"/>
        <v/>
      </c>
      <c r="W124" s="28" t="str">
        <f t="shared" si="30"/>
        <v/>
      </c>
      <c r="X124" s="29" t="str">
        <f t="shared" si="30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1"/>
        <v/>
      </c>
      <c r="M125" s="19" t="str">
        <f t="shared" si="22"/>
        <v/>
      </c>
      <c r="N125" s="19" t="str">
        <f t="shared" si="23"/>
        <v/>
      </c>
      <c r="O125" s="19" t="str">
        <f t="shared" si="27"/>
        <v/>
      </c>
      <c r="P125" s="19" t="str">
        <f t="shared" si="28"/>
        <v/>
      </c>
      <c r="Q125" s="19" t="str">
        <f t="shared" si="29"/>
        <v/>
      </c>
      <c r="R125" s="19" t="str">
        <f t="shared" si="24"/>
        <v/>
      </c>
      <c r="S125" s="27" t="str">
        <f t="shared" si="30"/>
        <v/>
      </c>
      <c r="T125" s="28" t="str">
        <f t="shared" si="30"/>
        <v/>
      </c>
      <c r="U125" s="28" t="str">
        <f t="shared" si="30"/>
        <v/>
      </c>
      <c r="V125" s="28" t="str">
        <f t="shared" si="30"/>
        <v/>
      </c>
      <c r="W125" s="28" t="str">
        <f t="shared" si="30"/>
        <v/>
      </c>
      <c r="X125" s="29" t="str">
        <f t="shared" si="30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1"/>
        <v/>
      </c>
      <c r="M126" s="19" t="str">
        <f t="shared" si="22"/>
        <v/>
      </c>
      <c r="N126" s="19" t="str">
        <f t="shared" si="23"/>
        <v/>
      </c>
      <c r="O126" s="19" t="str">
        <f t="shared" si="27"/>
        <v/>
      </c>
      <c r="P126" s="19" t="str">
        <f t="shared" si="28"/>
        <v/>
      </c>
      <c r="Q126" s="19" t="str">
        <f t="shared" si="29"/>
        <v/>
      </c>
      <c r="R126" s="19" t="str">
        <f t="shared" si="24"/>
        <v/>
      </c>
      <c r="S126" s="27" t="str">
        <f t="shared" si="30"/>
        <v/>
      </c>
      <c r="T126" s="28" t="str">
        <f t="shared" si="30"/>
        <v/>
      </c>
      <c r="U126" s="28" t="str">
        <f t="shared" si="30"/>
        <v/>
      </c>
      <c r="V126" s="28" t="str">
        <f t="shared" si="30"/>
        <v/>
      </c>
      <c r="W126" s="28" t="str">
        <f t="shared" si="30"/>
        <v/>
      </c>
      <c r="X126" s="29" t="str">
        <f t="shared" si="30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1"/>
        <v/>
      </c>
      <c r="M127" s="19" t="str">
        <f t="shared" si="22"/>
        <v/>
      </c>
      <c r="N127" s="19" t="str">
        <f t="shared" si="23"/>
        <v/>
      </c>
      <c r="O127" s="19" t="str">
        <f t="shared" si="27"/>
        <v/>
      </c>
      <c r="P127" s="19" t="str">
        <f t="shared" si="28"/>
        <v/>
      </c>
      <c r="Q127" s="19" t="str">
        <f t="shared" si="29"/>
        <v/>
      </c>
      <c r="R127" s="19" t="str">
        <f t="shared" si="24"/>
        <v/>
      </c>
      <c r="S127" s="27" t="str">
        <f t="shared" si="30"/>
        <v/>
      </c>
      <c r="T127" s="28" t="str">
        <f t="shared" si="30"/>
        <v/>
      </c>
      <c r="U127" s="28" t="str">
        <f t="shared" si="30"/>
        <v/>
      </c>
      <c r="V127" s="28" t="str">
        <f t="shared" si="30"/>
        <v/>
      </c>
      <c r="W127" s="28" t="str">
        <f t="shared" si="30"/>
        <v/>
      </c>
      <c r="X127" s="29" t="str">
        <f t="shared" si="30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1"/>
        <v/>
      </c>
      <c r="M128" s="19" t="str">
        <f t="shared" si="22"/>
        <v/>
      </c>
      <c r="N128" s="19" t="str">
        <f t="shared" si="23"/>
        <v/>
      </c>
      <c r="O128" s="19" t="str">
        <f t="shared" si="27"/>
        <v/>
      </c>
      <c r="P128" s="19" t="str">
        <f t="shared" si="28"/>
        <v/>
      </c>
      <c r="Q128" s="19" t="str">
        <f t="shared" si="29"/>
        <v/>
      </c>
      <c r="R128" s="19" t="str">
        <f t="shared" si="24"/>
        <v/>
      </c>
      <c r="S128" s="27" t="str">
        <f t="shared" si="30"/>
        <v/>
      </c>
      <c r="T128" s="28" t="str">
        <f t="shared" si="30"/>
        <v/>
      </c>
      <c r="U128" s="28" t="str">
        <f t="shared" si="30"/>
        <v/>
      </c>
      <c r="V128" s="28" t="str">
        <f t="shared" si="30"/>
        <v/>
      </c>
      <c r="W128" s="28" t="str">
        <f t="shared" si="30"/>
        <v/>
      </c>
      <c r="X128" s="29" t="str">
        <f t="shared" si="30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1"/>
        <v/>
      </c>
      <c r="M129" s="19" t="str">
        <f t="shared" si="22"/>
        <v/>
      </c>
      <c r="N129" s="19" t="str">
        <f t="shared" si="23"/>
        <v/>
      </c>
      <c r="O129" s="19" t="str">
        <f t="shared" si="27"/>
        <v/>
      </c>
      <c r="P129" s="19" t="str">
        <f t="shared" si="28"/>
        <v/>
      </c>
      <c r="Q129" s="19" t="str">
        <f t="shared" si="29"/>
        <v/>
      </c>
      <c r="R129" s="19" t="str">
        <f t="shared" si="24"/>
        <v/>
      </c>
      <c r="S129" s="27" t="str">
        <f t="shared" ref="S129:X144" si="32">IF(C129="","",((C129-C128)*1000)/($B129-$B128))</f>
        <v/>
      </c>
      <c r="T129" s="28" t="str">
        <f t="shared" si="32"/>
        <v/>
      </c>
      <c r="U129" s="28" t="str">
        <f t="shared" si="32"/>
        <v/>
      </c>
      <c r="V129" s="28" t="str">
        <f t="shared" si="32"/>
        <v/>
      </c>
      <c r="W129" s="28" t="str">
        <f t="shared" si="32"/>
        <v/>
      </c>
      <c r="X129" s="29" t="str">
        <f t="shared" si="3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1"/>
        <v/>
      </c>
      <c r="M130" s="19" t="str">
        <f t="shared" si="22"/>
        <v/>
      </c>
      <c r="N130" s="19" t="str">
        <f t="shared" si="23"/>
        <v/>
      </c>
      <c r="O130" s="19" t="str">
        <f t="shared" si="27"/>
        <v/>
      </c>
      <c r="P130" s="19" t="str">
        <f t="shared" si="28"/>
        <v/>
      </c>
      <c r="Q130" s="19" t="str">
        <f t="shared" si="29"/>
        <v/>
      </c>
      <c r="R130" s="19" t="str">
        <f t="shared" si="24"/>
        <v/>
      </c>
      <c r="S130" s="27" t="str">
        <f t="shared" si="32"/>
        <v/>
      </c>
      <c r="T130" s="28" t="str">
        <f t="shared" si="32"/>
        <v/>
      </c>
      <c r="U130" s="28" t="str">
        <f t="shared" si="32"/>
        <v/>
      </c>
      <c r="V130" s="28" t="str">
        <f t="shared" si="32"/>
        <v/>
      </c>
      <c r="W130" s="28" t="str">
        <f t="shared" si="32"/>
        <v/>
      </c>
      <c r="X130" s="29" t="str">
        <f t="shared" si="3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1"/>
        <v/>
      </c>
      <c r="M131" s="19" t="str">
        <f t="shared" si="22"/>
        <v/>
      </c>
      <c r="N131" s="19" t="str">
        <f t="shared" si="23"/>
        <v/>
      </c>
      <c r="O131" s="19" t="str">
        <f t="shared" si="27"/>
        <v/>
      </c>
      <c r="P131" s="19" t="str">
        <f t="shared" si="28"/>
        <v/>
      </c>
      <c r="Q131" s="19" t="str">
        <f t="shared" si="29"/>
        <v/>
      </c>
      <c r="R131" s="19" t="str">
        <f t="shared" si="24"/>
        <v/>
      </c>
      <c r="S131" s="27" t="str">
        <f t="shared" si="32"/>
        <v/>
      </c>
      <c r="T131" s="28" t="str">
        <f t="shared" si="32"/>
        <v/>
      </c>
      <c r="U131" s="28" t="str">
        <f t="shared" si="32"/>
        <v/>
      </c>
      <c r="V131" s="28" t="str">
        <f t="shared" si="32"/>
        <v/>
      </c>
      <c r="W131" s="28" t="str">
        <f t="shared" si="32"/>
        <v/>
      </c>
      <c r="X131" s="29" t="str">
        <f t="shared" si="3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1"/>
        <v/>
      </c>
      <c r="M132" s="19" t="str">
        <f t="shared" si="22"/>
        <v/>
      </c>
      <c r="N132" s="19" t="str">
        <f t="shared" si="23"/>
        <v/>
      </c>
      <c r="O132" s="19" t="str">
        <f t="shared" si="27"/>
        <v/>
      </c>
      <c r="P132" s="19" t="str">
        <f t="shared" si="28"/>
        <v/>
      </c>
      <c r="Q132" s="19" t="str">
        <f t="shared" si="29"/>
        <v/>
      </c>
      <c r="R132" s="19" t="str">
        <f t="shared" si="24"/>
        <v/>
      </c>
      <c r="S132" s="27" t="str">
        <f t="shared" si="32"/>
        <v/>
      </c>
      <c r="T132" s="28" t="str">
        <f t="shared" si="32"/>
        <v/>
      </c>
      <c r="U132" s="28" t="str">
        <f t="shared" si="32"/>
        <v/>
      </c>
      <c r="V132" s="28" t="str">
        <f t="shared" si="32"/>
        <v/>
      </c>
      <c r="W132" s="28" t="str">
        <f t="shared" si="32"/>
        <v/>
      </c>
      <c r="X132" s="29" t="str">
        <f t="shared" si="3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1"/>
        <v/>
      </c>
      <c r="M133" s="19" t="str">
        <f t="shared" si="22"/>
        <v/>
      </c>
      <c r="N133" s="19" t="str">
        <f t="shared" si="23"/>
        <v/>
      </c>
      <c r="O133" s="19" t="str">
        <f t="shared" si="27"/>
        <v/>
      </c>
      <c r="P133" s="19" t="str">
        <f t="shared" si="28"/>
        <v/>
      </c>
      <c r="Q133" s="19" t="str">
        <f t="shared" si="29"/>
        <v/>
      </c>
      <c r="R133" s="19" t="str">
        <f t="shared" si="24"/>
        <v/>
      </c>
      <c r="S133" s="27" t="str">
        <f t="shared" si="32"/>
        <v/>
      </c>
      <c r="T133" s="28" t="str">
        <f t="shared" si="32"/>
        <v/>
      </c>
      <c r="U133" s="28" t="str">
        <f t="shared" si="32"/>
        <v/>
      </c>
      <c r="V133" s="28" t="str">
        <f t="shared" si="32"/>
        <v/>
      </c>
      <c r="W133" s="28" t="str">
        <f t="shared" si="32"/>
        <v/>
      </c>
      <c r="X133" s="29" t="str">
        <f t="shared" si="3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1"/>
        <v/>
      </c>
      <c r="M134" s="19" t="str">
        <f t="shared" si="22"/>
        <v/>
      </c>
      <c r="N134" s="19" t="str">
        <f t="shared" si="23"/>
        <v/>
      </c>
      <c r="O134" s="19" t="str">
        <f t="shared" si="27"/>
        <v/>
      </c>
      <c r="P134" s="19" t="str">
        <f t="shared" si="28"/>
        <v/>
      </c>
      <c r="Q134" s="19" t="str">
        <f t="shared" si="29"/>
        <v/>
      </c>
      <c r="R134" s="19" t="str">
        <f t="shared" si="24"/>
        <v/>
      </c>
      <c r="S134" s="27" t="str">
        <f t="shared" si="32"/>
        <v/>
      </c>
      <c r="T134" s="28" t="str">
        <f t="shared" si="32"/>
        <v/>
      </c>
      <c r="U134" s="28" t="str">
        <f t="shared" si="32"/>
        <v/>
      </c>
      <c r="V134" s="28" t="str">
        <f t="shared" si="32"/>
        <v/>
      </c>
      <c r="W134" s="28" t="str">
        <f t="shared" si="32"/>
        <v/>
      </c>
      <c r="X134" s="29" t="str">
        <f t="shared" si="3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1"/>
        <v/>
      </c>
      <c r="M135" s="19" t="str">
        <f t="shared" si="22"/>
        <v/>
      </c>
      <c r="N135" s="19" t="str">
        <f t="shared" si="23"/>
        <v/>
      </c>
      <c r="O135" s="19" t="str">
        <f t="shared" si="27"/>
        <v/>
      </c>
      <c r="P135" s="19" t="str">
        <f t="shared" si="28"/>
        <v/>
      </c>
      <c r="Q135" s="19" t="str">
        <f t="shared" si="29"/>
        <v/>
      </c>
      <c r="R135" s="19" t="str">
        <f t="shared" si="24"/>
        <v/>
      </c>
      <c r="S135" s="27" t="str">
        <f t="shared" si="32"/>
        <v/>
      </c>
      <c r="T135" s="28" t="str">
        <f t="shared" si="32"/>
        <v/>
      </c>
      <c r="U135" s="28" t="str">
        <f t="shared" si="32"/>
        <v/>
      </c>
      <c r="V135" s="28" t="str">
        <f t="shared" si="32"/>
        <v/>
      </c>
      <c r="W135" s="28" t="str">
        <f t="shared" si="32"/>
        <v/>
      </c>
      <c r="X135" s="29" t="str">
        <f t="shared" si="3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1"/>
        <v/>
      </c>
      <c r="M136" s="19" t="str">
        <f t="shared" si="22"/>
        <v/>
      </c>
      <c r="N136" s="19" t="str">
        <f t="shared" si="23"/>
        <v/>
      </c>
      <c r="O136" s="19" t="str">
        <f t="shared" si="27"/>
        <v/>
      </c>
      <c r="P136" s="19" t="str">
        <f t="shared" si="28"/>
        <v/>
      </c>
      <c r="Q136" s="19" t="str">
        <f t="shared" si="29"/>
        <v/>
      </c>
      <c r="R136" s="19" t="str">
        <f t="shared" si="24"/>
        <v/>
      </c>
      <c r="S136" s="27" t="str">
        <f t="shared" si="32"/>
        <v/>
      </c>
      <c r="T136" s="28" t="str">
        <f t="shared" si="32"/>
        <v/>
      </c>
      <c r="U136" s="28" t="str">
        <f t="shared" si="32"/>
        <v/>
      </c>
      <c r="V136" s="28" t="str">
        <f t="shared" si="32"/>
        <v/>
      </c>
      <c r="W136" s="28" t="str">
        <f t="shared" si="32"/>
        <v/>
      </c>
      <c r="X136" s="29" t="str">
        <f t="shared" si="3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1"/>
        <v/>
      </c>
      <c r="M137" s="19" t="str">
        <f t="shared" si="22"/>
        <v/>
      </c>
      <c r="N137" s="19" t="str">
        <f t="shared" si="23"/>
        <v/>
      </c>
      <c r="O137" s="19" t="str">
        <f t="shared" si="27"/>
        <v/>
      </c>
      <c r="P137" s="19" t="str">
        <f t="shared" si="28"/>
        <v/>
      </c>
      <c r="Q137" s="19" t="str">
        <f t="shared" si="29"/>
        <v/>
      </c>
      <c r="R137" s="19" t="str">
        <f t="shared" si="24"/>
        <v/>
      </c>
      <c r="S137" s="27" t="str">
        <f t="shared" si="32"/>
        <v/>
      </c>
      <c r="T137" s="28" t="str">
        <f t="shared" si="32"/>
        <v/>
      </c>
      <c r="U137" s="28" t="str">
        <f t="shared" si="32"/>
        <v/>
      </c>
      <c r="V137" s="28" t="str">
        <f t="shared" si="32"/>
        <v/>
      </c>
      <c r="W137" s="28" t="str">
        <f t="shared" si="32"/>
        <v/>
      </c>
      <c r="X137" s="29" t="str">
        <f t="shared" si="3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1"/>
        <v/>
      </c>
      <c r="M138" s="19" t="str">
        <f t="shared" si="22"/>
        <v/>
      </c>
      <c r="N138" s="19" t="str">
        <f t="shared" si="23"/>
        <v/>
      </c>
      <c r="O138" s="19" t="str">
        <f t="shared" si="27"/>
        <v/>
      </c>
      <c r="P138" s="19" t="str">
        <f t="shared" si="28"/>
        <v/>
      </c>
      <c r="Q138" s="19" t="str">
        <f t="shared" si="29"/>
        <v/>
      </c>
      <c r="R138" s="19" t="str">
        <f t="shared" si="24"/>
        <v/>
      </c>
      <c r="S138" s="27" t="str">
        <f t="shared" si="32"/>
        <v/>
      </c>
      <c r="T138" s="28" t="str">
        <f t="shared" si="32"/>
        <v/>
      </c>
      <c r="U138" s="28" t="str">
        <f t="shared" si="32"/>
        <v/>
      </c>
      <c r="V138" s="28" t="str">
        <f t="shared" si="32"/>
        <v/>
      </c>
      <c r="W138" s="28" t="str">
        <f t="shared" si="32"/>
        <v/>
      </c>
      <c r="X138" s="29" t="str">
        <f t="shared" si="3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1"/>
        <v/>
      </c>
      <c r="M139" s="19" t="str">
        <f t="shared" si="22"/>
        <v/>
      </c>
      <c r="N139" s="19" t="str">
        <f t="shared" si="23"/>
        <v/>
      </c>
      <c r="O139" s="19" t="str">
        <f t="shared" si="27"/>
        <v/>
      </c>
      <c r="P139" s="19" t="str">
        <f t="shared" si="28"/>
        <v/>
      </c>
      <c r="Q139" s="19" t="str">
        <f t="shared" si="29"/>
        <v/>
      </c>
      <c r="R139" s="19" t="str">
        <f t="shared" si="24"/>
        <v/>
      </c>
      <c r="S139" s="27" t="str">
        <f t="shared" si="32"/>
        <v/>
      </c>
      <c r="T139" s="28" t="str">
        <f t="shared" si="32"/>
        <v/>
      </c>
      <c r="U139" s="28" t="str">
        <f t="shared" si="32"/>
        <v/>
      </c>
      <c r="V139" s="28" t="str">
        <f t="shared" si="32"/>
        <v/>
      </c>
      <c r="W139" s="28" t="str">
        <f t="shared" si="32"/>
        <v/>
      </c>
      <c r="X139" s="29" t="str">
        <f t="shared" si="3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1"/>
        <v/>
      </c>
      <c r="M140" s="19" t="str">
        <f t="shared" si="22"/>
        <v/>
      </c>
      <c r="N140" s="19" t="str">
        <f t="shared" si="23"/>
        <v/>
      </c>
      <c r="O140" s="19" t="str">
        <f t="shared" si="27"/>
        <v/>
      </c>
      <c r="P140" s="19" t="str">
        <f t="shared" si="28"/>
        <v/>
      </c>
      <c r="Q140" s="19" t="str">
        <f t="shared" si="29"/>
        <v/>
      </c>
      <c r="R140" s="19" t="str">
        <f t="shared" si="24"/>
        <v/>
      </c>
      <c r="S140" s="27" t="str">
        <f t="shared" si="32"/>
        <v/>
      </c>
      <c r="T140" s="28" t="str">
        <f t="shared" si="32"/>
        <v/>
      </c>
      <c r="U140" s="28" t="str">
        <f t="shared" si="32"/>
        <v/>
      </c>
      <c r="V140" s="28" t="str">
        <f t="shared" si="32"/>
        <v/>
      </c>
      <c r="W140" s="28" t="str">
        <f t="shared" si="32"/>
        <v/>
      </c>
      <c r="X140" s="29" t="str">
        <f t="shared" si="3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1"/>
        <v/>
      </c>
      <c r="M141" s="19" t="str">
        <f t="shared" si="22"/>
        <v/>
      </c>
      <c r="N141" s="19" t="str">
        <f t="shared" si="23"/>
        <v/>
      </c>
      <c r="O141" s="19" t="str">
        <f t="shared" si="27"/>
        <v/>
      </c>
      <c r="P141" s="19" t="str">
        <f t="shared" si="28"/>
        <v/>
      </c>
      <c r="Q141" s="19" t="str">
        <f t="shared" si="29"/>
        <v/>
      </c>
      <c r="R141" s="19" t="str">
        <f t="shared" si="24"/>
        <v/>
      </c>
      <c r="S141" s="27" t="str">
        <f t="shared" si="32"/>
        <v/>
      </c>
      <c r="T141" s="28" t="str">
        <f t="shared" si="32"/>
        <v/>
      </c>
      <c r="U141" s="28" t="str">
        <f t="shared" si="32"/>
        <v/>
      </c>
      <c r="V141" s="28" t="str">
        <f t="shared" si="32"/>
        <v/>
      </c>
      <c r="W141" s="28" t="str">
        <f t="shared" si="32"/>
        <v/>
      </c>
      <c r="X141" s="29" t="str">
        <f t="shared" si="3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1"/>
        <v/>
      </c>
      <c r="M142" s="19" t="str">
        <f t="shared" si="22"/>
        <v/>
      </c>
      <c r="N142" s="19" t="str">
        <f t="shared" si="23"/>
        <v/>
      </c>
      <c r="O142" s="19" t="str">
        <f t="shared" si="27"/>
        <v/>
      </c>
      <c r="P142" s="19" t="str">
        <f t="shared" si="28"/>
        <v/>
      </c>
      <c r="Q142" s="19" t="str">
        <f t="shared" si="29"/>
        <v/>
      </c>
      <c r="R142" s="19" t="str">
        <f t="shared" si="24"/>
        <v/>
      </c>
      <c r="S142" s="27" t="str">
        <f t="shared" si="32"/>
        <v/>
      </c>
      <c r="T142" s="28" t="str">
        <f t="shared" si="32"/>
        <v/>
      </c>
      <c r="U142" s="28" t="str">
        <f t="shared" si="32"/>
        <v/>
      </c>
      <c r="V142" s="28" t="str">
        <f t="shared" si="32"/>
        <v/>
      </c>
      <c r="W142" s="28" t="str">
        <f t="shared" si="32"/>
        <v/>
      </c>
      <c r="X142" s="29" t="str">
        <f t="shared" si="3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1"/>
        <v/>
      </c>
      <c r="M143" s="19" t="str">
        <f t="shared" si="22"/>
        <v/>
      </c>
      <c r="N143" s="19" t="str">
        <f t="shared" si="23"/>
        <v/>
      </c>
      <c r="O143" s="19" t="str">
        <f t="shared" si="27"/>
        <v/>
      </c>
      <c r="P143" s="19" t="str">
        <f t="shared" si="28"/>
        <v/>
      </c>
      <c r="Q143" s="19" t="str">
        <f t="shared" si="29"/>
        <v/>
      </c>
      <c r="R143" s="19" t="str">
        <f t="shared" si="24"/>
        <v/>
      </c>
      <c r="S143" s="27" t="str">
        <f t="shared" si="32"/>
        <v/>
      </c>
      <c r="T143" s="28" t="str">
        <f t="shared" si="32"/>
        <v/>
      </c>
      <c r="U143" s="28" t="str">
        <f t="shared" si="32"/>
        <v/>
      </c>
      <c r="V143" s="28" t="str">
        <f t="shared" si="32"/>
        <v/>
      </c>
      <c r="W143" s="28" t="str">
        <f t="shared" si="32"/>
        <v/>
      </c>
      <c r="X143" s="29" t="str">
        <f t="shared" si="3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1"/>
        <v/>
      </c>
      <c r="M144" s="19" t="str">
        <f t="shared" si="22"/>
        <v/>
      </c>
      <c r="N144" s="19" t="str">
        <f t="shared" si="23"/>
        <v/>
      </c>
      <c r="O144" s="19" t="str">
        <f t="shared" si="27"/>
        <v/>
      </c>
      <c r="P144" s="19" t="str">
        <f t="shared" si="28"/>
        <v/>
      </c>
      <c r="Q144" s="19" t="str">
        <f t="shared" si="29"/>
        <v/>
      </c>
      <c r="R144" s="19" t="str">
        <f t="shared" si="24"/>
        <v/>
      </c>
      <c r="S144" s="27" t="str">
        <f t="shared" si="32"/>
        <v/>
      </c>
      <c r="T144" s="28" t="str">
        <f t="shared" si="32"/>
        <v/>
      </c>
      <c r="U144" s="28" t="str">
        <f t="shared" si="32"/>
        <v/>
      </c>
      <c r="V144" s="28" t="str">
        <f t="shared" si="32"/>
        <v/>
      </c>
      <c r="W144" s="28" t="str">
        <f t="shared" si="32"/>
        <v/>
      </c>
      <c r="X144" s="29" t="str">
        <f t="shared" si="3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1"/>
        <v/>
      </c>
      <c r="M145" s="19" t="str">
        <f t="shared" si="22"/>
        <v/>
      </c>
      <c r="N145" s="19" t="str">
        <f t="shared" si="23"/>
        <v/>
      </c>
      <c r="O145" s="19" t="str">
        <f t="shared" si="27"/>
        <v/>
      </c>
      <c r="P145" s="19" t="str">
        <f t="shared" si="28"/>
        <v/>
      </c>
      <c r="Q145" s="19" t="str">
        <f t="shared" si="29"/>
        <v/>
      </c>
      <c r="R145" s="19" t="str">
        <f t="shared" si="24"/>
        <v/>
      </c>
      <c r="S145" s="27" t="str">
        <f t="shared" ref="S145:X153" si="33">IF(C145="","",((C145-C144)*1000)/($B145-$B144))</f>
        <v/>
      </c>
      <c r="T145" s="28" t="str">
        <f t="shared" si="33"/>
        <v/>
      </c>
      <c r="U145" s="28" t="str">
        <f t="shared" si="33"/>
        <v/>
      </c>
      <c r="V145" s="28" t="str">
        <f t="shared" si="33"/>
        <v/>
      </c>
      <c r="W145" s="28" t="str">
        <f t="shared" si="33"/>
        <v/>
      </c>
      <c r="X145" s="29" t="str">
        <f t="shared" si="33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1"/>
        <v/>
      </c>
      <c r="M146" s="19" t="str">
        <f t="shared" si="22"/>
        <v/>
      </c>
      <c r="N146" s="19" t="str">
        <f t="shared" si="23"/>
        <v/>
      </c>
      <c r="O146" s="19" t="str">
        <f t="shared" si="27"/>
        <v/>
      </c>
      <c r="P146" s="19" t="str">
        <f t="shared" si="28"/>
        <v/>
      </c>
      <c r="Q146" s="19" t="str">
        <f t="shared" si="29"/>
        <v/>
      </c>
      <c r="R146" s="19" t="str">
        <f t="shared" si="24"/>
        <v/>
      </c>
      <c r="S146" s="27" t="str">
        <f t="shared" si="33"/>
        <v/>
      </c>
      <c r="T146" s="28" t="str">
        <f t="shared" si="33"/>
        <v/>
      </c>
      <c r="U146" s="28" t="str">
        <f t="shared" si="33"/>
        <v/>
      </c>
      <c r="V146" s="28" t="str">
        <f t="shared" si="33"/>
        <v/>
      </c>
      <c r="W146" s="28" t="str">
        <f t="shared" si="33"/>
        <v/>
      </c>
      <c r="X146" s="29" t="str">
        <f t="shared" si="3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1"/>
        <v/>
      </c>
      <c r="M147" s="19" t="str">
        <f t="shared" si="22"/>
        <v/>
      </c>
      <c r="N147" s="19" t="str">
        <f t="shared" si="23"/>
        <v/>
      </c>
      <c r="O147" s="19" t="str">
        <f t="shared" si="27"/>
        <v/>
      </c>
      <c r="P147" s="19" t="str">
        <f t="shared" si="28"/>
        <v/>
      </c>
      <c r="Q147" s="19" t="str">
        <f t="shared" si="29"/>
        <v/>
      </c>
      <c r="R147" s="19" t="str">
        <f t="shared" si="24"/>
        <v/>
      </c>
      <c r="S147" s="27" t="str">
        <f t="shared" si="33"/>
        <v/>
      </c>
      <c r="T147" s="28" t="str">
        <f t="shared" si="33"/>
        <v/>
      </c>
      <c r="U147" s="28" t="str">
        <f t="shared" si="33"/>
        <v/>
      </c>
      <c r="V147" s="28" t="str">
        <f t="shared" si="33"/>
        <v/>
      </c>
      <c r="W147" s="28" t="str">
        <f t="shared" si="33"/>
        <v/>
      </c>
      <c r="X147" s="29" t="str">
        <f t="shared" si="3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1"/>
        <v/>
      </c>
      <c r="M148" s="19" t="str">
        <f t="shared" si="22"/>
        <v/>
      </c>
      <c r="N148" s="19" t="str">
        <f t="shared" si="23"/>
        <v/>
      </c>
      <c r="O148" s="19" t="str">
        <f t="shared" si="27"/>
        <v/>
      </c>
      <c r="P148" s="19" t="str">
        <f t="shared" si="28"/>
        <v/>
      </c>
      <c r="Q148" s="19" t="str">
        <f t="shared" si="29"/>
        <v/>
      </c>
      <c r="R148" s="19" t="str">
        <f t="shared" si="24"/>
        <v/>
      </c>
      <c r="S148" s="27" t="str">
        <f t="shared" si="33"/>
        <v/>
      </c>
      <c r="T148" s="28" t="str">
        <f t="shared" si="33"/>
        <v/>
      </c>
      <c r="U148" s="28" t="str">
        <f t="shared" si="33"/>
        <v/>
      </c>
      <c r="V148" s="28" t="str">
        <f t="shared" si="33"/>
        <v/>
      </c>
      <c r="W148" s="28" t="str">
        <f t="shared" si="33"/>
        <v/>
      </c>
      <c r="X148" s="29" t="str">
        <f t="shared" si="3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1"/>
        <v/>
      </c>
      <c r="M149" s="19" t="str">
        <f t="shared" si="22"/>
        <v/>
      </c>
      <c r="N149" s="19" t="str">
        <f t="shared" si="23"/>
        <v/>
      </c>
      <c r="O149" s="19" t="str">
        <f t="shared" si="27"/>
        <v/>
      </c>
      <c r="P149" s="19" t="str">
        <f t="shared" si="28"/>
        <v/>
      </c>
      <c r="Q149" s="19" t="str">
        <f t="shared" si="29"/>
        <v/>
      </c>
      <c r="R149" s="19" t="str">
        <f t="shared" si="24"/>
        <v/>
      </c>
      <c r="S149" s="27" t="str">
        <f t="shared" si="33"/>
        <v/>
      </c>
      <c r="T149" s="28" t="str">
        <f t="shared" si="33"/>
        <v/>
      </c>
      <c r="U149" s="28" t="str">
        <f t="shared" si="33"/>
        <v/>
      </c>
      <c r="V149" s="28" t="str">
        <f t="shared" si="33"/>
        <v/>
      </c>
      <c r="W149" s="28" t="str">
        <f t="shared" si="33"/>
        <v/>
      </c>
      <c r="X149" s="29" t="str">
        <f t="shared" si="3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1"/>
        <v/>
      </c>
      <c r="M150" s="19" t="str">
        <f t="shared" si="22"/>
        <v/>
      </c>
      <c r="N150" s="19" t="str">
        <f t="shared" si="23"/>
        <v/>
      </c>
      <c r="O150" s="19" t="str">
        <f t="shared" si="27"/>
        <v/>
      </c>
      <c r="P150" s="19" t="str">
        <f t="shared" si="28"/>
        <v/>
      </c>
      <c r="Q150" s="19" t="str">
        <f t="shared" si="29"/>
        <v/>
      </c>
      <c r="R150" s="19" t="str">
        <f t="shared" si="24"/>
        <v/>
      </c>
      <c r="S150" s="27" t="str">
        <f t="shared" si="33"/>
        <v/>
      </c>
      <c r="T150" s="28" t="str">
        <f t="shared" si="33"/>
        <v/>
      </c>
      <c r="U150" s="28" t="str">
        <f t="shared" si="33"/>
        <v/>
      </c>
      <c r="V150" s="28" t="str">
        <f t="shared" si="33"/>
        <v/>
      </c>
      <c r="W150" s="28" t="str">
        <f t="shared" si="33"/>
        <v/>
      </c>
      <c r="X150" s="29" t="str">
        <f t="shared" si="3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1"/>
        <v/>
      </c>
      <c r="M151" s="19" t="str">
        <f t="shared" si="22"/>
        <v/>
      </c>
      <c r="N151" s="19" t="str">
        <f t="shared" si="23"/>
        <v/>
      </c>
      <c r="O151" s="19" t="str">
        <f t="shared" si="27"/>
        <v/>
      </c>
      <c r="P151" s="19" t="str">
        <f t="shared" si="28"/>
        <v/>
      </c>
      <c r="Q151" s="19" t="str">
        <f t="shared" si="29"/>
        <v/>
      </c>
      <c r="R151" s="19" t="str">
        <f t="shared" si="24"/>
        <v/>
      </c>
      <c r="S151" s="27" t="str">
        <f t="shared" si="33"/>
        <v/>
      </c>
      <c r="T151" s="28" t="str">
        <f t="shared" si="33"/>
        <v/>
      </c>
      <c r="U151" s="28" t="str">
        <f t="shared" si="33"/>
        <v/>
      </c>
      <c r="V151" s="28" t="str">
        <f t="shared" si="33"/>
        <v/>
      </c>
      <c r="W151" s="28" t="str">
        <f t="shared" si="33"/>
        <v/>
      </c>
      <c r="X151" s="29" t="str">
        <f t="shared" si="3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31"/>
        <v/>
      </c>
      <c r="M152" s="19" t="str">
        <f t="shared" si="22"/>
        <v/>
      </c>
      <c r="N152" s="19" t="str">
        <f t="shared" si="23"/>
        <v/>
      </c>
      <c r="O152" s="19" t="str">
        <f t="shared" si="27"/>
        <v/>
      </c>
      <c r="P152" s="19" t="str">
        <f t="shared" si="28"/>
        <v/>
      </c>
      <c r="Q152" s="19" t="str">
        <f t="shared" si="29"/>
        <v/>
      </c>
      <c r="R152" s="19" t="str">
        <f t="shared" si="24"/>
        <v/>
      </c>
      <c r="S152" s="27" t="str">
        <f t="shared" si="33"/>
        <v/>
      </c>
      <c r="T152" s="28" t="str">
        <f t="shared" si="33"/>
        <v/>
      </c>
      <c r="U152" s="28" t="str">
        <f t="shared" si="33"/>
        <v/>
      </c>
      <c r="V152" s="28" t="str">
        <f t="shared" si="33"/>
        <v/>
      </c>
      <c r="W152" s="28" t="str">
        <f t="shared" si="33"/>
        <v/>
      </c>
      <c r="X152" s="29" t="str">
        <f t="shared" si="3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31"/>
        <v/>
      </c>
      <c r="M153" s="19" t="str">
        <f t="shared" si="22"/>
        <v/>
      </c>
      <c r="N153" s="19" t="str">
        <f t="shared" si="23"/>
        <v/>
      </c>
      <c r="O153" s="19" t="str">
        <f t="shared" si="27"/>
        <v/>
      </c>
      <c r="P153" s="19" t="str">
        <f t="shared" si="28"/>
        <v/>
      </c>
      <c r="Q153" s="19" t="str">
        <f t="shared" si="29"/>
        <v/>
      </c>
      <c r="R153" s="19" t="str">
        <f t="shared" si="24"/>
        <v/>
      </c>
      <c r="S153" s="27" t="str">
        <f t="shared" si="33"/>
        <v/>
      </c>
      <c r="T153" s="28" t="str">
        <f t="shared" si="33"/>
        <v/>
      </c>
      <c r="U153" s="28" t="str">
        <f t="shared" si="33"/>
        <v/>
      </c>
      <c r="V153" s="28" t="str">
        <f t="shared" si="33"/>
        <v/>
      </c>
      <c r="W153" s="28" t="str">
        <f t="shared" si="33"/>
        <v/>
      </c>
      <c r="X153" s="29" t="str">
        <f t="shared" si="33"/>
        <v/>
      </c>
      <c r="Y153" s="24"/>
    </row>
  </sheetData>
  <sheetProtection selectLockedCells="1"/>
  <mergeCells count="38">
    <mergeCell ref="R8:V8"/>
    <mergeCell ref="W7:Y7"/>
    <mergeCell ref="J7:Q7"/>
    <mergeCell ref="R7:V7"/>
    <mergeCell ref="E7:I7"/>
    <mergeCell ref="AA9:AI9"/>
    <mergeCell ref="B10:J12"/>
    <mergeCell ref="K10:S12"/>
    <mergeCell ref="T10:Y12"/>
    <mergeCell ref="B9:O9"/>
    <mergeCell ref="P9:Y9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0">
    <pageSetUpPr fitToPage="1"/>
  </sheetPr>
  <dimension ref="A1:AI153"/>
  <sheetViews>
    <sheetView showGridLines="0" zoomScale="75" zoomScaleNormal="75" zoomScaleSheetLayoutView="40" zoomScalePageLayoutView="40" workbookViewId="0">
      <pane ySplit="8" topLeftCell="A60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TZ-18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43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/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/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>
        <v>53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221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479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/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41687</v>
      </c>
      <c r="C16" s="14">
        <v>13.048</v>
      </c>
      <c r="D16" s="15">
        <v>8.4009999999999998</v>
      </c>
      <c r="E16" s="15">
        <v>7.9870000000000001</v>
      </c>
      <c r="F16" s="42"/>
      <c r="G16" s="42"/>
      <c r="H16" s="42"/>
      <c r="I16" s="41">
        <v>102.53100000000001</v>
      </c>
      <c r="J16" s="40">
        <v>485</v>
      </c>
      <c r="K16" s="53">
        <f t="shared" ref="K16:K32" si="0">IF(ISBLANK(J16),"",(J16-$J$8))</f>
        <v>6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41688</v>
      </c>
      <c r="C17" s="25">
        <v>13.048999999999999</v>
      </c>
      <c r="D17" s="26">
        <v>8.4009999999999998</v>
      </c>
      <c r="E17" s="26">
        <v>7.9880000000000004</v>
      </c>
      <c r="F17" s="16"/>
      <c r="G17" s="16"/>
      <c r="H17" s="16"/>
      <c r="I17" s="17">
        <v>102.53100000000001</v>
      </c>
      <c r="J17" s="32">
        <v>492</v>
      </c>
      <c r="K17" s="18">
        <f t="shared" si="0"/>
        <v>13</v>
      </c>
      <c r="L17" s="19">
        <f t="shared" ref="L17:R61" si="2">IF(ISBLANK(C17),"",(C17-C$16)*1000)</f>
        <v>0.99999999999944578</v>
      </c>
      <c r="M17" s="19">
        <f t="shared" si="2"/>
        <v>0</v>
      </c>
      <c r="N17" s="19">
        <f t="shared" si="2"/>
        <v>1.000000000000334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0</v>
      </c>
      <c r="S17" s="27">
        <f t="shared" ref="S17:X32" si="3">IF(C17="","",((C17-C16)*1000)/($B17-$B16))</f>
        <v>0.99999999999944578</v>
      </c>
      <c r="T17" s="28">
        <f t="shared" si="3"/>
        <v>0</v>
      </c>
      <c r="U17" s="28">
        <f t="shared" si="3"/>
        <v>1.000000000000334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41689</v>
      </c>
      <c r="C18" s="25">
        <v>13.048</v>
      </c>
      <c r="D18" s="26">
        <v>8.4019999999999992</v>
      </c>
      <c r="E18" s="26">
        <v>7.9870000000000001</v>
      </c>
      <c r="F18" s="16"/>
      <c r="G18" s="16"/>
      <c r="H18" s="16"/>
      <c r="I18" s="17">
        <v>102.53100000000001</v>
      </c>
      <c r="J18" s="32">
        <v>502</v>
      </c>
      <c r="K18" s="18">
        <f t="shared" si="0"/>
        <v>23</v>
      </c>
      <c r="L18" s="19">
        <f t="shared" si="2"/>
        <v>0</v>
      </c>
      <c r="M18" s="19">
        <f t="shared" si="2"/>
        <v>0.99999999999944578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0</v>
      </c>
      <c r="S18" s="27">
        <f t="shared" si="3"/>
        <v>-0.99999999999944578</v>
      </c>
      <c r="T18" s="28">
        <f t="shared" si="3"/>
        <v>0.99999999999944578</v>
      </c>
      <c r="U18" s="28">
        <f t="shared" si="3"/>
        <v>-1.000000000000334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41690</v>
      </c>
      <c r="C19" s="25">
        <v>13.048</v>
      </c>
      <c r="D19" s="26">
        <v>8.4009999999999998</v>
      </c>
      <c r="E19" s="26">
        <v>7.9880000000000004</v>
      </c>
      <c r="F19" s="16"/>
      <c r="G19" s="16"/>
      <c r="H19" s="16"/>
      <c r="I19" s="17">
        <v>102.53100000000001</v>
      </c>
      <c r="J19" s="32">
        <v>510</v>
      </c>
      <c r="K19" s="18">
        <f t="shared" si="0"/>
        <v>31</v>
      </c>
      <c r="L19" s="19">
        <f t="shared" si="2"/>
        <v>0</v>
      </c>
      <c r="M19" s="19">
        <f t="shared" si="2"/>
        <v>0</v>
      </c>
      <c r="N19" s="19">
        <f t="shared" si="2"/>
        <v>1.000000000000334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0</v>
      </c>
      <c r="S19" s="27">
        <f t="shared" si="3"/>
        <v>0</v>
      </c>
      <c r="T19" s="28">
        <f t="shared" si="3"/>
        <v>-0.99999999999944578</v>
      </c>
      <c r="U19" s="28">
        <f t="shared" si="3"/>
        <v>1.000000000000334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41691</v>
      </c>
      <c r="C20" s="25">
        <v>13.048</v>
      </c>
      <c r="D20" s="26">
        <v>8.4009999999999998</v>
      </c>
      <c r="E20" s="26">
        <v>7.9870000000000001</v>
      </c>
      <c r="F20" s="16"/>
      <c r="G20" s="16"/>
      <c r="H20" s="16"/>
      <c r="I20" s="17">
        <v>102.53</v>
      </c>
      <c r="J20" s="32">
        <v>517</v>
      </c>
      <c r="K20" s="18">
        <f t="shared" si="0"/>
        <v>38</v>
      </c>
      <c r="L20" s="19">
        <f t="shared" si="2"/>
        <v>0</v>
      </c>
      <c r="M20" s="19">
        <f t="shared" si="2"/>
        <v>0</v>
      </c>
      <c r="N20" s="19">
        <f t="shared" si="2"/>
        <v>0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-1.0000000000047748</v>
      </c>
      <c r="S20" s="27">
        <f t="shared" si="3"/>
        <v>0</v>
      </c>
      <c r="T20" s="28">
        <f t="shared" si="3"/>
        <v>0</v>
      </c>
      <c r="U20" s="28">
        <f t="shared" si="3"/>
        <v>-1.000000000000334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41694</v>
      </c>
      <c r="C21" s="25">
        <v>13.048999999999999</v>
      </c>
      <c r="D21" s="26">
        <v>8.4009999999999998</v>
      </c>
      <c r="E21" s="26">
        <v>7.9880000000000004</v>
      </c>
      <c r="F21" s="16"/>
      <c r="G21" s="16"/>
      <c r="H21" s="16"/>
      <c r="I21" s="17">
        <v>102.53</v>
      </c>
      <c r="J21" s="32">
        <v>523.5</v>
      </c>
      <c r="K21" s="18">
        <f t="shared" si="0"/>
        <v>44.5</v>
      </c>
      <c r="L21" s="19">
        <f t="shared" si="2"/>
        <v>0.99999999999944578</v>
      </c>
      <c r="M21" s="19">
        <f t="shared" si="2"/>
        <v>0</v>
      </c>
      <c r="N21" s="19">
        <f t="shared" si="2"/>
        <v>1.000000000000334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-1.0000000000047748</v>
      </c>
      <c r="S21" s="27">
        <f t="shared" si="3"/>
        <v>0.33333333333314857</v>
      </c>
      <c r="T21" s="28">
        <f t="shared" si="3"/>
        <v>0</v>
      </c>
      <c r="U21" s="28">
        <f t="shared" si="3"/>
        <v>0.33333333333344467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41695</v>
      </c>
      <c r="C22" s="25">
        <v>13.048999999999999</v>
      </c>
      <c r="D22" s="26">
        <v>8.4009999999999998</v>
      </c>
      <c r="E22" s="26">
        <v>7.9880000000000004</v>
      </c>
      <c r="F22" s="16"/>
      <c r="G22" s="16"/>
      <c r="H22" s="16"/>
      <c r="I22" s="17">
        <v>102.53</v>
      </c>
      <c r="J22" s="32">
        <v>530</v>
      </c>
      <c r="K22" s="18">
        <f t="shared" si="0"/>
        <v>51</v>
      </c>
      <c r="L22" s="19">
        <f t="shared" si="2"/>
        <v>0.99999999999944578</v>
      </c>
      <c r="M22" s="19">
        <f t="shared" si="2"/>
        <v>0</v>
      </c>
      <c r="N22" s="19">
        <f t="shared" si="2"/>
        <v>1.000000000000334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-1.0000000000047748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41696</v>
      </c>
      <c r="C23" s="25">
        <v>13.048999999999999</v>
      </c>
      <c r="D23" s="26">
        <v>8.4019999999999992</v>
      </c>
      <c r="E23" s="26">
        <v>7.9880000000000004</v>
      </c>
      <c r="F23" s="16"/>
      <c r="G23" s="16"/>
      <c r="H23" s="16"/>
      <c r="I23" s="17">
        <v>102.529</v>
      </c>
      <c r="J23" s="32">
        <v>537</v>
      </c>
      <c r="K23" s="18">
        <f t="shared" si="0"/>
        <v>58</v>
      </c>
      <c r="L23" s="19">
        <f t="shared" si="2"/>
        <v>0.99999999999944578</v>
      </c>
      <c r="M23" s="19">
        <f t="shared" si="2"/>
        <v>0.99999999999944578</v>
      </c>
      <c r="N23" s="19">
        <f t="shared" si="2"/>
        <v>1.000000000000334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-2.0000000000095497</v>
      </c>
      <c r="S23" s="27">
        <f t="shared" si="3"/>
        <v>0</v>
      </c>
      <c r="T23" s="28">
        <f t="shared" si="3"/>
        <v>0.99999999999944578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41697</v>
      </c>
      <c r="C24" s="25">
        <v>13.048999999999999</v>
      </c>
      <c r="D24" s="26">
        <v>8.4019999999999992</v>
      </c>
      <c r="E24" s="26">
        <v>7.9880000000000004</v>
      </c>
      <c r="F24" s="47"/>
      <c r="G24" s="47"/>
      <c r="H24" s="47"/>
      <c r="I24" s="57">
        <v>102.529</v>
      </c>
      <c r="J24" s="58">
        <v>547.5</v>
      </c>
      <c r="K24" s="59">
        <f t="shared" si="0"/>
        <v>68.5</v>
      </c>
      <c r="L24" s="19">
        <f t="shared" si="2"/>
        <v>0.99999999999944578</v>
      </c>
      <c r="M24" s="19">
        <f t="shared" si="2"/>
        <v>0.99999999999944578</v>
      </c>
      <c r="N24" s="19">
        <f t="shared" si="2"/>
        <v>1.000000000000334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-2.0000000000095497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41698</v>
      </c>
      <c r="C25" s="25">
        <v>13.048</v>
      </c>
      <c r="D25" s="26">
        <v>8.4019999999999992</v>
      </c>
      <c r="E25" s="26">
        <v>7.9880000000000004</v>
      </c>
      <c r="F25" s="47"/>
      <c r="G25" s="47"/>
      <c r="H25" s="47"/>
      <c r="I25" s="57">
        <v>102.529</v>
      </c>
      <c r="J25" s="58">
        <v>552</v>
      </c>
      <c r="K25" s="59">
        <f t="shared" si="0"/>
        <v>73</v>
      </c>
      <c r="L25" s="19">
        <f t="shared" si="2"/>
        <v>0</v>
      </c>
      <c r="M25" s="19">
        <f t="shared" si="2"/>
        <v>0.99999999999944578</v>
      </c>
      <c r="N25" s="19">
        <f t="shared" si="2"/>
        <v>1.000000000000334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-2.0000000000095497</v>
      </c>
      <c r="S25" s="27">
        <f t="shared" si="3"/>
        <v>-0.99999999999944578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41701</v>
      </c>
      <c r="C26" s="25">
        <v>13.048999999999999</v>
      </c>
      <c r="D26" s="26">
        <v>8.4019999999999992</v>
      </c>
      <c r="E26" s="26">
        <v>7.9880000000000004</v>
      </c>
      <c r="F26" s="47"/>
      <c r="G26" s="47"/>
      <c r="H26" s="47"/>
      <c r="I26" s="57">
        <v>102.529</v>
      </c>
      <c r="J26" s="58">
        <v>555.5</v>
      </c>
      <c r="K26" s="59">
        <f t="shared" si="0"/>
        <v>76.5</v>
      </c>
      <c r="L26" s="19">
        <f t="shared" si="2"/>
        <v>0.99999999999944578</v>
      </c>
      <c r="M26" s="19">
        <f t="shared" si="2"/>
        <v>0.99999999999944578</v>
      </c>
      <c r="N26" s="19">
        <f t="shared" si="2"/>
        <v>1.000000000000334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-2.0000000000095497</v>
      </c>
      <c r="S26" s="27">
        <f t="shared" si="3"/>
        <v>0.33333333333314857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41702</v>
      </c>
      <c r="C27" s="25">
        <v>13.048</v>
      </c>
      <c r="D27" s="26">
        <v>8.4019999999999992</v>
      </c>
      <c r="E27" s="26">
        <v>7.9880000000000004</v>
      </c>
      <c r="F27" s="47"/>
      <c r="G27" s="47"/>
      <c r="H27" s="47"/>
      <c r="I27" s="57">
        <v>102.529</v>
      </c>
      <c r="J27" s="58">
        <v>559.5</v>
      </c>
      <c r="K27" s="59">
        <f t="shared" si="0"/>
        <v>80.5</v>
      </c>
      <c r="L27" s="19">
        <f t="shared" si="2"/>
        <v>0</v>
      </c>
      <c r="M27" s="19">
        <f t="shared" si="2"/>
        <v>0.99999999999944578</v>
      </c>
      <c r="N27" s="19">
        <f t="shared" si="2"/>
        <v>1.000000000000334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-2.0000000000095497</v>
      </c>
      <c r="S27" s="27">
        <f t="shared" si="3"/>
        <v>-0.99999999999944578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41703</v>
      </c>
      <c r="C28" s="25">
        <v>13.048</v>
      </c>
      <c r="D28" s="26">
        <v>8.4019999999999992</v>
      </c>
      <c r="E28" s="26">
        <v>7.9880000000000004</v>
      </c>
      <c r="F28" s="47"/>
      <c r="G28" s="47"/>
      <c r="H28" s="47"/>
      <c r="I28" s="57">
        <v>102.529</v>
      </c>
      <c r="J28" s="58">
        <v>562.5</v>
      </c>
      <c r="K28" s="59">
        <f t="shared" si="0"/>
        <v>83.5</v>
      </c>
      <c r="L28" s="19">
        <f t="shared" si="2"/>
        <v>0</v>
      </c>
      <c r="M28" s="19">
        <f t="shared" si="2"/>
        <v>0.99999999999944578</v>
      </c>
      <c r="N28" s="19">
        <f t="shared" si="2"/>
        <v>1.000000000000334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-2.0000000000095497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41704</v>
      </c>
      <c r="C29" s="25">
        <v>13.048</v>
      </c>
      <c r="D29" s="26">
        <v>8.4019999999999992</v>
      </c>
      <c r="E29" s="26">
        <v>7.9880000000000004</v>
      </c>
      <c r="F29" s="47"/>
      <c r="G29" s="47"/>
      <c r="H29" s="47"/>
      <c r="I29" s="57">
        <v>102.529</v>
      </c>
      <c r="J29" s="58">
        <v>565</v>
      </c>
      <c r="K29" s="59">
        <f t="shared" si="0"/>
        <v>86</v>
      </c>
      <c r="L29" s="19">
        <f t="shared" si="2"/>
        <v>0</v>
      </c>
      <c r="M29" s="19">
        <f t="shared" si="2"/>
        <v>0.99999999999944578</v>
      </c>
      <c r="N29" s="19">
        <f t="shared" si="2"/>
        <v>1.000000000000334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-2.0000000000095497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41705</v>
      </c>
      <c r="C30" s="25">
        <v>13.048</v>
      </c>
      <c r="D30" s="26">
        <v>8.4009999999999998</v>
      </c>
      <c r="E30" s="26">
        <v>7.9880000000000004</v>
      </c>
      <c r="F30" s="47"/>
      <c r="G30" s="47"/>
      <c r="H30" s="47"/>
      <c r="I30" s="57">
        <v>102.529</v>
      </c>
      <c r="J30" s="58">
        <v>568.5</v>
      </c>
      <c r="K30" s="59">
        <f t="shared" si="0"/>
        <v>89.5</v>
      </c>
      <c r="L30" s="19">
        <f t="shared" si="2"/>
        <v>0</v>
      </c>
      <c r="M30" s="19">
        <f t="shared" si="2"/>
        <v>0</v>
      </c>
      <c r="N30" s="19">
        <f t="shared" si="2"/>
        <v>1.000000000000334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-2.0000000000095497</v>
      </c>
      <c r="S30" s="27">
        <f t="shared" si="3"/>
        <v>0</v>
      </c>
      <c r="T30" s="28">
        <f t="shared" si="3"/>
        <v>-0.99999999999944578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41708</v>
      </c>
      <c r="C31" s="25">
        <v>13.048</v>
      </c>
      <c r="D31" s="26">
        <v>8.4019999999999992</v>
      </c>
      <c r="E31" s="26">
        <v>7.9880000000000004</v>
      </c>
      <c r="F31" s="47"/>
      <c r="G31" s="47"/>
      <c r="H31" s="47"/>
      <c r="I31" s="57">
        <v>102.529</v>
      </c>
      <c r="J31" s="58">
        <v>576</v>
      </c>
      <c r="K31" s="59">
        <f t="shared" si="0"/>
        <v>97</v>
      </c>
      <c r="L31" s="19">
        <f t="shared" si="2"/>
        <v>0</v>
      </c>
      <c r="M31" s="19">
        <f t="shared" si="2"/>
        <v>0.99999999999944578</v>
      </c>
      <c r="N31" s="19">
        <f t="shared" si="2"/>
        <v>1.000000000000334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-2.0000000000095497</v>
      </c>
      <c r="S31" s="27">
        <f t="shared" si="3"/>
        <v>0</v>
      </c>
      <c r="T31" s="28">
        <f t="shared" si="3"/>
        <v>0.33333333333314857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41709</v>
      </c>
      <c r="C32" s="25">
        <v>13.048</v>
      </c>
      <c r="D32" s="26">
        <v>8.4019999999999992</v>
      </c>
      <c r="E32" s="26">
        <v>7.9880000000000004</v>
      </c>
      <c r="F32" s="47"/>
      <c r="G32" s="47"/>
      <c r="H32" s="47"/>
      <c r="I32" s="57">
        <v>102.529</v>
      </c>
      <c r="J32" s="58">
        <v>584</v>
      </c>
      <c r="K32" s="59">
        <f t="shared" si="0"/>
        <v>105</v>
      </c>
      <c r="L32" s="19">
        <f t="shared" si="2"/>
        <v>0</v>
      </c>
      <c r="M32" s="19">
        <f t="shared" si="2"/>
        <v>0.99999999999944578</v>
      </c>
      <c r="N32" s="19">
        <f t="shared" si="2"/>
        <v>1.000000000000334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-2.0000000000095497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41710</v>
      </c>
      <c r="C33" s="25">
        <v>13.048</v>
      </c>
      <c r="D33" s="26">
        <v>8.4019999999999992</v>
      </c>
      <c r="E33" s="26">
        <v>7.9880000000000004</v>
      </c>
      <c r="F33" s="47"/>
      <c r="G33" s="47"/>
      <c r="H33" s="47"/>
      <c r="I33" s="57">
        <v>102.529</v>
      </c>
      <c r="J33" s="58">
        <v>587.5</v>
      </c>
      <c r="K33" s="59">
        <f t="shared" ref="K33:K49" si="4">IF(ISBLANK(J33),"",(J33-$J$8))</f>
        <v>108.5</v>
      </c>
      <c r="L33" s="19">
        <f t="shared" si="2"/>
        <v>0</v>
      </c>
      <c r="M33" s="19">
        <f t="shared" si="2"/>
        <v>0.99999999999944578</v>
      </c>
      <c r="N33" s="19">
        <f t="shared" si="2"/>
        <v>1.000000000000334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-2.0000000000095497</v>
      </c>
      <c r="S33" s="27">
        <f t="shared" ref="S33:X48" si="5">IF(C33="","",((C33-C32)*1000)/($B33-$B32))</f>
        <v>0</v>
      </c>
      <c r="T33" s="28">
        <f t="shared" si="5"/>
        <v>0</v>
      </c>
      <c r="U33" s="28">
        <f t="shared" si="5"/>
        <v>0</v>
      </c>
      <c r="V33" s="28" t="str">
        <f t="shared" si="5"/>
        <v/>
      </c>
      <c r="W33" s="28" t="str">
        <f t="shared" si="5"/>
        <v/>
      </c>
      <c r="X33" s="29" t="str">
        <f t="shared" si="5"/>
        <v/>
      </c>
      <c r="Y33" s="24"/>
    </row>
    <row r="34" spans="2:25" ht="15" customHeight="1" x14ac:dyDescent="0.2">
      <c r="B34" s="31">
        <v>41711</v>
      </c>
      <c r="C34" s="25">
        <v>13.048999999999999</v>
      </c>
      <c r="D34" s="26">
        <v>8.4019999999999992</v>
      </c>
      <c r="E34" s="26">
        <v>7.9880000000000004</v>
      </c>
      <c r="F34" s="47"/>
      <c r="G34" s="47"/>
      <c r="H34" s="47"/>
      <c r="I34" s="57">
        <v>102.529</v>
      </c>
      <c r="J34" s="58">
        <v>596</v>
      </c>
      <c r="K34" s="59">
        <f t="shared" si="4"/>
        <v>117</v>
      </c>
      <c r="L34" s="19">
        <f t="shared" si="2"/>
        <v>0.99999999999944578</v>
      </c>
      <c r="M34" s="19">
        <f t="shared" si="2"/>
        <v>0.99999999999944578</v>
      </c>
      <c r="N34" s="19">
        <f t="shared" si="2"/>
        <v>1.000000000000334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2"/>
        <v>-2.0000000000095497</v>
      </c>
      <c r="S34" s="27">
        <f t="shared" si="5"/>
        <v>0.99999999999944578</v>
      </c>
      <c r="T34" s="28">
        <f t="shared" si="5"/>
        <v>0</v>
      </c>
      <c r="U34" s="28">
        <f t="shared" si="5"/>
        <v>0</v>
      </c>
      <c r="V34" s="28" t="str">
        <f t="shared" si="5"/>
        <v/>
      </c>
      <c r="W34" s="28" t="str">
        <f t="shared" si="5"/>
        <v/>
      </c>
      <c r="X34" s="29" t="str">
        <f t="shared" si="5"/>
        <v/>
      </c>
      <c r="Y34" s="24"/>
    </row>
    <row r="35" spans="2:25" ht="15" customHeight="1" x14ac:dyDescent="0.2">
      <c r="B35" s="31">
        <v>41712</v>
      </c>
      <c r="C35" s="25">
        <v>13.048</v>
      </c>
      <c r="D35" s="26">
        <v>8.4019999999999992</v>
      </c>
      <c r="E35" s="26">
        <v>7.9880000000000004</v>
      </c>
      <c r="F35" s="47"/>
      <c r="G35" s="47"/>
      <c r="H35" s="47"/>
      <c r="I35" s="57">
        <v>102.529</v>
      </c>
      <c r="J35" s="58">
        <v>600.5</v>
      </c>
      <c r="K35" s="59">
        <f t="shared" si="4"/>
        <v>121.5</v>
      </c>
      <c r="L35" s="19">
        <f t="shared" si="2"/>
        <v>0</v>
      </c>
      <c r="M35" s="19">
        <f t="shared" si="2"/>
        <v>0.99999999999944578</v>
      </c>
      <c r="N35" s="19">
        <f t="shared" si="2"/>
        <v>1.000000000000334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2"/>
        <v>-2.0000000000095497</v>
      </c>
      <c r="S35" s="27">
        <f t="shared" si="5"/>
        <v>-0.99999999999944578</v>
      </c>
      <c r="T35" s="28">
        <f t="shared" si="5"/>
        <v>0</v>
      </c>
      <c r="U35" s="28">
        <f t="shared" si="5"/>
        <v>0</v>
      </c>
      <c r="V35" s="28" t="str">
        <f t="shared" si="5"/>
        <v/>
      </c>
      <c r="W35" s="28" t="str">
        <f t="shared" si="5"/>
        <v/>
      </c>
      <c r="X35" s="29" t="str">
        <f t="shared" si="5"/>
        <v/>
      </c>
      <c r="Y35" s="24"/>
    </row>
    <row r="36" spans="2:25" ht="15" customHeight="1" x14ac:dyDescent="0.2">
      <c r="B36" s="31">
        <v>41715</v>
      </c>
      <c r="C36" s="25">
        <v>13.048</v>
      </c>
      <c r="D36" s="26">
        <v>8.4019999999999992</v>
      </c>
      <c r="E36" s="26">
        <v>7.9880000000000004</v>
      </c>
      <c r="F36" s="47"/>
      <c r="G36" s="47"/>
      <c r="H36" s="47"/>
      <c r="I36" s="57">
        <v>102.529</v>
      </c>
      <c r="J36" s="58">
        <v>609.5</v>
      </c>
      <c r="K36" s="59">
        <f t="shared" si="4"/>
        <v>130.5</v>
      </c>
      <c r="L36" s="19">
        <f t="shared" si="2"/>
        <v>0</v>
      </c>
      <c r="M36" s="19">
        <f t="shared" si="2"/>
        <v>0.99999999999944578</v>
      </c>
      <c r="N36" s="19">
        <f t="shared" si="2"/>
        <v>1.000000000000334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2"/>
        <v>-2.0000000000095497</v>
      </c>
      <c r="S36" s="27">
        <f t="shared" si="5"/>
        <v>0</v>
      </c>
      <c r="T36" s="28">
        <f t="shared" si="5"/>
        <v>0</v>
      </c>
      <c r="U36" s="28">
        <f t="shared" si="5"/>
        <v>0</v>
      </c>
      <c r="V36" s="28" t="str">
        <f t="shared" si="5"/>
        <v/>
      </c>
      <c r="W36" s="28" t="str">
        <f t="shared" si="5"/>
        <v/>
      </c>
      <c r="X36" s="29" t="str">
        <f t="shared" si="5"/>
        <v/>
      </c>
      <c r="Y36" s="24"/>
    </row>
    <row r="37" spans="2:25" ht="15" customHeight="1" x14ac:dyDescent="0.2">
      <c r="B37" s="31">
        <v>41723</v>
      </c>
      <c r="C37" s="25">
        <v>13.048999999999999</v>
      </c>
      <c r="D37" s="26">
        <v>8.4019999999999992</v>
      </c>
      <c r="E37" s="26">
        <v>7.9880000000000004</v>
      </c>
      <c r="F37" s="47"/>
      <c r="G37" s="47"/>
      <c r="H37" s="47"/>
      <c r="I37" s="57">
        <v>102.529</v>
      </c>
      <c r="J37" s="32">
        <v>308</v>
      </c>
      <c r="K37" s="59">
        <f t="shared" si="4"/>
        <v>-171</v>
      </c>
      <c r="L37" s="19">
        <f t="shared" si="2"/>
        <v>0.99999999999944578</v>
      </c>
      <c r="M37" s="19">
        <f t="shared" si="2"/>
        <v>0.99999999999944578</v>
      </c>
      <c r="N37" s="19">
        <f t="shared" si="2"/>
        <v>1.000000000000334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2"/>
        <v>-2.0000000000095497</v>
      </c>
      <c r="S37" s="27">
        <f t="shared" si="5"/>
        <v>0.12499999999993072</v>
      </c>
      <c r="T37" s="28">
        <f t="shared" si="5"/>
        <v>0</v>
      </c>
      <c r="U37" s="28">
        <f t="shared" si="5"/>
        <v>0</v>
      </c>
      <c r="V37" s="28" t="str">
        <f t="shared" si="5"/>
        <v/>
      </c>
      <c r="W37" s="28" t="str">
        <f t="shared" si="5"/>
        <v/>
      </c>
      <c r="X37" s="29" t="str">
        <f t="shared" si="5"/>
        <v/>
      </c>
      <c r="Y37" s="24" t="s">
        <v>23</v>
      </c>
    </row>
    <row r="38" spans="2:25" ht="15" customHeight="1" x14ac:dyDescent="0.2">
      <c r="B38" s="31">
        <v>41724</v>
      </c>
      <c r="C38" s="25">
        <v>13.048999999999999</v>
      </c>
      <c r="D38" s="26">
        <v>8.4019999999999992</v>
      </c>
      <c r="E38" s="26">
        <v>7.9880000000000004</v>
      </c>
      <c r="F38" s="47"/>
      <c r="G38" s="47"/>
      <c r="H38" s="47"/>
      <c r="I38" s="57">
        <v>102.529</v>
      </c>
      <c r="J38" s="32">
        <v>319</v>
      </c>
      <c r="K38" s="59">
        <f t="shared" si="4"/>
        <v>-160</v>
      </c>
      <c r="L38" s="19">
        <f t="shared" si="2"/>
        <v>0.99999999999944578</v>
      </c>
      <c r="M38" s="19">
        <f t="shared" si="2"/>
        <v>0.99999999999944578</v>
      </c>
      <c r="N38" s="19">
        <f t="shared" si="2"/>
        <v>1.000000000000334</v>
      </c>
      <c r="O38" s="19" t="str">
        <f t="shared" si="2"/>
        <v/>
      </c>
      <c r="P38" s="19" t="str">
        <f t="shared" si="2"/>
        <v/>
      </c>
      <c r="Q38" s="19" t="str">
        <f t="shared" si="2"/>
        <v/>
      </c>
      <c r="R38" s="19">
        <f t="shared" si="2"/>
        <v>-2.0000000000095497</v>
      </c>
      <c r="S38" s="27">
        <f t="shared" si="5"/>
        <v>0</v>
      </c>
      <c r="T38" s="28">
        <f t="shared" si="5"/>
        <v>0</v>
      </c>
      <c r="U38" s="28">
        <f t="shared" si="5"/>
        <v>0</v>
      </c>
      <c r="V38" s="28" t="str">
        <f t="shared" si="5"/>
        <v/>
      </c>
      <c r="W38" s="28" t="str">
        <f t="shared" si="5"/>
        <v/>
      </c>
      <c r="X38" s="29" t="str">
        <f t="shared" si="5"/>
        <v/>
      </c>
      <c r="Y38" s="24"/>
    </row>
    <row r="39" spans="2:25" ht="15" customHeight="1" x14ac:dyDescent="0.2">
      <c r="B39" s="31">
        <v>41743</v>
      </c>
      <c r="C39" s="25">
        <v>13.042999999999999</v>
      </c>
      <c r="D39" s="26">
        <v>8.3989999999999991</v>
      </c>
      <c r="E39" s="26">
        <v>7.9859999999999998</v>
      </c>
      <c r="F39" s="16">
        <v>13.536</v>
      </c>
      <c r="G39" s="16">
        <v>10.824999999999999</v>
      </c>
      <c r="H39" s="16">
        <v>10.673</v>
      </c>
      <c r="I39" s="57">
        <v>102.523</v>
      </c>
      <c r="J39" s="32">
        <v>484</v>
      </c>
      <c r="K39" s="59">
        <f t="shared" si="4"/>
        <v>5</v>
      </c>
      <c r="L39" s="19">
        <f t="shared" si="2"/>
        <v>-5.0000000000007816</v>
      </c>
      <c r="M39" s="19">
        <f t="shared" si="2"/>
        <v>-2.0000000000006679</v>
      </c>
      <c r="N39" s="19">
        <f t="shared" si="2"/>
        <v>-1.000000000000334</v>
      </c>
      <c r="O39" s="19">
        <f>IF(ISBLANK(F39),"",((F39-F$39)*1000)+L$39)</f>
        <v>-5.0000000000007816</v>
      </c>
      <c r="P39" s="19">
        <f>IF(ISBLANK(G39),"",((G39-G$39)*1000)+M$39)</f>
        <v>-2.0000000000006679</v>
      </c>
      <c r="Q39" s="19">
        <f>IF(ISBLANK(H39),"",((H39-H$39)*1000)+N$39)</f>
        <v>-1.000000000000334</v>
      </c>
      <c r="R39" s="19">
        <f t="shared" si="2"/>
        <v>-8.0000000000097771</v>
      </c>
      <c r="S39" s="27">
        <f t="shared" si="5"/>
        <v>-0.3157894736842225</v>
      </c>
      <c r="T39" s="28">
        <f t="shared" si="5"/>
        <v>-0.15789473684211125</v>
      </c>
      <c r="U39" s="28">
        <f t="shared" si="5"/>
        <v>-0.10526315789477199</v>
      </c>
      <c r="V39" s="28"/>
      <c r="W39" s="28"/>
      <c r="X39" s="29"/>
      <c r="Y39" s="24"/>
    </row>
    <row r="40" spans="2:25" ht="15" customHeight="1" x14ac:dyDescent="0.2">
      <c r="B40" s="31">
        <v>41744</v>
      </c>
      <c r="C40" s="25">
        <v>13.042999999999999</v>
      </c>
      <c r="D40" s="26">
        <v>8.3989999999999991</v>
      </c>
      <c r="E40" s="26">
        <v>7.9859999999999998</v>
      </c>
      <c r="F40" s="16">
        <v>13.536</v>
      </c>
      <c r="G40" s="16">
        <v>10.824999999999999</v>
      </c>
      <c r="H40" s="16">
        <v>10.673</v>
      </c>
      <c r="I40" s="57">
        <v>102.523</v>
      </c>
      <c r="J40" s="32">
        <v>499</v>
      </c>
      <c r="K40" s="59">
        <f t="shared" si="4"/>
        <v>20</v>
      </c>
      <c r="L40" s="19">
        <f t="shared" si="2"/>
        <v>-5.0000000000007816</v>
      </c>
      <c r="M40" s="19">
        <f t="shared" si="2"/>
        <v>-2.0000000000006679</v>
      </c>
      <c r="N40" s="19">
        <f t="shared" si="2"/>
        <v>-1.000000000000334</v>
      </c>
      <c r="O40" s="19">
        <f t="shared" ref="O40:O103" si="6">IF(ISBLANK(F40),"",((F40-F$39)*1000)+L$39)</f>
        <v>-5.0000000000007816</v>
      </c>
      <c r="P40" s="19">
        <f t="shared" ref="P40:P103" si="7">IF(ISBLANK(G40),"",((G40-G$39)*1000)+M$39)</f>
        <v>-2.0000000000006679</v>
      </c>
      <c r="Q40" s="19">
        <f t="shared" ref="Q40:Q103" si="8">IF(ISBLANK(H40),"",((H40-H$39)*1000)+N$39)</f>
        <v>-1.000000000000334</v>
      </c>
      <c r="R40" s="19">
        <f t="shared" si="2"/>
        <v>-8.0000000000097771</v>
      </c>
      <c r="S40" s="27">
        <f t="shared" si="5"/>
        <v>0</v>
      </c>
      <c r="T40" s="28">
        <f t="shared" si="5"/>
        <v>0</v>
      </c>
      <c r="U40" s="28">
        <f t="shared" si="5"/>
        <v>0</v>
      </c>
      <c r="V40" s="28">
        <f t="shared" si="5"/>
        <v>0</v>
      </c>
      <c r="W40" s="28">
        <f t="shared" si="5"/>
        <v>0</v>
      </c>
      <c r="X40" s="29">
        <f t="shared" si="5"/>
        <v>0</v>
      </c>
      <c r="Y40" s="24"/>
    </row>
    <row r="41" spans="2:25" ht="15" customHeight="1" x14ac:dyDescent="0.2">
      <c r="B41" s="31">
        <v>41745</v>
      </c>
      <c r="C41" s="64">
        <v>13.042999999999999</v>
      </c>
      <c r="D41" s="65">
        <v>8.3989999999999991</v>
      </c>
      <c r="E41" s="65">
        <v>7.9859999999999998</v>
      </c>
      <c r="F41" s="16">
        <v>13.535</v>
      </c>
      <c r="G41" s="16">
        <v>10.824</v>
      </c>
      <c r="H41" s="16">
        <v>10.672000000000001</v>
      </c>
      <c r="I41" s="57">
        <v>102.523</v>
      </c>
      <c r="J41" s="32">
        <v>516.5</v>
      </c>
      <c r="K41" s="59">
        <f t="shared" si="4"/>
        <v>37.5</v>
      </c>
      <c r="L41" s="19">
        <f t="shared" si="2"/>
        <v>-5.0000000000007816</v>
      </c>
      <c r="M41" s="19">
        <f t="shared" si="2"/>
        <v>-2.0000000000006679</v>
      </c>
      <c r="N41" s="19">
        <f t="shared" si="2"/>
        <v>-1.000000000000334</v>
      </c>
      <c r="O41" s="19">
        <f t="shared" si="6"/>
        <v>-6.0000000000002274</v>
      </c>
      <c r="P41" s="19">
        <f t="shared" si="7"/>
        <v>-3.0000000000001137</v>
      </c>
      <c r="Q41" s="19">
        <f t="shared" si="8"/>
        <v>-1.9999999999997797</v>
      </c>
      <c r="R41" s="19">
        <f t="shared" si="2"/>
        <v>-8.0000000000097771</v>
      </c>
      <c r="S41" s="27">
        <f t="shared" si="5"/>
        <v>0</v>
      </c>
      <c r="T41" s="28">
        <f t="shared" si="5"/>
        <v>0</v>
      </c>
      <c r="U41" s="28">
        <f t="shared" si="5"/>
        <v>0</v>
      </c>
      <c r="V41" s="28">
        <f t="shared" si="5"/>
        <v>-0.99999999999944578</v>
      </c>
      <c r="W41" s="28">
        <f t="shared" si="5"/>
        <v>-0.99999999999944578</v>
      </c>
      <c r="X41" s="29">
        <f t="shared" si="5"/>
        <v>-0.99999999999944578</v>
      </c>
      <c r="Y41" s="24"/>
    </row>
    <row r="42" spans="2:25" ht="15" customHeight="1" x14ac:dyDescent="0.2">
      <c r="B42" s="31">
        <v>41751</v>
      </c>
      <c r="C42" s="64">
        <v>13.042999999999999</v>
      </c>
      <c r="D42" s="65">
        <v>8.3989999999999991</v>
      </c>
      <c r="E42" s="65">
        <v>7.9859999999999998</v>
      </c>
      <c r="F42" s="16">
        <v>13.535</v>
      </c>
      <c r="G42" s="16">
        <v>10.824</v>
      </c>
      <c r="H42" s="16">
        <v>10.672000000000001</v>
      </c>
      <c r="I42" s="57">
        <v>102.523</v>
      </c>
      <c r="J42" s="32">
        <v>534.5</v>
      </c>
      <c r="K42" s="59">
        <f t="shared" si="4"/>
        <v>55.5</v>
      </c>
      <c r="L42" s="19">
        <f t="shared" si="2"/>
        <v>-5.0000000000007816</v>
      </c>
      <c r="M42" s="19">
        <f t="shared" si="2"/>
        <v>-2.0000000000006679</v>
      </c>
      <c r="N42" s="19">
        <f t="shared" si="2"/>
        <v>-1.000000000000334</v>
      </c>
      <c r="O42" s="19">
        <f t="shared" si="6"/>
        <v>-6.0000000000002274</v>
      </c>
      <c r="P42" s="19">
        <f t="shared" si="7"/>
        <v>-3.0000000000001137</v>
      </c>
      <c r="Q42" s="19">
        <f t="shared" si="8"/>
        <v>-1.9999999999997797</v>
      </c>
      <c r="R42" s="19">
        <f t="shared" si="2"/>
        <v>-8.0000000000097771</v>
      </c>
      <c r="S42" s="27">
        <f t="shared" si="5"/>
        <v>0</v>
      </c>
      <c r="T42" s="28">
        <f t="shared" si="5"/>
        <v>0</v>
      </c>
      <c r="U42" s="28">
        <f t="shared" si="5"/>
        <v>0</v>
      </c>
      <c r="V42" s="28">
        <f t="shared" si="5"/>
        <v>0</v>
      </c>
      <c r="W42" s="28">
        <f t="shared" si="5"/>
        <v>0</v>
      </c>
      <c r="X42" s="29">
        <f t="shared" si="5"/>
        <v>0</v>
      </c>
      <c r="Y42" s="24" t="s">
        <v>35</v>
      </c>
    </row>
    <row r="43" spans="2:25" ht="15" customHeight="1" x14ac:dyDescent="0.2">
      <c r="B43" s="31">
        <v>41752</v>
      </c>
      <c r="C43" s="64">
        <v>13.042999999999999</v>
      </c>
      <c r="D43" s="65">
        <v>8.3989999999999991</v>
      </c>
      <c r="E43" s="65">
        <v>7.9859999999999998</v>
      </c>
      <c r="F43" s="16">
        <v>13.536</v>
      </c>
      <c r="G43" s="16">
        <v>10.824999999999999</v>
      </c>
      <c r="H43" s="16">
        <v>10.673</v>
      </c>
      <c r="I43" s="57">
        <v>102.523</v>
      </c>
      <c r="J43" s="32">
        <v>534.5</v>
      </c>
      <c r="K43" s="59">
        <f t="shared" si="4"/>
        <v>55.5</v>
      </c>
      <c r="L43" s="19">
        <f t="shared" si="2"/>
        <v>-5.0000000000007816</v>
      </c>
      <c r="M43" s="19">
        <f t="shared" si="2"/>
        <v>-2.0000000000006679</v>
      </c>
      <c r="N43" s="19">
        <f t="shared" si="2"/>
        <v>-1.000000000000334</v>
      </c>
      <c r="O43" s="19">
        <f t="shared" si="6"/>
        <v>-5.0000000000007816</v>
      </c>
      <c r="P43" s="19">
        <f t="shared" si="7"/>
        <v>-2.0000000000006679</v>
      </c>
      <c r="Q43" s="19">
        <f t="shared" si="8"/>
        <v>-1.000000000000334</v>
      </c>
      <c r="R43" s="19">
        <f t="shared" si="2"/>
        <v>-8.0000000000097771</v>
      </c>
      <c r="S43" s="27">
        <f t="shared" si="5"/>
        <v>0</v>
      </c>
      <c r="T43" s="28">
        <f t="shared" si="5"/>
        <v>0</v>
      </c>
      <c r="U43" s="28">
        <f t="shared" si="5"/>
        <v>0</v>
      </c>
      <c r="V43" s="28">
        <f t="shared" si="5"/>
        <v>0.99999999999944578</v>
      </c>
      <c r="W43" s="28">
        <f t="shared" si="5"/>
        <v>0.99999999999944578</v>
      </c>
      <c r="X43" s="29">
        <f t="shared" si="5"/>
        <v>0.99999999999944578</v>
      </c>
      <c r="Y43" s="24"/>
    </row>
    <row r="44" spans="2:25" ht="15" customHeight="1" x14ac:dyDescent="0.2">
      <c r="B44" s="31">
        <v>41753</v>
      </c>
      <c r="C44" s="64">
        <v>13.042999999999999</v>
      </c>
      <c r="D44" s="65">
        <v>8.3989999999999991</v>
      </c>
      <c r="E44" s="65">
        <v>7.9859999999999998</v>
      </c>
      <c r="F44" s="16">
        <v>13.535</v>
      </c>
      <c r="G44" s="16">
        <v>10.824</v>
      </c>
      <c r="H44" s="16">
        <v>10.672000000000001</v>
      </c>
      <c r="I44" s="57">
        <v>102.523</v>
      </c>
      <c r="J44" s="32">
        <v>534.5</v>
      </c>
      <c r="K44" s="59">
        <f t="shared" si="4"/>
        <v>55.5</v>
      </c>
      <c r="L44" s="19">
        <f t="shared" si="2"/>
        <v>-5.0000000000007816</v>
      </c>
      <c r="M44" s="19">
        <f t="shared" si="2"/>
        <v>-2.0000000000006679</v>
      </c>
      <c r="N44" s="19">
        <f t="shared" si="2"/>
        <v>-1.000000000000334</v>
      </c>
      <c r="O44" s="19">
        <f t="shared" si="6"/>
        <v>-6.0000000000002274</v>
      </c>
      <c r="P44" s="19">
        <f t="shared" si="7"/>
        <v>-3.0000000000001137</v>
      </c>
      <c r="Q44" s="19">
        <f t="shared" si="8"/>
        <v>-1.9999999999997797</v>
      </c>
      <c r="R44" s="19">
        <f t="shared" si="2"/>
        <v>-8.0000000000097771</v>
      </c>
      <c r="S44" s="27">
        <f t="shared" si="5"/>
        <v>0</v>
      </c>
      <c r="T44" s="28">
        <f t="shared" si="5"/>
        <v>0</v>
      </c>
      <c r="U44" s="28">
        <f t="shared" si="5"/>
        <v>0</v>
      </c>
      <c r="V44" s="28">
        <f t="shared" si="5"/>
        <v>-0.99999999999944578</v>
      </c>
      <c r="W44" s="28">
        <f t="shared" si="5"/>
        <v>-0.99999999999944578</v>
      </c>
      <c r="X44" s="29">
        <f t="shared" si="5"/>
        <v>-0.99999999999944578</v>
      </c>
      <c r="Y44" s="24"/>
    </row>
    <row r="45" spans="2:25" ht="15" customHeight="1" x14ac:dyDescent="0.2">
      <c r="B45" s="31">
        <v>41754</v>
      </c>
      <c r="C45" s="64">
        <v>13.042999999999999</v>
      </c>
      <c r="D45" s="65">
        <v>8.3989999999999991</v>
      </c>
      <c r="E45" s="65">
        <v>7.9859999999999998</v>
      </c>
      <c r="F45" s="16">
        <v>13.536</v>
      </c>
      <c r="G45" s="16">
        <v>10.824999999999999</v>
      </c>
      <c r="H45" s="16">
        <v>10.673</v>
      </c>
      <c r="I45" s="57">
        <v>102.523</v>
      </c>
      <c r="J45" s="32">
        <v>534.5</v>
      </c>
      <c r="K45" s="59">
        <f t="shared" si="4"/>
        <v>55.5</v>
      </c>
      <c r="L45" s="19">
        <f t="shared" si="2"/>
        <v>-5.0000000000007816</v>
      </c>
      <c r="M45" s="19">
        <f t="shared" si="2"/>
        <v>-2.0000000000006679</v>
      </c>
      <c r="N45" s="19">
        <f t="shared" si="2"/>
        <v>-1.000000000000334</v>
      </c>
      <c r="O45" s="19">
        <f t="shared" si="6"/>
        <v>-5.0000000000007816</v>
      </c>
      <c r="P45" s="19">
        <f t="shared" si="7"/>
        <v>-2.0000000000006679</v>
      </c>
      <c r="Q45" s="19">
        <f t="shared" si="8"/>
        <v>-1.000000000000334</v>
      </c>
      <c r="R45" s="19">
        <f t="shared" si="2"/>
        <v>-8.0000000000097771</v>
      </c>
      <c r="S45" s="27">
        <f t="shared" si="5"/>
        <v>0</v>
      </c>
      <c r="T45" s="28">
        <f t="shared" si="5"/>
        <v>0</v>
      </c>
      <c r="U45" s="28">
        <f t="shared" si="5"/>
        <v>0</v>
      </c>
      <c r="V45" s="28">
        <f t="shared" si="5"/>
        <v>0.99999999999944578</v>
      </c>
      <c r="W45" s="28">
        <f t="shared" si="5"/>
        <v>0.99999999999944578</v>
      </c>
      <c r="X45" s="29">
        <f t="shared" si="5"/>
        <v>0.99999999999944578</v>
      </c>
      <c r="Y45" s="24"/>
    </row>
    <row r="46" spans="2:25" ht="15" customHeight="1" x14ac:dyDescent="0.2">
      <c r="B46" s="31">
        <v>41757</v>
      </c>
      <c r="C46" s="64">
        <v>13.042999999999999</v>
      </c>
      <c r="D46" s="65">
        <v>8.3989999999999991</v>
      </c>
      <c r="E46" s="65">
        <v>7.9859999999999998</v>
      </c>
      <c r="F46" s="16">
        <v>13.535</v>
      </c>
      <c r="G46" s="16">
        <v>10.824</v>
      </c>
      <c r="H46" s="16">
        <v>10.672000000000001</v>
      </c>
      <c r="I46" s="57">
        <v>102.523</v>
      </c>
      <c r="J46" s="32">
        <v>534.5</v>
      </c>
      <c r="K46" s="59">
        <f t="shared" si="4"/>
        <v>55.5</v>
      </c>
      <c r="L46" s="19">
        <f t="shared" si="2"/>
        <v>-5.0000000000007816</v>
      </c>
      <c r="M46" s="19">
        <f t="shared" si="2"/>
        <v>-2.0000000000006679</v>
      </c>
      <c r="N46" s="19">
        <f t="shared" si="2"/>
        <v>-1.000000000000334</v>
      </c>
      <c r="O46" s="19">
        <f t="shared" si="6"/>
        <v>-6.0000000000002274</v>
      </c>
      <c r="P46" s="19">
        <f t="shared" si="7"/>
        <v>-3.0000000000001137</v>
      </c>
      <c r="Q46" s="19">
        <f t="shared" si="8"/>
        <v>-1.9999999999997797</v>
      </c>
      <c r="R46" s="19">
        <f t="shared" si="2"/>
        <v>-8.0000000000097771</v>
      </c>
      <c r="S46" s="27">
        <f t="shared" si="5"/>
        <v>0</v>
      </c>
      <c r="T46" s="28">
        <f t="shared" si="5"/>
        <v>0</v>
      </c>
      <c r="U46" s="28">
        <f t="shared" si="5"/>
        <v>0</v>
      </c>
      <c r="V46" s="28">
        <f t="shared" si="5"/>
        <v>-0.33333333333314857</v>
      </c>
      <c r="W46" s="28">
        <f t="shared" si="5"/>
        <v>-0.33333333333314857</v>
      </c>
      <c r="X46" s="29">
        <f t="shared" si="5"/>
        <v>-0.33333333333314857</v>
      </c>
      <c r="Y46" s="24"/>
    </row>
    <row r="47" spans="2:25" ht="15" customHeight="1" x14ac:dyDescent="0.2">
      <c r="B47" s="31">
        <v>41758</v>
      </c>
      <c r="C47" s="64">
        <v>13.042999999999999</v>
      </c>
      <c r="D47" s="65">
        <v>8.3989999999999991</v>
      </c>
      <c r="E47" s="65">
        <v>7.9859999999999998</v>
      </c>
      <c r="F47" s="16">
        <v>13.535</v>
      </c>
      <c r="G47" s="16">
        <v>10.823</v>
      </c>
      <c r="H47" s="16">
        <v>10.672000000000001</v>
      </c>
      <c r="I47" s="57">
        <v>102.523</v>
      </c>
      <c r="J47" s="32">
        <v>534.5</v>
      </c>
      <c r="K47" s="59">
        <f t="shared" si="4"/>
        <v>55.5</v>
      </c>
      <c r="L47" s="19">
        <f t="shared" si="2"/>
        <v>-5.0000000000007816</v>
      </c>
      <c r="M47" s="19">
        <f t="shared" si="2"/>
        <v>-2.0000000000006679</v>
      </c>
      <c r="N47" s="19">
        <f t="shared" si="2"/>
        <v>-1.000000000000334</v>
      </c>
      <c r="O47" s="19">
        <f t="shared" si="6"/>
        <v>-6.0000000000002274</v>
      </c>
      <c r="P47" s="19">
        <f t="shared" si="7"/>
        <v>-3.9999999999995595</v>
      </c>
      <c r="Q47" s="19">
        <f t="shared" si="8"/>
        <v>-1.9999999999997797</v>
      </c>
      <c r="R47" s="19">
        <f t="shared" si="2"/>
        <v>-8.0000000000097771</v>
      </c>
      <c r="S47" s="27">
        <f t="shared" si="5"/>
        <v>0</v>
      </c>
      <c r="T47" s="28">
        <f t="shared" si="5"/>
        <v>0</v>
      </c>
      <c r="U47" s="28">
        <f t="shared" si="5"/>
        <v>0</v>
      </c>
      <c r="V47" s="28">
        <f t="shared" si="5"/>
        <v>0</v>
      </c>
      <c r="W47" s="28">
        <f t="shared" si="5"/>
        <v>-0.99999999999944578</v>
      </c>
      <c r="X47" s="29">
        <f t="shared" si="5"/>
        <v>0</v>
      </c>
      <c r="Y47" s="24"/>
    </row>
    <row r="48" spans="2:25" ht="15" customHeight="1" x14ac:dyDescent="0.2">
      <c r="B48" s="31">
        <v>41759</v>
      </c>
      <c r="C48" s="64">
        <v>13.042999999999999</v>
      </c>
      <c r="D48" s="65">
        <v>8.3989999999999991</v>
      </c>
      <c r="E48" s="65">
        <v>7.9859999999999998</v>
      </c>
      <c r="F48" s="16">
        <v>13.535</v>
      </c>
      <c r="G48" s="16">
        <v>10.824</v>
      </c>
      <c r="H48" s="16">
        <v>10.672000000000001</v>
      </c>
      <c r="I48" s="57">
        <v>102.523</v>
      </c>
      <c r="J48" s="32">
        <v>534.5</v>
      </c>
      <c r="K48" s="59">
        <f t="shared" si="4"/>
        <v>55.5</v>
      </c>
      <c r="L48" s="19">
        <f t="shared" si="2"/>
        <v>-5.0000000000007816</v>
      </c>
      <c r="M48" s="19">
        <f t="shared" si="2"/>
        <v>-2.0000000000006679</v>
      </c>
      <c r="N48" s="19">
        <f t="shared" si="2"/>
        <v>-1.000000000000334</v>
      </c>
      <c r="O48" s="19">
        <f t="shared" si="6"/>
        <v>-6.0000000000002274</v>
      </c>
      <c r="P48" s="19">
        <f t="shared" si="7"/>
        <v>-3.0000000000001137</v>
      </c>
      <c r="Q48" s="19">
        <f t="shared" si="8"/>
        <v>-1.9999999999997797</v>
      </c>
      <c r="R48" s="19">
        <f t="shared" si="2"/>
        <v>-8.0000000000097771</v>
      </c>
      <c r="S48" s="27">
        <f t="shared" si="5"/>
        <v>0</v>
      </c>
      <c r="T48" s="28">
        <f t="shared" si="5"/>
        <v>0</v>
      </c>
      <c r="U48" s="28">
        <f t="shared" si="5"/>
        <v>0</v>
      </c>
      <c r="V48" s="28">
        <f t="shared" si="5"/>
        <v>0</v>
      </c>
      <c r="W48" s="28">
        <f t="shared" si="5"/>
        <v>0.99999999999944578</v>
      </c>
      <c r="X48" s="29">
        <f t="shared" si="5"/>
        <v>0</v>
      </c>
      <c r="Y48" s="24"/>
    </row>
    <row r="49" spans="2:25" ht="15" customHeight="1" x14ac:dyDescent="0.2">
      <c r="B49" s="31">
        <v>41781</v>
      </c>
      <c r="C49" s="64">
        <v>13.042999999999999</v>
      </c>
      <c r="D49" s="65">
        <v>8.3989999999999991</v>
      </c>
      <c r="E49" s="65">
        <v>7.9859999999999998</v>
      </c>
      <c r="F49" s="16">
        <v>13.536</v>
      </c>
      <c r="G49" s="16">
        <v>10.821999999999999</v>
      </c>
      <c r="H49" s="16">
        <v>10.672000000000001</v>
      </c>
      <c r="I49" s="57">
        <v>102.523</v>
      </c>
      <c r="J49" s="58">
        <v>792</v>
      </c>
      <c r="K49" s="59">
        <f t="shared" si="4"/>
        <v>313</v>
      </c>
      <c r="L49" s="19">
        <f t="shared" si="2"/>
        <v>-5.0000000000007816</v>
      </c>
      <c r="M49" s="19">
        <f t="shared" si="2"/>
        <v>-2.0000000000006679</v>
      </c>
      <c r="N49" s="19">
        <f t="shared" si="2"/>
        <v>-1.000000000000334</v>
      </c>
      <c r="O49" s="19">
        <f t="shared" si="6"/>
        <v>-5.0000000000007816</v>
      </c>
      <c r="P49" s="19">
        <f t="shared" si="7"/>
        <v>-5.0000000000007816</v>
      </c>
      <c r="Q49" s="19">
        <f t="shared" si="8"/>
        <v>-1.9999999999997797</v>
      </c>
      <c r="R49" s="19">
        <f t="shared" si="2"/>
        <v>-8.0000000000097771</v>
      </c>
      <c r="S49" s="27">
        <f t="shared" ref="S49:X64" si="9">IF(C49="","",((C49-C48)*1000)/($B49-$B48))</f>
        <v>0</v>
      </c>
      <c r="T49" s="28">
        <f t="shared" si="9"/>
        <v>0</v>
      </c>
      <c r="U49" s="28">
        <f t="shared" si="9"/>
        <v>0</v>
      </c>
      <c r="V49" s="28">
        <f t="shared" si="9"/>
        <v>4.5454545454520261E-2</v>
      </c>
      <c r="W49" s="28">
        <f t="shared" si="9"/>
        <v>-9.0909090909121262E-2</v>
      </c>
      <c r="X49" s="29">
        <f t="shared" si="9"/>
        <v>0</v>
      </c>
      <c r="Y49" s="24"/>
    </row>
    <row r="50" spans="2:25" ht="15" customHeight="1" x14ac:dyDescent="0.2">
      <c r="B50" s="31">
        <v>41806</v>
      </c>
      <c r="C50" s="64">
        <v>13.042999999999999</v>
      </c>
      <c r="D50" s="65">
        <v>8.3989999999999991</v>
      </c>
      <c r="E50" s="65">
        <v>7.9859999999999998</v>
      </c>
      <c r="F50" s="16">
        <v>13.536</v>
      </c>
      <c r="G50" s="16">
        <v>10.821</v>
      </c>
      <c r="H50" s="16">
        <v>10.672000000000001</v>
      </c>
      <c r="I50" s="57">
        <v>102.523</v>
      </c>
      <c r="J50" s="58">
        <v>546</v>
      </c>
      <c r="K50" s="59">
        <f t="shared" ref="K50:K62" si="10">IF(ISBLANK(J50),"",(J50-$J$8))</f>
        <v>67</v>
      </c>
      <c r="L50" s="19">
        <f t="shared" si="2"/>
        <v>-5.0000000000007816</v>
      </c>
      <c r="M50" s="19">
        <f t="shared" si="2"/>
        <v>-2.0000000000006679</v>
      </c>
      <c r="N50" s="19">
        <f t="shared" si="2"/>
        <v>-1.000000000000334</v>
      </c>
      <c r="O50" s="19">
        <f t="shared" si="6"/>
        <v>-5.0000000000007816</v>
      </c>
      <c r="P50" s="19">
        <f t="shared" si="7"/>
        <v>-6.0000000000002274</v>
      </c>
      <c r="Q50" s="19">
        <f t="shared" si="8"/>
        <v>-1.9999999999997797</v>
      </c>
      <c r="R50" s="19">
        <f t="shared" si="2"/>
        <v>-8.0000000000097771</v>
      </c>
      <c r="S50" s="27">
        <f t="shared" si="9"/>
        <v>0</v>
      </c>
      <c r="T50" s="28">
        <f t="shared" si="9"/>
        <v>0</v>
      </c>
      <c r="U50" s="28">
        <f t="shared" si="9"/>
        <v>0</v>
      </c>
      <c r="V50" s="28">
        <f t="shared" si="9"/>
        <v>0</v>
      </c>
      <c r="W50" s="28">
        <f t="shared" si="9"/>
        <v>-3.9999999999977831E-2</v>
      </c>
      <c r="X50" s="29">
        <f t="shared" si="9"/>
        <v>0</v>
      </c>
      <c r="Y50" s="24" t="s">
        <v>44</v>
      </c>
    </row>
    <row r="51" spans="2:25" ht="15" customHeight="1" x14ac:dyDescent="0.2">
      <c r="B51" s="31">
        <v>41807</v>
      </c>
      <c r="C51" s="25">
        <v>13.042999999999999</v>
      </c>
      <c r="D51" s="26">
        <v>8.3989999999999991</v>
      </c>
      <c r="E51" s="26">
        <v>7.9859999999999998</v>
      </c>
      <c r="F51" s="16">
        <v>13.536</v>
      </c>
      <c r="G51" s="16">
        <v>10.821</v>
      </c>
      <c r="H51" s="16">
        <v>10.672000000000001</v>
      </c>
      <c r="I51" s="57">
        <v>102.523</v>
      </c>
      <c r="J51" s="58">
        <v>556</v>
      </c>
      <c r="K51" s="59">
        <f t="shared" si="10"/>
        <v>77</v>
      </c>
      <c r="L51" s="19">
        <f t="shared" si="2"/>
        <v>-5.0000000000007816</v>
      </c>
      <c r="M51" s="19">
        <f t="shared" si="2"/>
        <v>-2.0000000000006679</v>
      </c>
      <c r="N51" s="19">
        <f t="shared" si="2"/>
        <v>-1.000000000000334</v>
      </c>
      <c r="O51" s="19">
        <f t="shared" si="6"/>
        <v>-5.0000000000007816</v>
      </c>
      <c r="P51" s="19">
        <f t="shared" si="7"/>
        <v>-6.0000000000002274</v>
      </c>
      <c r="Q51" s="19">
        <f t="shared" si="8"/>
        <v>-1.9999999999997797</v>
      </c>
      <c r="R51" s="19">
        <f t="shared" si="2"/>
        <v>-8.0000000000097771</v>
      </c>
      <c r="S51" s="27">
        <f>IF(C51="","",((C51-C50)*1000)/($B51-$B50))</f>
        <v>0</v>
      </c>
      <c r="T51" s="28">
        <f>IF(D51="","",((D51-D50)*1000)/($B51-$B50))</f>
        <v>0</v>
      </c>
      <c r="U51" s="28">
        <f>IF(E51="","",((E51-E50)*1000)/($B51-$B50))</f>
        <v>0</v>
      </c>
      <c r="V51" s="28">
        <f t="shared" si="9"/>
        <v>0</v>
      </c>
      <c r="W51" s="28">
        <f t="shared" si="9"/>
        <v>0</v>
      </c>
      <c r="X51" s="29">
        <f t="shared" si="9"/>
        <v>0</v>
      </c>
      <c r="Y51" s="24"/>
    </row>
    <row r="52" spans="2:25" ht="15" customHeight="1" x14ac:dyDescent="0.2">
      <c r="B52" s="31">
        <v>41808</v>
      </c>
      <c r="C52" s="25">
        <v>13.042999999999999</v>
      </c>
      <c r="D52" s="26">
        <v>8.3989999999999991</v>
      </c>
      <c r="E52" s="26">
        <v>7.9859999999999998</v>
      </c>
      <c r="F52" s="16">
        <v>13.537000000000001</v>
      </c>
      <c r="G52" s="16">
        <v>10.82</v>
      </c>
      <c r="H52" s="16">
        <v>10.672000000000001</v>
      </c>
      <c r="I52" s="57">
        <v>102.523</v>
      </c>
      <c r="J52" s="58">
        <v>552</v>
      </c>
      <c r="K52" s="59">
        <f t="shared" si="10"/>
        <v>73</v>
      </c>
      <c r="L52" s="19">
        <f t="shared" si="2"/>
        <v>-5.0000000000007816</v>
      </c>
      <c r="M52" s="19">
        <f t="shared" si="2"/>
        <v>-2.0000000000006679</v>
      </c>
      <c r="N52" s="19">
        <f t="shared" si="2"/>
        <v>-1.000000000000334</v>
      </c>
      <c r="O52" s="19">
        <f t="shared" si="6"/>
        <v>-3.9999999999995595</v>
      </c>
      <c r="P52" s="19">
        <f t="shared" si="7"/>
        <v>-6.9999999999996732</v>
      </c>
      <c r="Q52" s="19">
        <f t="shared" si="8"/>
        <v>-1.9999999999997797</v>
      </c>
      <c r="R52" s="19">
        <f t="shared" si="2"/>
        <v>-8.0000000000097771</v>
      </c>
      <c r="S52" s="27">
        <f t="shared" si="9"/>
        <v>0</v>
      </c>
      <c r="T52" s="28">
        <f t="shared" si="9"/>
        <v>0</v>
      </c>
      <c r="U52" s="28">
        <f t="shared" si="9"/>
        <v>0</v>
      </c>
      <c r="V52" s="28">
        <f t="shared" si="9"/>
        <v>1.0000000000012221</v>
      </c>
      <c r="W52" s="28">
        <f t="shared" si="9"/>
        <v>-0.99999999999944578</v>
      </c>
      <c r="X52" s="29">
        <f t="shared" si="9"/>
        <v>0</v>
      </c>
      <c r="Y52" s="24"/>
    </row>
    <row r="53" spans="2:25" ht="15" customHeight="1" x14ac:dyDescent="0.2">
      <c r="B53" s="31">
        <v>41809</v>
      </c>
      <c r="C53" s="25">
        <v>13.042999999999999</v>
      </c>
      <c r="D53" s="26">
        <v>8.3989999999999991</v>
      </c>
      <c r="E53" s="26">
        <v>7.9859999999999998</v>
      </c>
      <c r="F53" s="16">
        <v>13.536</v>
      </c>
      <c r="G53" s="16">
        <v>10.821</v>
      </c>
      <c r="H53" s="16">
        <v>10.672000000000001</v>
      </c>
      <c r="I53" s="57">
        <v>102.523</v>
      </c>
      <c r="J53" s="58">
        <v>559</v>
      </c>
      <c r="K53" s="59">
        <f t="shared" si="10"/>
        <v>80</v>
      </c>
      <c r="L53" s="19">
        <f t="shared" si="2"/>
        <v>-5.0000000000007816</v>
      </c>
      <c r="M53" s="19">
        <f t="shared" si="2"/>
        <v>-2.0000000000006679</v>
      </c>
      <c r="N53" s="19">
        <f t="shared" si="2"/>
        <v>-1.000000000000334</v>
      </c>
      <c r="O53" s="19">
        <f t="shared" si="6"/>
        <v>-5.0000000000007816</v>
      </c>
      <c r="P53" s="19">
        <f t="shared" si="7"/>
        <v>-6.0000000000002274</v>
      </c>
      <c r="Q53" s="19">
        <f t="shared" si="8"/>
        <v>-1.9999999999997797</v>
      </c>
      <c r="R53" s="19">
        <f t="shared" si="2"/>
        <v>-8.0000000000097771</v>
      </c>
      <c r="S53" s="27">
        <f t="shared" si="9"/>
        <v>0</v>
      </c>
      <c r="T53" s="28">
        <f t="shared" si="9"/>
        <v>0</v>
      </c>
      <c r="U53" s="28">
        <f t="shared" si="9"/>
        <v>0</v>
      </c>
      <c r="V53" s="28">
        <f t="shared" si="9"/>
        <v>-1.0000000000012221</v>
      </c>
      <c r="W53" s="28">
        <f t="shared" si="9"/>
        <v>0.99999999999944578</v>
      </c>
      <c r="X53" s="29">
        <f t="shared" si="9"/>
        <v>0</v>
      </c>
      <c r="Y53" s="24"/>
    </row>
    <row r="54" spans="2:25" ht="15" customHeight="1" x14ac:dyDescent="0.2">
      <c r="B54" s="31">
        <v>41810</v>
      </c>
      <c r="C54" s="25">
        <v>13.044</v>
      </c>
      <c r="D54" s="26">
        <v>8.3989999999999991</v>
      </c>
      <c r="E54" s="26">
        <v>7.9859999999999998</v>
      </c>
      <c r="F54" s="16">
        <v>13.536</v>
      </c>
      <c r="G54" s="16">
        <v>10.821</v>
      </c>
      <c r="H54" s="16">
        <v>10.672000000000001</v>
      </c>
      <c r="I54" s="57">
        <v>102.523</v>
      </c>
      <c r="J54" s="58">
        <v>563</v>
      </c>
      <c r="K54" s="59">
        <f t="shared" si="10"/>
        <v>84</v>
      </c>
      <c r="L54" s="19">
        <f t="shared" si="2"/>
        <v>-3.9999999999995595</v>
      </c>
      <c r="M54" s="19">
        <f t="shared" si="2"/>
        <v>-2.0000000000006679</v>
      </c>
      <c r="N54" s="19">
        <f t="shared" si="2"/>
        <v>-1.000000000000334</v>
      </c>
      <c r="O54" s="19">
        <f t="shared" si="6"/>
        <v>-5.0000000000007816</v>
      </c>
      <c r="P54" s="19">
        <f t="shared" si="7"/>
        <v>-6.0000000000002274</v>
      </c>
      <c r="Q54" s="19">
        <f t="shared" si="8"/>
        <v>-1.9999999999997797</v>
      </c>
      <c r="R54" s="19">
        <f t="shared" si="2"/>
        <v>-8.0000000000097771</v>
      </c>
      <c r="S54" s="27">
        <f t="shared" si="9"/>
        <v>1.0000000000012221</v>
      </c>
      <c r="T54" s="28">
        <f t="shared" si="9"/>
        <v>0</v>
      </c>
      <c r="U54" s="28">
        <f t="shared" si="9"/>
        <v>0</v>
      </c>
      <c r="V54" s="28">
        <f t="shared" si="9"/>
        <v>0</v>
      </c>
      <c r="W54" s="28">
        <f t="shared" si="9"/>
        <v>0</v>
      </c>
      <c r="X54" s="29">
        <f t="shared" si="9"/>
        <v>0</v>
      </c>
      <c r="Y54" s="24"/>
    </row>
    <row r="55" spans="2:25" ht="15" customHeight="1" x14ac:dyDescent="0.2">
      <c r="B55" s="31">
        <v>41813</v>
      </c>
      <c r="C55" s="25">
        <v>13.044</v>
      </c>
      <c r="D55" s="26">
        <v>8.4</v>
      </c>
      <c r="E55" s="26">
        <v>7.9859999999999998</v>
      </c>
      <c r="F55" s="16">
        <v>13.537000000000001</v>
      </c>
      <c r="G55" s="16">
        <v>10.821</v>
      </c>
      <c r="H55" s="16">
        <v>10.672000000000001</v>
      </c>
      <c r="I55" s="57">
        <v>102.524</v>
      </c>
      <c r="J55" s="58">
        <v>574</v>
      </c>
      <c r="K55" s="59">
        <f t="shared" si="10"/>
        <v>95</v>
      </c>
      <c r="L55" s="19">
        <f t="shared" si="2"/>
        <v>-3.9999999999995595</v>
      </c>
      <c r="M55" s="19">
        <f t="shared" si="2"/>
        <v>-0.99999999999944578</v>
      </c>
      <c r="N55" s="19">
        <f t="shared" si="2"/>
        <v>-1.000000000000334</v>
      </c>
      <c r="O55" s="19">
        <f t="shared" si="6"/>
        <v>-3.9999999999995595</v>
      </c>
      <c r="P55" s="19">
        <f t="shared" si="7"/>
        <v>-6.0000000000002274</v>
      </c>
      <c r="Q55" s="19">
        <f t="shared" si="8"/>
        <v>-1.9999999999997797</v>
      </c>
      <c r="R55" s="19">
        <f t="shared" si="2"/>
        <v>-7.0000000000050022</v>
      </c>
      <c r="S55" s="27">
        <f t="shared" si="9"/>
        <v>0</v>
      </c>
      <c r="T55" s="28">
        <f t="shared" si="9"/>
        <v>0.33333333333374071</v>
      </c>
      <c r="U55" s="28">
        <f t="shared" si="9"/>
        <v>0</v>
      </c>
      <c r="V55" s="28">
        <f t="shared" si="9"/>
        <v>0.33333333333374071</v>
      </c>
      <c r="W55" s="28">
        <f t="shared" si="9"/>
        <v>0</v>
      </c>
      <c r="X55" s="29">
        <f t="shared" si="9"/>
        <v>0</v>
      </c>
      <c r="Y55" s="24"/>
    </row>
    <row r="56" spans="2:25" ht="15" customHeight="1" x14ac:dyDescent="0.2">
      <c r="B56" s="31">
        <v>41814</v>
      </c>
      <c r="C56" s="25">
        <v>13.042999999999999</v>
      </c>
      <c r="D56" s="26">
        <v>8.3989999999999991</v>
      </c>
      <c r="E56" s="26">
        <v>7.9850000000000003</v>
      </c>
      <c r="F56" s="16">
        <v>13.536</v>
      </c>
      <c r="G56" s="16">
        <v>10.82</v>
      </c>
      <c r="H56" s="16">
        <v>10.670999999999999</v>
      </c>
      <c r="I56" s="57">
        <v>102.523</v>
      </c>
      <c r="J56" s="58">
        <v>603</v>
      </c>
      <c r="K56" s="59">
        <f t="shared" si="10"/>
        <v>124</v>
      </c>
      <c r="L56" s="19">
        <f t="shared" si="2"/>
        <v>-5.0000000000007816</v>
      </c>
      <c r="M56" s="19">
        <f t="shared" si="2"/>
        <v>-2.0000000000006679</v>
      </c>
      <c r="N56" s="19">
        <f t="shared" si="2"/>
        <v>-1.9999999999997797</v>
      </c>
      <c r="O56" s="19">
        <f t="shared" si="6"/>
        <v>-5.0000000000007816</v>
      </c>
      <c r="P56" s="19">
        <f t="shared" si="7"/>
        <v>-6.9999999999996732</v>
      </c>
      <c r="Q56" s="19">
        <f t="shared" si="8"/>
        <v>-3.0000000000010019</v>
      </c>
      <c r="R56" s="19">
        <f t="shared" si="2"/>
        <v>-8.0000000000097771</v>
      </c>
      <c r="S56" s="27">
        <f t="shared" si="9"/>
        <v>-1.0000000000012221</v>
      </c>
      <c r="T56" s="28">
        <f t="shared" si="9"/>
        <v>-1.0000000000012221</v>
      </c>
      <c r="U56" s="28">
        <f t="shared" si="9"/>
        <v>-0.99999999999944578</v>
      </c>
      <c r="V56" s="28">
        <f t="shared" si="9"/>
        <v>-1.0000000000012221</v>
      </c>
      <c r="W56" s="28">
        <f t="shared" si="9"/>
        <v>-0.99999999999944578</v>
      </c>
      <c r="X56" s="29">
        <f t="shared" si="9"/>
        <v>-1.0000000000012221</v>
      </c>
      <c r="Y56" s="24"/>
    </row>
    <row r="57" spans="2:25" ht="15" customHeight="1" x14ac:dyDescent="0.2">
      <c r="B57" s="31">
        <v>41821</v>
      </c>
      <c r="C57" s="25">
        <v>13.042999999999999</v>
      </c>
      <c r="D57" s="26">
        <v>8.3989999999999991</v>
      </c>
      <c r="E57" s="26">
        <v>7.9850000000000003</v>
      </c>
      <c r="F57" s="16">
        <v>13.536</v>
      </c>
      <c r="G57" s="16">
        <v>10.82</v>
      </c>
      <c r="H57" s="16">
        <v>10.670999999999999</v>
      </c>
      <c r="I57" s="57">
        <v>102.523</v>
      </c>
      <c r="J57" s="58">
        <v>671</v>
      </c>
      <c r="K57" s="59">
        <f t="shared" si="10"/>
        <v>192</v>
      </c>
      <c r="L57" s="19">
        <f t="shared" si="2"/>
        <v>-5.0000000000007816</v>
      </c>
      <c r="M57" s="19">
        <f t="shared" si="2"/>
        <v>-2.0000000000006679</v>
      </c>
      <c r="N57" s="19">
        <f t="shared" si="2"/>
        <v>-1.9999999999997797</v>
      </c>
      <c r="O57" s="19">
        <f t="shared" si="6"/>
        <v>-5.0000000000007816</v>
      </c>
      <c r="P57" s="19">
        <f t="shared" si="7"/>
        <v>-6.9999999999996732</v>
      </c>
      <c r="Q57" s="19">
        <f t="shared" si="8"/>
        <v>-3.0000000000010019</v>
      </c>
      <c r="R57" s="19">
        <f t="shared" si="2"/>
        <v>-8.0000000000097771</v>
      </c>
      <c r="S57" s="27">
        <f t="shared" si="9"/>
        <v>0</v>
      </c>
      <c r="T57" s="28">
        <f t="shared" si="9"/>
        <v>0</v>
      </c>
      <c r="U57" s="28">
        <f t="shared" si="9"/>
        <v>0</v>
      </c>
      <c r="V57" s="28">
        <f t="shared" si="9"/>
        <v>0</v>
      </c>
      <c r="W57" s="28">
        <f t="shared" si="9"/>
        <v>0</v>
      </c>
      <c r="X57" s="29">
        <f t="shared" si="9"/>
        <v>0</v>
      </c>
      <c r="Y57" s="24"/>
    </row>
    <row r="58" spans="2:25" ht="15" customHeight="1" x14ac:dyDescent="0.2">
      <c r="B58" s="31">
        <v>41828</v>
      </c>
      <c r="C58" s="25">
        <v>13.042</v>
      </c>
      <c r="D58" s="26">
        <v>8.3989999999999991</v>
      </c>
      <c r="E58" s="26">
        <v>7.9850000000000003</v>
      </c>
      <c r="F58" s="16">
        <v>13.535</v>
      </c>
      <c r="G58" s="16">
        <v>10.821</v>
      </c>
      <c r="H58" s="16">
        <v>10.670999999999999</v>
      </c>
      <c r="I58" s="57">
        <v>102.523</v>
      </c>
      <c r="J58" s="58">
        <v>775</v>
      </c>
      <c r="K58" s="59">
        <f t="shared" si="10"/>
        <v>296</v>
      </c>
      <c r="L58" s="19">
        <f t="shared" si="2"/>
        <v>-6.0000000000002274</v>
      </c>
      <c r="M58" s="19">
        <f t="shared" si="2"/>
        <v>-2.0000000000006679</v>
      </c>
      <c r="N58" s="19">
        <f t="shared" si="2"/>
        <v>-1.9999999999997797</v>
      </c>
      <c r="O58" s="19">
        <f t="shared" si="6"/>
        <v>-6.0000000000002274</v>
      </c>
      <c r="P58" s="19">
        <f t="shared" si="7"/>
        <v>-6.0000000000002274</v>
      </c>
      <c r="Q58" s="19">
        <f t="shared" si="8"/>
        <v>-3.0000000000010019</v>
      </c>
      <c r="R58" s="19">
        <f t="shared" si="2"/>
        <v>-8.0000000000097771</v>
      </c>
      <c r="S58" s="27">
        <f t="shared" si="9"/>
        <v>-0.14285714285706369</v>
      </c>
      <c r="T58" s="28">
        <f t="shared" si="9"/>
        <v>0</v>
      </c>
      <c r="U58" s="28">
        <f t="shared" si="9"/>
        <v>0</v>
      </c>
      <c r="V58" s="28">
        <f t="shared" si="9"/>
        <v>-0.14285714285706369</v>
      </c>
      <c r="W58" s="28">
        <f t="shared" si="9"/>
        <v>0.14285714285706369</v>
      </c>
      <c r="X58" s="29">
        <f t="shared" si="9"/>
        <v>0</v>
      </c>
      <c r="Y58" s="24"/>
    </row>
    <row r="59" spans="2:25" ht="15" customHeight="1" x14ac:dyDescent="0.2">
      <c r="B59" s="31">
        <v>41835</v>
      </c>
      <c r="C59" s="25">
        <v>13.042</v>
      </c>
      <c r="D59" s="26">
        <v>8.3989999999999991</v>
      </c>
      <c r="E59" s="26">
        <v>7.9850000000000003</v>
      </c>
      <c r="F59" s="16">
        <v>13.536</v>
      </c>
      <c r="G59" s="16">
        <v>10.82</v>
      </c>
      <c r="H59" s="16">
        <v>10.67</v>
      </c>
      <c r="I59" s="57">
        <v>102.523</v>
      </c>
      <c r="J59" s="58">
        <v>857</v>
      </c>
      <c r="K59" s="59">
        <f t="shared" si="10"/>
        <v>378</v>
      </c>
      <c r="L59" s="19">
        <f t="shared" si="2"/>
        <v>-6.0000000000002274</v>
      </c>
      <c r="M59" s="19">
        <f t="shared" si="2"/>
        <v>-2.0000000000006679</v>
      </c>
      <c r="N59" s="19">
        <f t="shared" si="2"/>
        <v>-1.9999999999997797</v>
      </c>
      <c r="O59" s="19">
        <f t="shared" si="6"/>
        <v>-5.0000000000007816</v>
      </c>
      <c r="P59" s="19">
        <f t="shared" si="7"/>
        <v>-6.9999999999996732</v>
      </c>
      <c r="Q59" s="19">
        <f t="shared" si="8"/>
        <v>-4.0000000000004476</v>
      </c>
      <c r="R59" s="19">
        <f t="shared" si="2"/>
        <v>-8.0000000000097771</v>
      </c>
      <c r="S59" s="27">
        <f t="shared" si="9"/>
        <v>0</v>
      </c>
      <c r="T59" s="28">
        <f t="shared" si="9"/>
        <v>0</v>
      </c>
      <c r="U59" s="28">
        <f t="shared" si="9"/>
        <v>0</v>
      </c>
      <c r="V59" s="28">
        <f t="shared" si="9"/>
        <v>0.14285714285706369</v>
      </c>
      <c r="W59" s="28">
        <f t="shared" si="9"/>
        <v>-0.14285714285706369</v>
      </c>
      <c r="X59" s="29">
        <f t="shared" si="9"/>
        <v>-0.14285714285706369</v>
      </c>
      <c r="Y59" s="24"/>
    </row>
    <row r="60" spans="2:25" ht="15" customHeight="1" x14ac:dyDescent="0.2">
      <c r="B60" s="31">
        <v>41836</v>
      </c>
      <c r="C60" s="25">
        <v>13.042</v>
      </c>
      <c r="D60" s="26">
        <v>8.3989999999999991</v>
      </c>
      <c r="E60" s="26">
        <v>7.9850000000000003</v>
      </c>
      <c r="F60" s="16">
        <v>13.536</v>
      </c>
      <c r="G60" s="16">
        <v>10.82</v>
      </c>
      <c r="H60" s="16">
        <v>10.67</v>
      </c>
      <c r="I60" s="57">
        <v>102.523</v>
      </c>
      <c r="J60" s="58">
        <v>857</v>
      </c>
      <c r="K60" s="59">
        <f t="shared" si="10"/>
        <v>378</v>
      </c>
      <c r="L60" s="19"/>
      <c r="M60" s="19"/>
      <c r="N60" s="19"/>
      <c r="O60" s="19">
        <f t="shared" si="6"/>
        <v>-5.0000000000007816</v>
      </c>
      <c r="P60" s="19">
        <f t="shared" si="7"/>
        <v>-6.9999999999996732</v>
      </c>
      <c r="Q60" s="19">
        <f t="shared" si="8"/>
        <v>-4.0000000000004476</v>
      </c>
      <c r="R60" s="19">
        <f t="shared" si="2"/>
        <v>-8.0000000000097771</v>
      </c>
      <c r="S60" s="27">
        <f t="shared" si="9"/>
        <v>0</v>
      </c>
      <c r="T60" s="28">
        <f t="shared" si="9"/>
        <v>0</v>
      </c>
      <c r="U60" s="28">
        <f t="shared" si="9"/>
        <v>0</v>
      </c>
      <c r="V60" s="28">
        <f t="shared" si="9"/>
        <v>0</v>
      </c>
      <c r="W60" s="28">
        <f t="shared" si="9"/>
        <v>0</v>
      </c>
      <c r="X60" s="29">
        <f t="shared" si="9"/>
        <v>0</v>
      </c>
      <c r="Y60" s="24"/>
    </row>
    <row r="61" spans="2:25" ht="15" customHeight="1" x14ac:dyDescent="0.2">
      <c r="B61" s="31">
        <v>41843</v>
      </c>
      <c r="C61" s="25"/>
      <c r="D61" s="26"/>
      <c r="E61" s="26"/>
      <c r="F61" s="16">
        <v>13.535</v>
      </c>
      <c r="G61" s="16">
        <v>10.82</v>
      </c>
      <c r="H61" s="16">
        <v>10.670999999999999</v>
      </c>
      <c r="I61" s="57">
        <v>102.523</v>
      </c>
      <c r="J61" s="58">
        <v>943</v>
      </c>
      <c r="K61" s="59">
        <f t="shared" si="10"/>
        <v>464</v>
      </c>
      <c r="L61" s="19"/>
      <c r="M61" s="19"/>
      <c r="N61" s="19"/>
      <c r="O61" s="19">
        <f t="shared" si="6"/>
        <v>-6.0000000000002274</v>
      </c>
      <c r="P61" s="19">
        <f t="shared" si="7"/>
        <v>-6.9999999999996732</v>
      </c>
      <c r="Q61" s="19">
        <f t="shared" si="8"/>
        <v>-3.0000000000010019</v>
      </c>
      <c r="R61" s="19">
        <f t="shared" si="2"/>
        <v>-8.0000000000097771</v>
      </c>
      <c r="S61" s="27" t="str">
        <f t="shared" si="9"/>
        <v/>
      </c>
      <c r="T61" s="28" t="str">
        <f t="shared" si="9"/>
        <v/>
      </c>
      <c r="U61" s="28" t="str">
        <f t="shared" si="9"/>
        <v/>
      </c>
      <c r="V61" s="28">
        <f t="shared" si="9"/>
        <v>-0.14285714285706369</v>
      </c>
      <c r="W61" s="28">
        <f t="shared" si="9"/>
        <v>0</v>
      </c>
      <c r="X61" s="29">
        <f t="shared" si="9"/>
        <v>0.14285714285706369</v>
      </c>
      <c r="Y61" s="24"/>
    </row>
    <row r="62" spans="2:25" ht="15" customHeight="1" x14ac:dyDescent="0.2">
      <c r="B62" s="31">
        <v>41933</v>
      </c>
      <c r="C62" s="25"/>
      <c r="D62" s="26"/>
      <c r="E62" s="26"/>
      <c r="F62" s="16">
        <v>13.536</v>
      </c>
      <c r="G62" s="16">
        <v>10.819000000000001</v>
      </c>
      <c r="H62" s="16">
        <v>10.670999999999999</v>
      </c>
      <c r="I62" s="57">
        <v>102.523</v>
      </c>
      <c r="J62" s="58">
        <v>943</v>
      </c>
      <c r="K62" s="59">
        <f t="shared" si="10"/>
        <v>464</v>
      </c>
      <c r="L62" s="19"/>
      <c r="M62" s="19"/>
      <c r="N62" s="19"/>
      <c r="O62" s="19">
        <f t="shared" si="6"/>
        <v>-5.0000000000007816</v>
      </c>
      <c r="P62" s="19">
        <f t="shared" si="7"/>
        <v>-7.9999999999991189</v>
      </c>
      <c r="Q62" s="19">
        <f t="shared" si="8"/>
        <v>-3.0000000000010019</v>
      </c>
      <c r="R62" s="19">
        <f t="shared" ref="R62:R93" si="11">IF(ISBLANK(I62),"",(I62-I$16)*1000)</f>
        <v>-8.0000000000097771</v>
      </c>
      <c r="S62" s="27"/>
      <c r="T62" s="28"/>
      <c r="U62" s="28"/>
      <c r="V62" s="28">
        <f t="shared" si="9"/>
        <v>1.1111111111104953E-2</v>
      </c>
      <c r="W62" s="28">
        <f t="shared" si="9"/>
        <v>-1.1111111111104953E-2</v>
      </c>
      <c r="X62" s="29">
        <f t="shared" si="9"/>
        <v>0</v>
      </c>
      <c r="Y62" s="24"/>
    </row>
    <row r="63" spans="2:25" ht="15" customHeight="1" x14ac:dyDescent="0.2">
      <c r="B63" s="31">
        <v>42025</v>
      </c>
      <c r="C63" s="25">
        <v>13.042999999999999</v>
      </c>
      <c r="D63" s="26">
        <v>8.3989999999999991</v>
      </c>
      <c r="E63" s="26">
        <v>7.9850000000000003</v>
      </c>
      <c r="F63" s="16">
        <v>13.536</v>
      </c>
      <c r="G63" s="16">
        <v>10.82</v>
      </c>
      <c r="H63" s="16">
        <v>10.670999999999999</v>
      </c>
      <c r="I63" s="57">
        <v>102.523</v>
      </c>
      <c r="J63" s="58">
        <v>943</v>
      </c>
      <c r="K63" s="59">
        <f>IF(ISBLANK(J63),"",(J63-$J$8))</f>
        <v>464</v>
      </c>
      <c r="L63" s="19"/>
      <c r="M63" s="19"/>
      <c r="N63" s="19"/>
      <c r="O63" s="19">
        <f t="shared" si="6"/>
        <v>-5.0000000000007816</v>
      </c>
      <c r="P63" s="19">
        <f t="shared" si="7"/>
        <v>-6.9999999999996732</v>
      </c>
      <c r="Q63" s="19">
        <f t="shared" si="8"/>
        <v>-3.0000000000010019</v>
      </c>
      <c r="R63" s="19">
        <f t="shared" si="11"/>
        <v>-8.0000000000097771</v>
      </c>
      <c r="S63" s="27"/>
      <c r="T63" s="28"/>
      <c r="U63" s="28"/>
      <c r="V63" s="28">
        <f t="shared" si="9"/>
        <v>0</v>
      </c>
      <c r="W63" s="28">
        <f t="shared" si="9"/>
        <v>1.0869565217385279E-2</v>
      </c>
      <c r="X63" s="29">
        <f t="shared" si="9"/>
        <v>0</v>
      </c>
      <c r="Y63" s="24"/>
    </row>
    <row r="64" spans="2:25" ht="15" customHeight="1" x14ac:dyDescent="0.2">
      <c r="B64" s="31">
        <v>42109</v>
      </c>
      <c r="C64" s="25"/>
      <c r="D64" s="26"/>
      <c r="E64" s="26"/>
      <c r="F64" s="16">
        <v>13.536</v>
      </c>
      <c r="G64" s="16">
        <v>10.82</v>
      </c>
      <c r="H64" s="16">
        <v>10.670999999999999</v>
      </c>
      <c r="I64" s="57">
        <v>102.523</v>
      </c>
      <c r="J64" s="58">
        <v>943</v>
      </c>
      <c r="K64" s="18">
        <f>IF(ISBLANK(J64),"",(J64-$J$8))</f>
        <v>464</v>
      </c>
      <c r="L64" s="19"/>
      <c r="M64" s="19"/>
      <c r="N64" s="19"/>
      <c r="O64" s="19">
        <f t="shared" si="6"/>
        <v>-5.0000000000007816</v>
      </c>
      <c r="P64" s="19">
        <f t="shared" si="7"/>
        <v>-6.9999999999996732</v>
      </c>
      <c r="Q64" s="19">
        <f t="shared" si="8"/>
        <v>-3.0000000000010019</v>
      </c>
      <c r="R64" s="19">
        <f t="shared" si="11"/>
        <v>-8.0000000000097771</v>
      </c>
      <c r="S64" s="27"/>
      <c r="T64" s="28"/>
      <c r="U64" s="28"/>
      <c r="V64" s="28">
        <f t="shared" si="9"/>
        <v>0</v>
      </c>
      <c r="W64" s="28">
        <f t="shared" si="9"/>
        <v>0</v>
      </c>
      <c r="X64" s="29">
        <f t="shared" si="9"/>
        <v>0</v>
      </c>
      <c r="Y64" s="24"/>
    </row>
    <row r="65" spans="2:25" ht="15" customHeight="1" x14ac:dyDescent="0.2">
      <c r="B65" s="31">
        <v>42222</v>
      </c>
      <c r="C65" s="33"/>
      <c r="D65" s="16"/>
      <c r="E65" s="16"/>
      <c r="F65" s="16">
        <v>13.538</v>
      </c>
      <c r="G65" s="16">
        <v>10.819000000000001</v>
      </c>
      <c r="H65" s="16">
        <v>10.672000000000001</v>
      </c>
      <c r="I65" s="16">
        <v>102.52200000000001</v>
      </c>
      <c r="J65" s="32">
        <v>1278</v>
      </c>
      <c r="K65" s="18">
        <f>IF(ISBLANK(J65),"",(J65-$J$8))</f>
        <v>799</v>
      </c>
      <c r="L65" s="19"/>
      <c r="M65" s="19"/>
      <c r="N65" s="19"/>
      <c r="O65" s="19">
        <f t="shared" si="6"/>
        <v>-3.0000000000001137</v>
      </c>
      <c r="P65" s="19">
        <f t="shared" si="7"/>
        <v>-7.9999999999991189</v>
      </c>
      <c r="Q65" s="19">
        <f t="shared" si="8"/>
        <v>-1.9999999999997797</v>
      </c>
      <c r="R65" s="19">
        <f t="shared" si="11"/>
        <v>-9.0000000000003411</v>
      </c>
      <c r="S65" s="27"/>
      <c r="T65" s="28"/>
      <c r="U65" s="28"/>
      <c r="V65" s="28">
        <f t="shared" ref="S65:X80" si="12">IF(F65="","",((F65-F64)*1000)/($B65-$B64))</f>
        <v>1.7699115044253699E-2</v>
      </c>
      <c r="W65" s="28">
        <f t="shared" si="12"/>
        <v>-8.8495575221189896E-3</v>
      </c>
      <c r="X65" s="29">
        <f t="shared" si="12"/>
        <v>8.8495575221347097E-3</v>
      </c>
      <c r="Y65" s="24"/>
    </row>
    <row r="66" spans="2:25" ht="15" customHeight="1" x14ac:dyDescent="0.2">
      <c r="B66" s="31">
        <v>42326</v>
      </c>
      <c r="C66" s="25"/>
      <c r="D66" s="26"/>
      <c r="E66" s="26"/>
      <c r="F66" s="16">
        <v>13.536</v>
      </c>
      <c r="G66" s="16">
        <v>10.819000000000001</v>
      </c>
      <c r="H66" s="16">
        <v>10.67</v>
      </c>
      <c r="I66" s="16">
        <v>102.52</v>
      </c>
      <c r="J66" s="32">
        <v>2248</v>
      </c>
      <c r="K66" s="18">
        <f t="shared" ref="K66:K68" si="13">IF(ISBLANK(J66),"",(J66-$J$8))</f>
        <v>1769</v>
      </c>
      <c r="L66" s="19"/>
      <c r="M66" s="19"/>
      <c r="N66" s="19"/>
      <c r="O66" s="19">
        <f t="shared" si="6"/>
        <v>-5.0000000000007816</v>
      </c>
      <c r="P66" s="19">
        <f t="shared" si="7"/>
        <v>-7.9999999999991189</v>
      </c>
      <c r="Q66" s="19">
        <f t="shared" si="8"/>
        <v>-4.0000000000004476</v>
      </c>
      <c r="R66" s="19">
        <f t="shared" si="11"/>
        <v>-11.000000000009891</v>
      </c>
      <c r="S66" s="27"/>
      <c r="T66" s="28"/>
      <c r="U66" s="28"/>
      <c r="V66" s="28">
        <f t="shared" si="12"/>
        <v>-1.9230769230775654E-2</v>
      </c>
      <c r="W66" s="28">
        <f t="shared" si="12"/>
        <v>0</v>
      </c>
      <c r="X66" s="29">
        <f t="shared" si="12"/>
        <v>-1.9230769230775654E-2</v>
      </c>
      <c r="Y66" s="24"/>
    </row>
    <row r="67" spans="2:25" ht="15" customHeight="1" x14ac:dyDescent="0.2">
      <c r="B67" s="31">
        <v>42416</v>
      </c>
      <c r="C67" s="25">
        <v>13.042999999999999</v>
      </c>
      <c r="D67" s="26">
        <v>8.3989999999999991</v>
      </c>
      <c r="E67" s="26">
        <v>7.9859999999999998</v>
      </c>
      <c r="F67" s="16">
        <v>13.536</v>
      </c>
      <c r="G67" s="16">
        <v>10.818</v>
      </c>
      <c r="H67" s="16">
        <v>10.669</v>
      </c>
      <c r="I67" s="16">
        <v>102.52</v>
      </c>
      <c r="J67" s="58">
        <v>2519</v>
      </c>
      <c r="K67" s="18">
        <f t="shared" si="13"/>
        <v>2040</v>
      </c>
      <c r="L67" s="19"/>
      <c r="M67" s="19"/>
      <c r="N67" s="19"/>
      <c r="O67" s="19">
        <f t="shared" si="6"/>
        <v>-5.0000000000007816</v>
      </c>
      <c r="P67" s="19">
        <f t="shared" si="7"/>
        <v>-9.0000000000003411</v>
      </c>
      <c r="Q67" s="19">
        <f t="shared" si="8"/>
        <v>-4.9999999999998934</v>
      </c>
      <c r="R67" s="19">
        <f t="shared" si="11"/>
        <v>-11.000000000009891</v>
      </c>
      <c r="S67" s="27"/>
      <c r="T67" s="28"/>
      <c r="U67" s="28"/>
      <c r="V67" s="28">
        <f t="shared" si="12"/>
        <v>0</v>
      </c>
      <c r="W67" s="28">
        <f t="shared" si="12"/>
        <v>-1.1111111111124691E-2</v>
      </c>
      <c r="X67" s="29">
        <f t="shared" si="12"/>
        <v>-1.1111111111104953E-2</v>
      </c>
      <c r="Y67" s="24"/>
    </row>
    <row r="68" spans="2:25" ht="15" customHeight="1" x14ac:dyDescent="0.2">
      <c r="B68" s="31">
        <v>42529</v>
      </c>
      <c r="C68" s="25"/>
      <c r="D68" s="26"/>
      <c r="E68" s="26"/>
      <c r="F68" s="16">
        <v>13.534000000000001</v>
      </c>
      <c r="G68" s="16">
        <v>10.817</v>
      </c>
      <c r="H68" s="16">
        <v>10.67</v>
      </c>
      <c r="I68" s="16">
        <v>102.52</v>
      </c>
      <c r="J68" s="58">
        <v>2603</v>
      </c>
      <c r="K68" s="18">
        <f t="shared" si="13"/>
        <v>2124</v>
      </c>
      <c r="L68" s="19"/>
      <c r="M68" s="19"/>
      <c r="N68" s="19"/>
      <c r="O68" s="19">
        <f t="shared" si="6"/>
        <v>-6.9999999999996732</v>
      </c>
      <c r="P68" s="19">
        <f t="shared" si="7"/>
        <v>-9.9999999999997868</v>
      </c>
      <c r="Q68" s="19">
        <f t="shared" si="8"/>
        <v>-4.0000000000004476</v>
      </c>
      <c r="R68" s="19">
        <f t="shared" si="11"/>
        <v>-11.000000000009891</v>
      </c>
      <c r="S68" s="27" t="str">
        <f t="shared" si="12"/>
        <v/>
      </c>
      <c r="T68" s="28" t="str">
        <f t="shared" si="12"/>
        <v/>
      </c>
      <c r="U68" s="28" t="str">
        <f t="shared" si="12"/>
        <v/>
      </c>
      <c r="V68" s="28">
        <f t="shared" si="12"/>
        <v>-1.7699115044237979E-2</v>
      </c>
      <c r="W68" s="28">
        <f t="shared" si="12"/>
        <v>-8.8495575221189896E-3</v>
      </c>
      <c r="X68" s="29">
        <f t="shared" si="12"/>
        <v>8.8495575221189896E-3</v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L94" si="14">IF(ISBLANK(C69),"",(C69-C$16)*1000)</f>
        <v/>
      </c>
      <c r="M69" s="19" t="str">
        <f t="shared" ref="M69:M94" si="15">IF(ISBLANK(D69),"",(D69-D$16)*1000)</f>
        <v/>
      </c>
      <c r="N69" s="19" t="str">
        <f t="shared" ref="N69:N94" si="16">IF(ISBLANK(E69),"",(E69-E$16)*1000)</f>
        <v/>
      </c>
      <c r="O69" s="19" t="str">
        <f t="shared" si="6"/>
        <v/>
      </c>
      <c r="P69" s="19" t="str">
        <f t="shared" si="7"/>
        <v/>
      </c>
      <c r="Q69" s="19" t="str">
        <f t="shared" si="8"/>
        <v/>
      </c>
      <c r="R69" s="19" t="str">
        <f t="shared" si="11"/>
        <v/>
      </c>
      <c r="S69" s="27" t="str">
        <f t="shared" si="12"/>
        <v/>
      </c>
      <c r="T69" s="28" t="str">
        <f t="shared" si="12"/>
        <v/>
      </c>
      <c r="U69" s="28" t="str">
        <f t="shared" si="12"/>
        <v/>
      </c>
      <c r="V69" s="28" t="str">
        <f t="shared" si="12"/>
        <v/>
      </c>
      <c r="W69" s="28" t="str">
        <f t="shared" si="12"/>
        <v/>
      </c>
      <c r="X69" s="29" t="str">
        <f t="shared" si="1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4"/>
        <v/>
      </c>
      <c r="M70" s="19" t="str">
        <f t="shared" si="15"/>
        <v/>
      </c>
      <c r="N70" s="19" t="str">
        <f t="shared" si="16"/>
        <v/>
      </c>
      <c r="O70" s="19" t="str">
        <f t="shared" si="6"/>
        <v/>
      </c>
      <c r="P70" s="19" t="str">
        <f t="shared" si="7"/>
        <v/>
      </c>
      <c r="Q70" s="19" t="str">
        <f t="shared" si="8"/>
        <v/>
      </c>
      <c r="R70" s="19" t="str">
        <f t="shared" si="11"/>
        <v/>
      </c>
      <c r="S70" s="27" t="str">
        <f t="shared" si="12"/>
        <v/>
      </c>
      <c r="T70" s="28" t="str">
        <f t="shared" si="12"/>
        <v/>
      </c>
      <c r="U70" s="28" t="str">
        <f t="shared" si="12"/>
        <v/>
      </c>
      <c r="V70" s="28" t="str">
        <f t="shared" si="12"/>
        <v/>
      </c>
      <c r="W70" s="28" t="str">
        <f t="shared" si="12"/>
        <v/>
      </c>
      <c r="X70" s="29" t="str">
        <f t="shared" si="1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4"/>
        <v/>
      </c>
      <c r="M71" s="19" t="str">
        <f t="shared" si="15"/>
        <v/>
      </c>
      <c r="N71" s="19" t="str">
        <f t="shared" si="16"/>
        <v/>
      </c>
      <c r="O71" s="19" t="str">
        <f t="shared" si="6"/>
        <v/>
      </c>
      <c r="P71" s="19" t="str">
        <f t="shared" si="7"/>
        <v/>
      </c>
      <c r="Q71" s="19" t="str">
        <f t="shared" si="8"/>
        <v/>
      </c>
      <c r="R71" s="19" t="str">
        <f t="shared" si="11"/>
        <v/>
      </c>
      <c r="S71" s="27" t="str">
        <f t="shared" si="12"/>
        <v/>
      </c>
      <c r="T71" s="28" t="str">
        <f t="shared" si="12"/>
        <v/>
      </c>
      <c r="U71" s="28" t="str">
        <f t="shared" si="12"/>
        <v/>
      </c>
      <c r="V71" s="28" t="str">
        <f t="shared" si="12"/>
        <v/>
      </c>
      <c r="W71" s="28" t="str">
        <f t="shared" si="12"/>
        <v/>
      </c>
      <c r="X71" s="29" t="str">
        <f t="shared" si="1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4"/>
        <v/>
      </c>
      <c r="M72" s="19" t="str">
        <f t="shared" si="15"/>
        <v/>
      </c>
      <c r="N72" s="19" t="str">
        <f t="shared" si="16"/>
        <v/>
      </c>
      <c r="O72" s="19" t="str">
        <f t="shared" si="6"/>
        <v/>
      </c>
      <c r="P72" s="19" t="str">
        <f t="shared" si="7"/>
        <v/>
      </c>
      <c r="Q72" s="19" t="str">
        <f t="shared" si="8"/>
        <v/>
      </c>
      <c r="R72" s="19" t="str">
        <f t="shared" si="11"/>
        <v/>
      </c>
      <c r="S72" s="27" t="str">
        <f t="shared" si="12"/>
        <v/>
      </c>
      <c r="T72" s="28" t="str">
        <f t="shared" si="12"/>
        <v/>
      </c>
      <c r="U72" s="28" t="str">
        <f t="shared" si="12"/>
        <v/>
      </c>
      <c r="V72" s="28" t="str">
        <f t="shared" si="12"/>
        <v/>
      </c>
      <c r="W72" s="28" t="str">
        <f t="shared" si="12"/>
        <v/>
      </c>
      <c r="X72" s="29" t="str">
        <f t="shared" si="1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4"/>
        <v/>
      </c>
      <c r="M73" s="19" t="str">
        <f t="shared" si="15"/>
        <v/>
      </c>
      <c r="N73" s="19" t="str">
        <f t="shared" si="16"/>
        <v/>
      </c>
      <c r="O73" s="19" t="str">
        <f t="shared" si="6"/>
        <v/>
      </c>
      <c r="P73" s="19" t="str">
        <f t="shared" si="7"/>
        <v/>
      </c>
      <c r="Q73" s="19" t="str">
        <f t="shared" si="8"/>
        <v/>
      </c>
      <c r="R73" s="19" t="str">
        <f t="shared" si="11"/>
        <v/>
      </c>
      <c r="S73" s="27" t="str">
        <f t="shared" si="12"/>
        <v/>
      </c>
      <c r="T73" s="28" t="str">
        <f t="shared" si="12"/>
        <v/>
      </c>
      <c r="U73" s="28" t="str">
        <f t="shared" si="12"/>
        <v/>
      </c>
      <c r="V73" s="28" t="str">
        <f t="shared" si="12"/>
        <v/>
      </c>
      <c r="W73" s="28" t="str">
        <f t="shared" si="12"/>
        <v/>
      </c>
      <c r="X73" s="29" t="str">
        <f t="shared" si="1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4"/>
        <v/>
      </c>
      <c r="M74" s="19" t="str">
        <f t="shared" si="15"/>
        <v/>
      </c>
      <c r="N74" s="19" t="str">
        <f t="shared" si="16"/>
        <v/>
      </c>
      <c r="O74" s="19" t="str">
        <f t="shared" si="6"/>
        <v/>
      </c>
      <c r="P74" s="19" t="str">
        <f t="shared" si="7"/>
        <v/>
      </c>
      <c r="Q74" s="19" t="str">
        <f t="shared" si="8"/>
        <v/>
      </c>
      <c r="R74" s="19" t="str">
        <f t="shared" si="11"/>
        <v/>
      </c>
      <c r="S74" s="27" t="str">
        <f t="shared" si="12"/>
        <v/>
      </c>
      <c r="T74" s="28" t="str">
        <f t="shared" si="12"/>
        <v/>
      </c>
      <c r="U74" s="28" t="str">
        <f t="shared" si="12"/>
        <v/>
      </c>
      <c r="V74" s="28" t="str">
        <f t="shared" si="12"/>
        <v/>
      </c>
      <c r="W74" s="28" t="str">
        <f t="shared" si="12"/>
        <v/>
      </c>
      <c r="X74" s="29" t="str">
        <f t="shared" si="1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4"/>
        <v/>
      </c>
      <c r="M75" s="19" t="str">
        <f t="shared" si="15"/>
        <v/>
      </c>
      <c r="N75" s="19" t="str">
        <f t="shared" si="16"/>
        <v/>
      </c>
      <c r="O75" s="19" t="str">
        <f t="shared" si="6"/>
        <v/>
      </c>
      <c r="P75" s="19" t="str">
        <f t="shared" si="7"/>
        <v/>
      </c>
      <c r="Q75" s="19" t="str">
        <f t="shared" si="8"/>
        <v/>
      </c>
      <c r="R75" s="19" t="str">
        <f t="shared" si="11"/>
        <v/>
      </c>
      <c r="S75" s="27" t="str">
        <f t="shared" si="12"/>
        <v/>
      </c>
      <c r="T75" s="28" t="str">
        <f t="shared" si="12"/>
        <v/>
      </c>
      <c r="U75" s="28" t="str">
        <f t="shared" si="12"/>
        <v/>
      </c>
      <c r="V75" s="28" t="str">
        <f t="shared" si="12"/>
        <v/>
      </c>
      <c r="W75" s="28" t="str">
        <f t="shared" si="12"/>
        <v/>
      </c>
      <c r="X75" s="29" t="str">
        <f t="shared" si="1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4"/>
        <v/>
      </c>
      <c r="M76" s="19" t="str">
        <f t="shared" si="15"/>
        <v/>
      </c>
      <c r="N76" s="19" t="str">
        <f t="shared" si="16"/>
        <v/>
      </c>
      <c r="O76" s="19" t="str">
        <f t="shared" si="6"/>
        <v/>
      </c>
      <c r="P76" s="19" t="str">
        <f t="shared" si="7"/>
        <v/>
      </c>
      <c r="Q76" s="19" t="str">
        <f t="shared" si="8"/>
        <v/>
      </c>
      <c r="R76" s="19" t="str">
        <f t="shared" si="11"/>
        <v/>
      </c>
      <c r="S76" s="27" t="str">
        <f t="shared" si="12"/>
        <v/>
      </c>
      <c r="T76" s="28" t="str">
        <f t="shared" si="12"/>
        <v/>
      </c>
      <c r="U76" s="28" t="str">
        <f t="shared" si="12"/>
        <v/>
      </c>
      <c r="V76" s="28" t="str">
        <f t="shared" si="12"/>
        <v/>
      </c>
      <c r="W76" s="28" t="str">
        <f t="shared" si="12"/>
        <v/>
      </c>
      <c r="X76" s="29" t="str">
        <f t="shared" si="1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4"/>
        <v/>
      </c>
      <c r="M77" s="19" t="str">
        <f t="shared" si="15"/>
        <v/>
      </c>
      <c r="N77" s="19" t="str">
        <f t="shared" si="16"/>
        <v/>
      </c>
      <c r="O77" s="19" t="str">
        <f t="shared" si="6"/>
        <v/>
      </c>
      <c r="P77" s="19" t="str">
        <f t="shared" si="7"/>
        <v/>
      </c>
      <c r="Q77" s="19" t="str">
        <f t="shared" si="8"/>
        <v/>
      </c>
      <c r="R77" s="19" t="str">
        <f t="shared" si="11"/>
        <v/>
      </c>
      <c r="S77" s="27" t="str">
        <f t="shared" si="12"/>
        <v/>
      </c>
      <c r="T77" s="28" t="str">
        <f t="shared" si="12"/>
        <v/>
      </c>
      <c r="U77" s="28" t="str">
        <f t="shared" si="12"/>
        <v/>
      </c>
      <c r="V77" s="28" t="str">
        <f t="shared" si="12"/>
        <v/>
      </c>
      <c r="W77" s="28" t="str">
        <f t="shared" si="12"/>
        <v/>
      </c>
      <c r="X77" s="29" t="str">
        <f t="shared" si="1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4"/>
        <v/>
      </c>
      <c r="M78" s="19" t="str">
        <f t="shared" si="15"/>
        <v/>
      </c>
      <c r="N78" s="19" t="str">
        <f t="shared" si="16"/>
        <v/>
      </c>
      <c r="O78" s="19" t="str">
        <f t="shared" si="6"/>
        <v/>
      </c>
      <c r="P78" s="19" t="str">
        <f t="shared" si="7"/>
        <v/>
      </c>
      <c r="Q78" s="19" t="str">
        <f t="shared" si="8"/>
        <v/>
      </c>
      <c r="R78" s="19" t="str">
        <f t="shared" si="11"/>
        <v/>
      </c>
      <c r="S78" s="27" t="str">
        <f t="shared" si="12"/>
        <v/>
      </c>
      <c r="T78" s="28" t="str">
        <f t="shared" si="12"/>
        <v/>
      </c>
      <c r="U78" s="28" t="str">
        <f t="shared" si="12"/>
        <v/>
      </c>
      <c r="V78" s="28" t="str">
        <f t="shared" si="12"/>
        <v/>
      </c>
      <c r="W78" s="28" t="str">
        <f t="shared" si="12"/>
        <v/>
      </c>
      <c r="X78" s="29" t="str">
        <f t="shared" si="1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4"/>
        <v/>
      </c>
      <c r="M79" s="19" t="str">
        <f t="shared" si="15"/>
        <v/>
      </c>
      <c r="N79" s="19" t="str">
        <f t="shared" si="16"/>
        <v/>
      </c>
      <c r="O79" s="19" t="str">
        <f t="shared" si="6"/>
        <v/>
      </c>
      <c r="P79" s="19" t="str">
        <f t="shared" si="7"/>
        <v/>
      </c>
      <c r="Q79" s="19" t="str">
        <f t="shared" si="8"/>
        <v/>
      </c>
      <c r="R79" s="19" t="str">
        <f t="shared" si="11"/>
        <v/>
      </c>
      <c r="S79" s="27" t="str">
        <f t="shared" si="12"/>
        <v/>
      </c>
      <c r="T79" s="28" t="str">
        <f t="shared" si="12"/>
        <v/>
      </c>
      <c r="U79" s="28" t="str">
        <f t="shared" si="12"/>
        <v/>
      </c>
      <c r="V79" s="28" t="str">
        <f t="shared" si="12"/>
        <v/>
      </c>
      <c r="W79" s="28" t="str">
        <f t="shared" si="12"/>
        <v/>
      </c>
      <c r="X79" s="29" t="str">
        <f t="shared" si="1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4"/>
        <v/>
      </c>
      <c r="M80" s="19" t="str">
        <f t="shared" si="15"/>
        <v/>
      </c>
      <c r="N80" s="19" t="str">
        <f t="shared" si="16"/>
        <v/>
      </c>
      <c r="O80" s="19" t="str">
        <f t="shared" si="6"/>
        <v/>
      </c>
      <c r="P80" s="19" t="str">
        <f t="shared" si="7"/>
        <v/>
      </c>
      <c r="Q80" s="19" t="str">
        <f t="shared" si="8"/>
        <v/>
      </c>
      <c r="R80" s="19" t="str">
        <f t="shared" si="11"/>
        <v/>
      </c>
      <c r="S80" s="27" t="str">
        <f t="shared" si="12"/>
        <v/>
      </c>
      <c r="T80" s="28" t="str">
        <f t="shared" si="12"/>
        <v/>
      </c>
      <c r="U80" s="28" t="str">
        <f t="shared" si="12"/>
        <v/>
      </c>
      <c r="V80" s="28" t="str">
        <f t="shared" si="12"/>
        <v/>
      </c>
      <c r="W80" s="28" t="str">
        <f t="shared" si="12"/>
        <v/>
      </c>
      <c r="X80" s="29" t="str">
        <f t="shared" si="1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4"/>
        <v/>
      </c>
      <c r="M81" s="19" t="str">
        <f t="shared" si="15"/>
        <v/>
      </c>
      <c r="N81" s="19" t="str">
        <f t="shared" si="16"/>
        <v/>
      </c>
      <c r="O81" s="19" t="str">
        <f t="shared" si="6"/>
        <v/>
      </c>
      <c r="P81" s="19" t="str">
        <f t="shared" si="7"/>
        <v/>
      </c>
      <c r="Q81" s="19" t="str">
        <f t="shared" si="8"/>
        <v/>
      </c>
      <c r="R81" s="19" t="str">
        <f t="shared" si="11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4"/>
        <v/>
      </c>
      <c r="M82" s="19" t="str">
        <f t="shared" si="15"/>
        <v/>
      </c>
      <c r="N82" s="19" t="str">
        <f t="shared" si="16"/>
        <v/>
      </c>
      <c r="O82" s="19" t="str">
        <f t="shared" si="6"/>
        <v/>
      </c>
      <c r="P82" s="19" t="str">
        <f t="shared" si="7"/>
        <v/>
      </c>
      <c r="Q82" s="19" t="str">
        <f t="shared" si="8"/>
        <v/>
      </c>
      <c r="R82" s="19" t="str">
        <f t="shared" si="11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4"/>
        <v/>
      </c>
      <c r="M83" s="19" t="str">
        <f t="shared" si="15"/>
        <v/>
      </c>
      <c r="N83" s="19" t="str">
        <f t="shared" si="16"/>
        <v/>
      </c>
      <c r="O83" s="19" t="str">
        <f t="shared" si="6"/>
        <v/>
      </c>
      <c r="P83" s="19" t="str">
        <f t="shared" si="7"/>
        <v/>
      </c>
      <c r="Q83" s="19" t="str">
        <f t="shared" si="8"/>
        <v/>
      </c>
      <c r="R83" s="19" t="str">
        <f t="shared" si="11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4"/>
        <v/>
      </c>
      <c r="M84" s="19" t="str">
        <f t="shared" si="15"/>
        <v/>
      </c>
      <c r="N84" s="19" t="str">
        <f t="shared" si="16"/>
        <v/>
      </c>
      <c r="O84" s="19" t="str">
        <f t="shared" si="6"/>
        <v/>
      </c>
      <c r="P84" s="19" t="str">
        <f t="shared" si="7"/>
        <v/>
      </c>
      <c r="Q84" s="19" t="str">
        <f t="shared" si="8"/>
        <v/>
      </c>
      <c r="R84" s="19" t="str">
        <f t="shared" si="11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4"/>
        <v/>
      </c>
      <c r="M85" s="19" t="str">
        <f t="shared" si="15"/>
        <v/>
      </c>
      <c r="N85" s="19" t="str">
        <f t="shared" si="16"/>
        <v/>
      </c>
      <c r="O85" s="19" t="str">
        <f t="shared" si="6"/>
        <v/>
      </c>
      <c r="P85" s="19" t="str">
        <f t="shared" si="7"/>
        <v/>
      </c>
      <c r="Q85" s="19" t="str">
        <f t="shared" si="8"/>
        <v/>
      </c>
      <c r="R85" s="19" t="str">
        <f t="shared" si="11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4"/>
        <v/>
      </c>
      <c r="M86" s="19" t="str">
        <f t="shared" si="15"/>
        <v/>
      </c>
      <c r="N86" s="19" t="str">
        <f t="shared" si="16"/>
        <v/>
      </c>
      <c r="O86" s="19" t="str">
        <f t="shared" si="6"/>
        <v/>
      </c>
      <c r="P86" s="19" t="str">
        <f t="shared" si="7"/>
        <v/>
      </c>
      <c r="Q86" s="19" t="str">
        <f t="shared" si="8"/>
        <v/>
      </c>
      <c r="R86" s="19" t="str">
        <f t="shared" si="11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4"/>
        <v/>
      </c>
      <c r="M87" s="19" t="str">
        <f t="shared" si="15"/>
        <v/>
      </c>
      <c r="N87" s="19" t="str">
        <f t="shared" si="16"/>
        <v/>
      </c>
      <c r="O87" s="19" t="str">
        <f t="shared" si="6"/>
        <v/>
      </c>
      <c r="P87" s="19" t="str">
        <f t="shared" si="7"/>
        <v/>
      </c>
      <c r="Q87" s="19" t="str">
        <f t="shared" si="8"/>
        <v/>
      </c>
      <c r="R87" s="19" t="str">
        <f t="shared" si="11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4"/>
        <v/>
      </c>
      <c r="M88" s="19" t="str">
        <f t="shared" si="15"/>
        <v/>
      </c>
      <c r="N88" s="19" t="str">
        <f t="shared" si="16"/>
        <v/>
      </c>
      <c r="O88" s="19" t="str">
        <f t="shared" si="6"/>
        <v/>
      </c>
      <c r="P88" s="19" t="str">
        <f t="shared" si="7"/>
        <v/>
      </c>
      <c r="Q88" s="19" t="str">
        <f t="shared" si="8"/>
        <v/>
      </c>
      <c r="R88" s="19" t="str">
        <f t="shared" si="11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4"/>
        <v/>
      </c>
      <c r="M89" s="19" t="str">
        <f t="shared" si="15"/>
        <v/>
      </c>
      <c r="N89" s="19" t="str">
        <f t="shared" si="16"/>
        <v/>
      </c>
      <c r="O89" s="19" t="str">
        <f t="shared" si="6"/>
        <v/>
      </c>
      <c r="P89" s="19" t="str">
        <f t="shared" si="7"/>
        <v/>
      </c>
      <c r="Q89" s="19" t="str">
        <f t="shared" si="8"/>
        <v/>
      </c>
      <c r="R89" s="19" t="str">
        <f t="shared" si="11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4"/>
        <v/>
      </c>
      <c r="M90" s="19" t="str">
        <f t="shared" si="15"/>
        <v/>
      </c>
      <c r="N90" s="19" t="str">
        <f t="shared" si="16"/>
        <v/>
      </c>
      <c r="O90" s="19" t="str">
        <f t="shared" si="6"/>
        <v/>
      </c>
      <c r="P90" s="19" t="str">
        <f t="shared" si="7"/>
        <v/>
      </c>
      <c r="Q90" s="19" t="str">
        <f t="shared" si="8"/>
        <v/>
      </c>
      <c r="R90" s="19" t="str">
        <f t="shared" si="11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4"/>
        <v/>
      </c>
      <c r="M91" s="19" t="str">
        <f t="shared" si="15"/>
        <v/>
      </c>
      <c r="N91" s="19" t="str">
        <f t="shared" si="16"/>
        <v/>
      </c>
      <c r="O91" s="19" t="str">
        <f t="shared" si="6"/>
        <v/>
      </c>
      <c r="P91" s="19" t="str">
        <f t="shared" si="7"/>
        <v/>
      </c>
      <c r="Q91" s="19" t="str">
        <f t="shared" si="8"/>
        <v/>
      </c>
      <c r="R91" s="19" t="str">
        <f t="shared" si="11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4"/>
        <v/>
      </c>
      <c r="M92" s="19" t="str">
        <f t="shared" si="15"/>
        <v/>
      </c>
      <c r="N92" s="19" t="str">
        <f t="shared" si="16"/>
        <v/>
      </c>
      <c r="O92" s="19" t="str">
        <f t="shared" si="6"/>
        <v/>
      </c>
      <c r="P92" s="19" t="str">
        <f t="shared" si="7"/>
        <v/>
      </c>
      <c r="Q92" s="19" t="str">
        <f t="shared" si="8"/>
        <v/>
      </c>
      <c r="R92" s="19" t="str">
        <f t="shared" si="11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4"/>
        <v/>
      </c>
      <c r="M93" s="19" t="str">
        <f t="shared" si="15"/>
        <v/>
      </c>
      <c r="N93" s="19" t="str">
        <f t="shared" si="16"/>
        <v/>
      </c>
      <c r="O93" s="19" t="str">
        <f t="shared" si="6"/>
        <v/>
      </c>
      <c r="P93" s="19" t="str">
        <f t="shared" si="7"/>
        <v/>
      </c>
      <c r="Q93" s="19" t="str">
        <f t="shared" si="8"/>
        <v/>
      </c>
      <c r="R93" s="19" t="str">
        <f t="shared" si="11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4"/>
        <v/>
      </c>
      <c r="M94" s="19" t="str">
        <f t="shared" si="15"/>
        <v/>
      </c>
      <c r="N94" s="19" t="str">
        <f t="shared" si="16"/>
        <v/>
      </c>
      <c r="O94" s="19" t="str">
        <f t="shared" si="6"/>
        <v/>
      </c>
      <c r="P94" s="19" t="str">
        <f t="shared" si="7"/>
        <v/>
      </c>
      <c r="Q94" s="19" t="str">
        <f t="shared" si="8"/>
        <v/>
      </c>
      <c r="R94" s="19" t="str">
        <f t="shared" ref="R94:R116" si="18">IF(ISBLANK(I94),"",(I94-I$16)*1000)</f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19">IF(ISBLANK(C95),"",(C95-C$16)*1000)</f>
        <v/>
      </c>
      <c r="M95" s="19" t="str">
        <f t="shared" ref="M95:M116" si="20">IF(ISBLANK(D95),"",(D95-D$16)*1000)</f>
        <v/>
      </c>
      <c r="N95" s="19" t="str">
        <f t="shared" ref="N95:N116" si="21">IF(ISBLANK(E95),"",(E95-E$16)*1000)</f>
        <v/>
      </c>
      <c r="O95" s="19" t="str">
        <f t="shared" si="6"/>
        <v/>
      </c>
      <c r="P95" s="19" t="str">
        <f t="shared" si="7"/>
        <v/>
      </c>
      <c r="Q95" s="19" t="str">
        <f t="shared" si="8"/>
        <v/>
      </c>
      <c r="R95" s="19" t="str">
        <f t="shared" si="18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9"/>
        <v/>
      </c>
      <c r="M96" s="19" t="str">
        <f t="shared" si="20"/>
        <v/>
      </c>
      <c r="N96" s="19" t="str">
        <f t="shared" si="21"/>
        <v/>
      </c>
      <c r="O96" s="19" t="str">
        <f t="shared" si="6"/>
        <v/>
      </c>
      <c r="P96" s="19" t="str">
        <f t="shared" si="7"/>
        <v/>
      </c>
      <c r="Q96" s="19" t="str">
        <f t="shared" si="8"/>
        <v/>
      </c>
      <c r="R96" s="19" t="str">
        <f t="shared" si="18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9"/>
        <v/>
      </c>
      <c r="M97" s="19" t="str">
        <f t="shared" si="20"/>
        <v/>
      </c>
      <c r="N97" s="19" t="str">
        <f t="shared" si="21"/>
        <v/>
      </c>
      <c r="O97" s="19" t="str">
        <f t="shared" si="6"/>
        <v/>
      </c>
      <c r="P97" s="19" t="str">
        <f t="shared" si="7"/>
        <v/>
      </c>
      <c r="Q97" s="19" t="str">
        <f t="shared" si="8"/>
        <v/>
      </c>
      <c r="R97" s="19" t="str">
        <f t="shared" si="18"/>
        <v/>
      </c>
      <c r="S97" s="27" t="str">
        <f t="shared" ref="S97:X112" si="22">IF(C97="","",((C97-C96)*1000)/($B97-$B96))</f>
        <v/>
      </c>
      <c r="T97" s="28" t="str">
        <f t="shared" si="22"/>
        <v/>
      </c>
      <c r="U97" s="28" t="str">
        <f t="shared" si="22"/>
        <v/>
      </c>
      <c r="V97" s="28" t="str">
        <f t="shared" si="22"/>
        <v/>
      </c>
      <c r="W97" s="28" t="str">
        <f t="shared" si="22"/>
        <v/>
      </c>
      <c r="X97" s="29" t="str">
        <f t="shared" si="22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9"/>
        <v/>
      </c>
      <c r="M98" s="19" t="str">
        <f t="shared" si="20"/>
        <v/>
      </c>
      <c r="N98" s="19" t="str">
        <f t="shared" si="21"/>
        <v/>
      </c>
      <c r="O98" s="19" t="str">
        <f t="shared" si="6"/>
        <v/>
      </c>
      <c r="P98" s="19" t="str">
        <f t="shared" si="7"/>
        <v/>
      </c>
      <c r="Q98" s="19" t="str">
        <f t="shared" si="8"/>
        <v/>
      </c>
      <c r="R98" s="19" t="str">
        <f t="shared" si="18"/>
        <v/>
      </c>
      <c r="S98" s="27" t="str">
        <f t="shared" si="22"/>
        <v/>
      </c>
      <c r="T98" s="28" t="str">
        <f t="shared" si="22"/>
        <v/>
      </c>
      <c r="U98" s="28" t="str">
        <f t="shared" si="22"/>
        <v/>
      </c>
      <c r="V98" s="28" t="str">
        <f t="shared" si="22"/>
        <v/>
      </c>
      <c r="W98" s="28" t="str">
        <f t="shared" si="22"/>
        <v/>
      </c>
      <c r="X98" s="29" t="str">
        <f t="shared" si="22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9"/>
        <v/>
      </c>
      <c r="M99" s="19" t="str">
        <f t="shared" si="20"/>
        <v/>
      </c>
      <c r="N99" s="19" t="str">
        <f t="shared" si="21"/>
        <v/>
      </c>
      <c r="O99" s="19" t="str">
        <f t="shared" si="6"/>
        <v/>
      </c>
      <c r="P99" s="19" t="str">
        <f t="shared" si="7"/>
        <v/>
      </c>
      <c r="Q99" s="19" t="str">
        <f t="shared" si="8"/>
        <v/>
      </c>
      <c r="R99" s="19" t="str">
        <f t="shared" si="18"/>
        <v/>
      </c>
      <c r="S99" s="27" t="str">
        <f t="shared" si="22"/>
        <v/>
      </c>
      <c r="T99" s="28" t="str">
        <f t="shared" si="22"/>
        <v/>
      </c>
      <c r="U99" s="28" t="str">
        <f t="shared" si="22"/>
        <v/>
      </c>
      <c r="V99" s="28" t="str">
        <f t="shared" si="22"/>
        <v/>
      </c>
      <c r="W99" s="28" t="str">
        <f t="shared" si="22"/>
        <v/>
      </c>
      <c r="X99" s="29" t="str">
        <f t="shared" si="22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6"/>
        <v/>
      </c>
      <c r="P100" s="19" t="str">
        <f t="shared" si="7"/>
        <v/>
      </c>
      <c r="Q100" s="19" t="str">
        <f t="shared" si="8"/>
        <v/>
      </c>
      <c r="R100" s="19" t="str">
        <f t="shared" si="18"/>
        <v/>
      </c>
      <c r="S100" s="27" t="str">
        <f t="shared" si="22"/>
        <v/>
      </c>
      <c r="T100" s="28" t="str">
        <f t="shared" si="22"/>
        <v/>
      </c>
      <c r="U100" s="28" t="str">
        <f t="shared" si="22"/>
        <v/>
      </c>
      <c r="V100" s="28" t="str">
        <f t="shared" si="22"/>
        <v/>
      </c>
      <c r="W100" s="28" t="str">
        <f t="shared" si="22"/>
        <v/>
      </c>
      <c r="X100" s="29" t="str">
        <f t="shared" si="22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6"/>
        <v/>
      </c>
      <c r="P101" s="19" t="str">
        <f t="shared" si="7"/>
        <v/>
      </c>
      <c r="Q101" s="19" t="str">
        <f t="shared" si="8"/>
        <v/>
      </c>
      <c r="R101" s="19" t="str">
        <f t="shared" si="18"/>
        <v/>
      </c>
      <c r="S101" s="27" t="str">
        <f t="shared" si="22"/>
        <v/>
      </c>
      <c r="T101" s="28" t="str">
        <f t="shared" si="22"/>
        <v/>
      </c>
      <c r="U101" s="28" t="str">
        <f t="shared" si="22"/>
        <v/>
      </c>
      <c r="V101" s="28" t="str">
        <f t="shared" si="22"/>
        <v/>
      </c>
      <c r="W101" s="28" t="str">
        <f t="shared" si="22"/>
        <v/>
      </c>
      <c r="X101" s="29" t="str">
        <f t="shared" si="22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6"/>
        <v/>
      </c>
      <c r="P102" s="19" t="str">
        <f t="shared" si="7"/>
        <v/>
      </c>
      <c r="Q102" s="19" t="str">
        <f t="shared" si="8"/>
        <v/>
      </c>
      <c r="R102" s="19" t="str">
        <f t="shared" si="18"/>
        <v/>
      </c>
      <c r="S102" s="27" t="str">
        <f t="shared" si="22"/>
        <v/>
      </c>
      <c r="T102" s="28" t="str">
        <f t="shared" si="22"/>
        <v/>
      </c>
      <c r="U102" s="28" t="str">
        <f t="shared" si="22"/>
        <v/>
      </c>
      <c r="V102" s="28" t="str">
        <f t="shared" si="22"/>
        <v/>
      </c>
      <c r="W102" s="28" t="str">
        <f t="shared" si="22"/>
        <v/>
      </c>
      <c r="X102" s="29" t="str">
        <f t="shared" si="22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6"/>
        <v/>
      </c>
      <c r="P103" s="19" t="str">
        <f t="shared" si="7"/>
        <v/>
      </c>
      <c r="Q103" s="19" t="str">
        <f t="shared" si="8"/>
        <v/>
      </c>
      <c r="R103" s="19" t="str">
        <f t="shared" si="18"/>
        <v/>
      </c>
      <c r="S103" s="27" t="str">
        <f t="shared" si="22"/>
        <v/>
      </c>
      <c r="T103" s="28" t="str">
        <f t="shared" si="22"/>
        <v/>
      </c>
      <c r="U103" s="28" t="str">
        <f t="shared" si="22"/>
        <v/>
      </c>
      <c r="V103" s="28" t="str">
        <f t="shared" si="22"/>
        <v/>
      </c>
      <c r="W103" s="28" t="str">
        <f t="shared" si="22"/>
        <v/>
      </c>
      <c r="X103" s="29" t="str">
        <f t="shared" si="22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ref="O104:O153" si="23">IF(ISBLANK(F104),"",((F104-F$39)*1000)+L$39)</f>
        <v/>
      </c>
      <c r="P104" s="19" t="str">
        <f t="shared" ref="P104:P153" si="24">IF(ISBLANK(G104),"",((G104-G$39)*1000)+M$39)</f>
        <v/>
      </c>
      <c r="Q104" s="19" t="str">
        <f t="shared" ref="Q104:Q153" si="25">IF(ISBLANK(H104),"",((H104-H$39)*1000)+N$39)</f>
        <v/>
      </c>
      <c r="R104" s="19" t="str">
        <f t="shared" si="18"/>
        <v/>
      </c>
      <c r="S104" s="27" t="str">
        <f t="shared" si="22"/>
        <v/>
      </c>
      <c r="T104" s="28" t="str">
        <f t="shared" si="22"/>
        <v/>
      </c>
      <c r="U104" s="28" t="str">
        <f t="shared" si="22"/>
        <v/>
      </c>
      <c r="V104" s="28" t="str">
        <f t="shared" si="22"/>
        <v/>
      </c>
      <c r="W104" s="28" t="str">
        <f t="shared" si="22"/>
        <v/>
      </c>
      <c r="X104" s="29" t="str">
        <f t="shared" si="22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18"/>
        <v/>
      </c>
      <c r="S105" s="27" t="str">
        <f t="shared" si="22"/>
        <v/>
      </c>
      <c r="T105" s="28" t="str">
        <f t="shared" si="22"/>
        <v/>
      </c>
      <c r="U105" s="28" t="str">
        <f t="shared" si="22"/>
        <v/>
      </c>
      <c r="V105" s="28" t="str">
        <f t="shared" si="22"/>
        <v/>
      </c>
      <c r="W105" s="28" t="str">
        <f t="shared" si="22"/>
        <v/>
      </c>
      <c r="X105" s="29" t="str">
        <f t="shared" si="22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18"/>
        <v/>
      </c>
      <c r="S106" s="27" t="str">
        <f t="shared" si="22"/>
        <v/>
      </c>
      <c r="T106" s="28" t="str">
        <f t="shared" si="22"/>
        <v/>
      </c>
      <c r="U106" s="28" t="str">
        <f t="shared" si="22"/>
        <v/>
      </c>
      <c r="V106" s="28" t="str">
        <f t="shared" si="22"/>
        <v/>
      </c>
      <c r="W106" s="28" t="str">
        <f t="shared" si="22"/>
        <v/>
      </c>
      <c r="X106" s="29" t="str">
        <f t="shared" si="22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18"/>
        <v/>
      </c>
      <c r="S107" s="27" t="str">
        <f t="shared" si="22"/>
        <v/>
      </c>
      <c r="T107" s="28" t="str">
        <f t="shared" si="22"/>
        <v/>
      </c>
      <c r="U107" s="28" t="str">
        <f t="shared" si="22"/>
        <v/>
      </c>
      <c r="V107" s="28" t="str">
        <f t="shared" si="22"/>
        <v/>
      </c>
      <c r="W107" s="28" t="str">
        <f t="shared" si="22"/>
        <v/>
      </c>
      <c r="X107" s="29" t="str">
        <f t="shared" si="22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18"/>
        <v/>
      </c>
      <c r="S108" s="27" t="str">
        <f t="shared" si="22"/>
        <v/>
      </c>
      <c r="T108" s="28" t="str">
        <f t="shared" si="22"/>
        <v/>
      </c>
      <c r="U108" s="28" t="str">
        <f t="shared" si="22"/>
        <v/>
      </c>
      <c r="V108" s="28" t="str">
        <f t="shared" si="22"/>
        <v/>
      </c>
      <c r="W108" s="28" t="str">
        <f t="shared" si="22"/>
        <v/>
      </c>
      <c r="X108" s="29" t="str">
        <f t="shared" si="22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18"/>
        <v/>
      </c>
      <c r="S109" s="27" t="str">
        <f t="shared" si="22"/>
        <v/>
      </c>
      <c r="T109" s="28" t="str">
        <f t="shared" si="22"/>
        <v/>
      </c>
      <c r="U109" s="28" t="str">
        <f t="shared" si="22"/>
        <v/>
      </c>
      <c r="V109" s="28" t="str">
        <f t="shared" si="22"/>
        <v/>
      </c>
      <c r="W109" s="28" t="str">
        <f t="shared" si="22"/>
        <v/>
      </c>
      <c r="X109" s="29" t="str">
        <f t="shared" si="22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18"/>
        <v/>
      </c>
      <c r="S110" s="27" t="str">
        <f t="shared" si="22"/>
        <v/>
      </c>
      <c r="T110" s="28" t="str">
        <f t="shared" si="22"/>
        <v/>
      </c>
      <c r="U110" s="28" t="str">
        <f t="shared" si="22"/>
        <v/>
      </c>
      <c r="V110" s="28" t="str">
        <f t="shared" si="22"/>
        <v/>
      </c>
      <c r="W110" s="28" t="str">
        <f t="shared" si="22"/>
        <v/>
      </c>
      <c r="X110" s="29" t="str">
        <f t="shared" si="22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18"/>
        <v/>
      </c>
      <c r="S111" s="27" t="str">
        <f t="shared" si="22"/>
        <v/>
      </c>
      <c r="T111" s="28" t="str">
        <f t="shared" si="22"/>
        <v/>
      </c>
      <c r="U111" s="28" t="str">
        <f t="shared" si="22"/>
        <v/>
      </c>
      <c r="V111" s="28" t="str">
        <f t="shared" si="22"/>
        <v/>
      </c>
      <c r="W111" s="28" t="str">
        <f t="shared" si="22"/>
        <v/>
      </c>
      <c r="X111" s="29" t="str">
        <f t="shared" si="22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18"/>
        <v/>
      </c>
      <c r="S112" s="27" t="str">
        <f t="shared" si="22"/>
        <v/>
      </c>
      <c r="T112" s="28" t="str">
        <f t="shared" si="22"/>
        <v/>
      </c>
      <c r="U112" s="28" t="str">
        <f t="shared" si="22"/>
        <v/>
      </c>
      <c r="V112" s="28" t="str">
        <f t="shared" si="22"/>
        <v/>
      </c>
      <c r="W112" s="28" t="str">
        <f t="shared" si="22"/>
        <v/>
      </c>
      <c r="X112" s="29" t="str">
        <f t="shared" si="22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18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3"/>
        <v/>
      </c>
      <c r="P114" s="19" t="str">
        <f t="shared" si="24"/>
        <v/>
      </c>
      <c r="Q114" s="19" t="str">
        <f t="shared" si="25"/>
        <v/>
      </c>
      <c r="R114" s="19" t="str">
        <f t="shared" si="18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3"/>
        <v/>
      </c>
      <c r="P115" s="19" t="str">
        <f t="shared" si="24"/>
        <v/>
      </c>
      <c r="Q115" s="19" t="str">
        <f t="shared" si="25"/>
        <v/>
      </c>
      <c r="R115" s="19" t="str">
        <f t="shared" si="18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3"/>
        <v/>
      </c>
      <c r="P116" s="19" t="str">
        <f t="shared" si="24"/>
        <v/>
      </c>
      <c r="Q116" s="19" t="str">
        <f t="shared" si="25"/>
        <v/>
      </c>
      <c r="R116" s="19" t="str">
        <f t="shared" si="18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7">IF(ISBLANK(D117),"",(D117-D$16)*1000)</f>
        <v/>
      </c>
      <c r="N117" s="19" t="str">
        <f t="shared" si="27"/>
        <v/>
      </c>
      <c r="O117" s="19" t="str">
        <f t="shared" si="23"/>
        <v/>
      </c>
      <c r="P117" s="19" t="str">
        <f t="shared" si="24"/>
        <v/>
      </c>
      <c r="Q117" s="19" t="str">
        <f t="shared" si="25"/>
        <v/>
      </c>
      <c r="R117" s="19" t="str">
        <f t="shared" si="27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8">IF(ISBLANK(C118),"",(C118-C$16)*1000)</f>
        <v/>
      </c>
      <c r="M118" s="19" t="str">
        <f t="shared" si="27"/>
        <v/>
      </c>
      <c r="N118" s="19" t="str">
        <f t="shared" si="27"/>
        <v/>
      </c>
      <c r="O118" s="19" t="str">
        <f t="shared" si="23"/>
        <v/>
      </c>
      <c r="P118" s="19" t="str">
        <f t="shared" si="24"/>
        <v/>
      </c>
      <c r="Q118" s="19" t="str">
        <f t="shared" si="25"/>
        <v/>
      </c>
      <c r="R118" s="19" t="str">
        <f t="shared" si="27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27"/>
        <v/>
      </c>
      <c r="N119" s="19" t="str">
        <f t="shared" si="27"/>
        <v/>
      </c>
      <c r="O119" s="19" t="str">
        <f t="shared" si="23"/>
        <v/>
      </c>
      <c r="P119" s="19" t="str">
        <f t="shared" si="24"/>
        <v/>
      </c>
      <c r="Q119" s="19" t="str">
        <f t="shared" si="25"/>
        <v/>
      </c>
      <c r="R119" s="19" t="str">
        <f t="shared" si="27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27"/>
        <v/>
      </c>
      <c r="N120" s="19" t="str">
        <f t="shared" si="27"/>
        <v/>
      </c>
      <c r="O120" s="19" t="str">
        <f t="shared" si="23"/>
        <v/>
      </c>
      <c r="P120" s="19" t="str">
        <f t="shared" si="24"/>
        <v/>
      </c>
      <c r="Q120" s="19" t="str">
        <f t="shared" si="25"/>
        <v/>
      </c>
      <c r="R120" s="19" t="str">
        <f t="shared" si="27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27"/>
        <v/>
      </c>
      <c r="N121" s="19" t="str">
        <f t="shared" si="27"/>
        <v/>
      </c>
      <c r="O121" s="19" t="str">
        <f t="shared" si="23"/>
        <v/>
      </c>
      <c r="P121" s="19" t="str">
        <f t="shared" si="24"/>
        <v/>
      </c>
      <c r="Q121" s="19" t="str">
        <f t="shared" si="25"/>
        <v/>
      </c>
      <c r="R121" s="19" t="str">
        <f t="shared" si="27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27"/>
        <v/>
      </c>
      <c r="N122" s="19" t="str">
        <f t="shared" si="27"/>
        <v/>
      </c>
      <c r="O122" s="19" t="str">
        <f t="shared" si="23"/>
        <v/>
      </c>
      <c r="P122" s="19" t="str">
        <f t="shared" si="24"/>
        <v/>
      </c>
      <c r="Q122" s="19" t="str">
        <f t="shared" si="25"/>
        <v/>
      </c>
      <c r="R122" s="19" t="str">
        <f t="shared" si="27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27"/>
        <v/>
      </c>
      <c r="N123" s="19" t="str">
        <f t="shared" si="27"/>
        <v/>
      </c>
      <c r="O123" s="19" t="str">
        <f t="shared" si="23"/>
        <v/>
      </c>
      <c r="P123" s="19" t="str">
        <f t="shared" si="24"/>
        <v/>
      </c>
      <c r="Q123" s="19" t="str">
        <f t="shared" si="25"/>
        <v/>
      </c>
      <c r="R123" s="19" t="str">
        <f t="shared" si="27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27"/>
        <v/>
      </c>
      <c r="N124" s="19" t="str">
        <f t="shared" si="27"/>
        <v/>
      </c>
      <c r="O124" s="19" t="str">
        <f t="shared" si="23"/>
        <v/>
      </c>
      <c r="P124" s="19" t="str">
        <f t="shared" si="24"/>
        <v/>
      </c>
      <c r="Q124" s="19" t="str">
        <f t="shared" si="25"/>
        <v/>
      </c>
      <c r="R124" s="19" t="str">
        <f t="shared" si="27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27"/>
        <v/>
      </c>
      <c r="N125" s="19" t="str">
        <f t="shared" si="27"/>
        <v/>
      </c>
      <c r="O125" s="19" t="str">
        <f t="shared" si="23"/>
        <v/>
      </c>
      <c r="P125" s="19" t="str">
        <f t="shared" si="24"/>
        <v/>
      </c>
      <c r="Q125" s="19" t="str">
        <f t="shared" si="25"/>
        <v/>
      </c>
      <c r="R125" s="19" t="str">
        <f t="shared" si="27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27"/>
        <v/>
      </c>
      <c r="N126" s="19" t="str">
        <f t="shared" si="27"/>
        <v/>
      </c>
      <c r="O126" s="19" t="str">
        <f t="shared" si="23"/>
        <v/>
      </c>
      <c r="P126" s="19" t="str">
        <f t="shared" si="24"/>
        <v/>
      </c>
      <c r="Q126" s="19" t="str">
        <f t="shared" si="25"/>
        <v/>
      </c>
      <c r="R126" s="19" t="str">
        <f t="shared" si="27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27"/>
        <v/>
      </c>
      <c r="N127" s="19" t="str">
        <f t="shared" si="27"/>
        <v/>
      </c>
      <c r="O127" s="19" t="str">
        <f t="shared" si="23"/>
        <v/>
      </c>
      <c r="P127" s="19" t="str">
        <f t="shared" si="24"/>
        <v/>
      </c>
      <c r="Q127" s="19" t="str">
        <f t="shared" si="25"/>
        <v/>
      </c>
      <c r="R127" s="19" t="str">
        <f t="shared" si="27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27"/>
        <v/>
      </c>
      <c r="N128" s="19" t="str">
        <f t="shared" si="27"/>
        <v/>
      </c>
      <c r="O128" s="19" t="str">
        <f t="shared" si="23"/>
        <v/>
      </c>
      <c r="P128" s="19" t="str">
        <f t="shared" si="24"/>
        <v/>
      </c>
      <c r="Q128" s="19" t="str">
        <f t="shared" si="25"/>
        <v/>
      </c>
      <c r="R128" s="19" t="str">
        <f t="shared" si="27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27"/>
        <v/>
      </c>
      <c r="N129" s="19" t="str">
        <f t="shared" si="27"/>
        <v/>
      </c>
      <c r="O129" s="19" t="str">
        <f t="shared" si="23"/>
        <v/>
      </c>
      <c r="P129" s="19" t="str">
        <f t="shared" si="24"/>
        <v/>
      </c>
      <c r="Q129" s="19" t="str">
        <f t="shared" si="25"/>
        <v/>
      </c>
      <c r="R129" s="19" t="str">
        <f t="shared" si="27"/>
        <v/>
      </c>
      <c r="S129" s="27" t="str">
        <f t="shared" ref="S129:X144" si="29">IF(C129="","",((C129-C128)*1000)/($B129-$B128))</f>
        <v/>
      </c>
      <c r="T129" s="28" t="str">
        <f t="shared" si="29"/>
        <v/>
      </c>
      <c r="U129" s="28" t="str">
        <f t="shared" si="29"/>
        <v/>
      </c>
      <c r="V129" s="28" t="str">
        <f t="shared" si="29"/>
        <v/>
      </c>
      <c r="W129" s="28" t="str">
        <f t="shared" si="29"/>
        <v/>
      </c>
      <c r="X129" s="29" t="str">
        <f t="shared" si="29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27"/>
        <v/>
      </c>
      <c r="N130" s="19" t="str">
        <f t="shared" si="27"/>
        <v/>
      </c>
      <c r="O130" s="19" t="str">
        <f t="shared" si="23"/>
        <v/>
      </c>
      <c r="P130" s="19" t="str">
        <f t="shared" si="24"/>
        <v/>
      </c>
      <c r="Q130" s="19" t="str">
        <f t="shared" si="25"/>
        <v/>
      </c>
      <c r="R130" s="19" t="str">
        <f t="shared" si="27"/>
        <v/>
      </c>
      <c r="S130" s="27" t="str">
        <f t="shared" si="29"/>
        <v/>
      </c>
      <c r="T130" s="28" t="str">
        <f t="shared" si="29"/>
        <v/>
      </c>
      <c r="U130" s="28" t="str">
        <f t="shared" si="29"/>
        <v/>
      </c>
      <c r="V130" s="28" t="str">
        <f t="shared" si="29"/>
        <v/>
      </c>
      <c r="W130" s="28" t="str">
        <f t="shared" si="29"/>
        <v/>
      </c>
      <c r="X130" s="29" t="str">
        <f t="shared" si="29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27"/>
        <v/>
      </c>
      <c r="N131" s="19" t="str">
        <f t="shared" si="27"/>
        <v/>
      </c>
      <c r="O131" s="19" t="str">
        <f t="shared" si="23"/>
        <v/>
      </c>
      <c r="P131" s="19" t="str">
        <f t="shared" si="24"/>
        <v/>
      </c>
      <c r="Q131" s="19" t="str">
        <f t="shared" si="25"/>
        <v/>
      </c>
      <c r="R131" s="19" t="str">
        <f t="shared" si="27"/>
        <v/>
      </c>
      <c r="S131" s="27" t="str">
        <f t="shared" si="29"/>
        <v/>
      </c>
      <c r="T131" s="28" t="str">
        <f t="shared" si="29"/>
        <v/>
      </c>
      <c r="U131" s="28" t="str">
        <f t="shared" si="29"/>
        <v/>
      </c>
      <c r="V131" s="28" t="str">
        <f t="shared" si="29"/>
        <v/>
      </c>
      <c r="W131" s="28" t="str">
        <f t="shared" si="29"/>
        <v/>
      </c>
      <c r="X131" s="29" t="str">
        <f t="shared" si="29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27"/>
        <v/>
      </c>
      <c r="N132" s="19" t="str">
        <f t="shared" si="27"/>
        <v/>
      </c>
      <c r="O132" s="19" t="str">
        <f t="shared" si="23"/>
        <v/>
      </c>
      <c r="P132" s="19" t="str">
        <f t="shared" si="24"/>
        <v/>
      </c>
      <c r="Q132" s="19" t="str">
        <f t="shared" si="25"/>
        <v/>
      </c>
      <c r="R132" s="19" t="str">
        <f t="shared" si="27"/>
        <v/>
      </c>
      <c r="S132" s="27" t="str">
        <f t="shared" si="29"/>
        <v/>
      </c>
      <c r="T132" s="28" t="str">
        <f t="shared" si="29"/>
        <v/>
      </c>
      <c r="U132" s="28" t="str">
        <f t="shared" si="29"/>
        <v/>
      </c>
      <c r="V132" s="28" t="str">
        <f t="shared" si="29"/>
        <v/>
      </c>
      <c r="W132" s="28" t="str">
        <f t="shared" si="29"/>
        <v/>
      </c>
      <c r="X132" s="29" t="str">
        <f t="shared" si="29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8"/>
        <v/>
      </c>
      <c r="M133" s="19" t="str">
        <f t="shared" si="27"/>
        <v/>
      </c>
      <c r="N133" s="19" t="str">
        <f t="shared" si="27"/>
        <v/>
      </c>
      <c r="O133" s="19" t="str">
        <f t="shared" si="23"/>
        <v/>
      </c>
      <c r="P133" s="19" t="str">
        <f t="shared" si="24"/>
        <v/>
      </c>
      <c r="Q133" s="19" t="str">
        <f t="shared" si="25"/>
        <v/>
      </c>
      <c r="R133" s="19" t="str">
        <f t="shared" si="27"/>
        <v/>
      </c>
      <c r="S133" s="27" t="str">
        <f t="shared" si="29"/>
        <v/>
      </c>
      <c r="T133" s="28" t="str">
        <f t="shared" si="29"/>
        <v/>
      </c>
      <c r="U133" s="28" t="str">
        <f t="shared" si="29"/>
        <v/>
      </c>
      <c r="V133" s="28" t="str">
        <f t="shared" si="29"/>
        <v/>
      </c>
      <c r="W133" s="28" t="str">
        <f t="shared" si="29"/>
        <v/>
      </c>
      <c r="X133" s="29" t="str">
        <f t="shared" si="29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8"/>
        <v/>
      </c>
      <c r="M134" s="19" t="str">
        <f t="shared" si="27"/>
        <v/>
      </c>
      <c r="N134" s="19" t="str">
        <f t="shared" si="27"/>
        <v/>
      </c>
      <c r="O134" s="19" t="str">
        <f t="shared" si="23"/>
        <v/>
      </c>
      <c r="P134" s="19" t="str">
        <f t="shared" si="24"/>
        <v/>
      </c>
      <c r="Q134" s="19" t="str">
        <f t="shared" si="25"/>
        <v/>
      </c>
      <c r="R134" s="19" t="str">
        <f t="shared" si="27"/>
        <v/>
      </c>
      <c r="S134" s="27" t="str">
        <f t="shared" si="29"/>
        <v/>
      </c>
      <c r="T134" s="28" t="str">
        <f t="shared" si="29"/>
        <v/>
      </c>
      <c r="U134" s="28" t="str">
        <f t="shared" si="29"/>
        <v/>
      </c>
      <c r="V134" s="28" t="str">
        <f t="shared" si="29"/>
        <v/>
      </c>
      <c r="W134" s="28" t="str">
        <f t="shared" si="29"/>
        <v/>
      </c>
      <c r="X134" s="29" t="str">
        <f t="shared" si="29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8"/>
        <v/>
      </c>
      <c r="M135" s="19" t="str">
        <f t="shared" si="27"/>
        <v/>
      </c>
      <c r="N135" s="19" t="str">
        <f t="shared" si="27"/>
        <v/>
      </c>
      <c r="O135" s="19" t="str">
        <f t="shared" si="23"/>
        <v/>
      </c>
      <c r="P135" s="19" t="str">
        <f t="shared" si="24"/>
        <v/>
      </c>
      <c r="Q135" s="19" t="str">
        <f t="shared" si="25"/>
        <v/>
      </c>
      <c r="R135" s="19" t="str">
        <f t="shared" si="27"/>
        <v/>
      </c>
      <c r="S135" s="27" t="str">
        <f t="shared" si="29"/>
        <v/>
      </c>
      <c r="T135" s="28" t="str">
        <f t="shared" si="29"/>
        <v/>
      </c>
      <c r="U135" s="28" t="str">
        <f t="shared" si="29"/>
        <v/>
      </c>
      <c r="V135" s="28" t="str">
        <f t="shared" si="29"/>
        <v/>
      </c>
      <c r="W135" s="28" t="str">
        <f t="shared" si="29"/>
        <v/>
      </c>
      <c r="X135" s="29" t="str">
        <f t="shared" si="29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8"/>
        <v/>
      </c>
      <c r="M136" s="19" t="str">
        <f t="shared" si="27"/>
        <v/>
      </c>
      <c r="N136" s="19" t="str">
        <f t="shared" si="27"/>
        <v/>
      </c>
      <c r="O136" s="19" t="str">
        <f t="shared" si="23"/>
        <v/>
      </c>
      <c r="P136" s="19" t="str">
        <f t="shared" si="24"/>
        <v/>
      </c>
      <c r="Q136" s="19" t="str">
        <f t="shared" si="25"/>
        <v/>
      </c>
      <c r="R136" s="19" t="str">
        <f t="shared" si="27"/>
        <v/>
      </c>
      <c r="S136" s="27" t="str">
        <f t="shared" si="29"/>
        <v/>
      </c>
      <c r="T136" s="28" t="str">
        <f t="shared" si="29"/>
        <v/>
      </c>
      <c r="U136" s="28" t="str">
        <f t="shared" si="29"/>
        <v/>
      </c>
      <c r="V136" s="28" t="str">
        <f t="shared" si="29"/>
        <v/>
      </c>
      <c r="W136" s="28" t="str">
        <f t="shared" si="29"/>
        <v/>
      </c>
      <c r="X136" s="29" t="str">
        <f t="shared" si="29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8"/>
        <v/>
      </c>
      <c r="M137" s="19" t="str">
        <f t="shared" si="27"/>
        <v/>
      </c>
      <c r="N137" s="19" t="str">
        <f t="shared" si="27"/>
        <v/>
      </c>
      <c r="O137" s="19" t="str">
        <f t="shared" si="23"/>
        <v/>
      </c>
      <c r="P137" s="19" t="str">
        <f t="shared" si="24"/>
        <v/>
      </c>
      <c r="Q137" s="19" t="str">
        <f t="shared" si="25"/>
        <v/>
      </c>
      <c r="R137" s="19" t="str">
        <f t="shared" si="27"/>
        <v/>
      </c>
      <c r="S137" s="27" t="str">
        <f t="shared" si="29"/>
        <v/>
      </c>
      <c r="T137" s="28" t="str">
        <f t="shared" si="29"/>
        <v/>
      </c>
      <c r="U137" s="28" t="str">
        <f t="shared" si="29"/>
        <v/>
      </c>
      <c r="V137" s="28" t="str">
        <f t="shared" si="29"/>
        <v/>
      </c>
      <c r="W137" s="28" t="str">
        <f t="shared" si="29"/>
        <v/>
      </c>
      <c r="X137" s="29" t="str">
        <f t="shared" si="29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8"/>
        <v/>
      </c>
      <c r="M138" s="19" t="str">
        <f t="shared" si="27"/>
        <v/>
      </c>
      <c r="N138" s="19" t="str">
        <f t="shared" si="27"/>
        <v/>
      </c>
      <c r="O138" s="19" t="str">
        <f t="shared" si="23"/>
        <v/>
      </c>
      <c r="P138" s="19" t="str">
        <f t="shared" si="24"/>
        <v/>
      </c>
      <c r="Q138" s="19" t="str">
        <f t="shared" si="25"/>
        <v/>
      </c>
      <c r="R138" s="19" t="str">
        <f t="shared" si="27"/>
        <v/>
      </c>
      <c r="S138" s="27" t="str">
        <f t="shared" si="29"/>
        <v/>
      </c>
      <c r="T138" s="28" t="str">
        <f t="shared" si="29"/>
        <v/>
      </c>
      <c r="U138" s="28" t="str">
        <f t="shared" si="29"/>
        <v/>
      </c>
      <c r="V138" s="28" t="str">
        <f t="shared" si="29"/>
        <v/>
      </c>
      <c r="W138" s="28" t="str">
        <f t="shared" si="29"/>
        <v/>
      </c>
      <c r="X138" s="29" t="str">
        <f t="shared" si="29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8"/>
        <v/>
      </c>
      <c r="M139" s="19" t="str">
        <f t="shared" si="27"/>
        <v/>
      </c>
      <c r="N139" s="19" t="str">
        <f t="shared" si="27"/>
        <v/>
      </c>
      <c r="O139" s="19" t="str">
        <f t="shared" si="23"/>
        <v/>
      </c>
      <c r="P139" s="19" t="str">
        <f t="shared" si="24"/>
        <v/>
      </c>
      <c r="Q139" s="19" t="str">
        <f t="shared" si="25"/>
        <v/>
      </c>
      <c r="R139" s="19" t="str">
        <f t="shared" si="27"/>
        <v/>
      </c>
      <c r="S139" s="27" t="str">
        <f t="shared" si="29"/>
        <v/>
      </c>
      <c r="T139" s="28" t="str">
        <f t="shared" si="29"/>
        <v/>
      </c>
      <c r="U139" s="28" t="str">
        <f t="shared" si="29"/>
        <v/>
      </c>
      <c r="V139" s="28" t="str">
        <f t="shared" si="29"/>
        <v/>
      </c>
      <c r="W139" s="28" t="str">
        <f t="shared" si="29"/>
        <v/>
      </c>
      <c r="X139" s="29" t="str">
        <f t="shared" si="29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8"/>
        <v/>
      </c>
      <c r="M140" s="19" t="str">
        <f t="shared" si="27"/>
        <v/>
      </c>
      <c r="N140" s="19" t="str">
        <f t="shared" si="27"/>
        <v/>
      </c>
      <c r="O140" s="19" t="str">
        <f t="shared" si="23"/>
        <v/>
      </c>
      <c r="P140" s="19" t="str">
        <f t="shared" si="24"/>
        <v/>
      </c>
      <c r="Q140" s="19" t="str">
        <f t="shared" si="25"/>
        <v/>
      </c>
      <c r="R140" s="19" t="str">
        <f t="shared" si="27"/>
        <v/>
      </c>
      <c r="S140" s="27" t="str">
        <f t="shared" si="29"/>
        <v/>
      </c>
      <c r="T140" s="28" t="str">
        <f t="shared" si="29"/>
        <v/>
      </c>
      <c r="U140" s="28" t="str">
        <f t="shared" si="29"/>
        <v/>
      </c>
      <c r="V140" s="28" t="str">
        <f t="shared" si="29"/>
        <v/>
      </c>
      <c r="W140" s="28" t="str">
        <f t="shared" si="29"/>
        <v/>
      </c>
      <c r="X140" s="29" t="str">
        <f t="shared" si="29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8"/>
        <v/>
      </c>
      <c r="M141" s="19" t="str">
        <f t="shared" si="27"/>
        <v/>
      </c>
      <c r="N141" s="19" t="str">
        <f t="shared" si="27"/>
        <v/>
      </c>
      <c r="O141" s="19" t="str">
        <f t="shared" si="23"/>
        <v/>
      </c>
      <c r="P141" s="19" t="str">
        <f t="shared" si="24"/>
        <v/>
      </c>
      <c r="Q141" s="19" t="str">
        <f t="shared" si="25"/>
        <v/>
      </c>
      <c r="R141" s="19" t="str">
        <f t="shared" si="27"/>
        <v/>
      </c>
      <c r="S141" s="27" t="str">
        <f t="shared" si="29"/>
        <v/>
      </c>
      <c r="T141" s="28" t="str">
        <f t="shared" si="29"/>
        <v/>
      </c>
      <c r="U141" s="28" t="str">
        <f t="shared" si="29"/>
        <v/>
      </c>
      <c r="V141" s="28" t="str">
        <f t="shared" si="29"/>
        <v/>
      </c>
      <c r="W141" s="28" t="str">
        <f t="shared" si="29"/>
        <v/>
   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8"/>
        <v/>
      </c>
      <c r="M142" s="19" t="str">
        <f t="shared" si="27"/>
        <v/>
      </c>
      <c r="N142" s="19" t="str">
        <f t="shared" si="27"/>
        <v/>
      </c>
      <c r="O142" s="19" t="str">
        <f t="shared" si="23"/>
        <v/>
      </c>
      <c r="P142" s="19" t="str">
        <f t="shared" si="24"/>
        <v/>
      </c>
      <c r="Q142" s="19" t="str">
        <f t="shared" si="25"/>
        <v/>
      </c>
      <c r="R142" s="19" t="str">
        <f t="shared" si="27"/>
        <v/>
      </c>
      <c r="S142" s="27" t="str">
        <f t="shared" si="29"/>
        <v/>
      </c>
      <c r="T142" s="28" t="str">
        <f t="shared" si="29"/>
        <v/>
      </c>
      <c r="U142" s="28" t="str">
        <f t="shared" si="29"/>
        <v/>
      </c>
      <c r="V142" s="28" t="str">
        <f t="shared" si="29"/>
        <v/>
      </c>
      <c r="W142" s="28" t="str">
        <f t="shared" si="29"/>
        <v/>
      </c>
      <c r="X142" s="29" t="str">
        <f t="shared" si="29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8"/>
        <v/>
      </c>
      <c r="M143" s="19" t="str">
        <f t="shared" si="27"/>
        <v/>
      </c>
      <c r="N143" s="19" t="str">
        <f t="shared" si="27"/>
        <v/>
      </c>
      <c r="O143" s="19" t="str">
        <f t="shared" si="23"/>
        <v/>
      </c>
      <c r="P143" s="19" t="str">
        <f t="shared" si="24"/>
        <v/>
      </c>
      <c r="Q143" s="19" t="str">
        <f t="shared" si="25"/>
        <v/>
      </c>
      <c r="R143" s="19" t="str">
        <f t="shared" si="27"/>
        <v/>
      </c>
      <c r="S143" s="27" t="str">
        <f t="shared" si="29"/>
        <v/>
      </c>
      <c r="T143" s="28" t="str">
        <f t="shared" si="29"/>
        <v/>
      </c>
      <c r="U143" s="28" t="str">
        <f t="shared" si="29"/>
        <v/>
      </c>
      <c r="V143" s="28" t="str">
        <f t="shared" si="29"/>
        <v/>
      </c>
      <c r="W143" s="28" t="str">
        <f t="shared" si="29"/>
        <v/>
      </c>
      <c r="X143" s="29" t="str">
        <f t="shared" si="29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8"/>
        <v/>
      </c>
      <c r="M144" s="19" t="str">
        <f t="shared" si="27"/>
        <v/>
      </c>
      <c r="N144" s="19" t="str">
        <f t="shared" si="27"/>
        <v/>
      </c>
      <c r="O144" s="19" t="str">
        <f t="shared" si="23"/>
        <v/>
      </c>
      <c r="P144" s="19" t="str">
        <f t="shared" si="24"/>
        <v/>
      </c>
      <c r="Q144" s="19" t="str">
        <f t="shared" si="25"/>
        <v/>
      </c>
      <c r="R144" s="19" t="str">
        <f t="shared" si="27"/>
        <v/>
      </c>
      <c r="S144" s="27" t="str">
        <f t="shared" si="29"/>
        <v/>
      </c>
      <c r="T144" s="28" t="str">
        <f t="shared" si="29"/>
        <v/>
      </c>
      <c r="U144" s="28" t="str">
        <f t="shared" si="29"/>
        <v/>
      </c>
      <c r="V144" s="28" t="str">
        <f t="shared" si="29"/>
        <v/>
      </c>
      <c r="W144" s="28" t="str">
        <f t="shared" si="29"/>
        <v/>
      </c>
      <c r="X144" s="29" t="str">
        <f t="shared" si="29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8"/>
        <v/>
      </c>
      <c r="M145" s="19" t="str">
        <f t="shared" si="27"/>
        <v/>
      </c>
      <c r="N145" s="19" t="str">
        <f t="shared" si="27"/>
        <v/>
      </c>
      <c r="O145" s="19" t="str">
        <f t="shared" si="23"/>
        <v/>
      </c>
      <c r="P145" s="19" t="str">
        <f t="shared" si="24"/>
        <v/>
      </c>
      <c r="Q145" s="19" t="str">
        <f t="shared" si="25"/>
        <v/>
      </c>
      <c r="R145" s="19" t="str">
        <f t="shared" si="27"/>
        <v/>
      </c>
      <c r="S145" s="27" t="str">
        <f t="shared" ref="S145:X153" si="30">IF(C145="","",((C145-C144)*1000)/($B145-$B144))</f>
        <v/>
      </c>
      <c r="T145" s="28" t="str">
        <f t="shared" si="30"/>
        <v/>
      </c>
      <c r="U145" s="28" t="str">
        <f t="shared" si="30"/>
        <v/>
      </c>
      <c r="V145" s="28" t="str">
        <f t="shared" si="30"/>
        <v/>
      </c>
      <c r="W145" s="28" t="str">
        <f t="shared" si="30"/>
        <v/>
      </c>
      <c r="X145" s="29" t="str">
        <f t="shared" si="3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8"/>
        <v/>
      </c>
      <c r="M146" s="19" t="str">
        <f t="shared" si="27"/>
        <v/>
      </c>
      <c r="N146" s="19" t="str">
        <f t="shared" si="27"/>
        <v/>
      </c>
      <c r="O146" s="19" t="str">
        <f t="shared" si="23"/>
        <v/>
      </c>
      <c r="P146" s="19" t="str">
        <f t="shared" si="24"/>
        <v/>
      </c>
      <c r="Q146" s="19" t="str">
        <f t="shared" si="25"/>
        <v/>
      </c>
      <c r="R146" s="19" t="str">
        <f t="shared" si="27"/>
        <v/>
      </c>
      <c r="S146" s="27" t="str">
        <f t="shared" si="30"/>
        <v/>
      </c>
      <c r="T146" s="28" t="str">
        <f t="shared" si="30"/>
        <v/>
      </c>
      <c r="U146" s="28" t="str">
        <f t="shared" si="30"/>
        <v/>
      </c>
      <c r="V146" s="28" t="str">
        <f t="shared" si="30"/>
        <v/>
      </c>
      <c r="W146" s="28" t="str">
        <f t="shared" si="30"/>
        <v/>
      </c>
      <c r="X146" s="29" t="str">
        <f t="shared" si="3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8"/>
        <v/>
      </c>
      <c r="M147" s="19" t="str">
        <f t="shared" si="27"/>
        <v/>
      </c>
      <c r="N147" s="19" t="str">
        <f t="shared" si="27"/>
        <v/>
      </c>
      <c r="O147" s="19" t="str">
        <f t="shared" si="23"/>
        <v/>
      </c>
      <c r="P147" s="19" t="str">
        <f t="shared" si="24"/>
        <v/>
      </c>
      <c r="Q147" s="19" t="str">
        <f t="shared" si="25"/>
        <v/>
      </c>
      <c r="R147" s="19" t="str">
        <f t="shared" si="27"/>
        <v/>
      </c>
      <c r="S147" s="27" t="str">
        <f t="shared" si="30"/>
        <v/>
      </c>
      <c r="T147" s="28" t="str">
        <f t="shared" si="30"/>
        <v/>
      </c>
      <c r="U147" s="28" t="str">
        <f t="shared" si="30"/>
        <v/>
      </c>
      <c r="V147" s="28" t="str">
        <f t="shared" si="30"/>
        <v/>
      </c>
      <c r="W147" s="28" t="str">
        <f t="shared" si="30"/>
        <v/>
      </c>
      <c r="X147" s="29" t="str">
        <f t="shared" si="3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8"/>
        <v/>
      </c>
      <c r="M148" s="19" t="str">
        <f t="shared" si="27"/>
        <v/>
      </c>
      <c r="N148" s="19" t="str">
        <f t="shared" si="27"/>
        <v/>
      </c>
      <c r="O148" s="19" t="str">
        <f t="shared" si="23"/>
        <v/>
      </c>
      <c r="P148" s="19" t="str">
        <f t="shared" si="24"/>
        <v/>
      </c>
      <c r="Q148" s="19" t="str">
        <f t="shared" si="25"/>
        <v/>
      </c>
      <c r="R148" s="19" t="str">
        <f t="shared" si="27"/>
        <v/>
      </c>
      <c r="S148" s="27" t="str">
        <f t="shared" si="30"/>
        <v/>
      </c>
      <c r="T148" s="28" t="str">
        <f t="shared" si="30"/>
        <v/>
      </c>
      <c r="U148" s="28" t="str">
        <f t="shared" si="30"/>
        <v/>
      </c>
      <c r="V148" s="28" t="str">
        <f t="shared" si="30"/>
        <v/>
      </c>
      <c r="W148" s="28" t="str">
        <f t="shared" si="30"/>
        <v/>
      </c>
      <c r="X148" s="29" t="str">
        <f t="shared" si="3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8"/>
        <v/>
      </c>
      <c r="M149" s="19" t="str">
        <f t="shared" si="27"/>
        <v/>
      </c>
      <c r="N149" s="19" t="str">
        <f t="shared" si="27"/>
        <v/>
      </c>
      <c r="O149" s="19" t="str">
        <f t="shared" si="23"/>
        <v/>
      </c>
      <c r="P149" s="19" t="str">
        <f t="shared" si="24"/>
        <v/>
      </c>
      <c r="Q149" s="19" t="str">
        <f t="shared" si="25"/>
        <v/>
      </c>
      <c r="R149" s="19" t="str">
        <f t="shared" si="27"/>
        <v/>
      </c>
      <c r="S149" s="27" t="str">
        <f t="shared" si="30"/>
        <v/>
      </c>
      <c r="T149" s="28" t="str">
        <f t="shared" si="30"/>
        <v/>
      </c>
      <c r="U149" s="28" t="str">
        <f t="shared" si="30"/>
        <v/>
      </c>
      <c r="V149" s="28" t="str">
        <f t="shared" si="30"/>
        <v/>
      </c>
      <c r="W149" s="28" t="str">
        <f t="shared" si="30"/>
        <v/>
      </c>
      <c r="X149" s="29" t="str">
        <f t="shared" si="3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8"/>
        <v/>
      </c>
      <c r="M150" s="19" t="str">
        <f t="shared" si="27"/>
        <v/>
      </c>
      <c r="N150" s="19" t="str">
        <f t="shared" si="27"/>
        <v/>
      </c>
      <c r="O150" s="19" t="str">
        <f t="shared" si="23"/>
        <v/>
      </c>
      <c r="P150" s="19" t="str">
        <f t="shared" si="24"/>
        <v/>
      </c>
      <c r="Q150" s="19" t="str">
        <f t="shared" si="25"/>
        <v/>
      </c>
      <c r="R150" s="19" t="str">
        <f t="shared" si="27"/>
        <v/>
      </c>
      <c r="S150" s="27" t="str">
        <f t="shared" si="30"/>
        <v/>
      </c>
      <c r="T150" s="28" t="str">
        <f t="shared" si="30"/>
        <v/>
      </c>
      <c r="U150" s="28" t="str">
        <f t="shared" si="30"/>
        <v/>
      </c>
      <c r="V150" s="28" t="str">
        <f t="shared" si="30"/>
        <v/>
      </c>
      <c r="W150" s="28" t="str">
        <f t="shared" si="30"/>
        <v/>
      </c>
      <c r="X150" s="29" t="str">
        <f t="shared" si="3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8"/>
        <v/>
      </c>
      <c r="M151" s="19" t="str">
        <f t="shared" si="27"/>
        <v/>
      </c>
      <c r="N151" s="19" t="str">
        <f t="shared" si="27"/>
        <v/>
      </c>
      <c r="O151" s="19" t="str">
        <f t="shared" si="23"/>
        <v/>
      </c>
      <c r="P151" s="19" t="str">
        <f t="shared" si="24"/>
        <v/>
      </c>
      <c r="Q151" s="19" t="str">
        <f t="shared" si="25"/>
        <v/>
      </c>
      <c r="R151" s="19" t="str">
        <f t="shared" si="27"/>
        <v/>
      </c>
      <c r="S151" s="27" t="str">
        <f t="shared" si="30"/>
        <v/>
      </c>
      <c r="T151" s="28" t="str">
        <f t="shared" si="30"/>
        <v/>
      </c>
      <c r="U151" s="28" t="str">
        <f t="shared" si="30"/>
        <v/>
      </c>
      <c r="V151" s="28" t="str">
        <f t="shared" si="30"/>
        <v/>
      </c>
      <c r="W151" s="28" t="str">
        <f t="shared" si="30"/>
        <v/>
      </c>
      <c r="X151" s="29" t="str">
        <f t="shared" si="3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8"/>
        <v/>
      </c>
      <c r="M152" s="19" t="str">
        <f t="shared" si="27"/>
        <v/>
      </c>
      <c r="N152" s="19" t="str">
        <f t="shared" si="27"/>
        <v/>
      </c>
      <c r="O152" s="19" t="str">
        <f t="shared" si="23"/>
        <v/>
      </c>
      <c r="P152" s="19" t="str">
        <f t="shared" si="24"/>
        <v/>
      </c>
      <c r="Q152" s="19" t="str">
        <f t="shared" si="25"/>
        <v/>
      </c>
      <c r="R152" s="19" t="str">
        <f t="shared" si="27"/>
        <v/>
      </c>
      <c r="S152" s="27" t="str">
        <f t="shared" si="30"/>
        <v/>
      </c>
      <c r="T152" s="28" t="str">
        <f t="shared" si="30"/>
        <v/>
      </c>
      <c r="U152" s="28" t="str">
        <f t="shared" si="30"/>
        <v/>
      </c>
      <c r="V152" s="28" t="str">
        <f t="shared" si="30"/>
        <v/>
      </c>
      <c r="W152" s="28" t="str">
        <f t="shared" si="30"/>
        <v/>
      </c>
      <c r="X152" s="29" t="str">
        <f t="shared" si="3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8"/>
        <v/>
      </c>
      <c r="M153" s="19" t="str">
        <f t="shared" si="27"/>
        <v/>
      </c>
      <c r="N153" s="19" t="str">
        <f t="shared" si="27"/>
        <v/>
      </c>
      <c r="O153" s="19" t="str">
        <f t="shared" si="23"/>
        <v/>
      </c>
      <c r="P153" s="19" t="str">
        <f t="shared" si="24"/>
        <v/>
      </c>
      <c r="Q153" s="19" t="str">
        <f t="shared" si="25"/>
        <v/>
      </c>
      <c r="R153" s="19" t="str">
        <f t="shared" si="27"/>
        <v/>
      </c>
      <c r="S153" s="27" t="str">
        <f t="shared" si="30"/>
        <v/>
      </c>
      <c r="T153" s="28" t="str">
        <f t="shared" si="30"/>
        <v/>
      </c>
      <c r="U153" s="28" t="str">
        <f t="shared" si="30"/>
        <v/>
      </c>
      <c r="V153" s="28" t="str">
        <f t="shared" si="30"/>
        <v/>
      </c>
      <c r="W153" s="28" t="str">
        <f t="shared" si="30"/>
        <v/>
      </c>
      <c r="X153" s="29" t="str">
        <f t="shared" si="30"/>
        <v/>
      </c>
      <c r="Y153" s="24"/>
    </row>
  </sheetData>
  <sheetProtection selectLockedCells="1"/>
  <mergeCells count="38"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B10:J12"/>
    <mergeCell ref="K10:S12"/>
    <mergeCell ref="T10:Y12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>
    <pageSetUpPr fitToPage="1"/>
  </sheetPr>
  <dimension ref="A1:AI153"/>
  <sheetViews>
    <sheetView showGridLines="0" zoomScale="75" zoomScaleNormal="75" zoomScaleSheetLayoutView="40" zoomScalePageLayoutView="40" workbookViewId="0">
      <pane ySplit="8" topLeftCell="A51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TZ-20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45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/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/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260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518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46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4">
        <v>41695</v>
      </c>
      <c r="C16" s="35">
        <v>13.141</v>
      </c>
      <c r="D16" s="36">
        <v>8.1690000000000005</v>
      </c>
      <c r="E16" s="36">
        <v>8.2789999999999999</v>
      </c>
      <c r="F16" s="37"/>
      <c r="G16" s="37"/>
      <c r="H16" s="37"/>
      <c r="I16" s="56">
        <v>102.875</v>
      </c>
      <c r="J16" s="39">
        <v>530</v>
      </c>
      <c r="K16" s="55">
        <f>IF(ISBLANK(J16),"",(J16-$J$8))</f>
        <v>12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0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41696</v>
      </c>
      <c r="C17" s="25">
        <v>13.141</v>
      </c>
      <c r="D17" s="26">
        <v>8.1679999999999993</v>
      </c>
      <c r="E17" s="26">
        <v>8.2789999999999999</v>
      </c>
      <c r="F17" s="16"/>
      <c r="G17" s="16"/>
      <c r="H17" s="16"/>
      <c r="I17" s="54">
        <v>102.874</v>
      </c>
      <c r="J17" s="32">
        <v>537</v>
      </c>
      <c r="K17" s="18">
        <f>IF(ISBLANK(J17),"",(J17-$J$8))</f>
        <v>19</v>
      </c>
      <c r="L17" s="19">
        <f t="shared" ref="L17:R62" si="1">IF(ISBLANK(C17),"",(C17-C$16)*1000)</f>
        <v>0</v>
      </c>
      <c r="M17" s="19">
        <f t="shared" si="1"/>
        <v>-1.0000000000012221</v>
      </c>
      <c r="N17" s="19">
        <f t="shared" si="1"/>
        <v>0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0"/>
        <v>-1.0000000000047748</v>
      </c>
      <c r="S17" s="27">
        <f t="shared" ref="S17:X32" si="2">IF(C17="","",((C17-C16)*1000)/($B17-$B16))</f>
        <v>0</v>
      </c>
      <c r="T17" s="28">
        <f t="shared" si="2"/>
        <v>-1.0000000000012221</v>
      </c>
      <c r="U17" s="28">
        <f t="shared" si="2"/>
        <v>0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30"/>
    </row>
    <row r="18" spans="2:25" ht="15" customHeight="1" x14ac:dyDescent="0.2">
      <c r="B18" s="31">
        <v>41697</v>
      </c>
      <c r="C18" s="25">
        <v>13.141999999999999</v>
      </c>
      <c r="D18" s="26">
        <v>8.1690000000000005</v>
      </c>
      <c r="E18" s="26">
        <v>8.2789999999999999</v>
      </c>
      <c r="F18" s="47"/>
      <c r="G18" s="47"/>
      <c r="H18" s="47"/>
      <c r="I18" s="26">
        <v>102.874</v>
      </c>
      <c r="J18" s="58">
        <v>547.5</v>
      </c>
      <c r="K18" s="59">
        <f t="shared" ref="K18:K23" si="3">IF(ISBLANK(J18),"",(J18-$J$8))</f>
        <v>29.5</v>
      </c>
      <c r="L18" s="19">
        <f t="shared" si="1"/>
        <v>0.99999999999944578</v>
      </c>
      <c r="M18" s="19">
        <f t="shared" si="1"/>
        <v>0</v>
      </c>
      <c r="N18" s="19">
        <f t="shared" si="1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0"/>
        <v>-1.0000000000047748</v>
      </c>
      <c r="S18" s="27">
        <f t="shared" si="2"/>
        <v>0.99999999999944578</v>
      </c>
      <c r="T18" s="28">
        <f t="shared" si="2"/>
        <v>1.0000000000012221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41698</v>
      </c>
      <c r="C19" s="25">
        <v>13.141</v>
      </c>
      <c r="D19" s="26">
        <v>8.1690000000000005</v>
      </c>
      <c r="E19" s="26">
        <v>8.2789999999999999</v>
      </c>
      <c r="F19" s="47"/>
      <c r="G19" s="47"/>
      <c r="H19" s="47"/>
      <c r="I19" s="26">
        <v>102.874</v>
      </c>
      <c r="J19" s="58">
        <v>552</v>
      </c>
      <c r="K19" s="59">
        <f t="shared" si="3"/>
        <v>34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0"/>
        <v>-1.0000000000047748</v>
      </c>
      <c r="S19" s="27">
        <f t="shared" si="2"/>
        <v>-0.99999999999944578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41701</v>
      </c>
      <c r="C20" s="25">
        <v>13.141</v>
      </c>
      <c r="D20" s="26">
        <v>8.1690000000000005</v>
      </c>
      <c r="E20" s="26">
        <v>8.2789999999999999</v>
      </c>
      <c r="F20" s="47"/>
      <c r="G20" s="47"/>
      <c r="H20" s="47"/>
      <c r="I20" s="26">
        <v>102.874</v>
      </c>
      <c r="J20" s="58">
        <v>555.5</v>
      </c>
      <c r="K20" s="59">
        <f t="shared" si="3"/>
        <v>37.5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0"/>
        <v>-1.0000000000047748</v>
      </c>
      <c r="S20" s="27">
        <f t="shared" si="2"/>
        <v>0</v>
      </c>
      <c r="T20" s="28">
        <f t="shared" si="2"/>
        <v>0</v>
      </c>
      <c r="U20" s="28">
        <f t="shared" si="2"/>
        <v>0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41702</v>
      </c>
      <c r="C21" s="25">
        <v>13.141999999999999</v>
      </c>
      <c r="D21" s="26">
        <v>8.1690000000000005</v>
      </c>
      <c r="E21" s="26">
        <v>8.2780000000000005</v>
      </c>
      <c r="F21" s="47"/>
      <c r="G21" s="47"/>
      <c r="H21" s="47"/>
      <c r="I21" s="26">
        <v>102.874</v>
      </c>
      <c r="J21" s="58">
        <v>559.5</v>
      </c>
      <c r="K21" s="59">
        <f t="shared" si="3"/>
        <v>41.5</v>
      </c>
      <c r="L21" s="19">
        <f t="shared" si="1"/>
        <v>0.99999999999944578</v>
      </c>
      <c r="M21" s="19">
        <f t="shared" si="1"/>
        <v>0</v>
      </c>
      <c r="N21" s="19">
        <f t="shared" si="1"/>
        <v>-0.99999999999944578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0"/>
        <v>-1.0000000000047748</v>
      </c>
      <c r="S21" s="27">
        <f t="shared" si="2"/>
        <v>0.99999999999944578</v>
      </c>
      <c r="T21" s="28">
        <f t="shared" si="2"/>
        <v>0</v>
      </c>
      <c r="U21" s="28">
        <f t="shared" si="2"/>
        <v>-0.99999999999944578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41703</v>
      </c>
      <c r="C22" s="25">
        <v>13.141</v>
      </c>
      <c r="D22" s="26">
        <v>8.1690000000000005</v>
      </c>
      <c r="E22" s="26">
        <v>8.2789999999999999</v>
      </c>
      <c r="F22" s="47"/>
      <c r="G22" s="47"/>
      <c r="H22" s="47"/>
      <c r="I22" s="26">
        <v>102.873</v>
      </c>
      <c r="J22" s="58">
        <v>562.5</v>
      </c>
      <c r="K22" s="59">
        <f t="shared" si="3"/>
        <v>44.5</v>
      </c>
      <c r="L22" s="19">
        <f t="shared" si="1"/>
        <v>0</v>
      </c>
      <c r="M22" s="19">
        <f t="shared" si="1"/>
        <v>0</v>
      </c>
      <c r="N22" s="19">
        <f t="shared" si="1"/>
        <v>0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0"/>
        <v>-1.9999999999953388</v>
      </c>
      <c r="S22" s="27">
        <f t="shared" si="2"/>
        <v>-0.99999999999944578</v>
      </c>
      <c r="T22" s="28">
        <f t="shared" si="2"/>
        <v>0</v>
      </c>
      <c r="U22" s="28">
        <f t="shared" si="2"/>
        <v>0.99999999999944578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41704</v>
      </c>
      <c r="C23" s="25">
        <v>13.141999999999999</v>
      </c>
      <c r="D23" s="26">
        <v>8.1690000000000005</v>
      </c>
      <c r="E23" s="26">
        <v>8.2780000000000005</v>
      </c>
      <c r="F23" s="47"/>
      <c r="G23" s="47"/>
      <c r="H23" s="47"/>
      <c r="I23" s="26">
        <v>102.873</v>
      </c>
      <c r="J23" s="58">
        <v>565</v>
      </c>
      <c r="K23" s="59">
        <f t="shared" si="3"/>
        <v>47</v>
      </c>
      <c r="L23" s="19">
        <f t="shared" si="1"/>
        <v>0.99999999999944578</v>
      </c>
      <c r="M23" s="19">
        <f t="shared" si="1"/>
        <v>0</v>
      </c>
      <c r="N23" s="19">
        <f t="shared" si="1"/>
        <v>-0.99999999999944578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0"/>
        <v>-1.9999999999953388</v>
      </c>
      <c r="S23" s="27">
        <f t="shared" si="2"/>
        <v>0.99999999999944578</v>
      </c>
      <c r="T23" s="28">
        <f t="shared" si="2"/>
        <v>0</v>
      </c>
      <c r="U23" s="28">
        <f t="shared" si="2"/>
        <v>-0.99999999999944578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41705</v>
      </c>
      <c r="C24" s="25">
        <v>13.141999999999999</v>
      </c>
      <c r="D24" s="26">
        <v>8.1690000000000005</v>
      </c>
      <c r="E24" s="26">
        <v>8.2780000000000005</v>
      </c>
      <c r="F24" s="47"/>
      <c r="G24" s="47"/>
      <c r="H24" s="47"/>
      <c r="I24" s="26">
        <v>102.874</v>
      </c>
      <c r="J24" s="58">
        <v>568.5</v>
      </c>
      <c r="K24" s="59">
        <f t="shared" ref="K24:K39" si="4">IF(ISBLANK(J24),"",(J24-$J$8))</f>
        <v>50.5</v>
      </c>
      <c r="L24" s="19">
        <f t="shared" si="1"/>
        <v>0.99999999999944578</v>
      </c>
      <c r="M24" s="19">
        <f t="shared" si="1"/>
        <v>0</v>
      </c>
      <c r="N24" s="19">
        <f t="shared" si="1"/>
        <v>-0.99999999999944578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0"/>
        <v>-1.0000000000047748</v>
      </c>
      <c r="S24" s="27">
        <f t="shared" si="2"/>
        <v>0</v>
      </c>
      <c r="T24" s="28">
        <f t="shared" si="2"/>
        <v>0</v>
      </c>
      <c r="U24" s="28">
        <f t="shared" si="2"/>
        <v>0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41708</v>
      </c>
      <c r="C25" s="25">
        <v>13.141999999999999</v>
      </c>
      <c r="D25" s="26">
        <v>8.1690000000000005</v>
      </c>
      <c r="E25" s="26">
        <v>8.2789999999999999</v>
      </c>
      <c r="F25" s="47"/>
      <c r="G25" s="47"/>
      <c r="H25" s="47"/>
      <c r="I25" s="26">
        <v>102.874</v>
      </c>
      <c r="J25" s="58">
        <v>576</v>
      </c>
      <c r="K25" s="59">
        <f t="shared" si="4"/>
        <v>58</v>
      </c>
      <c r="L25" s="19">
        <f t="shared" si="1"/>
        <v>0.99999999999944578</v>
      </c>
      <c r="M25" s="19">
        <f t="shared" si="1"/>
        <v>0</v>
      </c>
      <c r="N25" s="19">
        <f t="shared" si="1"/>
        <v>0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0"/>
        <v>-1.0000000000047748</v>
      </c>
      <c r="S25" s="27">
        <f t="shared" si="2"/>
        <v>0</v>
      </c>
      <c r="T25" s="28">
        <f t="shared" si="2"/>
        <v>0</v>
      </c>
      <c r="U25" s="28">
        <f t="shared" si="2"/>
        <v>0.33333333333314857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41709</v>
      </c>
      <c r="C26" s="25">
        <v>13.141999999999999</v>
      </c>
      <c r="D26" s="26">
        <v>8.1690000000000005</v>
      </c>
      <c r="E26" s="26">
        <v>8.2780000000000005</v>
      </c>
      <c r="F26" s="47"/>
      <c r="G26" s="47"/>
      <c r="H26" s="47"/>
      <c r="I26" s="26">
        <v>102.873</v>
      </c>
      <c r="J26" s="58">
        <v>584</v>
      </c>
      <c r="K26" s="59">
        <f t="shared" si="4"/>
        <v>66</v>
      </c>
      <c r="L26" s="19">
        <f t="shared" si="1"/>
        <v>0.99999999999944578</v>
      </c>
      <c r="M26" s="19">
        <f t="shared" si="1"/>
        <v>0</v>
      </c>
      <c r="N26" s="19">
        <f t="shared" si="1"/>
        <v>-0.99999999999944578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0"/>
        <v>-1.9999999999953388</v>
      </c>
      <c r="S26" s="27">
        <f t="shared" si="2"/>
        <v>0</v>
      </c>
      <c r="T26" s="28">
        <f t="shared" si="2"/>
        <v>0</v>
      </c>
      <c r="U26" s="28">
        <f t="shared" si="2"/>
        <v>-0.99999999999944578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41710</v>
      </c>
      <c r="C27" s="25">
        <v>13.143000000000001</v>
      </c>
      <c r="D27" s="26">
        <v>8.17</v>
      </c>
      <c r="E27" s="26">
        <v>8.2780000000000005</v>
      </c>
      <c r="F27" s="47"/>
      <c r="G27" s="47"/>
      <c r="H27" s="47"/>
      <c r="I27" s="26">
        <v>102.872</v>
      </c>
      <c r="J27" s="58">
        <v>587.5</v>
      </c>
      <c r="K27" s="59">
        <f t="shared" si="4"/>
        <v>69.5</v>
      </c>
      <c r="L27" s="19">
        <f t="shared" si="1"/>
        <v>2.0000000000006679</v>
      </c>
      <c r="M27" s="19">
        <f t="shared" si="1"/>
        <v>0.99999999999944578</v>
      </c>
      <c r="N27" s="19">
        <f t="shared" si="1"/>
        <v>-0.99999999999944578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0"/>
        <v>-3.0000000000001137</v>
      </c>
      <c r="S27" s="27">
        <f t="shared" si="2"/>
        <v>1.0000000000012221</v>
      </c>
      <c r="T27" s="28">
        <f t="shared" si="2"/>
        <v>0.99999999999944578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41711</v>
      </c>
      <c r="C28" s="25">
        <v>13.143000000000001</v>
      </c>
      <c r="D28" s="26">
        <v>8.1690000000000005</v>
      </c>
      <c r="E28" s="26">
        <v>8.2780000000000005</v>
      </c>
      <c r="F28" s="47"/>
      <c r="G28" s="47"/>
      <c r="H28" s="47"/>
      <c r="I28" s="26">
        <v>102.872</v>
      </c>
      <c r="J28" s="58">
        <v>596</v>
      </c>
      <c r="K28" s="59">
        <f t="shared" si="4"/>
        <v>78</v>
      </c>
      <c r="L28" s="19">
        <f t="shared" si="1"/>
        <v>2.0000000000006679</v>
      </c>
      <c r="M28" s="19">
        <f t="shared" si="1"/>
        <v>0</v>
      </c>
      <c r="N28" s="19">
        <f t="shared" si="1"/>
        <v>-0.99999999999944578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0"/>
        <v>-3.0000000000001137</v>
      </c>
      <c r="S28" s="27">
        <f t="shared" si="2"/>
        <v>0</v>
      </c>
      <c r="T28" s="28">
        <f t="shared" si="2"/>
        <v>-0.99999999999944578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41712</v>
      </c>
      <c r="C29" s="25">
        <v>13.143000000000001</v>
      </c>
      <c r="D29" s="26">
        <v>8.17</v>
      </c>
      <c r="E29" s="26">
        <v>8.2769999999999992</v>
      </c>
      <c r="F29" s="47"/>
      <c r="G29" s="47"/>
      <c r="H29" s="47"/>
      <c r="I29" s="26">
        <v>102.872</v>
      </c>
      <c r="J29" s="58">
        <v>600.5</v>
      </c>
      <c r="K29" s="59">
        <f t="shared" si="4"/>
        <v>82.5</v>
      </c>
      <c r="L29" s="19">
        <f t="shared" si="1"/>
        <v>2.0000000000006679</v>
      </c>
      <c r="M29" s="19">
        <f t="shared" si="1"/>
        <v>0.99999999999944578</v>
      </c>
      <c r="N29" s="19">
        <f t="shared" si="1"/>
        <v>-2.0000000000006679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0"/>
        <v>-3.0000000000001137</v>
      </c>
      <c r="S29" s="27">
        <f t="shared" si="2"/>
        <v>0</v>
      </c>
      <c r="T29" s="28">
        <f t="shared" si="2"/>
        <v>0.99999999999944578</v>
      </c>
      <c r="U29" s="28">
        <f t="shared" si="2"/>
        <v>-1.0000000000012221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41715</v>
      </c>
      <c r="C30" s="25">
        <v>13.143000000000001</v>
      </c>
      <c r="D30" s="26">
        <v>8.1690000000000005</v>
      </c>
      <c r="E30" s="26">
        <v>8.2780000000000005</v>
      </c>
      <c r="F30" s="47"/>
      <c r="G30" s="47"/>
      <c r="H30" s="47"/>
      <c r="I30" s="26">
        <v>102.872</v>
      </c>
      <c r="J30" s="58">
        <v>609.5</v>
      </c>
      <c r="K30" s="59">
        <f t="shared" si="4"/>
        <v>91.5</v>
      </c>
      <c r="L30" s="19">
        <f t="shared" si="1"/>
        <v>2.0000000000006679</v>
      </c>
      <c r="M30" s="19">
        <f t="shared" si="1"/>
        <v>0</v>
      </c>
      <c r="N30" s="19">
        <f t="shared" si="1"/>
        <v>-0.99999999999944578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0"/>
        <v>-3.0000000000001137</v>
      </c>
      <c r="S30" s="27">
        <f t="shared" si="2"/>
        <v>0</v>
      </c>
      <c r="T30" s="28">
        <f t="shared" si="2"/>
        <v>-0.33333333333314857</v>
      </c>
      <c r="U30" s="28">
        <f t="shared" si="2"/>
        <v>0.33333333333374071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41723</v>
      </c>
      <c r="C31" s="25">
        <v>13.143000000000001</v>
      </c>
      <c r="D31" s="26">
        <v>8.17</v>
      </c>
      <c r="E31" s="26">
        <v>8.2780000000000005</v>
      </c>
      <c r="F31" s="47"/>
      <c r="G31" s="47"/>
      <c r="H31" s="47"/>
      <c r="I31" s="26">
        <v>102.872</v>
      </c>
      <c r="J31" s="32">
        <v>308</v>
      </c>
      <c r="K31" s="59">
        <f t="shared" si="4"/>
        <v>-210</v>
      </c>
      <c r="L31" s="19">
        <f t="shared" si="1"/>
        <v>2.0000000000006679</v>
      </c>
      <c r="M31" s="19">
        <f t="shared" si="1"/>
        <v>0.99999999999944578</v>
      </c>
      <c r="N31" s="19">
        <f t="shared" si="1"/>
        <v>-0.99999999999944578</v>
      </c>
      <c r="O31" s="19" t="str">
        <f t="shared" si="0"/>
        <v/>
      </c>
      <c r="P31" s="19" t="str">
        <f t="shared" si="0"/>
        <v/>
      </c>
      <c r="Q31" s="19" t="str">
        <f t="shared" si="0"/>
        <v/>
      </c>
      <c r="R31" s="19">
        <f t="shared" si="0"/>
        <v>-3.0000000000001137</v>
      </c>
      <c r="S31" s="27">
        <f t="shared" si="2"/>
        <v>0</v>
      </c>
      <c r="T31" s="28">
        <f t="shared" si="2"/>
        <v>0.12499999999993072</v>
      </c>
      <c r="U31" s="28">
        <f t="shared" si="2"/>
        <v>0</v>
      </c>
      <c r="V31" s="28" t="str">
        <f t="shared" si="2"/>
        <v/>
      </c>
      <c r="W31" s="28" t="str">
        <f t="shared" si="2"/>
        <v/>
      </c>
      <c r="X31" s="29" t="str">
        <f t="shared" si="2"/>
        <v/>
      </c>
      <c r="Y31" s="24" t="s">
        <v>23</v>
      </c>
    </row>
    <row r="32" spans="2:25" ht="15" customHeight="1" x14ac:dyDescent="0.2">
      <c r="B32" s="31">
        <v>41724</v>
      </c>
      <c r="C32" s="25">
        <v>13.143000000000001</v>
      </c>
      <c r="D32" s="26">
        <v>8.17</v>
      </c>
      <c r="E32" s="26">
        <v>8.2780000000000005</v>
      </c>
      <c r="F32" s="47"/>
      <c r="G32" s="47"/>
      <c r="H32" s="47"/>
      <c r="I32" s="26">
        <v>102.871</v>
      </c>
      <c r="J32" s="32">
        <v>319</v>
      </c>
      <c r="K32" s="59">
        <f t="shared" si="4"/>
        <v>-199</v>
      </c>
      <c r="L32" s="19">
        <f t="shared" si="1"/>
        <v>2.0000000000006679</v>
      </c>
      <c r="M32" s="19">
        <f t="shared" si="1"/>
        <v>0.99999999999944578</v>
      </c>
      <c r="N32" s="19">
        <f t="shared" si="1"/>
        <v>-0.99999999999944578</v>
      </c>
      <c r="O32" s="19" t="str">
        <f t="shared" si="0"/>
        <v/>
      </c>
      <c r="P32" s="19" t="str">
        <f t="shared" si="0"/>
        <v/>
      </c>
      <c r="Q32" s="19" t="str">
        <f t="shared" si="0"/>
        <v/>
      </c>
      <c r="R32" s="19">
        <f t="shared" si="0"/>
        <v>-4.0000000000048885</v>
      </c>
      <c r="S32" s="27">
        <f t="shared" si="2"/>
        <v>0</v>
      </c>
      <c r="T32" s="28">
        <f t="shared" si="2"/>
        <v>0</v>
      </c>
      <c r="U32" s="28">
        <f t="shared" si="2"/>
        <v>0</v>
      </c>
      <c r="V32" s="28" t="str">
        <f t="shared" si="2"/>
        <v/>
      </c>
      <c r="W32" s="28" t="str">
        <f t="shared" si="2"/>
        <v/>
      </c>
      <c r="X32" s="29" t="str">
        <f t="shared" si="2"/>
        <v/>
      </c>
      <c r="Y32" s="24"/>
    </row>
    <row r="33" spans="2:25" ht="15" customHeight="1" x14ac:dyDescent="0.2">
      <c r="B33" s="31">
        <v>41751</v>
      </c>
      <c r="C33" s="64">
        <v>13.143000000000001</v>
      </c>
      <c r="D33" s="65">
        <v>8.17</v>
      </c>
      <c r="E33" s="65">
        <v>8.2780000000000005</v>
      </c>
      <c r="F33" s="16">
        <v>13.746</v>
      </c>
      <c r="G33" s="16">
        <v>10.545999999999999</v>
      </c>
      <c r="H33" s="16">
        <v>11.105</v>
      </c>
      <c r="I33" s="26">
        <v>102.871</v>
      </c>
      <c r="J33" s="32">
        <v>534.5</v>
      </c>
      <c r="K33" s="59">
        <f t="shared" si="4"/>
        <v>16.5</v>
      </c>
      <c r="L33" s="19">
        <f t="shared" si="1"/>
        <v>2.0000000000006679</v>
      </c>
      <c r="M33" s="19">
        <f t="shared" si="1"/>
        <v>0.99999999999944578</v>
      </c>
      <c r="N33" s="19">
        <f t="shared" si="1"/>
        <v>-0.99999999999944578</v>
      </c>
      <c r="O33" s="19">
        <f>IF(ISBLANK(F33),"",((F33-F$33)*1000)+L$32)</f>
        <v>2.0000000000006679</v>
      </c>
      <c r="P33" s="19">
        <f>IF(ISBLANK(G33),"",((G33-G$33)*1000)+M$32)</f>
        <v>0.99999999999944578</v>
      </c>
      <c r="Q33" s="19">
        <f>IF(ISBLANK(H33),"",((H33-H$33)*1000)+N$32)</f>
        <v>-0.99999999999944578</v>
      </c>
      <c r="R33" s="19">
        <f t="shared" si="1"/>
        <v>-4.0000000000048885</v>
      </c>
      <c r="S33" s="27">
        <f t="shared" ref="S33:X48" si="5">IF(C33="","",((C33-C32)*1000)/($B33-$B32))</f>
        <v>0</v>
      </c>
      <c r="T33" s="28">
        <f t="shared" si="5"/>
        <v>0</v>
      </c>
      <c r="U33" s="28">
        <f t="shared" si="5"/>
        <v>0</v>
      </c>
      <c r="V33" s="28"/>
      <c r="W33" s="28"/>
      <c r="X33" s="29"/>
      <c r="Y33" s="24" t="s">
        <v>35</v>
      </c>
    </row>
    <row r="34" spans="2:25" ht="15" customHeight="1" x14ac:dyDescent="0.2">
      <c r="B34" s="31">
        <v>41752</v>
      </c>
      <c r="C34" s="64">
        <v>13.143000000000001</v>
      </c>
      <c r="D34" s="65">
        <v>8.17</v>
      </c>
      <c r="E34" s="65">
        <v>8.2780000000000005</v>
      </c>
      <c r="F34" s="16">
        <v>13.744</v>
      </c>
      <c r="G34" s="16">
        <v>10.544</v>
      </c>
      <c r="H34" s="16">
        <v>11.103999999999999</v>
      </c>
      <c r="I34" s="26">
        <v>102.871</v>
      </c>
      <c r="J34" s="32">
        <v>534.5</v>
      </c>
      <c r="K34" s="59">
        <f t="shared" si="4"/>
        <v>16.5</v>
      </c>
      <c r="L34" s="19">
        <f t="shared" si="1"/>
        <v>2.0000000000006679</v>
      </c>
      <c r="M34" s="19">
        <f t="shared" si="1"/>
        <v>0.99999999999944578</v>
      </c>
      <c r="N34" s="19">
        <f t="shared" si="1"/>
        <v>-0.99999999999944578</v>
      </c>
      <c r="O34" s="19">
        <f t="shared" ref="O34:O40" si="6">IF(ISBLANK(F34),"",((F34-F$33)*1000)+L$32)</f>
        <v>0</v>
      </c>
      <c r="P34" s="19">
        <f t="shared" ref="P34:P40" si="7">IF(ISBLANK(G34),"",((G34-G$33)*1000)+M$32)</f>
        <v>-0.99999999999944578</v>
      </c>
      <c r="Q34" s="19">
        <f t="shared" ref="Q34:Q97" si="8">IF(ISBLANK(H34),"",((H34-H$33)*1000)+N$32)</f>
        <v>-2.0000000000006679</v>
      </c>
      <c r="R34" s="19">
        <f t="shared" si="1"/>
        <v>-4.0000000000048885</v>
      </c>
      <c r="S34" s="27">
        <f t="shared" si="5"/>
        <v>0</v>
      </c>
      <c r="T34" s="28">
        <f t="shared" si="5"/>
        <v>0</v>
      </c>
      <c r="U34" s="28">
        <f t="shared" si="5"/>
        <v>0</v>
      </c>
      <c r="V34" s="28">
        <f t="shared" si="5"/>
        <v>-2.0000000000006679</v>
      </c>
      <c r="W34" s="28">
        <f t="shared" si="5"/>
        <v>-1.9999999999988916</v>
      </c>
      <c r="X34" s="29">
        <f t="shared" si="5"/>
        <v>-1.0000000000012221</v>
      </c>
      <c r="Y34" s="24"/>
    </row>
    <row r="35" spans="2:25" ht="15" customHeight="1" x14ac:dyDescent="0.2">
      <c r="B35" s="31">
        <v>41753</v>
      </c>
      <c r="C35" s="64">
        <v>13.143000000000001</v>
      </c>
      <c r="D35" s="65">
        <v>8.17</v>
      </c>
      <c r="E35" s="65">
        <v>8.2780000000000005</v>
      </c>
      <c r="F35" s="16">
        <v>13.743</v>
      </c>
      <c r="G35" s="16">
        <v>10.545</v>
      </c>
      <c r="H35" s="16">
        <v>11.103</v>
      </c>
      <c r="I35" s="26">
        <v>102.871</v>
      </c>
      <c r="J35" s="32">
        <v>534.5</v>
      </c>
      <c r="K35" s="59">
        <f t="shared" si="4"/>
        <v>16.5</v>
      </c>
      <c r="L35" s="19">
        <f t="shared" si="1"/>
        <v>2.0000000000006679</v>
      </c>
      <c r="M35" s="19">
        <f t="shared" si="1"/>
        <v>0.99999999999944578</v>
      </c>
      <c r="N35" s="19">
        <f t="shared" si="1"/>
        <v>-0.99999999999944578</v>
      </c>
      <c r="O35" s="19">
        <f t="shared" si="6"/>
        <v>-0.99999999999944578</v>
      </c>
      <c r="P35" s="19">
        <f t="shared" si="7"/>
        <v>0</v>
      </c>
      <c r="Q35" s="19">
        <f t="shared" si="8"/>
        <v>-3.0000000000001137</v>
      </c>
      <c r="R35" s="19">
        <f t="shared" si="1"/>
        <v>-4.0000000000048885</v>
      </c>
      <c r="S35" s="27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-0.99999999999944578</v>
      </c>
      <c r="W35" s="28">
        <f t="shared" si="5"/>
        <v>0.99999999999944578</v>
      </c>
      <c r="X35" s="29">
        <f t="shared" si="5"/>
        <v>-0.99999999999944578</v>
      </c>
      <c r="Y35" s="24"/>
    </row>
    <row r="36" spans="2:25" ht="15" customHeight="1" x14ac:dyDescent="0.2">
      <c r="B36" s="31">
        <v>41754</v>
      </c>
      <c r="C36" s="64">
        <v>13.143000000000001</v>
      </c>
      <c r="D36" s="65">
        <v>8.17</v>
      </c>
      <c r="E36" s="65">
        <v>8.2780000000000005</v>
      </c>
      <c r="F36" s="16">
        <v>13.743</v>
      </c>
      <c r="G36" s="16">
        <v>10.544</v>
      </c>
      <c r="H36" s="16">
        <v>11.103</v>
      </c>
      <c r="I36" s="26">
        <v>102.871</v>
      </c>
      <c r="J36" s="32">
        <v>534.5</v>
      </c>
      <c r="K36" s="59">
        <f t="shared" si="4"/>
        <v>16.5</v>
      </c>
      <c r="L36" s="19">
        <f t="shared" si="1"/>
        <v>2.0000000000006679</v>
      </c>
      <c r="M36" s="19">
        <f t="shared" si="1"/>
        <v>0.99999999999944578</v>
      </c>
      <c r="N36" s="19">
        <f t="shared" si="1"/>
        <v>-0.99999999999944578</v>
      </c>
      <c r="O36" s="19">
        <f t="shared" si="6"/>
        <v>-0.99999999999944578</v>
      </c>
      <c r="P36" s="19">
        <f t="shared" si="7"/>
        <v>-0.99999999999944578</v>
      </c>
      <c r="Q36" s="19">
        <f t="shared" si="8"/>
        <v>-3.0000000000001137</v>
      </c>
      <c r="R36" s="19">
        <f t="shared" si="1"/>
        <v>-4.0000000000048885</v>
      </c>
      <c r="S36" s="27">
        <f t="shared" si="5"/>
        <v>0</v>
      </c>
      <c r="T36" s="28">
        <f t="shared" si="5"/>
        <v>0</v>
      </c>
      <c r="U36" s="28">
        <f t="shared" si="5"/>
        <v>0</v>
      </c>
      <c r="V36" s="28">
        <f t="shared" si="5"/>
        <v>0</v>
      </c>
      <c r="W36" s="28">
        <f t="shared" si="5"/>
        <v>-0.99999999999944578</v>
      </c>
      <c r="X36" s="29">
        <f t="shared" si="5"/>
        <v>0</v>
      </c>
      <c r="Y36" s="24"/>
    </row>
    <row r="37" spans="2:25" ht="15" customHeight="1" x14ac:dyDescent="0.2">
      <c r="B37" s="31">
        <v>41757</v>
      </c>
      <c r="C37" s="64">
        <v>13.143000000000001</v>
      </c>
      <c r="D37" s="65">
        <v>8.17</v>
      </c>
      <c r="E37" s="65">
        <v>8.2780000000000005</v>
      </c>
      <c r="F37" s="16">
        <v>13.742000000000001</v>
      </c>
      <c r="G37" s="16">
        <v>10.542999999999999</v>
      </c>
      <c r="H37" s="16">
        <v>11.103</v>
      </c>
      <c r="I37" s="26">
        <v>102.871</v>
      </c>
      <c r="J37" s="32">
        <v>534.5</v>
      </c>
      <c r="K37" s="59">
        <f t="shared" si="4"/>
        <v>16.5</v>
      </c>
      <c r="L37" s="19">
        <f t="shared" si="1"/>
        <v>2.0000000000006679</v>
      </c>
      <c r="M37" s="19">
        <f t="shared" si="1"/>
        <v>0.99999999999944578</v>
      </c>
      <c r="N37" s="19">
        <f t="shared" si="1"/>
        <v>-0.99999999999944578</v>
      </c>
      <c r="O37" s="19">
        <f t="shared" si="6"/>
        <v>-1.9999999999988916</v>
      </c>
      <c r="P37" s="19">
        <f t="shared" si="7"/>
        <v>-2.0000000000006679</v>
      </c>
      <c r="Q37" s="19">
        <f t="shared" si="8"/>
        <v>-3.0000000000001137</v>
      </c>
      <c r="R37" s="19">
        <f t="shared" si="1"/>
        <v>-4.0000000000048885</v>
      </c>
      <c r="S37" s="27">
        <f t="shared" si="5"/>
        <v>0</v>
      </c>
      <c r="T37" s="28">
        <f t="shared" si="5"/>
        <v>0</v>
      </c>
      <c r="U37" s="28">
        <f t="shared" si="5"/>
        <v>0</v>
      </c>
      <c r="V37" s="28">
        <f t="shared" si="5"/>
        <v>-0.33333333333314857</v>
      </c>
      <c r="W37" s="28">
        <f t="shared" si="5"/>
        <v>-0.33333333333374071</v>
      </c>
      <c r="X37" s="29">
        <f t="shared" si="5"/>
        <v>0</v>
      </c>
      <c r="Y37" s="24"/>
    </row>
    <row r="38" spans="2:25" ht="15" customHeight="1" x14ac:dyDescent="0.2">
      <c r="B38" s="31">
        <v>41758</v>
      </c>
      <c r="C38" s="64">
        <v>13.143000000000001</v>
      </c>
      <c r="D38" s="65">
        <v>8.17</v>
      </c>
      <c r="E38" s="65">
        <v>8.2780000000000005</v>
      </c>
      <c r="F38" s="16">
        <v>13.742000000000001</v>
      </c>
      <c r="G38" s="16">
        <v>10.544</v>
      </c>
      <c r="H38" s="16">
        <v>11.103</v>
      </c>
      <c r="I38" s="26">
        <v>102.871</v>
      </c>
      <c r="J38" s="32">
        <v>534.5</v>
      </c>
      <c r="K38" s="59">
        <f t="shared" si="4"/>
        <v>16.5</v>
      </c>
      <c r="L38" s="19">
        <f t="shared" si="1"/>
        <v>2.0000000000006679</v>
      </c>
      <c r="M38" s="19">
        <f t="shared" si="1"/>
        <v>0.99999999999944578</v>
      </c>
      <c r="N38" s="19">
        <f t="shared" si="1"/>
        <v>-0.99999999999944578</v>
      </c>
      <c r="O38" s="19">
        <f t="shared" si="6"/>
        <v>-1.9999999999988916</v>
      </c>
      <c r="P38" s="19">
        <f t="shared" si="7"/>
        <v>-0.99999999999944578</v>
      </c>
      <c r="Q38" s="19">
        <f t="shared" si="8"/>
        <v>-3.0000000000001137</v>
      </c>
      <c r="R38" s="19">
        <f t="shared" si="1"/>
        <v>-4.0000000000048885</v>
      </c>
      <c r="S38" s="27">
        <f t="shared" si="5"/>
        <v>0</v>
      </c>
      <c r="T38" s="28">
        <f t="shared" si="5"/>
        <v>0</v>
      </c>
      <c r="U38" s="28">
        <f t="shared" si="5"/>
        <v>0</v>
      </c>
      <c r="V38" s="28">
        <f t="shared" si="5"/>
        <v>0</v>
      </c>
      <c r="W38" s="28">
        <f t="shared" si="5"/>
        <v>1.0000000000012221</v>
      </c>
      <c r="X38" s="29">
        <f t="shared" si="5"/>
        <v>0</v>
      </c>
      <c r="Y38" s="24"/>
    </row>
    <row r="39" spans="2:25" ht="15" customHeight="1" x14ac:dyDescent="0.2">
      <c r="B39" s="31">
        <v>41759</v>
      </c>
      <c r="C39" s="64">
        <v>13.143000000000001</v>
      </c>
      <c r="D39" s="65">
        <v>8.17</v>
      </c>
      <c r="E39" s="65">
        <v>8.2780000000000005</v>
      </c>
      <c r="F39" s="16">
        <v>13.742000000000001</v>
      </c>
      <c r="G39" s="16">
        <v>10.544</v>
      </c>
      <c r="H39" s="16">
        <v>11.103</v>
      </c>
      <c r="I39" s="26">
        <v>102.871</v>
      </c>
      <c r="J39" s="32">
        <v>534.5</v>
      </c>
      <c r="K39" s="59">
        <f t="shared" si="4"/>
        <v>16.5</v>
      </c>
      <c r="L39" s="19">
        <f t="shared" si="1"/>
        <v>2.0000000000006679</v>
      </c>
      <c r="M39" s="19">
        <f t="shared" si="1"/>
        <v>0.99999999999944578</v>
      </c>
      <c r="N39" s="19">
        <f t="shared" si="1"/>
        <v>-0.99999999999944578</v>
      </c>
      <c r="O39" s="19">
        <f t="shared" si="6"/>
        <v>-1.9999999999988916</v>
      </c>
      <c r="P39" s="19">
        <f t="shared" si="7"/>
        <v>-0.99999999999944578</v>
      </c>
      <c r="Q39" s="19">
        <f t="shared" si="8"/>
        <v>-3.0000000000001137</v>
      </c>
      <c r="R39" s="19">
        <f t="shared" si="1"/>
        <v>-4.0000000000048885</v>
      </c>
      <c r="S39" s="27">
        <f t="shared" si="5"/>
        <v>0</v>
      </c>
      <c r="T39" s="28">
        <f t="shared" si="5"/>
        <v>0</v>
      </c>
      <c r="U39" s="28">
        <f t="shared" si="5"/>
        <v>0</v>
      </c>
      <c r="V39" s="28">
        <f t="shared" si="5"/>
        <v>0</v>
      </c>
      <c r="W39" s="28">
        <f t="shared" si="5"/>
        <v>0</v>
      </c>
      <c r="X39" s="29">
        <f t="shared" si="5"/>
        <v>0</v>
      </c>
      <c r="Y39" s="24"/>
    </row>
    <row r="40" spans="2:25" ht="15" customHeight="1" x14ac:dyDescent="0.2">
      <c r="B40" s="31">
        <v>41781</v>
      </c>
      <c r="C40" s="64">
        <v>13.143000000000001</v>
      </c>
      <c r="D40" s="65">
        <v>8.17</v>
      </c>
      <c r="E40" s="65">
        <v>8.2780000000000005</v>
      </c>
      <c r="F40" s="16">
        <v>13.742000000000001</v>
      </c>
      <c r="G40" s="16">
        <v>10.544</v>
      </c>
      <c r="H40" s="16">
        <v>11.103999999999999</v>
      </c>
      <c r="I40" s="26">
        <v>102.872</v>
      </c>
      <c r="J40" s="58">
        <v>792</v>
      </c>
      <c r="K40" s="59">
        <f t="shared" ref="K40:K53" si="9">IF(ISBLANK(J40),"",(J40-$J$8))</f>
        <v>274</v>
      </c>
      <c r="L40" s="19">
        <f t="shared" si="1"/>
        <v>2.0000000000006679</v>
      </c>
      <c r="M40" s="19">
        <f t="shared" si="1"/>
        <v>0.99999999999944578</v>
      </c>
      <c r="N40" s="19">
        <f t="shared" si="1"/>
        <v>-0.99999999999944578</v>
      </c>
      <c r="O40" s="19">
        <f t="shared" si="6"/>
        <v>-1.9999999999988916</v>
      </c>
      <c r="P40" s="19">
        <f t="shared" si="7"/>
        <v>-0.99999999999944578</v>
      </c>
      <c r="Q40" s="19">
        <f t="shared" si="8"/>
        <v>-2.0000000000006679</v>
      </c>
      <c r="R40" s="19">
        <f t="shared" si="1"/>
        <v>-3.0000000000001137</v>
      </c>
      <c r="S40" s="27">
        <f t="shared" si="5"/>
        <v>0</v>
      </c>
      <c r="T40" s="28">
        <f t="shared" si="5"/>
        <v>0</v>
      </c>
      <c r="U40" s="28">
        <f t="shared" si="5"/>
        <v>0</v>
      </c>
      <c r="V40" s="28">
        <f t="shared" si="5"/>
        <v>0</v>
      </c>
      <c r="W40" s="28">
        <f t="shared" si="5"/>
        <v>0</v>
      </c>
      <c r="X40" s="29">
        <f t="shared" si="5"/>
        <v>4.5454545454520261E-2</v>
      </c>
      <c r="Y40" s="24"/>
    </row>
    <row r="41" spans="2:25" ht="15" customHeight="1" x14ac:dyDescent="0.2">
      <c r="B41" s="31">
        <v>41806</v>
      </c>
      <c r="C41" s="64">
        <v>13.143000000000001</v>
      </c>
      <c r="D41" s="65">
        <v>8.17</v>
      </c>
      <c r="E41" s="65">
        <v>8.2780000000000005</v>
      </c>
      <c r="F41" s="80">
        <v>13.76</v>
      </c>
      <c r="G41" s="80">
        <v>10.548999999999999</v>
      </c>
      <c r="H41" s="16">
        <v>11.103999999999999</v>
      </c>
      <c r="I41" s="26">
        <v>102.872</v>
      </c>
      <c r="J41" s="58">
        <v>546</v>
      </c>
      <c r="K41" s="59">
        <f t="shared" si="9"/>
        <v>28</v>
      </c>
      <c r="L41" s="19">
        <f t="shared" si="1"/>
        <v>2.0000000000006679</v>
      </c>
      <c r="M41" s="19">
        <f t="shared" si="1"/>
        <v>0.99999999999944578</v>
      </c>
      <c r="N41" s="19">
        <f t="shared" si="1"/>
        <v>-0.99999999999944578</v>
      </c>
      <c r="O41" s="81">
        <f>IF(ISBLANK(F41),"",((F41-F$41)*1000)+O$40)</f>
        <v>-1.9999999999988916</v>
      </c>
      <c r="P41" s="81">
        <f>IF(ISBLANK(G41),"",((G41-G$41)*1000)+P$40)</f>
        <v>-0.99999999999944578</v>
      </c>
      <c r="Q41" s="19">
        <f t="shared" si="8"/>
        <v>-2.0000000000006679</v>
      </c>
      <c r="R41" s="19">
        <f t="shared" si="1"/>
        <v>-3.0000000000001137</v>
      </c>
      <c r="S41" s="27">
        <f t="shared" si="5"/>
        <v>0</v>
      </c>
      <c r="T41" s="28">
        <f t="shared" si="5"/>
        <v>0</v>
      </c>
      <c r="U41" s="28">
        <f t="shared" si="5"/>
        <v>0</v>
      </c>
      <c r="V41" s="28">
        <f t="shared" si="5"/>
        <v>0.71999999999995623</v>
      </c>
      <c r="W41" s="28">
        <f t="shared" si="5"/>
        <v>0.19999999999996021</v>
      </c>
      <c r="X41" s="29">
        <f t="shared" si="5"/>
        <v>0</v>
      </c>
      <c r="Y41" s="24" t="s">
        <v>47</v>
      </c>
    </row>
    <row r="42" spans="2:25" ht="15" customHeight="1" x14ac:dyDescent="0.2">
      <c r="B42" s="31">
        <v>41807</v>
      </c>
      <c r="C42" s="25">
        <v>13.144</v>
      </c>
      <c r="D42" s="26">
        <v>8.1690000000000005</v>
      </c>
      <c r="E42" s="26">
        <v>8.2789999999999999</v>
      </c>
      <c r="F42" s="47">
        <v>13.759</v>
      </c>
      <c r="G42" s="47">
        <v>10.548999999999999</v>
      </c>
      <c r="H42" s="16">
        <v>11.103999999999999</v>
      </c>
      <c r="I42" s="26">
        <v>102.872</v>
      </c>
      <c r="J42" s="58">
        <v>556</v>
      </c>
      <c r="K42" s="59">
        <f t="shared" si="9"/>
        <v>38</v>
      </c>
      <c r="L42" s="19">
        <f t="shared" si="1"/>
        <v>3.0000000000001137</v>
      </c>
      <c r="M42" s="19">
        <f t="shared" si="1"/>
        <v>0</v>
      </c>
      <c r="N42" s="19">
        <f t="shared" si="1"/>
        <v>0</v>
      </c>
      <c r="O42" s="19">
        <f t="shared" ref="O42:O105" si="10">IF(ISBLANK(F42),"",((F42-F$41)*1000)+O$40)</f>
        <v>-2.9999999999983373</v>
      </c>
      <c r="P42" s="19">
        <f t="shared" ref="P42:P105" si="11">IF(ISBLANK(G42),"",((G42-G$41)*1000)+P$40)</f>
        <v>-0.99999999999944578</v>
      </c>
      <c r="Q42" s="19">
        <f t="shared" si="8"/>
        <v>-2.0000000000006679</v>
      </c>
      <c r="R42" s="19">
        <f t="shared" si="1"/>
        <v>-3.0000000000001137</v>
      </c>
      <c r="S42" s="27"/>
      <c r="T42" s="28"/>
      <c r="U42" s="28"/>
      <c r="V42" s="28">
        <f t="shared" si="5"/>
        <v>-0.99999999999944578</v>
      </c>
      <c r="W42" s="28">
        <f t="shared" si="5"/>
        <v>0</v>
      </c>
      <c r="X42" s="29">
        <f t="shared" si="5"/>
        <v>0</v>
      </c>
      <c r="Y42" s="24"/>
    </row>
    <row r="43" spans="2:25" ht="15" customHeight="1" x14ac:dyDescent="0.2">
      <c r="B43" s="31">
        <v>41808</v>
      </c>
      <c r="C43" s="82">
        <v>13.135999999999999</v>
      </c>
      <c r="D43" s="26">
        <v>8.17</v>
      </c>
      <c r="E43" s="45">
        <v>8.2720000000000002</v>
      </c>
      <c r="F43" s="47">
        <v>13.759</v>
      </c>
      <c r="G43" s="47">
        <v>10.548</v>
      </c>
      <c r="H43" s="16">
        <v>11.103</v>
      </c>
      <c r="I43" s="26">
        <v>102.872</v>
      </c>
      <c r="J43" s="58">
        <v>552</v>
      </c>
      <c r="K43" s="59">
        <f t="shared" si="9"/>
        <v>34</v>
      </c>
      <c r="L43" s="19">
        <f t="shared" si="1"/>
        <v>-5.0000000000007816</v>
      </c>
      <c r="M43" s="19">
        <f t="shared" si="1"/>
        <v>0.99999999999944578</v>
      </c>
      <c r="N43" s="19">
        <f t="shared" si="1"/>
        <v>-6.9999999999996732</v>
      </c>
      <c r="O43" s="19">
        <f t="shared" si="10"/>
        <v>-2.9999999999983373</v>
      </c>
      <c r="P43" s="19">
        <f t="shared" si="11"/>
        <v>-1.9999999999988916</v>
      </c>
      <c r="Q43" s="19">
        <f t="shared" si="8"/>
        <v>-3.0000000000001137</v>
      </c>
      <c r="R43" s="19">
        <f t="shared" si="1"/>
        <v>-3.0000000000001137</v>
      </c>
      <c r="S43" s="27">
        <f t="shared" si="5"/>
        <v>-8.0000000000008953</v>
      </c>
      <c r="T43" s="28">
        <f t="shared" si="5"/>
        <v>0.99999999999944578</v>
      </c>
      <c r="U43" s="28">
        <f t="shared" si="5"/>
        <v>-6.9999999999996732</v>
      </c>
      <c r="V43" s="28">
        <f t="shared" si="5"/>
        <v>0</v>
      </c>
      <c r="W43" s="28">
        <f t="shared" si="5"/>
        <v>-0.99999999999944578</v>
      </c>
      <c r="X43" s="29">
        <f t="shared" si="5"/>
        <v>-0.99999999999944578</v>
      </c>
      <c r="Y43" s="24" t="s">
        <v>48</v>
      </c>
    </row>
    <row r="44" spans="2:25" ht="15" customHeight="1" x14ac:dyDescent="0.2">
      <c r="B44" s="31">
        <v>41809</v>
      </c>
      <c r="C44" s="25">
        <v>13.135999999999999</v>
      </c>
      <c r="D44" s="26">
        <v>8.1690000000000005</v>
      </c>
      <c r="E44" s="26">
        <v>8.2710000000000008</v>
      </c>
      <c r="F44" s="47">
        <v>13.76</v>
      </c>
      <c r="G44" s="47">
        <v>10.548999999999999</v>
      </c>
      <c r="H44" s="16">
        <v>11.103999999999999</v>
      </c>
      <c r="I44" s="26">
        <v>102.873</v>
      </c>
      <c r="J44" s="58">
        <v>559</v>
      </c>
      <c r="K44" s="59">
        <f t="shared" si="9"/>
        <v>41</v>
      </c>
      <c r="L44" s="19">
        <f t="shared" si="1"/>
        <v>-5.0000000000007816</v>
      </c>
      <c r="M44" s="19">
        <f t="shared" si="1"/>
        <v>0</v>
      </c>
      <c r="N44" s="19">
        <f t="shared" si="1"/>
        <v>-7.9999999999991189</v>
      </c>
      <c r="O44" s="19">
        <f t="shared" si="10"/>
        <v>-1.9999999999988916</v>
      </c>
      <c r="P44" s="19">
        <f t="shared" si="11"/>
        <v>-0.99999999999944578</v>
      </c>
      <c r="Q44" s="19">
        <f t="shared" si="8"/>
        <v>-2.0000000000006679</v>
      </c>
      <c r="R44" s="19">
        <f t="shared" si="1"/>
        <v>-1.9999999999953388</v>
      </c>
      <c r="S44" s="27">
        <f t="shared" si="5"/>
        <v>0</v>
      </c>
      <c r="T44" s="28">
        <f t="shared" si="5"/>
        <v>-0.99999999999944578</v>
      </c>
      <c r="U44" s="28">
        <f t="shared" si="5"/>
        <v>-0.99999999999944578</v>
      </c>
      <c r="V44" s="28">
        <f t="shared" si="5"/>
        <v>0.99999999999944578</v>
      </c>
      <c r="W44" s="28">
        <f t="shared" si="5"/>
        <v>0.99999999999944578</v>
      </c>
      <c r="X44" s="29">
        <f t="shared" si="5"/>
        <v>0.99999999999944578</v>
      </c>
      <c r="Y44" s="24"/>
    </row>
    <row r="45" spans="2:25" ht="15" customHeight="1" x14ac:dyDescent="0.2">
      <c r="B45" s="31">
        <v>41810</v>
      </c>
      <c r="C45" s="25">
        <v>13.135999999999999</v>
      </c>
      <c r="D45" s="26">
        <v>8.17</v>
      </c>
      <c r="E45" s="26">
        <v>8.2720000000000002</v>
      </c>
      <c r="F45" s="47">
        <v>13.759</v>
      </c>
      <c r="G45" s="47">
        <v>10.548</v>
      </c>
      <c r="H45" s="16">
        <v>11.103</v>
      </c>
      <c r="I45" s="26">
        <v>102.872</v>
      </c>
      <c r="J45" s="58">
        <v>563</v>
      </c>
      <c r="K45" s="59">
        <f t="shared" si="9"/>
        <v>45</v>
      </c>
      <c r="L45" s="19">
        <f t="shared" si="1"/>
        <v>-5.0000000000007816</v>
      </c>
      <c r="M45" s="19">
        <f t="shared" si="1"/>
        <v>0.99999999999944578</v>
      </c>
      <c r="N45" s="19">
        <f t="shared" si="1"/>
        <v>-6.9999999999996732</v>
      </c>
      <c r="O45" s="19">
        <f t="shared" si="10"/>
        <v>-2.9999999999983373</v>
      </c>
      <c r="P45" s="19">
        <f t="shared" si="11"/>
        <v>-1.9999999999988916</v>
      </c>
      <c r="Q45" s="19">
        <f t="shared" si="8"/>
        <v>-3.0000000000001137</v>
      </c>
      <c r="R45" s="19">
        <f t="shared" si="1"/>
        <v>-3.0000000000001137</v>
      </c>
      <c r="S45" s="27">
        <f t="shared" si="5"/>
        <v>0</v>
      </c>
      <c r="T45" s="28">
        <f t="shared" si="5"/>
        <v>0.99999999999944578</v>
      </c>
      <c r="U45" s="28">
        <f t="shared" si="5"/>
        <v>0.99999999999944578</v>
      </c>
      <c r="V45" s="28">
        <f t="shared" si="5"/>
        <v>-0.99999999999944578</v>
      </c>
      <c r="W45" s="28">
        <f t="shared" si="5"/>
        <v>-0.99999999999944578</v>
      </c>
      <c r="X45" s="29">
        <f t="shared" si="5"/>
        <v>-0.99999999999944578</v>
      </c>
      <c r="Y45" s="24"/>
    </row>
    <row r="46" spans="2:25" ht="15" customHeight="1" x14ac:dyDescent="0.2">
      <c r="B46" s="31">
        <v>41813</v>
      </c>
      <c r="C46" s="25">
        <v>13.135999999999999</v>
      </c>
      <c r="D46" s="26">
        <v>8.1690000000000005</v>
      </c>
      <c r="E46" s="26">
        <v>8.2710000000000008</v>
      </c>
      <c r="F46" s="47">
        <v>13.76</v>
      </c>
      <c r="G46" s="47">
        <v>10.548</v>
      </c>
      <c r="H46" s="16">
        <v>11.103</v>
      </c>
      <c r="I46" s="26">
        <v>102.872</v>
      </c>
      <c r="J46" s="58">
        <v>574</v>
      </c>
      <c r="K46" s="59">
        <f t="shared" si="9"/>
        <v>56</v>
      </c>
      <c r="L46" s="19">
        <f t="shared" si="1"/>
        <v>-5.0000000000007816</v>
      </c>
      <c r="M46" s="19">
        <f t="shared" si="1"/>
        <v>0</v>
      </c>
      <c r="N46" s="19">
        <f t="shared" si="1"/>
        <v>-7.9999999999991189</v>
      </c>
      <c r="O46" s="19">
        <f t="shared" si="10"/>
        <v>-1.9999999999988916</v>
      </c>
      <c r="P46" s="19">
        <f t="shared" si="11"/>
        <v>-1.9999999999988916</v>
      </c>
      <c r="Q46" s="19">
        <f t="shared" si="8"/>
        <v>-3.0000000000001137</v>
      </c>
      <c r="R46" s="19">
        <f t="shared" si="1"/>
        <v>-3.0000000000001137</v>
      </c>
      <c r="S46" s="27">
        <f t="shared" si="5"/>
        <v>0</v>
      </c>
      <c r="T46" s="28">
        <f t="shared" si="5"/>
        <v>-0.33333333333314857</v>
      </c>
      <c r="U46" s="28">
        <f t="shared" si="5"/>
        <v>-0.33333333333314857</v>
      </c>
      <c r="V46" s="28">
        <f t="shared" si="5"/>
        <v>0.33333333333314857</v>
      </c>
      <c r="W46" s="28">
        <f t="shared" si="5"/>
        <v>0</v>
      </c>
      <c r="X46" s="29">
        <f t="shared" si="5"/>
        <v>0</v>
      </c>
      <c r="Y46" s="24"/>
    </row>
    <row r="47" spans="2:25" ht="15" customHeight="1" x14ac:dyDescent="0.2">
      <c r="B47" s="31">
        <v>41814</v>
      </c>
      <c r="C47" s="64">
        <v>13.135999999999999</v>
      </c>
      <c r="D47" s="26">
        <v>8.17</v>
      </c>
      <c r="E47" s="65">
        <v>8.2710000000000008</v>
      </c>
      <c r="F47" s="83">
        <v>13.76</v>
      </c>
      <c r="G47" s="47">
        <v>10.547000000000001</v>
      </c>
      <c r="H47" s="83">
        <v>11.103</v>
      </c>
      <c r="I47" s="26">
        <v>102.873</v>
      </c>
      <c r="J47" s="58">
        <v>603</v>
      </c>
      <c r="K47" s="59">
        <f t="shared" si="9"/>
        <v>85</v>
      </c>
      <c r="L47" s="19">
        <f t="shared" si="1"/>
        <v>-5.0000000000007816</v>
      </c>
      <c r="M47" s="19">
        <f t="shared" si="1"/>
        <v>0.99999999999944578</v>
      </c>
      <c r="N47" s="19">
        <f t="shared" si="1"/>
        <v>-7.9999999999991189</v>
      </c>
      <c r="O47" s="19">
        <f t="shared" si="10"/>
        <v>-1.9999999999988916</v>
      </c>
      <c r="P47" s="19">
        <f t="shared" si="11"/>
        <v>-2.9999999999983373</v>
      </c>
      <c r="Q47" s="19">
        <f t="shared" si="8"/>
        <v>-3.0000000000001137</v>
      </c>
      <c r="R47" s="19">
        <f t="shared" si="1"/>
        <v>-1.9999999999953388</v>
      </c>
      <c r="S47" s="27">
        <f t="shared" si="5"/>
        <v>0</v>
      </c>
      <c r="T47" s="28">
        <f t="shared" si="5"/>
        <v>0.99999999999944578</v>
      </c>
      <c r="U47" s="28">
        <f t="shared" si="5"/>
        <v>0</v>
      </c>
      <c r="V47" s="28">
        <f t="shared" si="5"/>
        <v>0</v>
      </c>
      <c r="W47" s="28">
        <f t="shared" si="5"/>
        <v>-0.99999999999944578</v>
      </c>
      <c r="X47" s="29">
        <f t="shared" si="5"/>
        <v>0</v>
      </c>
      <c r="Y47" s="24" t="s">
        <v>49</v>
      </c>
    </row>
    <row r="48" spans="2:25" ht="15" customHeight="1" x14ac:dyDescent="0.2">
      <c r="B48" s="31">
        <v>41821</v>
      </c>
      <c r="C48" s="64">
        <v>13.135999999999999</v>
      </c>
      <c r="D48" s="26">
        <v>8.1690000000000005</v>
      </c>
      <c r="E48" s="65">
        <v>8.2710000000000008</v>
      </c>
      <c r="F48" s="47">
        <v>13.759</v>
      </c>
      <c r="G48" s="47">
        <v>10.547000000000001</v>
      </c>
      <c r="H48" s="47">
        <v>11.103</v>
      </c>
      <c r="I48" s="26">
        <v>102.872</v>
      </c>
      <c r="J48" s="58">
        <v>671</v>
      </c>
      <c r="K48" s="59">
        <f t="shared" si="9"/>
        <v>153</v>
      </c>
      <c r="L48" s="19">
        <f t="shared" si="1"/>
        <v>-5.0000000000007816</v>
      </c>
      <c r="M48" s="19">
        <f t="shared" si="1"/>
        <v>0</v>
      </c>
      <c r="N48" s="19">
        <f t="shared" si="1"/>
        <v>-7.9999999999991189</v>
      </c>
      <c r="O48" s="19">
        <f t="shared" si="10"/>
        <v>-2.9999999999983373</v>
      </c>
      <c r="P48" s="19">
        <f t="shared" si="11"/>
        <v>-2.9999999999983373</v>
      </c>
      <c r="Q48" s="19">
        <f t="shared" si="8"/>
        <v>-3.0000000000001137</v>
      </c>
      <c r="R48" s="19">
        <f t="shared" si="1"/>
        <v>-3.0000000000001137</v>
      </c>
      <c r="S48" s="27">
        <f t="shared" si="5"/>
        <v>0</v>
      </c>
      <c r="T48" s="28">
        <f t="shared" si="5"/>
        <v>-0.14285714285706369</v>
      </c>
      <c r="U48" s="28">
        <f t="shared" si="5"/>
        <v>0</v>
      </c>
      <c r="V48" s="28">
        <f t="shared" si="5"/>
        <v>-0.14285714285706369</v>
      </c>
      <c r="W48" s="28">
        <f t="shared" si="5"/>
        <v>0</v>
      </c>
      <c r="X48" s="29">
        <f t="shared" si="5"/>
        <v>0</v>
      </c>
      <c r="Y48" s="24"/>
    </row>
    <row r="49" spans="2:25" ht="15" customHeight="1" x14ac:dyDescent="0.2">
      <c r="B49" s="31">
        <v>41828</v>
      </c>
      <c r="C49" s="64">
        <v>13.134</v>
      </c>
      <c r="D49" s="26">
        <v>8.1690000000000005</v>
      </c>
      <c r="E49" s="65">
        <v>8.2710000000000008</v>
      </c>
      <c r="F49" s="47">
        <v>13.76</v>
      </c>
      <c r="G49" s="47">
        <v>10.547000000000001</v>
      </c>
      <c r="H49" s="47">
        <v>11.103</v>
      </c>
      <c r="I49" s="26">
        <v>102.873</v>
      </c>
      <c r="J49" s="58">
        <v>775</v>
      </c>
      <c r="K49" s="59">
        <f t="shared" si="9"/>
        <v>257</v>
      </c>
      <c r="L49" s="19">
        <f t="shared" si="1"/>
        <v>-6.9999999999996732</v>
      </c>
      <c r="M49" s="19">
        <f t="shared" si="1"/>
        <v>0</v>
      </c>
      <c r="N49" s="19">
        <f t="shared" si="1"/>
        <v>-7.9999999999991189</v>
      </c>
      <c r="O49" s="19">
        <f t="shared" si="10"/>
        <v>-1.9999999999988916</v>
      </c>
      <c r="P49" s="19">
        <f t="shared" si="11"/>
        <v>-2.9999999999983373</v>
      </c>
      <c r="Q49" s="19">
        <f t="shared" si="8"/>
        <v>-3.0000000000001137</v>
      </c>
      <c r="R49" s="19">
        <f t="shared" si="1"/>
        <v>-1.9999999999953388</v>
      </c>
      <c r="S49" s="27">
        <f t="shared" ref="S49:X64" si="12">IF(C49="","",((C49-C48)*1000)/($B49-$B48))</f>
        <v>-0.28571428571412738</v>
      </c>
      <c r="T49" s="28">
        <f t="shared" si="12"/>
        <v>0</v>
      </c>
      <c r="U49" s="28">
        <f t="shared" si="12"/>
        <v>0</v>
      </c>
      <c r="V49" s="28">
        <f t="shared" si="12"/>
        <v>0.14285714285706369</v>
      </c>
      <c r="W49" s="28">
        <f t="shared" si="12"/>
        <v>0</v>
      </c>
      <c r="X49" s="29">
        <f t="shared" si="12"/>
        <v>0</v>
      </c>
      <c r="Y49" s="24"/>
    </row>
    <row r="50" spans="2:25" ht="15" customHeight="1" x14ac:dyDescent="0.2">
      <c r="B50" s="31">
        <v>41835</v>
      </c>
      <c r="C50" s="64">
        <v>13.135</v>
      </c>
      <c r="D50" s="26">
        <v>8.1690000000000005</v>
      </c>
      <c r="E50" s="65">
        <v>8.2710000000000008</v>
      </c>
      <c r="F50" s="47">
        <v>13.759</v>
      </c>
      <c r="G50" s="47">
        <v>10.545999999999999</v>
      </c>
      <c r="H50" s="47">
        <v>11.103</v>
      </c>
      <c r="I50" s="26">
        <v>102.872</v>
      </c>
      <c r="J50" s="58">
        <v>857</v>
      </c>
      <c r="K50" s="59">
        <f t="shared" si="9"/>
        <v>339</v>
      </c>
      <c r="L50" s="19">
        <f t="shared" si="1"/>
        <v>-6.0000000000002274</v>
      </c>
      <c r="M50" s="19">
        <f t="shared" si="1"/>
        <v>0</v>
      </c>
      <c r="N50" s="19">
        <f t="shared" si="1"/>
        <v>-7.9999999999991189</v>
      </c>
      <c r="O50" s="19">
        <f t="shared" si="10"/>
        <v>-2.9999999999983373</v>
      </c>
      <c r="P50" s="19">
        <f t="shared" si="11"/>
        <v>-3.9999999999995595</v>
      </c>
      <c r="Q50" s="19">
        <f t="shared" si="8"/>
        <v>-3.0000000000001137</v>
      </c>
      <c r="R50" s="19">
        <f t="shared" si="1"/>
        <v>-3.0000000000001137</v>
      </c>
      <c r="S50" s="27">
        <f t="shared" si="12"/>
        <v>0.14285714285706369</v>
      </c>
      <c r="T50" s="28">
        <f t="shared" si="12"/>
        <v>0</v>
      </c>
      <c r="U50" s="28">
        <f t="shared" si="12"/>
        <v>0</v>
      </c>
      <c r="V50" s="28">
        <f t="shared" si="12"/>
        <v>-0.14285714285706369</v>
      </c>
      <c r="W50" s="28">
        <f t="shared" si="12"/>
        <v>-0.14285714285731746</v>
      </c>
      <c r="X50" s="29">
        <f t="shared" si="12"/>
        <v>0</v>
      </c>
      <c r="Y50" s="24"/>
    </row>
    <row r="51" spans="2:25" ht="15" customHeight="1" x14ac:dyDescent="0.2">
      <c r="B51" s="31">
        <v>41836</v>
      </c>
      <c r="C51" s="64">
        <v>13.135</v>
      </c>
      <c r="D51" s="26">
        <v>8.1690000000000005</v>
      </c>
      <c r="E51" s="65">
        <v>8.2710000000000008</v>
      </c>
      <c r="F51" s="47">
        <v>13.759</v>
      </c>
      <c r="G51" s="47">
        <v>10.545999999999999</v>
      </c>
      <c r="H51" s="47">
        <v>11.103</v>
      </c>
      <c r="I51" s="26">
        <v>102.872</v>
      </c>
      <c r="J51" s="58">
        <v>857</v>
      </c>
      <c r="K51" s="59">
        <f t="shared" si="9"/>
        <v>339</v>
      </c>
      <c r="L51" s="19">
        <f t="shared" si="1"/>
        <v>-6.0000000000002274</v>
      </c>
      <c r="M51" s="19">
        <f t="shared" si="1"/>
        <v>0</v>
      </c>
      <c r="N51" s="19">
        <f t="shared" si="1"/>
        <v>-7.9999999999991189</v>
      </c>
      <c r="O51" s="19">
        <f t="shared" si="10"/>
        <v>-2.9999999999983373</v>
      </c>
      <c r="P51" s="19">
        <f t="shared" si="11"/>
        <v>-3.9999999999995595</v>
      </c>
      <c r="Q51" s="19">
        <f t="shared" si="8"/>
        <v>-3.0000000000001137</v>
      </c>
      <c r="R51" s="19">
        <f t="shared" si="1"/>
        <v>-3.0000000000001137</v>
      </c>
      <c r="S51" s="27">
        <f t="shared" si="12"/>
        <v>0</v>
      </c>
      <c r="T51" s="28">
        <f t="shared" si="12"/>
        <v>0</v>
      </c>
      <c r="U51" s="28">
        <f t="shared" si="12"/>
        <v>0</v>
      </c>
      <c r="V51" s="28">
        <f t="shared" si="12"/>
        <v>0</v>
      </c>
      <c r="W51" s="28">
        <f t="shared" si="12"/>
        <v>0</v>
      </c>
      <c r="X51" s="29">
        <f t="shared" si="12"/>
        <v>0</v>
      </c>
      <c r="Y51" s="24"/>
    </row>
    <row r="52" spans="2:25" ht="15" customHeight="1" x14ac:dyDescent="0.2">
      <c r="B52" s="31">
        <v>41843</v>
      </c>
      <c r="C52" s="64"/>
      <c r="D52" s="26"/>
      <c r="E52" s="65"/>
      <c r="F52" s="47">
        <v>13.757999999999999</v>
      </c>
      <c r="G52" s="47">
        <v>10.545</v>
      </c>
      <c r="H52" s="47">
        <v>11.103</v>
      </c>
      <c r="I52" s="26">
        <v>102.872</v>
      </c>
      <c r="J52" s="58">
        <v>943</v>
      </c>
      <c r="K52" s="59">
        <f t="shared" si="9"/>
        <v>425</v>
      </c>
      <c r="L52" s="19" t="str">
        <f t="shared" si="1"/>
        <v/>
      </c>
      <c r="M52" s="19" t="str">
        <f t="shared" si="1"/>
        <v/>
      </c>
      <c r="N52" s="19" t="str">
        <f t="shared" si="1"/>
        <v/>
      </c>
      <c r="O52" s="19">
        <f t="shared" si="10"/>
        <v>-3.9999999999995595</v>
      </c>
      <c r="P52" s="19">
        <f t="shared" si="11"/>
        <v>-4.9999999999990052</v>
      </c>
      <c r="Q52" s="19">
        <f t="shared" si="8"/>
        <v>-3.0000000000001137</v>
      </c>
      <c r="R52" s="19">
        <f t="shared" si="1"/>
        <v>-3.0000000000001137</v>
      </c>
      <c r="S52" s="27" t="str">
        <f t="shared" si="12"/>
        <v/>
      </c>
      <c r="T52" s="28" t="str">
        <f t="shared" si="12"/>
        <v/>
      </c>
      <c r="U52" s="28" t="str">
        <f t="shared" si="12"/>
        <v/>
      </c>
      <c r="V52" s="28">
        <f t="shared" si="12"/>
        <v>-0.14285714285731746</v>
      </c>
      <c r="W52" s="28">
        <f t="shared" si="12"/>
        <v>-0.14285714285706369</v>
      </c>
      <c r="X52" s="29">
        <f t="shared" si="12"/>
        <v>0</v>
      </c>
      <c r="Y52" s="24"/>
    </row>
    <row r="53" spans="2:25" ht="15" customHeight="1" x14ac:dyDescent="0.2">
      <c r="B53" s="31">
        <v>41933</v>
      </c>
      <c r="C53" s="64"/>
      <c r="D53" s="26"/>
      <c r="E53" s="65"/>
      <c r="F53" s="75">
        <v>13.757999999999999</v>
      </c>
      <c r="G53" s="75">
        <v>10.545</v>
      </c>
      <c r="H53" s="75">
        <v>11.103</v>
      </c>
      <c r="I53" s="76">
        <v>102.871</v>
      </c>
      <c r="J53" s="58">
        <v>943</v>
      </c>
      <c r="K53" s="59">
        <f t="shared" si="9"/>
        <v>425</v>
      </c>
      <c r="L53" s="19" t="str">
        <f t="shared" si="1"/>
        <v/>
      </c>
      <c r="M53" s="19" t="str">
        <f t="shared" si="1"/>
        <v/>
      </c>
      <c r="N53" s="19" t="str">
        <f t="shared" si="1"/>
        <v/>
      </c>
      <c r="O53" s="19">
        <f t="shared" si="10"/>
        <v>-3.9999999999995595</v>
      </c>
      <c r="P53" s="19">
        <f t="shared" si="11"/>
        <v>-4.9999999999990052</v>
      </c>
      <c r="Q53" s="19">
        <f t="shared" si="8"/>
        <v>-3.0000000000001137</v>
      </c>
      <c r="R53" s="19">
        <f t="shared" si="1"/>
        <v>-4.0000000000048885</v>
      </c>
      <c r="S53" s="27" t="str">
        <f t="shared" si="12"/>
        <v/>
      </c>
      <c r="T53" s="28" t="str">
        <f t="shared" si="12"/>
        <v/>
      </c>
      <c r="U53" s="28" t="str">
        <f t="shared" si="12"/>
        <v/>
      </c>
      <c r="V53" s="28">
        <f t="shared" si="12"/>
        <v>0</v>
      </c>
      <c r="W53" s="28">
        <f t="shared" si="12"/>
        <v>0</v>
      </c>
      <c r="X53" s="29">
        <f t="shared" si="12"/>
        <v>0</v>
      </c>
      <c r="Y53" s="24"/>
    </row>
    <row r="54" spans="2:25" ht="15" customHeight="1" x14ac:dyDescent="0.2">
      <c r="B54" s="31">
        <v>42025</v>
      </c>
      <c r="C54" s="64"/>
      <c r="D54" s="26"/>
      <c r="E54" s="65"/>
      <c r="F54" s="75">
        <v>13.757999999999999</v>
      </c>
      <c r="G54" s="75">
        <v>10.545</v>
      </c>
      <c r="H54" s="75">
        <v>11.103</v>
      </c>
      <c r="I54" s="76">
        <v>102.871</v>
      </c>
      <c r="J54" s="58">
        <v>943</v>
      </c>
      <c r="K54" s="59">
        <f>IF(ISBLANK(J54),"",(J54-$J$8))</f>
        <v>425</v>
      </c>
      <c r="L54" s="19" t="str">
        <f t="shared" si="1"/>
        <v/>
      </c>
      <c r="M54" s="19" t="str">
        <f t="shared" si="1"/>
        <v/>
      </c>
      <c r="N54" s="19" t="str">
        <f t="shared" si="1"/>
        <v/>
      </c>
      <c r="O54" s="19">
        <f t="shared" si="10"/>
        <v>-3.9999999999995595</v>
      </c>
      <c r="P54" s="19">
        <f t="shared" si="11"/>
        <v>-4.9999999999990052</v>
      </c>
      <c r="Q54" s="19">
        <f t="shared" si="8"/>
        <v>-3.0000000000001137</v>
      </c>
      <c r="R54" s="19">
        <f t="shared" si="1"/>
        <v>-4.0000000000048885</v>
      </c>
      <c r="S54" s="27" t="str">
        <f t="shared" si="12"/>
        <v/>
      </c>
      <c r="T54" s="28" t="str">
        <f t="shared" si="12"/>
        <v/>
      </c>
      <c r="U54" s="28" t="str">
        <f t="shared" si="12"/>
        <v/>
      </c>
      <c r="V54" s="28">
        <f t="shared" si="12"/>
        <v>0</v>
      </c>
      <c r="W54" s="28">
        <f t="shared" si="12"/>
        <v>0</v>
      </c>
      <c r="X54" s="29">
        <f t="shared" si="12"/>
        <v>0</v>
      </c>
      <c r="Y54" s="24"/>
    </row>
    <row r="55" spans="2:25" ht="15" customHeight="1" x14ac:dyDescent="0.2">
      <c r="B55" s="31">
        <v>42109</v>
      </c>
      <c r="C55" s="25"/>
      <c r="D55" s="26"/>
      <c r="E55" s="26"/>
      <c r="F55" s="75">
        <v>13.757999999999999</v>
      </c>
      <c r="G55" s="47">
        <v>10.545999999999999</v>
      </c>
      <c r="H55" s="75">
        <v>11.103</v>
      </c>
      <c r="I55" s="26">
        <v>102.872</v>
      </c>
      <c r="J55" s="58">
        <v>943</v>
      </c>
      <c r="K55" s="18">
        <f>IF(ISBLANK(J55),"",(J55-$J$8))</f>
        <v>425</v>
      </c>
      <c r="L55" s="19" t="str">
        <f t="shared" si="1"/>
        <v/>
      </c>
      <c r="M55" s="19" t="str">
        <f t="shared" si="1"/>
        <v/>
      </c>
      <c r="N55" s="19" t="str">
        <f t="shared" si="1"/>
        <v/>
      </c>
      <c r="O55" s="19">
        <f t="shared" si="10"/>
        <v>-3.9999999999995595</v>
      </c>
      <c r="P55" s="19">
        <f t="shared" si="11"/>
        <v>-3.9999999999995595</v>
      </c>
      <c r="Q55" s="19">
        <f t="shared" si="8"/>
        <v>-3.0000000000001137</v>
      </c>
      <c r="R55" s="19">
        <f t="shared" si="1"/>
        <v>-3.0000000000001137</v>
      </c>
      <c r="S55" s="27" t="str">
        <f t="shared" si="12"/>
        <v/>
      </c>
      <c r="T55" s="28" t="str">
        <f t="shared" si="12"/>
        <v/>
      </c>
      <c r="U55" s="28" t="str">
        <f t="shared" si="12"/>
        <v/>
      </c>
      <c r="V55" s="28">
        <f t="shared" si="12"/>
        <v>0</v>
      </c>
      <c r="W55" s="28">
        <f t="shared" si="12"/>
        <v>1.1904761904755307E-2</v>
      </c>
      <c r="X55" s="29">
        <f t="shared" si="12"/>
        <v>0</v>
      </c>
      <c r="Y55" s="24"/>
    </row>
    <row r="56" spans="2:25" ht="15" customHeight="1" x14ac:dyDescent="0.2">
      <c r="B56" s="31">
        <v>42222</v>
      </c>
      <c r="C56" s="73"/>
      <c r="D56" s="71"/>
      <c r="E56" s="71"/>
      <c r="F56" s="75">
        <v>13.757999999999999</v>
      </c>
      <c r="G56" s="16">
        <v>10.545</v>
      </c>
      <c r="H56" s="75">
        <v>11.103</v>
      </c>
      <c r="I56" s="16">
        <v>102.871</v>
      </c>
      <c r="J56" s="32">
        <v>1278</v>
      </c>
      <c r="K56" s="18">
        <f t="shared" ref="K56:K81" si="13">IF(ISBLANK(J56),"",(J56-$J$8))</f>
        <v>760</v>
      </c>
      <c r="L56" s="19" t="str">
        <f t="shared" si="1"/>
        <v/>
      </c>
      <c r="M56" s="19" t="str">
        <f t="shared" si="1"/>
        <v/>
      </c>
      <c r="N56" s="19" t="str">
        <f t="shared" si="1"/>
        <v/>
      </c>
      <c r="O56" s="19">
        <f t="shared" si="10"/>
        <v>-3.9999999999995595</v>
      </c>
      <c r="P56" s="19">
        <f t="shared" si="11"/>
        <v>-4.9999999999990052</v>
      </c>
      <c r="Q56" s="19">
        <f t="shared" si="8"/>
        <v>-3.0000000000001137</v>
      </c>
      <c r="R56" s="19">
        <f t="shared" si="1"/>
        <v>-4.0000000000048885</v>
      </c>
      <c r="S56" s="27" t="str">
        <f t="shared" si="12"/>
        <v/>
      </c>
      <c r="T56" s="28" t="str">
        <f t="shared" si="12"/>
        <v/>
      </c>
      <c r="U56" s="28" t="str">
        <f t="shared" si="12"/>
        <v/>
      </c>
      <c r="V56" s="28">
        <f t="shared" si="12"/>
        <v>0</v>
      </c>
      <c r="W56" s="28">
        <f t="shared" si="12"/>
        <v>-8.8495575221189896E-3</v>
      </c>
      <c r="X56" s="29">
        <f t="shared" si="12"/>
        <v>0</v>
      </c>
      <c r="Y56" s="24"/>
    </row>
    <row r="57" spans="2:25" ht="15" customHeight="1" x14ac:dyDescent="0.2">
      <c r="B57" s="31">
        <v>42326</v>
      </c>
      <c r="C57" s="25"/>
      <c r="D57" s="26"/>
      <c r="E57" s="26"/>
      <c r="F57" s="75">
        <v>13.757999999999999</v>
      </c>
      <c r="G57" s="16">
        <v>10.545</v>
      </c>
      <c r="H57" s="75">
        <v>11.103</v>
      </c>
      <c r="I57" s="16">
        <v>102.871</v>
      </c>
      <c r="J57" s="32">
        <v>2248</v>
      </c>
      <c r="K57" s="18">
        <f t="shared" si="13"/>
        <v>1730</v>
      </c>
      <c r="L57" s="19" t="str">
        <f t="shared" si="1"/>
        <v/>
      </c>
      <c r="M57" s="19" t="str">
        <f t="shared" si="1"/>
        <v/>
      </c>
      <c r="N57" s="19" t="str">
        <f t="shared" si="1"/>
        <v/>
      </c>
      <c r="O57" s="19">
        <f t="shared" si="10"/>
        <v>-3.9999999999995595</v>
      </c>
      <c r="P57" s="19">
        <f t="shared" si="11"/>
        <v>-4.9999999999990052</v>
      </c>
      <c r="Q57" s="19">
        <f t="shared" si="8"/>
        <v>-3.0000000000001137</v>
      </c>
      <c r="R57" s="19">
        <f t="shared" si="1"/>
        <v>-4.0000000000048885</v>
      </c>
      <c r="S57" s="27" t="str">
        <f t="shared" si="12"/>
        <v/>
      </c>
      <c r="T57" s="28" t="str">
        <f t="shared" si="12"/>
        <v/>
      </c>
      <c r="U57" s="28" t="str">
        <f t="shared" si="12"/>
        <v/>
      </c>
      <c r="V57" s="28">
        <f t="shared" si="12"/>
        <v>0</v>
      </c>
      <c r="W57" s="28">
        <f t="shared" si="12"/>
        <v>0</v>
      </c>
      <c r="X57" s="29">
        <f t="shared" si="12"/>
        <v>0</v>
      </c>
      <c r="Y57" s="24"/>
    </row>
    <row r="58" spans="2:25" ht="15" customHeight="1" x14ac:dyDescent="0.2">
      <c r="B58" s="31">
        <v>42416</v>
      </c>
      <c r="C58" s="25"/>
      <c r="D58" s="26"/>
      <c r="E58" s="26"/>
      <c r="F58" s="75">
        <v>13.757999999999999</v>
      </c>
      <c r="G58" s="16">
        <v>10.545999999999999</v>
      </c>
      <c r="H58" s="75">
        <v>11.103</v>
      </c>
      <c r="I58" s="16">
        <v>102.871</v>
      </c>
      <c r="J58" s="58">
        <v>2519</v>
      </c>
      <c r="K58" s="18">
        <f t="shared" si="13"/>
        <v>2001</v>
      </c>
      <c r="L58" s="19" t="str">
        <f t="shared" si="1"/>
        <v/>
      </c>
      <c r="M58" s="19" t="str">
        <f t="shared" si="1"/>
        <v/>
      </c>
      <c r="N58" s="19" t="str">
        <f t="shared" si="1"/>
        <v/>
      </c>
      <c r="O58" s="19">
        <f t="shared" si="10"/>
        <v>-3.9999999999995595</v>
      </c>
      <c r="P58" s="19">
        <f t="shared" si="11"/>
        <v>-3.9999999999995595</v>
      </c>
      <c r="Q58" s="19">
        <f t="shared" si="8"/>
        <v>-3.0000000000001137</v>
      </c>
      <c r="R58" s="19">
        <f t="shared" si="1"/>
        <v>-4.0000000000048885</v>
      </c>
      <c r="S58" s="27" t="str">
        <f t="shared" si="12"/>
        <v/>
      </c>
      <c r="T58" s="28" t="str">
        <f t="shared" si="12"/>
        <v/>
      </c>
      <c r="U58" s="28" t="str">
        <f t="shared" si="12"/>
        <v/>
      </c>
      <c r="V58" s="28">
        <f t="shared" si="12"/>
        <v>0</v>
      </c>
      <c r="W58" s="28">
        <f t="shared" si="12"/>
        <v>1.1111111111104953E-2</v>
      </c>
      <c r="X58" s="29">
        <f t="shared" si="12"/>
        <v>0</v>
      </c>
      <c r="Y58" s="24"/>
    </row>
    <row r="59" spans="2:25" ht="15" customHeight="1" x14ac:dyDescent="0.2">
      <c r="B59" s="31">
        <v>42529</v>
      </c>
      <c r="C59" s="25"/>
      <c r="D59" s="26"/>
      <c r="E59" s="26"/>
      <c r="F59" s="75">
        <v>13.757999999999999</v>
      </c>
      <c r="G59" s="16">
        <v>10.545999999999999</v>
      </c>
      <c r="H59" s="75">
        <v>11.103</v>
      </c>
      <c r="I59" s="16">
        <v>102.871</v>
      </c>
      <c r="J59" s="58">
        <v>2603</v>
      </c>
      <c r="K59" s="18">
        <f t="shared" si="13"/>
        <v>2085</v>
      </c>
      <c r="L59" s="19" t="str">
        <f t="shared" si="1"/>
        <v/>
      </c>
      <c r="M59" s="19" t="str">
        <f t="shared" si="1"/>
        <v/>
      </c>
      <c r="N59" s="19" t="str">
        <f t="shared" si="1"/>
        <v/>
      </c>
      <c r="O59" s="19">
        <f t="shared" si="10"/>
        <v>-3.9999999999995595</v>
      </c>
      <c r="P59" s="19">
        <f t="shared" si="11"/>
        <v>-3.9999999999995595</v>
      </c>
      <c r="Q59" s="19">
        <f t="shared" si="8"/>
        <v>-3.0000000000001137</v>
      </c>
      <c r="R59" s="19">
        <f t="shared" si="1"/>
        <v>-4.0000000000048885</v>
      </c>
      <c r="S59" s="27" t="str">
        <f t="shared" si="12"/>
        <v/>
      </c>
      <c r="T59" s="28" t="str">
        <f t="shared" si="12"/>
        <v/>
      </c>
      <c r="U59" s="28" t="str">
        <f t="shared" si="12"/>
        <v/>
      </c>
      <c r="V59" s="28">
        <f t="shared" si="12"/>
        <v>0</v>
      </c>
      <c r="W59" s="28">
        <f t="shared" si="12"/>
        <v>0</v>
      </c>
      <c r="X59" s="29">
        <f t="shared" si="12"/>
        <v>0</v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3"/>
        <v/>
      </c>
      <c r="L60" s="19" t="str">
        <f t="shared" si="1"/>
        <v/>
      </c>
      <c r="M60" s="19" t="str">
        <f t="shared" si="1"/>
        <v/>
      </c>
      <c r="N60" s="19" t="str">
        <f t="shared" si="1"/>
        <v/>
      </c>
      <c r="O60" s="19" t="str">
        <f t="shared" si="10"/>
        <v/>
      </c>
      <c r="P60" s="19" t="str">
        <f t="shared" si="11"/>
        <v/>
      </c>
      <c r="Q60" s="19" t="str">
        <f t="shared" si="8"/>
        <v/>
      </c>
      <c r="R60" s="19" t="str">
        <f t="shared" si="1"/>
        <v/>
      </c>
      <c r="S60" s="27" t="str">
        <f t="shared" si="12"/>
        <v/>
      </c>
      <c r="T60" s="28" t="str">
        <f t="shared" si="12"/>
        <v/>
      </c>
      <c r="U60" s="28" t="str">
        <f t="shared" si="12"/>
        <v/>
      </c>
      <c r="V60" s="28" t="str">
        <f t="shared" si="12"/>
        <v/>
      </c>
      <c r="W60" s="28" t="str">
        <f t="shared" si="12"/>
        <v/>
      </c>
      <c r="X60" s="29" t="str">
        <f t="shared" si="12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3"/>
        <v/>
      </c>
      <c r="L61" s="19" t="str">
        <f t="shared" si="1"/>
        <v/>
      </c>
      <c r="M61" s="19" t="str">
        <f t="shared" si="1"/>
        <v/>
      </c>
      <c r="N61" s="19" t="str">
        <f t="shared" si="1"/>
        <v/>
      </c>
      <c r="O61" s="19" t="str">
        <f t="shared" si="10"/>
        <v/>
      </c>
      <c r="P61" s="19" t="str">
        <f t="shared" si="11"/>
        <v/>
      </c>
      <c r="Q61" s="19" t="str">
        <f t="shared" si="8"/>
        <v/>
      </c>
      <c r="R61" s="19" t="str">
        <f t="shared" si="1"/>
        <v/>
      </c>
      <c r="S61" s="27" t="str">
        <f t="shared" si="12"/>
        <v/>
      </c>
      <c r="T61" s="28" t="str">
        <f t="shared" si="12"/>
        <v/>
      </c>
      <c r="U61" s="28" t="str">
        <f t="shared" si="12"/>
        <v/>
      </c>
      <c r="V61" s="28" t="str">
        <f t="shared" si="12"/>
        <v/>
      </c>
      <c r="W61" s="28" t="str">
        <f t="shared" si="12"/>
        <v/>
      </c>
      <c r="X61" s="29" t="str">
        <f t="shared" si="12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3"/>
        <v/>
      </c>
      <c r="L62" s="19" t="str">
        <f t="shared" si="1"/>
        <v/>
      </c>
      <c r="M62" s="19" t="str">
        <f t="shared" si="1"/>
        <v/>
      </c>
      <c r="N62" s="19" t="str">
        <f t="shared" si="1"/>
        <v/>
      </c>
      <c r="O62" s="19" t="str">
        <f t="shared" si="10"/>
        <v/>
      </c>
      <c r="P62" s="19" t="str">
        <f t="shared" si="11"/>
        <v/>
      </c>
      <c r="Q62" s="19" t="str">
        <f t="shared" si="8"/>
        <v/>
      </c>
      <c r="R62" s="19" t="str">
        <f t="shared" ref="R62:R93" si="14">IF(ISBLANK(I62),"",(I62-I$16)*1000)</f>
        <v/>
      </c>
      <c r="S62" s="27" t="str">
        <f t="shared" si="12"/>
        <v/>
      </c>
      <c r="T62" s="28" t="str">
        <f t="shared" si="12"/>
        <v/>
      </c>
      <c r="U62" s="28" t="str">
        <f t="shared" si="12"/>
        <v/>
      </c>
      <c r="V62" s="28" t="str">
        <f t="shared" si="12"/>
        <v/>
      </c>
      <c r="W62" s="28" t="str">
        <f t="shared" si="12"/>
        <v/>
      </c>
      <c r="X62" s="29" t="str">
        <f t="shared" si="12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3"/>
        <v/>
      </c>
      <c r="L63" s="19" t="str">
        <f t="shared" ref="L63:L94" si="15">IF(ISBLANK(C63),"",(C63-C$16)*1000)</f>
        <v/>
      </c>
      <c r="M63" s="19" t="str">
        <f t="shared" ref="M63:M94" si="16">IF(ISBLANK(D63),"",(D63-D$16)*1000)</f>
        <v/>
      </c>
      <c r="N63" s="19" t="str">
        <f t="shared" ref="N63:N94" si="17">IF(ISBLANK(E63),"",(E63-E$16)*1000)</f>
        <v/>
      </c>
      <c r="O63" s="19" t="str">
        <f t="shared" si="10"/>
        <v/>
      </c>
      <c r="P63" s="19" t="str">
        <f t="shared" si="11"/>
        <v/>
      </c>
      <c r="Q63" s="19" t="str">
        <f t="shared" si="8"/>
        <v/>
      </c>
      <c r="R63" s="19" t="str">
        <f t="shared" si="14"/>
        <v/>
      </c>
      <c r="S63" s="27" t="str">
        <f t="shared" si="12"/>
        <v/>
      </c>
      <c r="T63" s="28" t="str">
        <f t="shared" si="12"/>
        <v/>
      </c>
      <c r="U63" s="28" t="str">
        <f t="shared" si="12"/>
        <v/>
      </c>
      <c r="V63" s="28" t="str">
        <f t="shared" si="12"/>
        <v/>
      </c>
      <c r="W63" s="28" t="str">
        <f t="shared" si="12"/>
        <v/>
      </c>
      <c r="X63" s="29" t="str">
        <f t="shared" si="12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3"/>
        <v/>
      </c>
      <c r="L64" s="19" t="str">
        <f t="shared" si="15"/>
        <v/>
      </c>
      <c r="M64" s="19" t="str">
        <f t="shared" si="16"/>
        <v/>
      </c>
      <c r="N64" s="19" t="str">
        <f t="shared" si="17"/>
        <v/>
      </c>
      <c r="O64" s="19" t="str">
        <f t="shared" si="10"/>
        <v/>
      </c>
      <c r="P64" s="19" t="str">
        <f t="shared" si="11"/>
        <v/>
      </c>
      <c r="Q64" s="19" t="str">
        <f t="shared" si="8"/>
        <v/>
      </c>
      <c r="R64" s="19" t="str">
        <f t="shared" si="14"/>
        <v/>
      </c>
      <c r="S64" s="27" t="str">
        <f t="shared" si="12"/>
        <v/>
      </c>
      <c r="T64" s="28" t="str">
        <f t="shared" si="12"/>
        <v/>
      </c>
      <c r="U64" s="28" t="str">
        <f t="shared" si="12"/>
        <v/>
      </c>
      <c r="V64" s="28" t="str">
        <f t="shared" si="12"/>
        <v/>
      </c>
      <c r="W64" s="28" t="str">
        <f t="shared" si="12"/>
        <v/>
      </c>
      <c r="X64" s="29" t="str">
        <f t="shared" si="12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3"/>
        <v/>
      </c>
      <c r="L65" s="19" t="str">
        <f t="shared" si="15"/>
        <v/>
      </c>
      <c r="M65" s="19" t="str">
        <f t="shared" si="16"/>
        <v/>
      </c>
      <c r="N65" s="19" t="str">
        <f t="shared" si="17"/>
        <v/>
      </c>
      <c r="O65" s="19" t="str">
        <f t="shared" si="10"/>
        <v/>
      </c>
      <c r="P65" s="19" t="str">
        <f t="shared" si="11"/>
        <v/>
      </c>
      <c r="Q65" s="19" t="str">
        <f t="shared" si="8"/>
        <v/>
      </c>
      <c r="R65" s="19" t="str">
        <f t="shared" si="14"/>
        <v/>
      </c>
      <c r="S65" s="27" t="str">
        <f t="shared" ref="S65:X80" si="18">IF(C65="","",((C65-C64)*1000)/($B65-$B64))</f>
        <v/>
      </c>
      <c r="T65" s="28" t="str">
        <f t="shared" si="18"/>
        <v/>
      </c>
      <c r="U65" s="28" t="str">
        <f t="shared" si="18"/>
        <v/>
      </c>
      <c r="V65" s="28" t="str">
        <f t="shared" si="18"/>
        <v/>
      </c>
      <c r="W65" s="28" t="str">
        <f t="shared" si="18"/>
        <v/>
      </c>
      <c r="X65" s="29" t="str">
        <f t="shared" si="18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3"/>
        <v/>
      </c>
      <c r="L66" s="19" t="str">
        <f t="shared" si="15"/>
        <v/>
      </c>
      <c r="M66" s="19" t="str">
        <f t="shared" si="16"/>
        <v/>
      </c>
      <c r="N66" s="19" t="str">
        <f t="shared" si="17"/>
        <v/>
      </c>
      <c r="O66" s="19" t="str">
        <f t="shared" si="10"/>
        <v/>
      </c>
      <c r="P66" s="19" t="str">
        <f t="shared" si="11"/>
        <v/>
      </c>
      <c r="Q66" s="19" t="str">
        <f t="shared" si="8"/>
        <v/>
      </c>
      <c r="R66" s="19" t="str">
        <f t="shared" si="14"/>
        <v/>
      </c>
      <c r="S66" s="27" t="str">
        <f t="shared" si="18"/>
        <v/>
      </c>
      <c r="T66" s="28" t="str">
        <f t="shared" si="18"/>
        <v/>
      </c>
      <c r="U66" s="28" t="str">
        <f t="shared" si="18"/>
        <v/>
      </c>
      <c r="V66" s="28" t="str">
        <f t="shared" si="18"/>
        <v/>
      </c>
      <c r="W66" s="28" t="str">
        <f t="shared" si="18"/>
        <v/>
      </c>
      <c r="X66" s="29" t="str">
        <f t="shared" si="18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3"/>
        <v/>
      </c>
      <c r="L67" s="19" t="str">
        <f t="shared" si="15"/>
        <v/>
      </c>
      <c r="M67" s="19" t="str">
        <f t="shared" si="16"/>
        <v/>
      </c>
      <c r="N67" s="19" t="str">
        <f t="shared" si="17"/>
        <v/>
      </c>
      <c r="O67" s="19" t="str">
        <f t="shared" si="10"/>
        <v/>
      </c>
      <c r="P67" s="19" t="str">
        <f t="shared" si="11"/>
        <v/>
      </c>
      <c r="Q67" s="19" t="str">
        <f t="shared" si="8"/>
        <v/>
      </c>
      <c r="R67" s="19" t="str">
        <f t="shared" si="14"/>
        <v/>
      </c>
      <c r="S67" s="27" t="str">
        <f t="shared" si="18"/>
        <v/>
      </c>
      <c r="T67" s="28" t="str">
        <f t="shared" si="18"/>
        <v/>
      </c>
      <c r="U67" s="28" t="str">
        <f t="shared" si="18"/>
        <v/>
      </c>
      <c r="V67" s="28" t="str">
        <f t="shared" si="18"/>
        <v/>
      </c>
      <c r="W67" s="28" t="str">
        <f t="shared" si="18"/>
        <v/>
      </c>
      <c r="X67" s="29" t="str">
        <f t="shared" si="18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3"/>
        <v/>
      </c>
      <c r="L68" s="19" t="str">
        <f t="shared" si="15"/>
        <v/>
      </c>
      <c r="M68" s="19" t="str">
        <f t="shared" si="16"/>
        <v/>
      </c>
      <c r="N68" s="19" t="str">
        <f t="shared" si="17"/>
        <v/>
      </c>
      <c r="O68" s="19" t="str">
        <f t="shared" si="10"/>
        <v/>
      </c>
      <c r="P68" s="19" t="str">
        <f t="shared" si="11"/>
        <v/>
      </c>
      <c r="Q68" s="19" t="str">
        <f t="shared" si="8"/>
        <v/>
      </c>
      <c r="R68" s="19" t="str">
        <f t="shared" si="14"/>
        <v/>
      </c>
      <c r="S68" s="27" t="str">
        <f t="shared" si="18"/>
        <v/>
      </c>
      <c r="T68" s="28" t="str">
        <f t="shared" si="18"/>
        <v/>
      </c>
      <c r="U68" s="28" t="str">
        <f t="shared" si="18"/>
        <v/>
      </c>
      <c r="V68" s="28" t="str">
        <f t="shared" si="18"/>
        <v/>
      </c>
      <c r="W68" s="28" t="str">
        <f t="shared" si="18"/>
        <v/>
      </c>
      <c r="X68" s="29" t="str">
        <f t="shared" si="18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3"/>
        <v/>
      </c>
      <c r="L69" s="19" t="str">
        <f t="shared" si="15"/>
        <v/>
      </c>
      <c r="M69" s="19" t="str">
        <f t="shared" si="16"/>
        <v/>
      </c>
      <c r="N69" s="19" t="str">
        <f t="shared" si="17"/>
        <v/>
      </c>
      <c r="O69" s="19" t="str">
        <f t="shared" si="10"/>
        <v/>
      </c>
      <c r="P69" s="19" t="str">
        <f t="shared" si="11"/>
        <v/>
      </c>
      <c r="Q69" s="19" t="str">
        <f t="shared" si="8"/>
        <v/>
      </c>
      <c r="R69" s="19" t="str">
        <f t="shared" si="14"/>
        <v/>
      </c>
      <c r="S69" s="27" t="str">
        <f t="shared" si="18"/>
        <v/>
      </c>
      <c r="T69" s="28" t="str">
        <f t="shared" si="18"/>
        <v/>
      </c>
      <c r="U69" s="28" t="str">
        <f t="shared" si="18"/>
        <v/>
      </c>
      <c r="V69" s="28" t="str">
        <f t="shared" si="18"/>
        <v/>
      </c>
      <c r="W69" s="28" t="str">
        <f t="shared" si="18"/>
        <v/>
      </c>
      <c r="X69" s="29" t="str">
        <f t="shared" si="18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3"/>
        <v/>
      </c>
      <c r="L70" s="19" t="str">
        <f t="shared" si="15"/>
        <v/>
      </c>
      <c r="M70" s="19" t="str">
        <f t="shared" si="16"/>
        <v/>
      </c>
      <c r="N70" s="19" t="str">
        <f t="shared" si="17"/>
        <v/>
      </c>
      <c r="O70" s="19" t="str">
        <f t="shared" si="10"/>
        <v/>
      </c>
      <c r="P70" s="19" t="str">
        <f t="shared" si="11"/>
        <v/>
      </c>
      <c r="Q70" s="19" t="str">
        <f t="shared" si="8"/>
        <v/>
      </c>
      <c r="R70" s="19" t="str">
        <f t="shared" si="14"/>
        <v/>
      </c>
      <c r="S70" s="27" t="str">
        <f t="shared" si="18"/>
        <v/>
      </c>
      <c r="T70" s="28" t="str">
        <f t="shared" si="18"/>
        <v/>
      </c>
      <c r="U70" s="28" t="str">
        <f t="shared" si="18"/>
        <v/>
      </c>
      <c r="V70" s="28" t="str">
        <f t="shared" si="18"/>
        <v/>
      </c>
      <c r="W70" s="28" t="str">
        <f t="shared" si="18"/>
        <v/>
      </c>
      <c r="X70" s="29" t="str">
        <f t="shared" si="18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3"/>
        <v/>
      </c>
      <c r="L71" s="19" t="str">
        <f t="shared" si="15"/>
        <v/>
      </c>
      <c r="M71" s="19" t="str">
        <f t="shared" si="16"/>
        <v/>
      </c>
      <c r="N71" s="19" t="str">
        <f t="shared" si="17"/>
        <v/>
      </c>
      <c r="O71" s="19" t="str">
        <f t="shared" si="10"/>
        <v/>
      </c>
      <c r="P71" s="19" t="str">
        <f t="shared" si="11"/>
        <v/>
      </c>
      <c r="Q71" s="19" t="str">
        <f t="shared" si="8"/>
        <v/>
      </c>
      <c r="R71" s="19" t="str">
        <f t="shared" si="14"/>
        <v/>
      </c>
      <c r="S71" s="27" t="str">
        <f t="shared" si="18"/>
        <v/>
      </c>
      <c r="T71" s="28" t="str">
        <f t="shared" si="18"/>
        <v/>
      </c>
      <c r="U71" s="28" t="str">
        <f t="shared" si="18"/>
        <v/>
      </c>
      <c r="V71" s="28" t="str">
        <f t="shared" si="18"/>
        <v/>
      </c>
      <c r="W71" s="28" t="str">
        <f t="shared" si="18"/>
        <v/>
      </c>
      <c r="X71" s="29" t="str">
        <f t="shared" si="1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3"/>
        <v/>
      </c>
      <c r="L72" s="19" t="str">
        <f t="shared" si="15"/>
        <v/>
      </c>
      <c r="M72" s="19" t="str">
        <f t="shared" si="16"/>
        <v/>
      </c>
      <c r="N72" s="19" t="str">
        <f t="shared" si="17"/>
        <v/>
      </c>
      <c r="O72" s="19" t="str">
        <f t="shared" si="10"/>
        <v/>
      </c>
      <c r="P72" s="19" t="str">
        <f t="shared" si="11"/>
        <v/>
      </c>
      <c r="Q72" s="19" t="str">
        <f t="shared" si="8"/>
        <v/>
      </c>
      <c r="R72" s="19" t="str">
        <f t="shared" si="14"/>
        <v/>
      </c>
      <c r="S72" s="27" t="str">
        <f t="shared" si="18"/>
        <v/>
      </c>
      <c r="T72" s="28" t="str">
        <f t="shared" si="18"/>
        <v/>
      </c>
      <c r="U72" s="28" t="str">
        <f t="shared" si="18"/>
        <v/>
      </c>
      <c r="V72" s="28" t="str">
        <f t="shared" si="18"/>
        <v/>
      </c>
      <c r="W72" s="28" t="str">
        <f t="shared" si="18"/>
        <v/>
      </c>
      <c r="X72" s="29" t="str">
        <f t="shared" si="1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3"/>
        <v/>
      </c>
      <c r="L73" s="19" t="str">
        <f t="shared" si="15"/>
        <v/>
      </c>
      <c r="M73" s="19" t="str">
        <f t="shared" si="16"/>
        <v/>
      </c>
      <c r="N73" s="19" t="str">
        <f t="shared" si="17"/>
        <v/>
      </c>
      <c r="O73" s="19" t="str">
        <f t="shared" si="10"/>
        <v/>
      </c>
      <c r="P73" s="19" t="str">
        <f t="shared" si="11"/>
        <v/>
      </c>
      <c r="Q73" s="19" t="str">
        <f t="shared" si="8"/>
        <v/>
      </c>
      <c r="R73" s="19" t="str">
        <f t="shared" si="14"/>
        <v/>
      </c>
      <c r="S73" s="27" t="str">
        <f t="shared" si="18"/>
        <v/>
      </c>
      <c r="T73" s="28" t="str">
        <f t="shared" si="18"/>
        <v/>
      </c>
      <c r="U73" s="28" t="str">
        <f t="shared" si="18"/>
        <v/>
      </c>
      <c r="V73" s="28" t="str">
        <f t="shared" si="18"/>
        <v/>
      </c>
      <c r="W73" s="28" t="str">
        <f t="shared" si="18"/>
        <v/>
      </c>
      <c r="X73" s="29" t="str">
        <f t="shared" si="1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3"/>
        <v/>
      </c>
      <c r="L74" s="19" t="str">
        <f t="shared" si="15"/>
        <v/>
      </c>
      <c r="M74" s="19" t="str">
        <f t="shared" si="16"/>
        <v/>
      </c>
      <c r="N74" s="19" t="str">
        <f t="shared" si="17"/>
        <v/>
      </c>
      <c r="O74" s="19" t="str">
        <f t="shared" si="10"/>
        <v/>
      </c>
      <c r="P74" s="19" t="str">
        <f t="shared" si="11"/>
        <v/>
      </c>
      <c r="Q74" s="19" t="str">
        <f t="shared" si="8"/>
        <v/>
      </c>
      <c r="R74" s="19" t="str">
        <f t="shared" si="14"/>
        <v/>
      </c>
      <c r="S74" s="27" t="str">
        <f t="shared" si="18"/>
        <v/>
      </c>
      <c r="T74" s="28" t="str">
        <f t="shared" si="18"/>
        <v/>
      </c>
      <c r="U74" s="28" t="str">
        <f t="shared" si="18"/>
        <v/>
      </c>
      <c r="V74" s="28" t="str">
        <f t="shared" si="18"/>
        <v/>
      </c>
      <c r="W74" s="28" t="str">
        <f t="shared" si="18"/>
        <v/>
      </c>
      <c r="X74" s="29" t="str">
        <f t="shared" si="1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3"/>
        <v/>
      </c>
      <c r="L75" s="19" t="str">
        <f t="shared" si="15"/>
        <v/>
      </c>
      <c r="M75" s="19" t="str">
        <f t="shared" si="16"/>
        <v/>
      </c>
      <c r="N75" s="19" t="str">
        <f t="shared" si="17"/>
        <v/>
      </c>
      <c r="O75" s="19" t="str">
        <f t="shared" si="10"/>
        <v/>
      </c>
      <c r="P75" s="19" t="str">
        <f t="shared" si="11"/>
        <v/>
      </c>
      <c r="Q75" s="19" t="str">
        <f t="shared" si="8"/>
        <v/>
      </c>
      <c r="R75" s="19" t="str">
        <f t="shared" si="14"/>
        <v/>
      </c>
      <c r="S75" s="27" t="str">
        <f t="shared" si="18"/>
        <v/>
      </c>
      <c r="T75" s="28" t="str">
        <f t="shared" si="18"/>
        <v/>
      </c>
      <c r="U75" s="28" t="str">
        <f t="shared" si="18"/>
        <v/>
      </c>
      <c r="V75" s="28" t="str">
        <f t="shared" si="18"/>
        <v/>
      </c>
      <c r="W75" s="28" t="str">
        <f t="shared" si="18"/>
        <v/>
      </c>
      <c r="X75" s="29" t="str">
        <f t="shared" si="1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3"/>
        <v/>
      </c>
      <c r="L76" s="19" t="str">
        <f t="shared" si="15"/>
        <v/>
      </c>
      <c r="M76" s="19" t="str">
        <f t="shared" si="16"/>
        <v/>
      </c>
      <c r="N76" s="19" t="str">
        <f t="shared" si="17"/>
        <v/>
      </c>
      <c r="O76" s="19" t="str">
        <f t="shared" si="10"/>
        <v/>
      </c>
      <c r="P76" s="19" t="str">
        <f t="shared" si="11"/>
        <v/>
      </c>
      <c r="Q76" s="19" t="str">
        <f t="shared" si="8"/>
        <v/>
      </c>
      <c r="R76" s="19" t="str">
        <f t="shared" si="14"/>
        <v/>
      </c>
      <c r="S76" s="27" t="str">
        <f t="shared" si="18"/>
        <v/>
      </c>
      <c r="T76" s="28" t="str">
        <f t="shared" si="18"/>
        <v/>
      </c>
      <c r="U76" s="28" t="str">
        <f t="shared" si="18"/>
        <v/>
      </c>
      <c r="V76" s="28" t="str">
        <f t="shared" si="18"/>
        <v/>
      </c>
      <c r="W76" s="28" t="str">
        <f t="shared" si="18"/>
        <v/>
      </c>
      <c r="X76" s="29" t="str">
        <f t="shared" si="1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3"/>
        <v/>
      </c>
      <c r="L77" s="19" t="str">
        <f t="shared" si="15"/>
        <v/>
      </c>
      <c r="M77" s="19" t="str">
        <f t="shared" si="16"/>
        <v/>
      </c>
      <c r="N77" s="19" t="str">
        <f t="shared" si="17"/>
        <v/>
      </c>
      <c r="O77" s="19" t="str">
        <f t="shared" si="10"/>
        <v/>
      </c>
      <c r="P77" s="19" t="str">
        <f t="shared" si="11"/>
        <v/>
      </c>
      <c r="Q77" s="19" t="str">
        <f t="shared" si="8"/>
        <v/>
      </c>
      <c r="R77" s="19" t="str">
        <f t="shared" si="14"/>
        <v/>
      </c>
      <c r="S77" s="27" t="str">
        <f t="shared" si="18"/>
        <v/>
      </c>
      <c r="T77" s="28" t="str">
        <f t="shared" si="18"/>
        <v/>
      </c>
      <c r="U77" s="28" t="str">
        <f t="shared" si="18"/>
        <v/>
      </c>
      <c r="V77" s="28" t="str">
        <f t="shared" si="18"/>
        <v/>
      </c>
      <c r="W77" s="28" t="str">
        <f t="shared" si="18"/>
        <v/>
      </c>
      <c r="X77" s="29" t="str">
        <f t="shared" si="1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3"/>
        <v/>
      </c>
      <c r="L78" s="19" t="str">
        <f t="shared" si="15"/>
        <v/>
      </c>
      <c r="M78" s="19" t="str">
        <f t="shared" si="16"/>
        <v/>
      </c>
      <c r="N78" s="19" t="str">
        <f t="shared" si="17"/>
        <v/>
      </c>
      <c r="O78" s="19" t="str">
        <f t="shared" si="10"/>
        <v/>
      </c>
      <c r="P78" s="19" t="str">
        <f t="shared" si="11"/>
        <v/>
      </c>
      <c r="Q78" s="19" t="str">
        <f t="shared" si="8"/>
        <v/>
      </c>
      <c r="R78" s="19" t="str">
        <f t="shared" si="14"/>
        <v/>
      </c>
      <c r="S78" s="27" t="str">
        <f t="shared" si="18"/>
        <v/>
      </c>
      <c r="T78" s="28" t="str">
        <f t="shared" si="18"/>
        <v/>
      </c>
      <c r="U78" s="28" t="str">
        <f t="shared" si="18"/>
        <v/>
      </c>
      <c r="V78" s="28" t="str">
        <f t="shared" si="18"/>
        <v/>
      </c>
      <c r="W78" s="28" t="str">
        <f t="shared" si="18"/>
        <v/>
      </c>
      <c r="X78" s="29" t="str">
        <f t="shared" si="1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3"/>
        <v/>
      </c>
      <c r="L79" s="19" t="str">
        <f t="shared" si="15"/>
        <v/>
      </c>
      <c r="M79" s="19" t="str">
        <f t="shared" si="16"/>
        <v/>
      </c>
      <c r="N79" s="19" t="str">
        <f t="shared" si="17"/>
        <v/>
      </c>
      <c r="O79" s="19" t="str">
        <f t="shared" si="10"/>
        <v/>
      </c>
      <c r="P79" s="19" t="str">
        <f t="shared" si="11"/>
        <v/>
      </c>
      <c r="Q79" s="19" t="str">
        <f t="shared" si="8"/>
        <v/>
      </c>
      <c r="R79" s="19" t="str">
        <f t="shared" si="14"/>
        <v/>
      </c>
      <c r="S79" s="27" t="str">
        <f t="shared" si="18"/>
        <v/>
      </c>
      <c r="T79" s="28" t="str">
        <f t="shared" si="18"/>
        <v/>
      </c>
      <c r="U79" s="28" t="str">
        <f t="shared" si="18"/>
        <v/>
      </c>
      <c r="V79" s="28" t="str">
        <f t="shared" si="18"/>
        <v/>
      </c>
      <c r="W79" s="28" t="str">
        <f t="shared" si="18"/>
        <v/>
      </c>
      <c r="X79" s="29" t="str">
        <f t="shared" si="1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3"/>
        <v/>
      </c>
      <c r="L80" s="19" t="str">
        <f t="shared" si="15"/>
        <v/>
      </c>
      <c r="M80" s="19" t="str">
        <f t="shared" si="16"/>
        <v/>
      </c>
      <c r="N80" s="19" t="str">
        <f t="shared" si="17"/>
        <v/>
      </c>
      <c r="O80" s="19" t="str">
        <f t="shared" si="10"/>
        <v/>
      </c>
      <c r="P80" s="19" t="str">
        <f t="shared" si="11"/>
        <v/>
      </c>
      <c r="Q80" s="19" t="str">
        <f t="shared" si="8"/>
        <v/>
      </c>
      <c r="R80" s="19" t="str">
        <f t="shared" si="14"/>
        <v/>
      </c>
      <c r="S80" s="27" t="str">
        <f t="shared" si="18"/>
        <v/>
      </c>
      <c r="T80" s="28" t="str">
        <f t="shared" si="18"/>
        <v/>
      </c>
      <c r="U80" s="28" t="str">
        <f t="shared" si="18"/>
        <v/>
      </c>
      <c r="V80" s="28" t="str">
        <f t="shared" si="18"/>
        <v/>
      </c>
      <c r="W80" s="28" t="str">
        <f t="shared" si="18"/>
        <v/>
      </c>
      <c r="X80" s="29" t="str">
        <f t="shared" si="1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3"/>
        <v/>
      </c>
      <c r="L81" s="19" t="str">
        <f t="shared" si="15"/>
        <v/>
      </c>
      <c r="M81" s="19" t="str">
        <f t="shared" si="16"/>
        <v/>
      </c>
      <c r="N81" s="19" t="str">
        <f t="shared" si="17"/>
        <v/>
      </c>
      <c r="O81" s="19" t="str">
        <f t="shared" si="10"/>
        <v/>
      </c>
      <c r="P81" s="19" t="str">
        <f t="shared" si="11"/>
        <v/>
      </c>
      <c r="Q81" s="19" t="str">
        <f t="shared" si="8"/>
        <v/>
      </c>
      <c r="R81" s="19" t="str">
        <f t="shared" si="14"/>
        <v/>
      </c>
      <c r="S81" s="27" t="str">
        <f t="shared" ref="S81:X96" si="19">IF(C81="","",((C81-C80)*1000)/($B81-$B80))</f>
        <v/>
      </c>
      <c r="T81" s="28" t="str">
        <f t="shared" si="19"/>
        <v/>
      </c>
      <c r="U81" s="28" t="str">
        <f t="shared" si="19"/>
        <v/>
      </c>
      <c r="V81" s="28" t="str">
        <f t="shared" si="19"/>
        <v/>
      </c>
      <c r="W81" s="28" t="str">
        <f t="shared" si="19"/>
        <v/>
      </c>
      <c r="X81" s="29" t="str">
        <f t="shared" si="19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ref="K82:K145" si="20">IF(ISBLANK(J82),"",(J82-$J$8))</f>
        <v/>
      </c>
      <c r="L82" s="19" t="str">
        <f t="shared" si="15"/>
        <v/>
      </c>
      <c r="M82" s="19" t="str">
        <f t="shared" si="16"/>
        <v/>
      </c>
      <c r="N82" s="19" t="str">
        <f t="shared" si="17"/>
        <v/>
      </c>
      <c r="O82" s="19" t="str">
        <f t="shared" si="10"/>
        <v/>
      </c>
      <c r="P82" s="19" t="str">
        <f t="shared" si="11"/>
        <v/>
      </c>
      <c r="Q82" s="19" t="str">
        <f t="shared" si="8"/>
        <v/>
      </c>
      <c r="R82" s="19" t="str">
        <f t="shared" si="14"/>
        <v/>
      </c>
      <c r="S82" s="27" t="str">
        <f t="shared" si="19"/>
        <v/>
      </c>
      <c r="T82" s="28" t="str">
        <f t="shared" si="19"/>
        <v/>
      </c>
      <c r="U82" s="28" t="str">
        <f t="shared" si="19"/>
        <v/>
      </c>
      <c r="V82" s="28" t="str">
        <f t="shared" si="19"/>
        <v/>
      </c>
      <c r="W82" s="28" t="str">
        <f t="shared" si="19"/>
        <v/>
      </c>
      <c r="X82" s="29" t="str">
        <f t="shared" si="1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20"/>
        <v/>
      </c>
      <c r="L83" s="19" t="str">
        <f t="shared" si="15"/>
        <v/>
      </c>
      <c r="M83" s="19" t="str">
        <f t="shared" si="16"/>
        <v/>
      </c>
      <c r="N83" s="19" t="str">
        <f t="shared" si="17"/>
        <v/>
      </c>
      <c r="O83" s="19" t="str">
        <f t="shared" si="10"/>
        <v/>
      </c>
      <c r="P83" s="19" t="str">
        <f t="shared" si="11"/>
        <v/>
      </c>
      <c r="Q83" s="19" t="str">
        <f t="shared" si="8"/>
        <v/>
      </c>
      <c r="R83" s="19" t="str">
        <f t="shared" si="14"/>
        <v/>
      </c>
      <c r="S83" s="27" t="str">
        <f t="shared" si="19"/>
        <v/>
      </c>
      <c r="T83" s="28" t="str">
        <f t="shared" si="19"/>
        <v/>
      </c>
      <c r="U83" s="28" t="str">
        <f t="shared" si="19"/>
        <v/>
      </c>
      <c r="V83" s="28" t="str">
        <f t="shared" si="19"/>
        <v/>
      </c>
      <c r="W83" s="28" t="str">
        <f t="shared" si="19"/>
        <v/>
      </c>
      <c r="X83" s="29" t="str">
        <f t="shared" si="1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20"/>
        <v/>
      </c>
      <c r="L84" s="19" t="str">
        <f t="shared" si="15"/>
        <v/>
      </c>
      <c r="M84" s="19" t="str">
        <f t="shared" si="16"/>
        <v/>
      </c>
      <c r="N84" s="19" t="str">
        <f t="shared" si="17"/>
        <v/>
      </c>
      <c r="O84" s="19" t="str">
        <f t="shared" si="10"/>
        <v/>
      </c>
      <c r="P84" s="19" t="str">
        <f t="shared" si="11"/>
        <v/>
      </c>
      <c r="Q84" s="19" t="str">
        <f t="shared" si="8"/>
        <v/>
      </c>
      <c r="R84" s="19" t="str">
        <f t="shared" si="14"/>
        <v/>
      </c>
      <c r="S84" s="27" t="str">
        <f t="shared" si="19"/>
        <v/>
      </c>
      <c r="T84" s="28" t="str">
        <f t="shared" si="19"/>
        <v/>
      </c>
      <c r="U84" s="28" t="str">
        <f t="shared" si="19"/>
        <v/>
      </c>
      <c r="V84" s="28" t="str">
        <f t="shared" si="19"/>
        <v/>
      </c>
      <c r="W84" s="28" t="str">
        <f t="shared" si="19"/>
        <v/>
      </c>
      <c r="X84" s="29" t="str">
        <f t="shared" si="1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20"/>
        <v/>
      </c>
      <c r="L85" s="19" t="str">
        <f t="shared" si="15"/>
        <v/>
      </c>
      <c r="M85" s="19" t="str">
        <f t="shared" si="16"/>
        <v/>
      </c>
      <c r="N85" s="19" t="str">
        <f t="shared" si="17"/>
        <v/>
      </c>
      <c r="O85" s="19" t="str">
        <f t="shared" si="10"/>
        <v/>
      </c>
      <c r="P85" s="19" t="str">
        <f t="shared" si="11"/>
        <v/>
      </c>
      <c r="Q85" s="19" t="str">
        <f t="shared" si="8"/>
        <v/>
      </c>
      <c r="R85" s="19" t="str">
        <f t="shared" si="14"/>
        <v/>
      </c>
      <c r="S85" s="27" t="str">
        <f t="shared" si="19"/>
        <v/>
      </c>
      <c r="T85" s="28" t="str">
        <f t="shared" si="19"/>
        <v/>
      </c>
      <c r="U85" s="28" t="str">
        <f t="shared" si="19"/>
        <v/>
      </c>
      <c r="V85" s="28" t="str">
        <f t="shared" si="19"/>
        <v/>
      </c>
      <c r="W85" s="28" t="str">
        <f t="shared" si="19"/>
        <v/>
      </c>
      <c r="X85" s="29" t="str">
        <f t="shared" si="1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20"/>
        <v/>
      </c>
      <c r="L86" s="19" t="str">
        <f t="shared" si="15"/>
        <v/>
      </c>
      <c r="M86" s="19" t="str">
        <f t="shared" si="16"/>
        <v/>
      </c>
      <c r="N86" s="19" t="str">
        <f t="shared" si="17"/>
        <v/>
      </c>
      <c r="O86" s="19" t="str">
        <f t="shared" si="10"/>
        <v/>
      </c>
      <c r="P86" s="19" t="str">
        <f t="shared" si="11"/>
        <v/>
      </c>
      <c r="Q86" s="19" t="str">
        <f t="shared" si="8"/>
        <v/>
      </c>
      <c r="R86" s="19" t="str">
        <f t="shared" si="14"/>
        <v/>
      </c>
      <c r="S86" s="27" t="str">
        <f t="shared" si="19"/>
        <v/>
      </c>
      <c r="T86" s="28" t="str">
        <f t="shared" si="19"/>
        <v/>
      </c>
      <c r="U86" s="28" t="str">
        <f t="shared" si="19"/>
        <v/>
      </c>
      <c r="V86" s="28" t="str">
        <f t="shared" si="19"/>
        <v/>
      </c>
      <c r="W86" s="28" t="str">
        <f t="shared" si="19"/>
        <v/>
      </c>
      <c r="X86" s="29" t="str">
        <f t="shared" si="1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20"/>
        <v/>
      </c>
      <c r="L87" s="19" t="str">
        <f t="shared" si="15"/>
        <v/>
      </c>
      <c r="M87" s="19" t="str">
        <f t="shared" si="16"/>
        <v/>
      </c>
      <c r="N87" s="19" t="str">
        <f t="shared" si="17"/>
        <v/>
      </c>
      <c r="O87" s="19" t="str">
        <f t="shared" si="10"/>
        <v/>
      </c>
      <c r="P87" s="19" t="str">
        <f t="shared" si="11"/>
        <v/>
      </c>
      <c r="Q87" s="19" t="str">
        <f t="shared" si="8"/>
        <v/>
      </c>
      <c r="R87" s="19" t="str">
        <f t="shared" si="14"/>
        <v/>
      </c>
      <c r="S87" s="27" t="str">
        <f t="shared" si="19"/>
        <v/>
      </c>
      <c r="T87" s="28" t="str">
        <f t="shared" si="19"/>
        <v/>
      </c>
      <c r="U87" s="28" t="str">
        <f t="shared" si="19"/>
        <v/>
      </c>
      <c r="V87" s="28" t="str">
        <f t="shared" si="19"/>
        <v/>
      </c>
      <c r="W87" s="28" t="str">
        <f t="shared" si="19"/>
        <v/>
      </c>
      <c r="X87" s="29" t="str">
        <f t="shared" si="1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20"/>
        <v/>
      </c>
      <c r="L88" s="19" t="str">
        <f t="shared" si="15"/>
        <v/>
      </c>
      <c r="M88" s="19" t="str">
        <f t="shared" si="16"/>
        <v/>
      </c>
      <c r="N88" s="19" t="str">
        <f t="shared" si="17"/>
        <v/>
      </c>
      <c r="O88" s="19" t="str">
        <f t="shared" si="10"/>
        <v/>
      </c>
      <c r="P88" s="19" t="str">
        <f t="shared" si="11"/>
        <v/>
      </c>
      <c r="Q88" s="19" t="str">
        <f t="shared" si="8"/>
        <v/>
      </c>
      <c r="R88" s="19" t="str">
        <f t="shared" si="14"/>
        <v/>
      </c>
      <c r="S88" s="27" t="str">
        <f t="shared" si="19"/>
        <v/>
      </c>
      <c r="T88" s="28" t="str">
        <f t="shared" si="19"/>
        <v/>
      </c>
      <c r="U88" s="28" t="str">
        <f t="shared" si="19"/>
        <v/>
      </c>
      <c r="V88" s="28" t="str">
        <f t="shared" si="19"/>
        <v/>
      </c>
      <c r="W88" s="28" t="str">
        <f t="shared" si="19"/>
        <v/>
      </c>
      <c r="X88" s="29" t="str">
        <f t="shared" si="1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20"/>
        <v/>
      </c>
      <c r="L89" s="19" t="str">
        <f t="shared" si="15"/>
        <v/>
      </c>
      <c r="M89" s="19" t="str">
        <f t="shared" si="16"/>
        <v/>
      </c>
      <c r="N89" s="19" t="str">
        <f t="shared" si="17"/>
        <v/>
      </c>
      <c r="O89" s="19" t="str">
        <f t="shared" si="10"/>
        <v/>
      </c>
      <c r="P89" s="19" t="str">
        <f t="shared" si="11"/>
        <v/>
      </c>
      <c r="Q89" s="19" t="str">
        <f t="shared" si="8"/>
        <v/>
      </c>
      <c r="R89" s="19" t="str">
        <f t="shared" si="14"/>
        <v/>
      </c>
      <c r="S89" s="27" t="str">
        <f t="shared" si="19"/>
        <v/>
      </c>
      <c r="T89" s="28" t="str">
        <f t="shared" si="19"/>
        <v/>
      </c>
      <c r="U89" s="28" t="str">
        <f t="shared" si="19"/>
        <v/>
      </c>
      <c r="V89" s="28" t="str">
        <f t="shared" si="19"/>
        <v/>
      </c>
      <c r="W89" s="28" t="str">
        <f t="shared" si="19"/>
        <v/>
      </c>
      <c r="X89" s="29" t="str">
        <f t="shared" si="1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20"/>
        <v/>
      </c>
      <c r="L90" s="19" t="str">
        <f t="shared" si="15"/>
        <v/>
      </c>
      <c r="M90" s="19" t="str">
        <f t="shared" si="16"/>
        <v/>
      </c>
      <c r="N90" s="19" t="str">
        <f t="shared" si="17"/>
        <v/>
      </c>
      <c r="O90" s="19" t="str">
        <f t="shared" si="10"/>
        <v/>
      </c>
      <c r="P90" s="19" t="str">
        <f t="shared" si="11"/>
        <v/>
      </c>
      <c r="Q90" s="19" t="str">
        <f t="shared" si="8"/>
        <v/>
      </c>
      <c r="R90" s="19" t="str">
        <f t="shared" si="14"/>
        <v/>
      </c>
      <c r="S90" s="27" t="str">
        <f t="shared" si="19"/>
        <v/>
      </c>
      <c r="T90" s="28" t="str">
        <f t="shared" si="19"/>
        <v/>
      </c>
      <c r="U90" s="28" t="str">
        <f t="shared" si="19"/>
        <v/>
      </c>
      <c r="V90" s="28" t="str">
        <f t="shared" si="19"/>
        <v/>
      </c>
      <c r="W90" s="28" t="str">
        <f t="shared" si="19"/>
        <v/>
      </c>
      <c r="X90" s="29" t="str">
        <f t="shared" si="1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20"/>
        <v/>
      </c>
      <c r="L91" s="19" t="str">
        <f t="shared" si="15"/>
        <v/>
      </c>
      <c r="M91" s="19" t="str">
        <f t="shared" si="16"/>
        <v/>
      </c>
      <c r="N91" s="19" t="str">
        <f t="shared" si="17"/>
        <v/>
      </c>
      <c r="O91" s="19" t="str">
        <f t="shared" si="10"/>
        <v/>
      </c>
      <c r="P91" s="19" t="str">
        <f t="shared" si="11"/>
        <v/>
      </c>
      <c r="Q91" s="19" t="str">
        <f t="shared" si="8"/>
        <v/>
      </c>
      <c r="R91" s="19" t="str">
        <f t="shared" si="14"/>
        <v/>
      </c>
      <c r="S91" s="27" t="str">
        <f t="shared" si="19"/>
        <v/>
      </c>
      <c r="T91" s="28" t="str">
        <f t="shared" si="19"/>
        <v/>
      </c>
      <c r="U91" s="28" t="str">
        <f t="shared" si="19"/>
        <v/>
      </c>
      <c r="V91" s="28" t="str">
        <f t="shared" si="19"/>
        <v/>
      </c>
      <c r="W91" s="28" t="str">
        <f t="shared" si="19"/>
        <v/>
      </c>
      <c r="X91" s="29" t="str">
        <f t="shared" si="1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20"/>
        <v/>
      </c>
      <c r="L92" s="19" t="str">
        <f t="shared" si="15"/>
        <v/>
      </c>
      <c r="M92" s="19" t="str">
        <f t="shared" si="16"/>
        <v/>
      </c>
      <c r="N92" s="19" t="str">
        <f t="shared" si="17"/>
        <v/>
      </c>
      <c r="O92" s="19" t="str">
        <f t="shared" si="10"/>
        <v/>
      </c>
      <c r="P92" s="19" t="str">
        <f t="shared" si="11"/>
        <v/>
      </c>
      <c r="Q92" s="19" t="str">
        <f t="shared" si="8"/>
        <v/>
      </c>
      <c r="R92" s="19" t="str">
        <f t="shared" si="14"/>
        <v/>
      </c>
      <c r="S92" s="27" t="str">
        <f t="shared" si="19"/>
        <v/>
      </c>
      <c r="T92" s="28" t="str">
        <f t="shared" si="19"/>
        <v/>
      </c>
      <c r="U92" s="28" t="str">
        <f t="shared" si="19"/>
        <v/>
      </c>
      <c r="V92" s="28" t="str">
        <f t="shared" si="19"/>
        <v/>
      </c>
      <c r="W92" s="28" t="str">
        <f t="shared" si="19"/>
        <v/>
      </c>
      <c r="X92" s="29" t="str">
        <f t="shared" si="1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20"/>
        <v/>
      </c>
      <c r="L93" s="19" t="str">
        <f t="shared" si="15"/>
        <v/>
      </c>
      <c r="M93" s="19" t="str">
        <f t="shared" si="16"/>
        <v/>
      </c>
      <c r="N93" s="19" t="str">
        <f t="shared" si="17"/>
        <v/>
      </c>
      <c r="O93" s="19" t="str">
        <f t="shared" si="10"/>
        <v/>
      </c>
      <c r="P93" s="19" t="str">
        <f t="shared" si="11"/>
        <v/>
      </c>
      <c r="Q93" s="19" t="str">
        <f t="shared" si="8"/>
        <v/>
      </c>
      <c r="R93" s="19" t="str">
        <f t="shared" si="14"/>
        <v/>
      </c>
      <c r="S93" s="27" t="str">
        <f t="shared" si="19"/>
        <v/>
      </c>
      <c r="T93" s="28" t="str">
        <f t="shared" si="19"/>
        <v/>
      </c>
      <c r="U93" s="28" t="str">
        <f t="shared" si="19"/>
        <v/>
      </c>
      <c r="V93" s="28" t="str">
        <f t="shared" si="19"/>
        <v/>
      </c>
      <c r="W93" s="28" t="str">
        <f t="shared" si="19"/>
        <v/>
      </c>
      <c r="X93" s="29" t="str">
        <f t="shared" si="1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20"/>
        <v/>
      </c>
      <c r="L94" s="19" t="str">
        <f t="shared" si="15"/>
        <v/>
      </c>
      <c r="M94" s="19" t="str">
        <f t="shared" si="16"/>
        <v/>
      </c>
      <c r="N94" s="19" t="str">
        <f t="shared" si="17"/>
        <v/>
      </c>
      <c r="O94" s="19" t="str">
        <f t="shared" si="10"/>
        <v/>
      </c>
      <c r="P94" s="19" t="str">
        <f t="shared" si="11"/>
        <v/>
      </c>
      <c r="Q94" s="19" t="str">
        <f t="shared" si="8"/>
        <v/>
      </c>
      <c r="R94" s="19" t="str">
        <f t="shared" ref="R94:R116" si="21">IF(ISBLANK(I94),"",(I94-I$16)*1000)</f>
        <v/>
      </c>
      <c r="S94" s="27" t="str">
        <f t="shared" si="19"/>
        <v/>
      </c>
      <c r="T94" s="28" t="str">
        <f t="shared" si="19"/>
        <v/>
      </c>
      <c r="U94" s="28" t="str">
        <f t="shared" si="19"/>
        <v/>
      </c>
      <c r="V94" s="28" t="str">
        <f t="shared" si="19"/>
        <v/>
      </c>
      <c r="W94" s="28" t="str">
        <f t="shared" si="19"/>
        <v/>
      </c>
      <c r="X94" s="29" t="str">
        <f t="shared" si="1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20"/>
        <v/>
      </c>
      <c r="L95" s="19" t="str">
        <f t="shared" ref="L95:L116" si="22">IF(ISBLANK(C95),"",(C95-C$16)*1000)</f>
        <v/>
      </c>
      <c r="M95" s="19" t="str">
        <f t="shared" ref="M95:M116" si="23">IF(ISBLANK(D95),"",(D95-D$16)*1000)</f>
        <v/>
      </c>
      <c r="N95" s="19" t="str">
        <f t="shared" ref="N95:N116" si="24">IF(ISBLANK(E95),"",(E95-E$16)*1000)</f>
        <v/>
      </c>
      <c r="O95" s="19" t="str">
        <f t="shared" si="10"/>
        <v/>
      </c>
      <c r="P95" s="19" t="str">
        <f t="shared" si="11"/>
        <v/>
      </c>
      <c r="Q95" s="19" t="str">
        <f t="shared" si="8"/>
        <v/>
      </c>
      <c r="R95" s="19" t="str">
        <f t="shared" si="21"/>
        <v/>
      </c>
      <c r="S95" s="27" t="str">
        <f t="shared" si="19"/>
        <v/>
      </c>
      <c r="T95" s="28" t="str">
        <f t="shared" si="19"/>
        <v/>
      </c>
      <c r="U95" s="28" t="str">
        <f t="shared" si="19"/>
        <v/>
      </c>
      <c r="V95" s="28" t="str">
        <f t="shared" si="19"/>
        <v/>
      </c>
      <c r="W95" s="28" t="str">
        <f t="shared" si="19"/>
        <v/>
      </c>
      <c r="X95" s="29" t="str">
        <f t="shared" si="1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20"/>
        <v/>
      </c>
      <c r="L96" s="19" t="str">
        <f t="shared" si="22"/>
        <v/>
      </c>
      <c r="M96" s="19" t="str">
        <f t="shared" si="23"/>
        <v/>
      </c>
      <c r="N96" s="19" t="str">
        <f t="shared" si="24"/>
        <v/>
      </c>
      <c r="O96" s="19" t="str">
        <f t="shared" si="10"/>
        <v/>
      </c>
      <c r="P96" s="19" t="str">
        <f t="shared" si="11"/>
        <v/>
      </c>
      <c r="Q96" s="19" t="str">
        <f t="shared" si="8"/>
        <v/>
      </c>
      <c r="R96" s="19" t="str">
        <f t="shared" si="21"/>
        <v/>
      </c>
      <c r="S96" s="27" t="str">
        <f t="shared" si="19"/>
        <v/>
      </c>
      <c r="T96" s="28" t="str">
        <f t="shared" si="19"/>
        <v/>
      </c>
      <c r="U96" s="28" t="str">
        <f t="shared" si="19"/>
        <v/>
      </c>
      <c r="V96" s="28" t="str">
        <f t="shared" si="19"/>
        <v/>
      </c>
      <c r="W96" s="28" t="str">
        <f t="shared" si="19"/>
        <v/>
      </c>
      <c r="X96" s="29" t="str">
        <f t="shared" si="1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20"/>
        <v/>
      </c>
      <c r="L97" s="19" t="str">
        <f t="shared" si="22"/>
        <v/>
      </c>
      <c r="M97" s="19" t="str">
        <f t="shared" si="23"/>
        <v/>
      </c>
      <c r="N97" s="19" t="str">
        <f t="shared" si="24"/>
        <v/>
      </c>
      <c r="O97" s="19" t="str">
        <f t="shared" si="10"/>
        <v/>
      </c>
      <c r="P97" s="19" t="str">
        <f t="shared" si="11"/>
        <v/>
      </c>
      <c r="Q97" s="19" t="str">
        <f t="shared" si="8"/>
        <v/>
      </c>
      <c r="R97" s="19" t="str">
        <f t="shared" si="21"/>
        <v/>
      </c>
      <c r="S97" s="27" t="str">
        <f t="shared" ref="S97:X112" si="25">IF(C97="","",((C97-C96)*1000)/($B97-$B96))</f>
        <v/>
      </c>
      <c r="T97" s="28" t="str">
        <f t="shared" si="25"/>
        <v/>
      </c>
      <c r="U97" s="28" t="str">
        <f t="shared" si="25"/>
        <v/>
      </c>
      <c r="V97" s="28" t="str">
        <f t="shared" si="25"/>
        <v/>
      </c>
      <c r="W97" s="28" t="str">
        <f t="shared" si="25"/>
        <v/>
      </c>
      <c r="X97" s="29" t="str">
        <f t="shared" si="25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20"/>
        <v/>
      </c>
      <c r="L98" s="19" t="str">
        <f t="shared" si="22"/>
        <v/>
      </c>
      <c r="M98" s="19" t="str">
        <f t="shared" si="23"/>
        <v/>
      </c>
      <c r="N98" s="19" t="str">
        <f t="shared" si="24"/>
        <v/>
      </c>
      <c r="O98" s="19" t="str">
        <f t="shared" si="10"/>
        <v/>
      </c>
      <c r="P98" s="19" t="str">
        <f t="shared" si="11"/>
        <v/>
      </c>
      <c r="Q98" s="19" t="str">
        <f t="shared" ref="Q98:Q153" si="26">IF(ISBLANK(H98),"",((H98-H$33)*1000)+N$32)</f>
        <v/>
      </c>
      <c r="R98" s="19" t="str">
        <f t="shared" si="21"/>
        <v/>
      </c>
      <c r="S98" s="27" t="str">
        <f t="shared" si="25"/>
        <v/>
      </c>
      <c r="T98" s="28" t="str">
        <f t="shared" si="25"/>
        <v/>
      </c>
      <c r="U98" s="28" t="str">
        <f t="shared" si="25"/>
        <v/>
      </c>
      <c r="V98" s="28" t="str">
        <f t="shared" si="25"/>
        <v/>
      </c>
      <c r="W98" s="28" t="str">
        <f t="shared" si="25"/>
        <v/>
      </c>
      <c r="X98" s="29" t="str">
        <f t="shared" si="25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20"/>
        <v/>
      </c>
      <c r="L99" s="19" t="str">
        <f t="shared" si="22"/>
        <v/>
      </c>
      <c r="M99" s="19" t="str">
        <f t="shared" si="23"/>
        <v/>
      </c>
      <c r="N99" s="19" t="str">
        <f t="shared" si="24"/>
        <v/>
      </c>
      <c r="O99" s="19" t="str">
        <f t="shared" si="10"/>
        <v/>
      </c>
      <c r="P99" s="19" t="str">
        <f t="shared" si="11"/>
        <v/>
      </c>
      <c r="Q99" s="19" t="str">
        <f t="shared" si="26"/>
        <v/>
      </c>
      <c r="R99" s="19" t="str">
        <f t="shared" si="21"/>
        <v/>
      </c>
      <c r="S99" s="27" t="str">
        <f t="shared" si="25"/>
        <v/>
      </c>
      <c r="T99" s="28" t="str">
        <f t="shared" si="25"/>
        <v/>
      </c>
      <c r="U99" s="28" t="str">
        <f t="shared" si="25"/>
        <v/>
      </c>
      <c r="V99" s="28" t="str">
        <f t="shared" si="25"/>
        <v/>
      </c>
      <c r="W99" s="28" t="str">
        <f t="shared" si="25"/>
        <v/>
      </c>
      <c r="X99" s="29" t="str">
        <f t="shared" si="25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20"/>
        <v/>
      </c>
      <c r="L100" s="19" t="str">
        <f t="shared" si="22"/>
        <v/>
      </c>
      <c r="M100" s="19" t="str">
        <f t="shared" si="23"/>
        <v/>
      </c>
      <c r="N100" s="19" t="str">
        <f t="shared" si="24"/>
        <v/>
      </c>
      <c r="O100" s="19" t="str">
        <f t="shared" si="10"/>
        <v/>
      </c>
      <c r="P100" s="19" t="str">
        <f t="shared" si="11"/>
        <v/>
      </c>
      <c r="Q100" s="19" t="str">
        <f t="shared" si="26"/>
        <v/>
      </c>
      <c r="R100" s="19" t="str">
        <f t="shared" si="21"/>
        <v/>
      </c>
      <c r="S100" s="27" t="str">
        <f t="shared" si="25"/>
        <v/>
      </c>
      <c r="T100" s="28" t="str">
        <f t="shared" si="25"/>
        <v/>
      </c>
      <c r="U100" s="28" t="str">
        <f t="shared" si="25"/>
        <v/>
      </c>
      <c r="V100" s="28" t="str">
        <f t="shared" si="25"/>
        <v/>
      </c>
      <c r="W100" s="28" t="str">
        <f t="shared" si="25"/>
        <v/>
      </c>
      <c r="X100" s="29" t="str">
        <f t="shared" si="25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20"/>
        <v/>
      </c>
      <c r="L101" s="19" t="str">
        <f t="shared" si="22"/>
        <v/>
      </c>
      <c r="M101" s="19" t="str">
        <f t="shared" si="23"/>
        <v/>
      </c>
      <c r="N101" s="19" t="str">
        <f t="shared" si="24"/>
        <v/>
      </c>
      <c r="O101" s="19" t="str">
        <f t="shared" si="10"/>
        <v/>
      </c>
      <c r="P101" s="19" t="str">
        <f t="shared" si="11"/>
        <v/>
      </c>
      <c r="Q101" s="19" t="str">
        <f t="shared" si="26"/>
        <v/>
      </c>
      <c r="R101" s="19" t="str">
        <f t="shared" si="21"/>
        <v/>
      </c>
      <c r="S101" s="27" t="str">
        <f t="shared" si="25"/>
        <v/>
      </c>
      <c r="T101" s="28" t="str">
        <f t="shared" si="25"/>
        <v/>
      </c>
      <c r="U101" s="28" t="str">
        <f t="shared" si="25"/>
        <v/>
      </c>
      <c r="V101" s="28" t="str">
        <f t="shared" si="25"/>
        <v/>
      </c>
      <c r="W101" s="28" t="str">
        <f t="shared" si="25"/>
        <v/>
      </c>
      <c r="X101" s="29" t="str">
        <f t="shared" si="25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20"/>
        <v/>
      </c>
      <c r="L102" s="19" t="str">
        <f t="shared" si="22"/>
        <v/>
      </c>
      <c r="M102" s="19" t="str">
        <f t="shared" si="23"/>
        <v/>
      </c>
      <c r="N102" s="19" t="str">
        <f t="shared" si="24"/>
        <v/>
      </c>
      <c r="O102" s="19" t="str">
        <f t="shared" si="10"/>
        <v/>
      </c>
      <c r="P102" s="19" t="str">
        <f t="shared" si="11"/>
        <v/>
      </c>
      <c r="Q102" s="19" t="str">
        <f t="shared" si="26"/>
        <v/>
      </c>
      <c r="R102" s="19" t="str">
        <f t="shared" si="21"/>
        <v/>
      </c>
      <c r="S102" s="27" t="str">
        <f t="shared" si="25"/>
        <v/>
      </c>
      <c r="T102" s="28" t="str">
        <f t="shared" si="25"/>
        <v/>
      </c>
      <c r="U102" s="28" t="str">
        <f t="shared" si="25"/>
        <v/>
      </c>
      <c r="V102" s="28" t="str">
        <f t="shared" si="25"/>
        <v/>
      </c>
      <c r="W102" s="28" t="str">
        <f t="shared" si="25"/>
        <v/>
      </c>
      <c r="X102" s="29" t="str">
        <f t="shared" si="25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20"/>
        <v/>
      </c>
      <c r="L103" s="19" t="str">
        <f t="shared" si="22"/>
        <v/>
      </c>
      <c r="M103" s="19" t="str">
        <f t="shared" si="23"/>
        <v/>
      </c>
      <c r="N103" s="19" t="str">
        <f t="shared" si="24"/>
        <v/>
      </c>
      <c r="O103" s="19" t="str">
        <f t="shared" si="10"/>
        <v/>
      </c>
      <c r="P103" s="19" t="str">
        <f t="shared" si="11"/>
        <v/>
      </c>
      <c r="Q103" s="19" t="str">
        <f t="shared" si="26"/>
        <v/>
      </c>
      <c r="R103" s="19" t="str">
        <f t="shared" si="21"/>
        <v/>
      </c>
      <c r="S103" s="27" t="str">
        <f t="shared" si="25"/>
        <v/>
      </c>
      <c r="T103" s="28" t="str">
        <f t="shared" si="25"/>
        <v/>
      </c>
      <c r="U103" s="28" t="str">
        <f t="shared" si="25"/>
        <v/>
      </c>
      <c r="V103" s="28" t="str">
        <f t="shared" si="25"/>
        <v/>
      </c>
      <c r="W103" s="28" t="str">
        <f t="shared" si="25"/>
        <v/>
      </c>
      <c r="X103" s="29" t="str">
        <f t="shared" si="25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20"/>
        <v/>
      </c>
      <c r="L104" s="19" t="str">
        <f t="shared" si="22"/>
        <v/>
      </c>
      <c r="M104" s="19" t="str">
        <f t="shared" si="23"/>
        <v/>
      </c>
      <c r="N104" s="19" t="str">
        <f t="shared" si="24"/>
        <v/>
      </c>
      <c r="O104" s="19" t="str">
        <f t="shared" si="10"/>
        <v/>
      </c>
      <c r="P104" s="19" t="str">
        <f t="shared" si="11"/>
        <v/>
      </c>
      <c r="Q104" s="19" t="str">
        <f t="shared" si="26"/>
        <v/>
      </c>
      <c r="R104" s="19" t="str">
        <f t="shared" si="21"/>
        <v/>
      </c>
      <c r="S104" s="27" t="str">
        <f t="shared" si="25"/>
        <v/>
      </c>
      <c r="T104" s="28" t="str">
        <f t="shared" si="25"/>
        <v/>
      </c>
      <c r="U104" s="28" t="str">
        <f t="shared" si="25"/>
        <v/>
      </c>
      <c r="V104" s="28" t="str">
        <f t="shared" si="25"/>
        <v/>
      </c>
      <c r="W104" s="28" t="str">
        <f t="shared" si="25"/>
        <v/>
      </c>
      <c r="X104" s="29" t="str">
        <f t="shared" si="25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20"/>
        <v/>
      </c>
      <c r="L105" s="19" t="str">
        <f t="shared" si="22"/>
        <v/>
      </c>
      <c r="M105" s="19" t="str">
        <f t="shared" si="23"/>
        <v/>
      </c>
      <c r="N105" s="19" t="str">
        <f t="shared" si="24"/>
        <v/>
      </c>
      <c r="O105" s="19" t="str">
        <f t="shared" si="10"/>
        <v/>
      </c>
      <c r="P105" s="19" t="str">
        <f t="shared" si="11"/>
        <v/>
      </c>
      <c r="Q105" s="19" t="str">
        <f t="shared" si="26"/>
        <v/>
      </c>
      <c r="R105" s="19" t="str">
        <f t="shared" si="21"/>
        <v/>
      </c>
      <c r="S105" s="27" t="str">
        <f t="shared" si="25"/>
        <v/>
      </c>
      <c r="T105" s="28" t="str">
        <f t="shared" si="25"/>
        <v/>
      </c>
      <c r="U105" s="28" t="str">
        <f t="shared" si="25"/>
        <v/>
      </c>
      <c r="V105" s="28" t="str">
        <f t="shared" si="25"/>
        <v/>
      </c>
      <c r="W105" s="28" t="str">
        <f t="shared" si="25"/>
        <v/>
      </c>
      <c r="X105" s="29" t="str">
        <f t="shared" si="25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20"/>
        <v/>
      </c>
      <c r="L106" s="19" t="str">
        <f t="shared" si="22"/>
        <v/>
      </c>
      <c r="M106" s="19" t="str">
        <f t="shared" si="23"/>
        <v/>
      </c>
      <c r="N106" s="19" t="str">
        <f t="shared" si="24"/>
        <v/>
      </c>
      <c r="O106" s="19" t="str">
        <f t="shared" ref="O106:O153" si="27">IF(ISBLANK(F106),"",((F106-F$41)*1000)+O$40)</f>
        <v/>
      </c>
      <c r="P106" s="19" t="str">
        <f t="shared" ref="P106:P153" si="28">IF(ISBLANK(G106),"",((G106-G$41)*1000)+P$40)</f>
        <v/>
      </c>
      <c r="Q106" s="19" t="str">
        <f t="shared" si="26"/>
        <v/>
      </c>
      <c r="R106" s="19" t="str">
        <f t="shared" si="21"/>
        <v/>
      </c>
      <c r="S106" s="27" t="str">
        <f t="shared" si="25"/>
        <v/>
      </c>
      <c r="T106" s="28" t="str">
        <f t="shared" si="25"/>
        <v/>
      </c>
      <c r="U106" s="28" t="str">
        <f t="shared" si="25"/>
        <v/>
      </c>
      <c r="V106" s="28" t="str">
        <f t="shared" si="25"/>
        <v/>
      </c>
      <c r="W106" s="28" t="str">
        <f t="shared" si="25"/>
        <v/>
      </c>
      <c r="X106" s="29" t="str">
        <f t="shared" si="25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20"/>
        <v/>
      </c>
      <c r="L107" s="19" t="str">
        <f t="shared" si="22"/>
        <v/>
      </c>
      <c r="M107" s="19" t="str">
        <f t="shared" si="23"/>
        <v/>
      </c>
      <c r="N107" s="19" t="str">
        <f t="shared" si="24"/>
        <v/>
      </c>
      <c r="O107" s="19" t="str">
        <f t="shared" si="27"/>
        <v/>
      </c>
      <c r="P107" s="19" t="str">
        <f t="shared" si="28"/>
        <v/>
      </c>
      <c r="Q107" s="19" t="str">
        <f t="shared" si="26"/>
        <v/>
      </c>
      <c r="R107" s="19" t="str">
        <f t="shared" si="21"/>
        <v/>
      </c>
      <c r="S107" s="27" t="str">
        <f t="shared" si="25"/>
        <v/>
      </c>
      <c r="T107" s="28" t="str">
        <f t="shared" si="25"/>
        <v/>
      </c>
      <c r="U107" s="28" t="str">
        <f t="shared" si="25"/>
        <v/>
      </c>
      <c r="V107" s="28" t="str">
        <f t="shared" si="25"/>
        <v/>
      </c>
      <c r="W107" s="28" t="str">
        <f t="shared" si="25"/>
        <v/>
      </c>
      <c r="X107" s="29" t="str">
        <f t="shared" si="25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20"/>
        <v/>
      </c>
      <c r="L108" s="19" t="str">
        <f t="shared" si="22"/>
        <v/>
      </c>
      <c r="M108" s="19" t="str">
        <f t="shared" si="23"/>
        <v/>
      </c>
      <c r="N108" s="19" t="str">
        <f t="shared" si="24"/>
        <v/>
      </c>
      <c r="O108" s="19" t="str">
        <f t="shared" si="27"/>
        <v/>
      </c>
      <c r="P108" s="19" t="str">
        <f t="shared" si="28"/>
        <v/>
      </c>
      <c r="Q108" s="19" t="str">
        <f t="shared" si="26"/>
        <v/>
      </c>
      <c r="R108" s="19" t="str">
        <f t="shared" si="21"/>
        <v/>
      </c>
      <c r="S108" s="27" t="str">
        <f t="shared" si="25"/>
        <v/>
      </c>
      <c r="T108" s="28" t="str">
        <f t="shared" si="25"/>
        <v/>
      </c>
      <c r="U108" s="28" t="str">
        <f t="shared" si="25"/>
        <v/>
      </c>
      <c r="V108" s="28" t="str">
        <f t="shared" si="25"/>
        <v/>
      </c>
      <c r="W108" s="28" t="str">
        <f t="shared" si="25"/>
        <v/>
      </c>
      <c r="X108" s="29" t="str">
        <f t="shared" si="25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20"/>
        <v/>
      </c>
      <c r="L109" s="19" t="str">
        <f t="shared" si="22"/>
        <v/>
      </c>
      <c r="M109" s="19" t="str">
        <f t="shared" si="23"/>
        <v/>
      </c>
      <c r="N109" s="19" t="str">
        <f t="shared" si="24"/>
        <v/>
      </c>
      <c r="O109" s="19" t="str">
        <f t="shared" si="27"/>
        <v/>
      </c>
      <c r="P109" s="19" t="str">
        <f t="shared" si="28"/>
        <v/>
      </c>
      <c r="Q109" s="19" t="str">
        <f t="shared" si="26"/>
        <v/>
      </c>
      <c r="R109" s="19" t="str">
        <f t="shared" si="21"/>
        <v/>
      </c>
      <c r="S109" s="27" t="str">
        <f t="shared" si="25"/>
        <v/>
      </c>
      <c r="T109" s="28" t="str">
        <f t="shared" si="25"/>
        <v/>
      </c>
      <c r="U109" s="28" t="str">
        <f t="shared" si="25"/>
        <v/>
      </c>
      <c r="V109" s="28" t="str">
        <f t="shared" si="25"/>
        <v/>
      </c>
      <c r="W109" s="28" t="str">
        <f t="shared" si="25"/>
        <v/>
      </c>
      <c r="X109" s="29" t="str">
        <f t="shared" si="25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20"/>
        <v/>
      </c>
      <c r="L110" s="19" t="str">
        <f t="shared" si="22"/>
        <v/>
      </c>
      <c r="M110" s="19" t="str">
        <f t="shared" si="23"/>
        <v/>
      </c>
      <c r="N110" s="19" t="str">
        <f t="shared" si="24"/>
        <v/>
      </c>
      <c r="O110" s="19" t="str">
        <f t="shared" si="27"/>
        <v/>
      </c>
      <c r="P110" s="19" t="str">
        <f t="shared" si="28"/>
        <v/>
      </c>
      <c r="Q110" s="19" t="str">
        <f t="shared" si="26"/>
        <v/>
      </c>
      <c r="R110" s="19" t="str">
        <f t="shared" si="21"/>
        <v/>
      </c>
      <c r="S110" s="27" t="str">
        <f t="shared" si="25"/>
        <v/>
      </c>
      <c r="T110" s="28" t="str">
        <f t="shared" si="25"/>
        <v/>
      </c>
      <c r="U110" s="28" t="str">
        <f t="shared" si="25"/>
        <v/>
      </c>
      <c r="V110" s="28" t="str">
        <f t="shared" si="25"/>
        <v/>
      </c>
      <c r="W110" s="28" t="str">
        <f t="shared" si="25"/>
        <v/>
      </c>
      <c r="X110" s="29" t="str">
        <f t="shared" si="25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20"/>
        <v/>
      </c>
      <c r="L111" s="19" t="str">
        <f t="shared" si="22"/>
        <v/>
      </c>
      <c r="M111" s="19" t="str">
        <f t="shared" si="23"/>
        <v/>
      </c>
      <c r="N111" s="19" t="str">
        <f t="shared" si="24"/>
        <v/>
      </c>
      <c r="O111" s="19" t="str">
        <f t="shared" si="27"/>
        <v/>
      </c>
      <c r="P111" s="19" t="str">
        <f t="shared" si="28"/>
        <v/>
      </c>
      <c r="Q111" s="19" t="str">
        <f t="shared" si="26"/>
        <v/>
      </c>
      <c r="R111" s="19" t="str">
        <f t="shared" si="21"/>
        <v/>
      </c>
      <c r="S111" s="27" t="str">
        <f t="shared" si="25"/>
        <v/>
      </c>
      <c r="T111" s="28" t="str">
        <f t="shared" si="25"/>
        <v/>
      </c>
      <c r="U111" s="28" t="str">
        <f t="shared" si="25"/>
        <v/>
      </c>
      <c r="V111" s="28" t="str">
        <f t="shared" si="25"/>
        <v/>
      </c>
      <c r="W111" s="28" t="str">
        <f t="shared" si="25"/>
        <v/>
      </c>
      <c r="X111" s="29" t="str">
        <f t="shared" si="25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20"/>
        <v/>
      </c>
      <c r="L112" s="19" t="str">
        <f t="shared" si="22"/>
        <v/>
      </c>
      <c r="M112" s="19" t="str">
        <f t="shared" si="23"/>
        <v/>
      </c>
      <c r="N112" s="19" t="str">
        <f t="shared" si="24"/>
        <v/>
      </c>
      <c r="O112" s="19" t="str">
        <f t="shared" si="27"/>
        <v/>
      </c>
      <c r="P112" s="19" t="str">
        <f t="shared" si="28"/>
        <v/>
      </c>
      <c r="Q112" s="19" t="str">
        <f t="shared" si="26"/>
        <v/>
      </c>
      <c r="R112" s="19" t="str">
        <f t="shared" si="21"/>
        <v/>
      </c>
      <c r="S112" s="27" t="str">
        <f t="shared" si="25"/>
        <v/>
      </c>
      <c r="T112" s="28" t="str">
        <f t="shared" si="25"/>
        <v/>
      </c>
      <c r="U112" s="28" t="str">
        <f t="shared" si="25"/>
        <v/>
      </c>
      <c r="V112" s="28" t="str">
        <f t="shared" si="25"/>
        <v/>
      </c>
      <c r="W112" s="28" t="str">
        <f t="shared" si="25"/>
        <v/>
      </c>
      <c r="X112" s="29" t="str">
        <f t="shared" si="25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20"/>
        <v/>
      </c>
      <c r="L113" s="19" t="str">
        <f t="shared" si="22"/>
        <v/>
      </c>
      <c r="M113" s="19" t="str">
        <f t="shared" si="23"/>
        <v/>
      </c>
      <c r="N113" s="19" t="str">
        <f t="shared" si="24"/>
        <v/>
      </c>
      <c r="O113" s="19" t="str">
        <f t="shared" si="27"/>
        <v/>
      </c>
      <c r="P113" s="19" t="str">
        <f t="shared" si="28"/>
        <v/>
      </c>
      <c r="Q113" s="19" t="str">
        <f t="shared" si="26"/>
        <v/>
      </c>
      <c r="R113" s="19" t="str">
        <f t="shared" si="21"/>
        <v/>
      </c>
      <c r="S113" s="27" t="str">
        <f t="shared" ref="S113:X128" si="29">IF(C113="","",((C113-C112)*1000)/($B113-$B112))</f>
        <v/>
      </c>
      <c r="T113" s="28" t="str">
        <f t="shared" si="29"/>
        <v/>
      </c>
      <c r="U113" s="28" t="str">
        <f t="shared" si="29"/>
        <v/>
      </c>
      <c r="V113" s="28" t="str">
        <f t="shared" si="29"/>
        <v/>
      </c>
      <c r="W113" s="28" t="str">
        <f t="shared" si="29"/>
        <v/>
      </c>
      <c r="X113" s="29" t="str">
        <f t="shared" si="29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20"/>
        <v/>
      </c>
      <c r="L114" s="19" t="str">
        <f t="shared" si="22"/>
        <v/>
      </c>
      <c r="M114" s="19" t="str">
        <f t="shared" si="23"/>
        <v/>
      </c>
      <c r="N114" s="19" t="str">
        <f t="shared" si="24"/>
        <v/>
      </c>
      <c r="O114" s="19" t="str">
        <f t="shared" si="27"/>
        <v/>
      </c>
      <c r="P114" s="19" t="str">
        <f t="shared" si="28"/>
        <v/>
      </c>
      <c r="Q114" s="19" t="str">
        <f t="shared" si="26"/>
        <v/>
      </c>
      <c r="R114" s="19" t="str">
        <f t="shared" si="21"/>
        <v/>
      </c>
      <c r="S114" s="27" t="str">
        <f t="shared" si="29"/>
        <v/>
      </c>
      <c r="T114" s="28" t="str">
        <f t="shared" si="29"/>
        <v/>
      </c>
      <c r="U114" s="28" t="str">
        <f t="shared" si="29"/>
        <v/>
      </c>
      <c r="V114" s="28" t="str">
        <f t="shared" si="29"/>
        <v/>
      </c>
      <c r="W114" s="28" t="str">
        <f t="shared" si="29"/>
        <v/>
      </c>
      <c r="X114" s="29" t="str">
        <f t="shared" si="29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20"/>
        <v/>
      </c>
      <c r="L115" s="19" t="str">
        <f t="shared" si="22"/>
        <v/>
      </c>
      <c r="M115" s="19" t="str">
        <f t="shared" si="23"/>
        <v/>
      </c>
      <c r="N115" s="19" t="str">
        <f t="shared" si="24"/>
        <v/>
      </c>
      <c r="O115" s="19" t="str">
        <f t="shared" si="27"/>
        <v/>
      </c>
      <c r="P115" s="19" t="str">
        <f t="shared" si="28"/>
        <v/>
      </c>
      <c r="Q115" s="19" t="str">
        <f t="shared" si="26"/>
        <v/>
      </c>
      <c r="R115" s="19" t="str">
        <f t="shared" si="21"/>
        <v/>
      </c>
      <c r="S115" s="27" t="str">
        <f t="shared" si="29"/>
        <v/>
      </c>
      <c r="T115" s="28" t="str">
        <f t="shared" si="29"/>
        <v/>
      </c>
      <c r="U115" s="28" t="str">
        <f t="shared" si="29"/>
        <v/>
      </c>
      <c r="V115" s="28" t="str">
        <f t="shared" si="29"/>
        <v/>
      </c>
      <c r="W115" s="28" t="str">
        <f t="shared" si="29"/>
        <v/>
      </c>
      <c r="X115" s="29" t="str">
        <f t="shared" si="29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20"/>
        <v/>
      </c>
      <c r="L116" s="19" t="str">
        <f t="shared" si="22"/>
        <v/>
      </c>
      <c r="M116" s="19" t="str">
        <f t="shared" si="23"/>
        <v/>
      </c>
      <c r="N116" s="19" t="str">
        <f t="shared" si="24"/>
        <v/>
      </c>
      <c r="O116" s="19" t="str">
        <f t="shared" si="27"/>
        <v/>
      </c>
      <c r="P116" s="19" t="str">
        <f t="shared" si="28"/>
        <v/>
      </c>
      <c r="Q116" s="19" t="str">
        <f t="shared" si="26"/>
        <v/>
      </c>
      <c r="R116" s="19" t="str">
        <f t="shared" si="21"/>
        <v/>
      </c>
      <c r="S116" s="27" t="str">
        <f t="shared" si="29"/>
        <v/>
      </c>
      <c r="T116" s="28" t="str">
        <f t="shared" si="29"/>
        <v/>
      </c>
      <c r="U116" s="28" t="str">
        <f t="shared" si="29"/>
        <v/>
      </c>
      <c r="V116" s="28" t="str">
        <f t="shared" si="29"/>
        <v/>
      </c>
      <c r="W116" s="28" t="str">
        <f t="shared" si="29"/>
        <v/>
      </c>
      <c r="X116" s="29" t="str">
        <f t="shared" si="29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20"/>
        <v/>
      </c>
      <c r="L117" s="19" t="str">
        <f>IF(ISBLANK(C117),"",(C117-C$16)*1000)</f>
        <v/>
      </c>
      <c r="M117" s="19" t="str">
        <f t="shared" ref="M117:R153" si="30">IF(ISBLANK(D117),"",(D117-D$16)*1000)</f>
        <v/>
      </c>
      <c r="N117" s="19" t="str">
        <f t="shared" si="30"/>
        <v/>
      </c>
      <c r="O117" s="19" t="str">
        <f t="shared" si="27"/>
        <v/>
      </c>
      <c r="P117" s="19" t="str">
        <f t="shared" si="28"/>
        <v/>
      </c>
      <c r="Q117" s="19" t="str">
        <f t="shared" si="26"/>
        <v/>
      </c>
      <c r="R117" s="19" t="str">
        <f t="shared" si="30"/>
        <v/>
      </c>
      <c r="S117" s="27" t="str">
        <f t="shared" si="29"/>
        <v/>
      </c>
      <c r="T117" s="28" t="str">
        <f t="shared" si="29"/>
        <v/>
      </c>
      <c r="U117" s="28" t="str">
        <f t="shared" si="29"/>
        <v/>
      </c>
      <c r="V117" s="28" t="str">
        <f t="shared" si="29"/>
        <v/>
      </c>
      <c r="W117" s="28" t="str">
        <f t="shared" si="29"/>
        <v/>
      </c>
      <c r="X117" s="29" t="str">
        <f t="shared" si="29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20"/>
        <v/>
      </c>
      <c r="L118" s="19" t="str">
        <f t="shared" ref="L118:L153" si="31">IF(ISBLANK(C118),"",(C118-C$16)*1000)</f>
        <v/>
      </c>
      <c r="M118" s="19" t="str">
        <f t="shared" si="30"/>
        <v/>
      </c>
      <c r="N118" s="19" t="str">
        <f t="shared" si="30"/>
        <v/>
      </c>
      <c r="O118" s="19" t="str">
        <f t="shared" si="27"/>
        <v/>
      </c>
      <c r="P118" s="19" t="str">
        <f t="shared" si="28"/>
        <v/>
      </c>
      <c r="Q118" s="19" t="str">
        <f t="shared" si="26"/>
        <v/>
      </c>
      <c r="R118" s="19" t="str">
        <f t="shared" si="30"/>
        <v/>
      </c>
      <c r="S118" s="27" t="str">
        <f t="shared" si="29"/>
        <v/>
      </c>
      <c r="T118" s="28" t="str">
        <f t="shared" si="29"/>
        <v/>
      </c>
      <c r="U118" s="28" t="str">
        <f t="shared" si="29"/>
        <v/>
      </c>
      <c r="V118" s="28" t="str">
        <f t="shared" si="29"/>
        <v/>
      </c>
      <c r="W118" s="28" t="str">
        <f t="shared" si="29"/>
        <v/>
      </c>
      <c r="X118" s="29" t="str">
        <f t="shared" si="29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20"/>
        <v/>
      </c>
      <c r="L119" s="19" t="str">
        <f t="shared" si="31"/>
        <v/>
      </c>
      <c r="M119" s="19" t="str">
        <f t="shared" si="30"/>
        <v/>
      </c>
      <c r="N119" s="19" t="str">
        <f t="shared" si="30"/>
        <v/>
      </c>
      <c r="O119" s="19" t="str">
        <f t="shared" si="27"/>
        <v/>
      </c>
      <c r="P119" s="19" t="str">
        <f t="shared" si="28"/>
        <v/>
      </c>
      <c r="Q119" s="19" t="str">
        <f t="shared" si="26"/>
        <v/>
      </c>
      <c r="R119" s="19" t="str">
        <f t="shared" si="30"/>
        <v/>
      </c>
      <c r="S119" s="27" t="str">
        <f t="shared" si="29"/>
        <v/>
      </c>
      <c r="T119" s="28" t="str">
        <f t="shared" si="29"/>
        <v/>
      </c>
      <c r="U119" s="28" t="str">
        <f t="shared" si="29"/>
        <v/>
      </c>
      <c r="V119" s="28" t="str">
        <f t="shared" si="29"/>
        <v/>
      </c>
      <c r="W119" s="28" t="str">
        <f t="shared" si="29"/>
        <v/>
      </c>
      <c r="X119" s="29" t="str">
        <f t="shared" si="29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20"/>
        <v/>
      </c>
      <c r="L120" s="19" t="str">
        <f t="shared" si="31"/>
        <v/>
      </c>
      <c r="M120" s="19" t="str">
        <f t="shared" si="30"/>
        <v/>
      </c>
      <c r="N120" s="19" t="str">
        <f t="shared" si="30"/>
        <v/>
      </c>
      <c r="O120" s="19" t="str">
        <f t="shared" si="27"/>
        <v/>
      </c>
      <c r="P120" s="19" t="str">
        <f t="shared" si="28"/>
        <v/>
      </c>
      <c r="Q120" s="19" t="str">
        <f t="shared" si="26"/>
        <v/>
      </c>
      <c r="R120" s="19" t="str">
        <f t="shared" si="30"/>
        <v/>
      </c>
      <c r="S120" s="27" t="str">
        <f t="shared" si="29"/>
        <v/>
      </c>
      <c r="T120" s="28" t="str">
        <f t="shared" si="29"/>
        <v/>
      </c>
      <c r="U120" s="28" t="str">
        <f t="shared" si="29"/>
        <v/>
      </c>
      <c r="V120" s="28" t="str">
        <f t="shared" si="29"/>
        <v/>
      </c>
      <c r="W120" s="28" t="str">
        <f t="shared" si="29"/>
        <v/>
      </c>
      <c r="X120" s="29" t="str">
        <f t="shared" si="29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20"/>
        <v/>
      </c>
      <c r="L121" s="19" t="str">
        <f t="shared" si="31"/>
        <v/>
      </c>
      <c r="M121" s="19" t="str">
        <f t="shared" si="30"/>
        <v/>
      </c>
      <c r="N121" s="19" t="str">
        <f t="shared" si="30"/>
        <v/>
      </c>
      <c r="O121" s="19" t="str">
        <f t="shared" si="27"/>
        <v/>
      </c>
      <c r="P121" s="19" t="str">
        <f t="shared" si="28"/>
        <v/>
      </c>
      <c r="Q121" s="19" t="str">
        <f t="shared" si="26"/>
        <v/>
      </c>
      <c r="R121" s="19" t="str">
        <f t="shared" si="30"/>
        <v/>
      </c>
      <c r="S121" s="27" t="str">
        <f t="shared" si="29"/>
        <v/>
      </c>
      <c r="T121" s="28" t="str">
        <f t="shared" si="29"/>
        <v/>
      </c>
      <c r="U121" s="28" t="str">
        <f t="shared" si="29"/>
        <v/>
      </c>
      <c r="V121" s="28" t="str">
        <f t="shared" si="29"/>
        <v/>
      </c>
      <c r="W121" s="28" t="str">
        <f t="shared" si="29"/>
        <v/>
      </c>
      <c r="X121" s="29" t="str">
        <f t="shared" si="29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20"/>
        <v/>
      </c>
      <c r="L122" s="19" t="str">
        <f t="shared" si="31"/>
        <v/>
      </c>
      <c r="M122" s="19" t="str">
        <f t="shared" si="30"/>
        <v/>
      </c>
      <c r="N122" s="19" t="str">
        <f t="shared" si="30"/>
        <v/>
      </c>
      <c r="O122" s="19" t="str">
        <f t="shared" si="27"/>
        <v/>
      </c>
      <c r="P122" s="19" t="str">
        <f t="shared" si="28"/>
        <v/>
      </c>
      <c r="Q122" s="19" t="str">
        <f t="shared" si="26"/>
        <v/>
      </c>
      <c r="R122" s="19" t="str">
        <f t="shared" si="30"/>
        <v/>
      </c>
      <c r="S122" s="27" t="str">
        <f t="shared" si="29"/>
        <v/>
      </c>
      <c r="T122" s="28" t="str">
        <f t="shared" si="29"/>
        <v/>
      </c>
      <c r="U122" s="28" t="str">
        <f t="shared" si="29"/>
        <v/>
      </c>
      <c r="V122" s="28" t="str">
        <f t="shared" si="29"/>
        <v/>
      </c>
      <c r="W122" s="28" t="str">
        <f t="shared" si="29"/>
        <v/>
      </c>
      <c r="X122" s="29" t="str">
        <f t="shared" si="29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20"/>
        <v/>
      </c>
      <c r="L123" s="19" t="str">
        <f t="shared" si="31"/>
        <v/>
      </c>
      <c r="M123" s="19" t="str">
        <f t="shared" si="30"/>
        <v/>
      </c>
      <c r="N123" s="19" t="str">
        <f t="shared" si="30"/>
        <v/>
      </c>
      <c r="O123" s="19" t="str">
        <f t="shared" si="27"/>
        <v/>
      </c>
      <c r="P123" s="19" t="str">
        <f t="shared" si="28"/>
        <v/>
      </c>
      <c r="Q123" s="19" t="str">
        <f t="shared" si="26"/>
        <v/>
      </c>
      <c r="R123" s="19" t="str">
        <f t="shared" si="30"/>
        <v/>
      </c>
      <c r="S123" s="27" t="str">
        <f t="shared" si="29"/>
        <v/>
      </c>
      <c r="T123" s="28" t="str">
        <f t="shared" si="29"/>
        <v/>
      </c>
      <c r="U123" s="28" t="str">
        <f t="shared" si="29"/>
        <v/>
      </c>
      <c r="V123" s="28" t="str">
        <f t="shared" si="29"/>
        <v/>
      </c>
      <c r="W123" s="28" t="str">
        <f t="shared" si="29"/>
        <v/>
      </c>
      <c r="X123" s="29" t="str">
        <f t="shared" si="29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20"/>
        <v/>
      </c>
      <c r="L124" s="19" t="str">
        <f t="shared" si="31"/>
        <v/>
      </c>
      <c r="M124" s="19" t="str">
        <f t="shared" si="30"/>
        <v/>
      </c>
      <c r="N124" s="19" t="str">
        <f t="shared" si="30"/>
        <v/>
      </c>
      <c r="O124" s="19" t="str">
        <f t="shared" si="27"/>
        <v/>
      </c>
      <c r="P124" s="19" t="str">
        <f t="shared" si="28"/>
        <v/>
      </c>
      <c r="Q124" s="19" t="str">
        <f t="shared" si="26"/>
        <v/>
      </c>
      <c r="R124" s="19" t="str">
        <f t="shared" si="30"/>
        <v/>
      </c>
      <c r="S124" s="27" t="str">
        <f t="shared" si="29"/>
        <v/>
      </c>
      <c r="T124" s="28" t="str">
        <f t="shared" si="29"/>
        <v/>
      </c>
      <c r="U124" s="28" t="str">
        <f t="shared" si="29"/>
        <v/>
      </c>
      <c r="V124" s="28" t="str">
        <f t="shared" si="29"/>
        <v/>
      </c>
      <c r="W124" s="28" t="str">
        <f t="shared" si="29"/>
        <v/>
      </c>
      <c r="X124" s="29" t="str">
        <f t="shared" si="29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20"/>
        <v/>
      </c>
      <c r="L125" s="19" t="str">
        <f t="shared" si="31"/>
        <v/>
      </c>
      <c r="M125" s="19" t="str">
        <f t="shared" si="30"/>
        <v/>
      </c>
      <c r="N125" s="19" t="str">
        <f t="shared" si="30"/>
        <v/>
      </c>
      <c r="O125" s="19" t="str">
        <f t="shared" si="27"/>
        <v/>
      </c>
      <c r="P125" s="19" t="str">
        <f t="shared" si="28"/>
        <v/>
      </c>
      <c r="Q125" s="19" t="str">
        <f t="shared" si="26"/>
        <v/>
      </c>
      <c r="R125" s="19" t="str">
        <f t="shared" si="30"/>
        <v/>
      </c>
      <c r="S125" s="27" t="str">
        <f t="shared" si="29"/>
        <v/>
      </c>
      <c r="T125" s="28" t="str">
        <f t="shared" si="29"/>
        <v/>
      </c>
      <c r="U125" s="28" t="str">
        <f t="shared" si="29"/>
        <v/>
      </c>
      <c r="V125" s="28" t="str">
        <f t="shared" si="29"/>
        <v/>
      </c>
      <c r="W125" s="28" t="str">
        <f t="shared" si="29"/>
        <v/>
      </c>
      <c r="X125" s="29" t="str">
        <f t="shared" si="29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20"/>
        <v/>
      </c>
      <c r="L126" s="19" t="str">
        <f t="shared" si="31"/>
        <v/>
      </c>
      <c r="M126" s="19" t="str">
        <f t="shared" si="30"/>
        <v/>
      </c>
      <c r="N126" s="19" t="str">
        <f t="shared" si="30"/>
        <v/>
      </c>
      <c r="O126" s="19" t="str">
        <f t="shared" si="27"/>
        <v/>
      </c>
      <c r="P126" s="19" t="str">
        <f t="shared" si="28"/>
        <v/>
      </c>
      <c r="Q126" s="19" t="str">
        <f t="shared" si="26"/>
        <v/>
      </c>
      <c r="R126" s="19" t="str">
        <f t="shared" si="30"/>
        <v/>
      </c>
      <c r="S126" s="27" t="str">
        <f t="shared" si="29"/>
        <v/>
      </c>
      <c r="T126" s="28" t="str">
        <f t="shared" si="29"/>
        <v/>
      </c>
      <c r="U126" s="28" t="str">
        <f t="shared" si="29"/>
        <v/>
      </c>
      <c r="V126" s="28" t="str">
        <f t="shared" si="29"/>
        <v/>
      </c>
      <c r="W126" s="28" t="str">
        <f t="shared" si="29"/>
        <v/>
      </c>
      <c r="X126" s="29" t="str">
        <f t="shared" si="29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20"/>
        <v/>
      </c>
      <c r="L127" s="19" t="str">
        <f t="shared" si="31"/>
        <v/>
      </c>
      <c r="M127" s="19" t="str">
        <f t="shared" si="30"/>
        <v/>
      </c>
      <c r="N127" s="19" t="str">
        <f t="shared" si="30"/>
        <v/>
      </c>
      <c r="O127" s="19" t="str">
        <f t="shared" si="27"/>
        <v/>
      </c>
      <c r="P127" s="19" t="str">
        <f t="shared" si="28"/>
        <v/>
      </c>
      <c r="Q127" s="19" t="str">
        <f t="shared" si="26"/>
        <v/>
      </c>
      <c r="R127" s="19" t="str">
        <f t="shared" si="30"/>
        <v/>
      </c>
      <c r="S127" s="27" t="str">
        <f t="shared" si="29"/>
        <v/>
      </c>
      <c r="T127" s="28" t="str">
        <f t="shared" si="29"/>
        <v/>
      </c>
      <c r="U127" s="28" t="str">
        <f t="shared" si="29"/>
        <v/>
      </c>
      <c r="V127" s="28" t="str">
        <f t="shared" si="29"/>
        <v/>
      </c>
      <c r="W127" s="28" t="str">
        <f t="shared" si="29"/>
        <v/>
      </c>
      <c r="X127" s="29" t="str">
        <f t="shared" si="29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20"/>
        <v/>
      </c>
      <c r="L128" s="19" t="str">
        <f t="shared" si="31"/>
        <v/>
      </c>
      <c r="M128" s="19" t="str">
        <f t="shared" si="30"/>
        <v/>
      </c>
      <c r="N128" s="19" t="str">
        <f t="shared" si="30"/>
        <v/>
      </c>
      <c r="O128" s="19" t="str">
        <f t="shared" si="27"/>
        <v/>
      </c>
      <c r="P128" s="19" t="str">
        <f t="shared" si="28"/>
        <v/>
      </c>
      <c r="Q128" s="19" t="str">
        <f t="shared" si="26"/>
        <v/>
      </c>
      <c r="R128" s="19" t="str">
        <f t="shared" si="30"/>
        <v/>
      </c>
      <c r="S128" s="27" t="str">
        <f t="shared" si="29"/>
        <v/>
      </c>
      <c r="T128" s="28" t="str">
        <f t="shared" si="29"/>
        <v/>
      </c>
      <c r="U128" s="28" t="str">
        <f t="shared" si="29"/>
        <v/>
      </c>
      <c r="V128" s="28" t="str">
        <f t="shared" si="29"/>
        <v/>
      </c>
      <c r="W128" s="28" t="str">
        <f t="shared" si="29"/>
        <v/>
      </c>
      <c r="X128" s="29" t="str">
        <f t="shared" si="29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20"/>
        <v/>
      </c>
      <c r="L129" s="19" t="str">
        <f t="shared" si="31"/>
        <v/>
      </c>
      <c r="M129" s="19" t="str">
        <f t="shared" si="30"/>
        <v/>
      </c>
      <c r="N129" s="19" t="str">
        <f t="shared" si="30"/>
        <v/>
      </c>
      <c r="O129" s="19" t="str">
        <f t="shared" si="27"/>
        <v/>
      </c>
      <c r="P129" s="19" t="str">
        <f t="shared" si="28"/>
        <v/>
      </c>
      <c r="Q129" s="19" t="str">
        <f t="shared" si="26"/>
        <v/>
      </c>
      <c r="R129" s="19" t="str">
        <f t="shared" si="30"/>
        <v/>
      </c>
      <c r="S129" s="27" t="str">
        <f t="shared" ref="S129:X144" si="32">IF(C129="","",((C129-C128)*1000)/($B129-$B128))</f>
        <v/>
      </c>
      <c r="T129" s="28" t="str">
        <f t="shared" si="32"/>
        <v/>
      </c>
      <c r="U129" s="28" t="str">
        <f t="shared" si="32"/>
        <v/>
      </c>
      <c r="V129" s="28" t="str">
        <f t="shared" si="32"/>
        <v/>
      </c>
      <c r="W129" s="28" t="str">
        <f t="shared" si="32"/>
        <v/>
      </c>
      <c r="X129" s="29" t="str">
        <f t="shared" si="3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20"/>
        <v/>
      </c>
      <c r="L130" s="19" t="str">
        <f t="shared" si="31"/>
        <v/>
      </c>
      <c r="M130" s="19" t="str">
        <f t="shared" si="30"/>
        <v/>
      </c>
      <c r="N130" s="19" t="str">
        <f t="shared" si="30"/>
        <v/>
      </c>
      <c r="O130" s="19" t="str">
        <f t="shared" si="27"/>
        <v/>
      </c>
      <c r="P130" s="19" t="str">
        <f t="shared" si="28"/>
        <v/>
      </c>
      <c r="Q130" s="19" t="str">
        <f t="shared" si="26"/>
        <v/>
      </c>
      <c r="R130" s="19" t="str">
        <f t="shared" si="30"/>
        <v/>
      </c>
      <c r="S130" s="27" t="str">
        <f t="shared" si="32"/>
        <v/>
      </c>
      <c r="T130" s="28" t="str">
        <f t="shared" si="32"/>
        <v/>
      </c>
      <c r="U130" s="28" t="str">
        <f t="shared" si="32"/>
        <v/>
      </c>
      <c r="V130" s="28" t="str">
        <f t="shared" si="32"/>
        <v/>
      </c>
      <c r="W130" s="28" t="str">
        <f t="shared" si="32"/>
        <v/>
      </c>
      <c r="X130" s="29" t="str">
        <f t="shared" si="3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20"/>
        <v/>
      </c>
      <c r="L131" s="19" t="str">
        <f t="shared" si="31"/>
        <v/>
      </c>
      <c r="M131" s="19" t="str">
        <f t="shared" si="30"/>
        <v/>
      </c>
      <c r="N131" s="19" t="str">
        <f t="shared" si="30"/>
        <v/>
      </c>
      <c r="O131" s="19" t="str">
        <f t="shared" si="27"/>
        <v/>
      </c>
      <c r="P131" s="19" t="str">
        <f t="shared" si="28"/>
        <v/>
      </c>
      <c r="Q131" s="19" t="str">
        <f t="shared" si="26"/>
        <v/>
      </c>
      <c r="R131" s="19" t="str">
        <f t="shared" si="30"/>
        <v/>
      </c>
      <c r="S131" s="27" t="str">
        <f t="shared" si="32"/>
        <v/>
      </c>
      <c r="T131" s="28" t="str">
        <f t="shared" si="32"/>
        <v/>
      </c>
      <c r="U131" s="28" t="str">
        <f t="shared" si="32"/>
        <v/>
      </c>
      <c r="V131" s="28" t="str">
        <f t="shared" si="32"/>
        <v/>
      </c>
      <c r="W131" s="28" t="str">
        <f t="shared" si="32"/>
        <v/>
      </c>
      <c r="X131" s="29" t="str">
        <f t="shared" si="3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20"/>
        <v/>
      </c>
      <c r="L132" s="19" t="str">
        <f t="shared" si="31"/>
        <v/>
      </c>
      <c r="M132" s="19" t="str">
        <f t="shared" si="30"/>
        <v/>
      </c>
      <c r="N132" s="19" t="str">
        <f t="shared" si="30"/>
        <v/>
      </c>
      <c r="O132" s="19" t="str">
        <f t="shared" si="27"/>
        <v/>
      </c>
      <c r="P132" s="19" t="str">
        <f t="shared" si="28"/>
        <v/>
      </c>
      <c r="Q132" s="19" t="str">
        <f t="shared" si="26"/>
        <v/>
      </c>
      <c r="R132" s="19" t="str">
        <f t="shared" si="30"/>
        <v/>
      </c>
      <c r="S132" s="27" t="str">
        <f t="shared" si="32"/>
        <v/>
      </c>
      <c r="T132" s="28" t="str">
        <f t="shared" si="32"/>
        <v/>
      </c>
      <c r="U132" s="28" t="str">
        <f t="shared" si="32"/>
        <v/>
      </c>
      <c r="V132" s="28" t="str">
        <f t="shared" si="32"/>
        <v/>
      </c>
      <c r="W132" s="28" t="str">
        <f t="shared" si="32"/>
        <v/>
      </c>
      <c r="X132" s="29" t="str">
        <f t="shared" si="3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20"/>
        <v/>
      </c>
      <c r="L133" s="19" t="str">
        <f t="shared" si="31"/>
        <v/>
      </c>
      <c r="M133" s="19" t="str">
        <f t="shared" si="30"/>
        <v/>
      </c>
      <c r="N133" s="19" t="str">
        <f t="shared" si="30"/>
        <v/>
      </c>
      <c r="O133" s="19" t="str">
        <f t="shared" si="27"/>
        <v/>
      </c>
      <c r="P133" s="19" t="str">
        <f t="shared" si="28"/>
        <v/>
      </c>
      <c r="Q133" s="19" t="str">
        <f t="shared" si="26"/>
        <v/>
      </c>
      <c r="R133" s="19" t="str">
        <f t="shared" si="30"/>
        <v/>
      </c>
      <c r="S133" s="27" t="str">
        <f t="shared" si="32"/>
        <v/>
      </c>
      <c r="T133" s="28" t="str">
        <f t="shared" si="32"/>
        <v/>
      </c>
      <c r="U133" s="28" t="str">
        <f t="shared" si="32"/>
        <v/>
      </c>
      <c r="V133" s="28" t="str">
        <f t="shared" si="32"/>
        <v/>
      </c>
      <c r="W133" s="28" t="str">
        <f t="shared" si="32"/>
        <v/>
      </c>
      <c r="X133" s="29" t="str">
        <f t="shared" si="3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20"/>
        <v/>
      </c>
      <c r="L134" s="19" t="str">
        <f t="shared" si="31"/>
        <v/>
      </c>
      <c r="M134" s="19" t="str">
        <f t="shared" si="30"/>
        <v/>
      </c>
      <c r="N134" s="19" t="str">
        <f t="shared" si="30"/>
        <v/>
      </c>
      <c r="O134" s="19" t="str">
        <f t="shared" si="27"/>
        <v/>
      </c>
      <c r="P134" s="19" t="str">
        <f t="shared" si="28"/>
        <v/>
      </c>
      <c r="Q134" s="19" t="str">
        <f t="shared" si="26"/>
        <v/>
      </c>
      <c r="R134" s="19" t="str">
        <f t="shared" si="30"/>
        <v/>
      </c>
      <c r="S134" s="27" t="str">
        <f t="shared" si="32"/>
        <v/>
      </c>
      <c r="T134" s="28" t="str">
        <f t="shared" si="32"/>
        <v/>
      </c>
      <c r="U134" s="28" t="str">
        <f t="shared" si="32"/>
        <v/>
      </c>
      <c r="V134" s="28" t="str">
        <f t="shared" si="32"/>
        <v/>
      </c>
      <c r="W134" s="28" t="str">
        <f t="shared" si="32"/>
        <v/>
      </c>
      <c r="X134" s="29" t="str">
        <f t="shared" si="3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20"/>
        <v/>
      </c>
      <c r="L135" s="19" t="str">
        <f t="shared" si="31"/>
        <v/>
      </c>
      <c r="M135" s="19" t="str">
        <f t="shared" si="30"/>
        <v/>
      </c>
      <c r="N135" s="19" t="str">
        <f t="shared" si="30"/>
        <v/>
      </c>
      <c r="O135" s="19" t="str">
        <f t="shared" si="27"/>
        <v/>
      </c>
      <c r="P135" s="19" t="str">
        <f t="shared" si="28"/>
        <v/>
      </c>
      <c r="Q135" s="19" t="str">
        <f t="shared" si="26"/>
        <v/>
      </c>
      <c r="R135" s="19" t="str">
        <f t="shared" si="30"/>
        <v/>
      </c>
      <c r="S135" s="27" t="str">
        <f t="shared" si="32"/>
        <v/>
      </c>
      <c r="T135" s="28" t="str">
        <f t="shared" si="32"/>
        <v/>
      </c>
      <c r="U135" s="28" t="str">
        <f t="shared" si="32"/>
        <v/>
      </c>
      <c r="V135" s="28" t="str">
        <f t="shared" si="32"/>
        <v/>
      </c>
      <c r="W135" s="28" t="str">
        <f t="shared" si="32"/>
        <v/>
      </c>
      <c r="X135" s="29" t="str">
        <f t="shared" si="3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20"/>
        <v/>
      </c>
      <c r="L136" s="19" t="str">
        <f t="shared" si="31"/>
        <v/>
      </c>
      <c r="M136" s="19" t="str">
        <f t="shared" si="30"/>
        <v/>
      </c>
      <c r="N136" s="19" t="str">
        <f t="shared" si="30"/>
        <v/>
      </c>
      <c r="O136" s="19" t="str">
        <f t="shared" si="27"/>
        <v/>
      </c>
      <c r="P136" s="19" t="str">
        <f t="shared" si="28"/>
        <v/>
      </c>
      <c r="Q136" s="19" t="str">
        <f t="shared" si="26"/>
        <v/>
      </c>
      <c r="R136" s="19" t="str">
        <f t="shared" si="30"/>
        <v/>
      </c>
      <c r="S136" s="27" t="str">
        <f t="shared" si="32"/>
        <v/>
      </c>
      <c r="T136" s="28" t="str">
        <f t="shared" si="32"/>
        <v/>
      </c>
      <c r="U136" s="28" t="str">
        <f t="shared" si="32"/>
        <v/>
      </c>
      <c r="V136" s="28" t="str">
        <f t="shared" si="32"/>
        <v/>
      </c>
      <c r="W136" s="28" t="str">
        <f t="shared" si="32"/>
        <v/>
      </c>
      <c r="X136" s="29" t="str">
        <f t="shared" si="3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20"/>
        <v/>
      </c>
      <c r="L137" s="19" t="str">
        <f t="shared" si="31"/>
        <v/>
      </c>
      <c r="M137" s="19" t="str">
        <f t="shared" si="30"/>
        <v/>
      </c>
      <c r="N137" s="19" t="str">
        <f t="shared" si="30"/>
        <v/>
      </c>
      <c r="O137" s="19" t="str">
        <f t="shared" si="27"/>
        <v/>
      </c>
      <c r="P137" s="19" t="str">
        <f t="shared" si="28"/>
        <v/>
      </c>
      <c r="Q137" s="19" t="str">
        <f t="shared" si="26"/>
        <v/>
      </c>
      <c r="R137" s="19" t="str">
        <f t="shared" si="30"/>
        <v/>
      </c>
      <c r="S137" s="27" t="str">
        <f t="shared" si="32"/>
        <v/>
      </c>
      <c r="T137" s="28" t="str">
        <f t="shared" si="32"/>
        <v/>
      </c>
      <c r="U137" s="28" t="str">
        <f t="shared" si="32"/>
        <v/>
      </c>
      <c r="V137" s="28" t="str">
        <f t="shared" si="32"/>
        <v/>
      </c>
      <c r="W137" s="28" t="str">
        <f t="shared" si="32"/>
        <v/>
      </c>
      <c r="X137" s="29" t="str">
        <f t="shared" si="3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20"/>
        <v/>
      </c>
      <c r="L138" s="19" t="str">
        <f t="shared" si="31"/>
        <v/>
      </c>
      <c r="M138" s="19" t="str">
        <f t="shared" si="30"/>
        <v/>
      </c>
      <c r="N138" s="19" t="str">
        <f t="shared" si="30"/>
        <v/>
      </c>
      <c r="O138" s="19" t="str">
        <f t="shared" si="27"/>
        <v/>
      </c>
      <c r="P138" s="19" t="str">
        <f t="shared" si="28"/>
        <v/>
      </c>
      <c r="Q138" s="19" t="str">
        <f t="shared" si="26"/>
        <v/>
      </c>
      <c r="R138" s="19" t="str">
        <f t="shared" si="30"/>
        <v/>
      </c>
      <c r="S138" s="27" t="str">
        <f t="shared" si="32"/>
        <v/>
      </c>
      <c r="T138" s="28" t="str">
        <f t="shared" si="32"/>
        <v/>
      </c>
      <c r="U138" s="28" t="str">
        <f t="shared" si="32"/>
        <v/>
      </c>
      <c r="V138" s="28" t="str">
        <f t="shared" si="32"/>
        <v/>
      </c>
      <c r="W138" s="28" t="str">
        <f t="shared" si="32"/>
        <v/>
      </c>
      <c r="X138" s="29" t="str">
        <f t="shared" si="3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20"/>
        <v/>
      </c>
      <c r="L139" s="19" t="str">
        <f t="shared" si="31"/>
        <v/>
      </c>
      <c r="M139" s="19" t="str">
        <f t="shared" si="30"/>
        <v/>
      </c>
      <c r="N139" s="19" t="str">
        <f t="shared" si="30"/>
        <v/>
      </c>
      <c r="O139" s="19" t="str">
        <f t="shared" si="27"/>
        <v/>
      </c>
      <c r="P139" s="19" t="str">
        <f t="shared" si="28"/>
        <v/>
      </c>
      <c r="Q139" s="19" t="str">
        <f t="shared" si="26"/>
        <v/>
      </c>
      <c r="R139" s="19" t="str">
        <f t="shared" si="30"/>
        <v/>
      </c>
      <c r="S139" s="27" t="str">
        <f t="shared" si="32"/>
        <v/>
      </c>
      <c r="T139" s="28" t="str">
        <f t="shared" si="32"/>
        <v/>
      </c>
      <c r="U139" s="28" t="str">
        <f t="shared" si="32"/>
        <v/>
      </c>
      <c r="V139" s="28" t="str">
        <f t="shared" si="32"/>
        <v/>
      </c>
      <c r="W139" s="28" t="str">
        <f t="shared" si="32"/>
        <v/>
      </c>
      <c r="X139" s="29" t="str">
        <f t="shared" si="3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20"/>
        <v/>
      </c>
      <c r="L140" s="19" t="str">
        <f t="shared" si="31"/>
        <v/>
      </c>
      <c r="M140" s="19" t="str">
        <f t="shared" si="30"/>
        <v/>
      </c>
      <c r="N140" s="19" t="str">
        <f t="shared" si="30"/>
        <v/>
      </c>
      <c r="O140" s="19" t="str">
        <f t="shared" si="27"/>
        <v/>
      </c>
      <c r="P140" s="19" t="str">
        <f t="shared" si="28"/>
        <v/>
      </c>
      <c r="Q140" s="19" t="str">
        <f t="shared" si="26"/>
        <v/>
      </c>
      <c r="R140" s="19" t="str">
        <f t="shared" si="30"/>
        <v/>
      </c>
      <c r="S140" s="27" t="str">
        <f t="shared" si="32"/>
        <v/>
      </c>
      <c r="T140" s="28" t="str">
        <f t="shared" si="32"/>
        <v/>
      </c>
      <c r="U140" s="28" t="str">
        <f t="shared" si="32"/>
        <v/>
      </c>
      <c r="V140" s="28" t="str">
        <f t="shared" si="32"/>
        <v/>
      </c>
      <c r="W140" s="28" t="str">
        <f t="shared" si="32"/>
        <v/>
      </c>
      <c r="X140" s="29" t="str">
        <f t="shared" si="3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20"/>
        <v/>
      </c>
      <c r="L141" s="19" t="str">
        <f t="shared" si="31"/>
        <v/>
      </c>
      <c r="M141" s="19" t="str">
        <f t="shared" si="30"/>
        <v/>
      </c>
      <c r="N141" s="19" t="str">
        <f t="shared" si="30"/>
        <v/>
      </c>
      <c r="O141" s="19" t="str">
        <f t="shared" si="27"/>
        <v/>
      </c>
      <c r="P141" s="19" t="str">
        <f t="shared" si="28"/>
        <v/>
      </c>
      <c r="Q141" s="19" t="str">
        <f t="shared" si="26"/>
        <v/>
      </c>
      <c r="R141" s="19" t="str">
        <f t="shared" si="30"/>
        <v/>
      </c>
      <c r="S141" s="27" t="str">
        <f t="shared" si="32"/>
        <v/>
      </c>
      <c r="T141" s="28" t="str">
        <f t="shared" si="32"/>
        <v/>
      </c>
      <c r="U141" s="28" t="str">
        <f t="shared" si="32"/>
        <v/>
      </c>
      <c r="V141" s="28" t="str">
        <f t="shared" si="32"/>
        <v/>
      </c>
      <c r="W141" s="28" t="str">
        <f t="shared" si="32"/>
        <v/>
      </c>
      <c r="X141" s="29" t="str">
        <f t="shared" si="3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20"/>
        <v/>
      </c>
      <c r="L142" s="19" t="str">
        <f t="shared" si="31"/>
        <v/>
      </c>
      <c r="M142" s="19" t="str">
        <f t="shared" si="30"/>
        <v/>
      </c>
      <c r="N142" s="19" t="str">
        <f t="shared" si="30"/>
        <v/>
      </c>
      <c r="O142" s="19" t="str">
        <f t="shared" si="27"/>
        <v/>
      </c>
      <c r="P142" s="19" t="str">
        <f t="shared" si="28"/>
        <v/>
      </c>
      <c r="Q142" s="19" t="str">
        <f t="shared" si="26"/>
        <v/>
      </c>
      <c r="R142" s="19" t="str">
        <f t="shared" si="30"/>
        <v/>
      </c>
      <c r="S142" s="27" t="str">
        <f t="shared" si="32"/>
        <v/>
      </c>
      <c r="T142" s="28" t="str">
        <f t="shared" si="32"/>
        <v/>
      </c>
      <c r="U142" s="28" t="str">
        <f t="shared" si="32"/>
        <v/>
      </c>
      <c r="V142" s="28" t="str">
        <f t="shared" si="32"/>
        <v/>
      </c>
      <c r="W142" s="28" t="str">
        <f t="shared" si="32"/>
        <v/>
      </c>
      <c r="X142" s="29" t="str">
        <f t="shared" si="3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20"/>
        <v/>
      </c>
      <c r="L143" s="19" t="str">
        <f t="shared" si="31"/>
        <v/>
      </c>
      <c r="M143" s="19" t="str">
        <f t="shared" si="30"/>
        <v/>
      </c>
      <c r="N143" s="19" t="str">
        <f t="shared" si="30"/>
        <v/>
      </c>
      <c r="O143" s="19" t="str">
        <f t="shared" si="27"/>
        <v/>
      </c>
      <c r="P143" s="19" t="str">
        <f t="shared" si="28"/>
        <v/>
      </c>
      <c r="Q143" s="19" t="str">
        <f t="shared" si="26"/>
        <v/>
      </c>
      <c r="R143" s="19" t="str">
        <f t="shared" si="30"/>
        <v/>
      </c>
      <c r="S143" s="27" t="str">
        <f t="shared" si="32"/>
        <v/>
      </c>
      <c r="T143" s="28" t="str">
        <f t="shared" si="32"/>
        <v/>
      </c>
      <c r="U143" s="28" t="str">
        <f t="shared" si="32"/>
        <v/>
      </c>
      <c r="V143" s="28" t="str">
        <f t="shared" si="32"/>
        <v/>
      </c>
      <c r="W143" s="28" t="str">
        <f t="shared" si="32"/>
        <v/>
      </c>
      <c r="X143" s="29" t="str">
        <f t="shared" si="3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20"/>
        <v/>
      </c>
      <c r="L144" s="19" t="str">
        <f t="shared" si="31"/>
        <v/>
      </c>
      <c r="M144" s="19" t="str">
        <f t="shared" si="30"/>
        <v/>
      </c>
      <c r="N144" s="19" t="str">
        <f t="shared" si="30"/>
        <v/>
      </c>
      <c r="O144" s="19" t="str">
        <f t="shared" si="27"/>
        <v/>
      </c>
      <c r="P144" s="19" t="str">
        <f t="shared" si="28"/>
        <v/>
      </c>
      <c r="Q144" s="19" t="str">
        <f t="shared" si="26"/>
        <v/>
      </c>
      <c r="R144" s="19" t="str">
        <f t="shared" si="30"/>
        <v/>
      </c>
      <c r="S144" s="27" t="str">
        <f t="shared" si="32"/>
        <v/>
      </c>
      <c r="T144" s="28" t="str">
        <f t="shared" si="32"/>
        <v/>
      </c>
      <c r="U144" s="28" t="str">
        <f t="shared" si="32"/>
        <v/>
      </c>
      <c r="V144" s="28" t="str">
        <f t="shared" si="32"/>
        <v/>
      </c>
      <c r="W144" s="28" t="str">
        <f t="shared" si="32"/>
        <v/>
      </c>
      <c r="X144" s="29" t="str">
        <f t="shared" si="3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20"/>
        <v/>
      </c>
      <c r="L145" s="19" t="str">
        <f t="shared" si="31"/>
        <v/>
      </c>
      <c r="M145" s="19" t="str">
        <f t="shared" si="30"/>
        <v/>
      </c>
      <c r="N145" s="19" t="str">
        <f t="shared" si="30"/>
        <v/>
      </c>
      <c r="O145" s="19" t="str">
        <f t="shared" si="27"/>
        <v/>
      </c>
      <c r="P145" s="19" t="str">
        <f t="shared" si="28"/>
        <v/>
      </c>
      <c r="Q145" s="19" t="str">
        <f t="shared" si="26"/>
        <v/>
      </c>
      <c r="R145" s="19" t="str">
        <f t="shared" si="30"/>
        <v/>
      </c>
      <c r="S145" s="27" t="str">
        <f t="shared" ref="S145:X153" si="33">IF(C145="","",((C145-C144)*1000)/($B145-$B144))</f>
        <v/>
      </c>
      <c r="T145" s="28" t="str">
        <f t="shared" si="33"/>
        <v/>
      </c>
      <c r="U145" s="28" t="str">
        <f t="shared" si="33"/>
        <v/>
      </c>
      <c r="V145" s="28" t="str">
        <f t="shared" si="33"/>
        <v/>
      </c>
      <c r="W145" s="28" t="str">
        <f t="shared" si="33"/>
        <v/>
      </c>
      <c r="X145" s="29" t="str">
        <f t="shared" si="33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ref="K146:K153" si="34">IF(ISBLANK(J146),"",(J146-$J$8))</f>
        <v/>
      </c>
      <c r="L146" s="19" t="str">
        <f t="shared" si="31"/>
        <v/>
      </c>
      <c r="M146" s="19" t="str">
        <f t="shared" si="30"/>
        <v/>
      </c>
      <c r="N146" s="19" t="str">
        <f t="shared" si="30"/>
        <v/>
      </c>
      <c r="O146" s="19" t="str">
        <f t="shared" si="27"/>
        <v/>
      </c>
      <c r="P146" s="19" t="str">
        <f t="shared" si="28"/>
        <v/>
      </c>
      <c r="Q146" s="19" t="str">
        <f t="shared" si="26"/>
        <v/>
      </c>
      <c r="R146" s="19" t="str">
        <f t="shared" si="30"/>
        <v/>
      </c>
      <c r="S146" s="27" t="str">
        <f t="shared" si="33"/>
        <v/>
      </c>
      <c r="T146" s="28" t="str">
        <f t="shared" si="33"/>
        <v/>
      </c>
      <c r="U146" s="28" t="str">
        <f t="shared" si="33"/>
        <v/>
      </c>
      <c r="V146" s="28" t="str">
        <f t="shared" si="33"/>
        <v/>
      </c>
      <c r="W146" s="28" t="str">
        <f t="shared" si="33"/>
        <v/>
      </c>
      <c r="X146" s="29" t="str">
        <f t="shared" si="3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34"/>
        <v/>
      </c>
      <c r="L147" s="19" t="str">
        <f t="shared" si="31"/>
        <v/>
      </c>
      <c r="M147" s="19" t="str">
        <f t="shared" si="30"/>
        <v/>
      </c>
      <c r="N147" s="19" t="str">
        <f t="shared" si="30"/>
        <v/>
      </c>
      <c r="O147" s="19" t="str">
        <f t="shared" si="27"/>
        <v/>
      </c>
      <c r="P147" s="19" t="str">
        <f t="shared" si="28"/>
        <v/>
      </c>
      <c r="Q147" s="19" t="str">
        <f t="shared" si="26"/>
        <v/>
      </c>
      <c r="R147" s="19" t="str">
        <f t="shared" si="30"/>
        <v/>
      </c>
      <c r="S147" s="27" t="str">
        <f t="shared" si="33"/>
        <v/>
      </c>
      <c r="T147" s="28" t="str">
        <f t="shared" si="33"/>
        <v/>
      </c>
      <c r="U147" s="28" t="str">
        <f t="shared" si="33"/>
        <v/>
      </c>
      <c r="V147" s="28" t="str">
        <f t="shared" si="33"/>
        <v/>
      </c>
      <c r="W147" s="28" t="str">
        <f t="shared" si="33"/>
        <v/>
      </c>
      <c r="X147" s="29" t="str">
        <f t="shared" si="3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34"/>
        <v/>
      </c>
      <c r="L148" s="19" t="str">
        <f t="shared" si="31"/>
        <v/>
      </c>
      <c r="M148" s="19" t="str">
        <f t="shared" si="30"/>
        <v/>
      </c>
      <c r="N148" s="19" t="str">
        <f t="shared" si="30"/>
        <v/>
      </c>
      <c r="O148" s="19" t="str">
        <f t="shared" si="27"/>
        <v/>
      </c>
      <c r="P148" s="19" t="str">
        <f t="shared" si="28"/>
        <v/>
      </c>
      <c r="Q148" s="19" t="str">
        <f t="shared" si="26"/>
        <v/>
      </c>
      <c r="R148" s="19" t="str">
        <f t="shared" si="30"/>
        <v/>
      </c>
      <c r="S148" s="27" t="str">
        <f t="shared" si="33"/>
        <v/>
      </c>
      <c r="T148" s="28" t="str">
        <f t="shared" si="33"/>
        <v/>
      </c>
      <c r="U148" s="28" t="str">
        <f t="shared" si="33"/>
        <v/>
      </c>
      <c r="V148" s="28" t="str">
        <f t="shared" si="33"/>
        <v/>
      </c>
      <c r="W148" s="28" t="str">
        <f t="shared" si="33"/>
        <v/>
      </c>
      <c r="X148" s="29" t="str">
        <f t="shared" si="3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34"/>
        <v/>
      </c>
      <c r="L149" s="19" t="str">
        <f t="shared" si="31"/>
        <v/>
      </c>
      <c r="M149" s="19" t="str">
        <f t="shared" si="30"/>
        <v/>
      </c>
      <c r="N149" s="19" t="str">
        <f t="shared" si="30"/>
        <v/>
      </c>
      <c r="O149" s="19" t="str">
        <f t="shared" si="27"/>
        <v/>
      </c>
      <c r="P149" s="19" t="str">
        <f t="shared" si="28"/>
        <v/>
      </c>
      <c r="Q149" s="19" t="str">
        <f t="shared" si="26"/>
        <v/>
      </c>
      <c r="R149" s="19" t="str">
        <f t="shared" si="30"/>
        <v/>
      </c>
      <c r="S149" s="27" t="str">
        <f t="shared" si="33"/>
        <v/>
      </c>
      <c r="T149" s="28" t="str">
        <f t="shared" si="33"/>
        <v/>
      </c>
      <c r="U149" s="28" t="str">
        <f t="shared" si="33"/>
        <v/>
      </c>
      <c r="V149" s="28" t="str">
        <f t="shared" si="33"/>
        <v/>
      </c>
      <c r="W149" s="28" t="str">
        <f t="shared" si="33"/>
        <v/>
      </c>
      <c r="X149" s="29" t="str">
        <f t="shared" si="3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34"/>
        <v/>
      </c>
      <c r="L150" s="19" t="str">
        <f t="shared" si="31"/>
        <v/>
      </c>
      <c r="M150" s="19" t="str">
        <f t="shared" si="30"/>
        <v/>
      </c>
      <c r="N150" s="19" t="str">
        <f t="shared" si="30"/>
        <v/>
      </c>
      <c r="O150" s="19" t="str">
        <f t="shared" si="27"/>
        <v/>
      </c>
      <c r="P150" s="19" t="str">
        <f t="shared" si="28"/>
        <v/>
      </c>
      <c r="Q150" s="19" t="str">
        <f t="shared" si="26"/>
        <v/>
      </c>
      <c r="R150" s="19" t="str">
        <f t="shared" si="30"/>
        <v/>
      </c>
      <c r="S150" s="27" t="str">
        <f t="shared" si="33"/>
        <v/>
      </c>
      <c r="T150" s="28" t="str">
        <f t="shared" si="33"/>
        <v/>
      </c>
      <c r="U150" s="28" t="str">
        <f t="shared" si="33"/>
        <v/>
      </c>
      <c r="V150" s="28" t="str">
        <f t="shared" si="33"/>
        <v/>
      </c>
      <c r="W150" s="28" t="str">
        <f t="shared" si="33"/>
        <v/>
      </c>
      <c r="X150" s="29" t="str">
        <f t="shared" si="3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34"/>
        <v/>
      </c>
      <c r="L151" s="19" t="str">
        <f t="shared" si="31"/>
        <v/>
      </c>
      <c r="M151" s="19" t="str">
        <f t="shared" si="30"/>
        <v/>
      </c>
      <c r="N151" s="19" t="str">
        <f t="shared" si="30"/>
        <v/>
      </c>
      <c r="O151" s="19" t="str">
        <f t="shared" si="27"/>
        <v/>
      </c>
      <c r="P151" s="19" t="str">
        <f t="shared" si="28"/>
        <v/>
      </c>
      <c r="Q151" s="19" t="str">
        <f t="shared" si="26"/>
        <v/>
      </c>
      <c r="R151" s="19" t="str">
        <f t="shared" si="30"/>
        <v/>
      </c>
      <c r="S151" s="27" t="str">
        <f t="shared" si="33"/>
        <v/>
      </c>
      <c r="T151" s="28" t="str">
        <f t="shared" si="33"/>
        <v/>
      </c>
      <c r="U151" s="28" t="str">
        <f t="shared" si="33"/>
        <v/>
      </c>
      <c r="V151" s="28" t="str">
        <f t="shared" si="33"/>
        <v/>
      </c>
      <c r="W151" s="28" t="str">
        <f t="shared" si="33"/>
        <v/>
      </c>
      <c r="X151" s="29" t="str">
        <f t="shared" si="3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34"/>
        <v/>
      </c>
      <c r="L152" s="19" t="str">
        <f t="shared" si="31"/>
        <v/>
      </c>
      <c r="M152" s="19" t="str">
        <f t="shared" si="30"/>
        <v/>
      </c>
      <c r="N152" s="19" t="str">
        <f t="shared" si="30"/>
        <v/>
      </c>
      <c r="O152" s="19" t="str">
        <f t="shared" si="27"/>
        <v/>
      </c>
      <c r="P152" s="19" t="str">
        <f t="shared" si="28"/>
        <v/>
      </c>
      <c r="Q152" s="19" t="str">
        <f t="shared" si="26"/>
        <v/>
      </c>
      <c r="R152" s="19" t="str">
        <f t="shared" si="30"/>
        <v/>
      </c>
      <c r="S152" s="27" t="str">
        <f t="shared" si="33"/>
        <v/>
      </c>
      <c r="T152" s="28" t="str">
        <f t="shared" si="33"/>
        <v/>
      </c>
      <c r="U152" s="28" t="str">
        <f t="shared" si="33"/>
        <v/>
      </c>
      <c r="V152" s="28" t="str">
        <f t="shared" si="33"/>
        <v/>
      </c>
      <c r="W152" s="28" t="str">
        <f t="shared" si="33"/>
        <v/>
      </c>
      <c r="X152" s="29" t="str">
        <f t="shared" si="3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34"/>
        <v/>
      </c>
      <c r="L153" s="19" t="str">
        <f t="shared" si="31"/>
        <v/>
      </c>
      <c r="M153" s="19" t="str">
        <f t="shared" si="30"/>
        <v/>
      </c>
      <c r="N153" s="19" t="str">
        <f t="shared" si="30"/>
        <v/>
      </c>
      <c r="O153" s="19" t="str">
        <f t="shared" si="27"/>
        <v/>
      </c>
      <c r="P153" s="19" t="str">
        <f t="shared" si="28"/>
        <v/>
      </c>
      <c r="Q153" s="19" t="str">
        <f t="shared" si="26"/>
        <v/>
      </c>
      <c r="R153" s="19" t="str">
        <f t="shared" si="30"/>
        <v/>
      </c>
      <c r="S153" s="27" t="str">
        <f t="shared" si="33"/>
        <v/>
      </c>
      <c r="T153" s="28" t="str">
        <f t="shared" si="33"/>
        <v/>
      </c>
      <c r="U153" s="28" t="str">
        <f t="shared" si="33"/>
        <v/>
      </c>
      <c r="V153" s="28" t="str">
        <f t="shared" si="33"/>
        <v/>
      </c>
      <c r="W153" s="28" t="str">
        <f t="shared" si="33"/>
        <v/>
      </c>
      <c r="X153" s="29" t="str">
        <f t="shared" si="33"/>
        <v/>
      </c>
      <c r="Y153" s="24"/>
    </row>
  </sheetData>
  <sheetProtection selectLockedCells="1"/>
  <mergeCells count="38"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B10:J12"/>
    <mergeCell ref="K10:S12"/>
    <mergeCell ref="T10:Y12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4">
    <tabColor theme="3" tint="0.79998168889431442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44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TZ-22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/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41701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41704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300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558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50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41705</v>
      </c>
      <c r="C16" s="14">
        <v>12.433999999999999</v>
      </c>
      <c r="D16" s="15">
        <v>7.4660000000000002</v>
      </c>
      <c r="E16" s="15">
        <v>7.5419999999999998</v>
      </c>
      <c r="F16" s="60"/>
      <c r="G16" s="60"/>
      <c r="H16" s="60"/>
      <c r="I16" s="61">
        <v>102.524</v>
      </c>
      <c r="J16" s="62">
        <v>568.5</v>
      </c>
      <c r="K16" s="63">
        <f t="shared" ref="K16:K31" si="0">IF(ISBLANK(J16),"",(J16-$J$8))</f>
        <v>10.5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 t="s">
        <v>51</v>
      </c>
    </row>
    <row r="17" spans="2:25" ht="15" customHeight="1" x14ac:dyDescent="0.2">
      <c r="B17" s="31">
        <v>41708</v>
      </c>
      <c r="C17" s="26">
        <v>12.433999999999999</v>
      </c>
      <c r="D17" s="26">
        <v>7.4640000000000004</v>
      </c>
      <c r="E17" s="26">
        <v>7.5419999999999998</v>
      </c>
      <c r="F17" s="47"/>
      <c r="G17" s="47"/>
      <c r="H17" s="47"/>
      <c r="I17" s="57">
        <v>102.52200000000001</v>
      </c>
      <c r="J17" s="58">
        <v>576</v>
      </c>
      <c r="K17" s="59">
        <f t="shared" si="0"/>
        <v>18</v>
      </c>
      <c r="L17" s="19">
        <f t="shared" ref="L17:Q62" si="2">IF(ISBLANK(C17),"",(C17-C$16)*1000)</f>
        <v>0</v>
      </c>
      <c r="M17" s="19">
        <f t="shared" si="2"/>
        <v>-1.9999999999997797</v>
      </c>
      <c r="N17" s="19">
        <f t="shared" si="2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-1.9999999999953388</v>
      </c>
      <c r="S17" s="27">
        <f t="shared" ref="S17:X32" si="3">IF(C17="","",((C17-C16)*1000)/($B17-$B16))</f>
        <v>0</v>
      </c>
      <c r="T17" s="28">
        <f t="shared" si="3"/>
        <v>-0.66666666666659324</v>
      </c>
      <c r="U17" s="28">
        <f t="shared" si="3"/>
        <v>0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41709</v>
      </c>
      <c r="C18" s="26">
        <v>12.433</v>
      </c>
      <c r="D18" s="26">
        <v>7.4640000000000004</v>
      </c>
      <c r="E18" s="26">
        <v>7.5419999999999998</v>
      </c>
      <c r="F18" s="47"/>
      <c r="G18" s="47"/>
      <c r="H18" s="47"/>
      <c r="I18" s="57">
        <v>102.52200000000001</v>
      </c>
      <c r="J18" s="58">
        <v>584</v>
      </c>
      <c r="K18" s="59">
        <f t="shared" si="0"/>
        <v>26</v>
      </c>
      <c r="L18" s="19">
        <f t="shared" si="2"/>
        <v>-0.99999999999944578</v>
      </c>
      <c r="M18" s="19">
        <f t="shared" si="2"/>
        <v>-1.9999999999997797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-1.9999999999953388</v>
      </c>
      <c r="S18" s="27">
        <f t="shared" si="3"/>
        <v>-0.99999999999944578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41710</v>
      </c>
      <c r="C19" s="26">
        <v>12.433999999999999</v>
      </c>
      <c r="D19" s="26">
        <v>7.4640000000000004</v>
      </c>
      <c r="E19" s="26">
        <v>7.5410000000000004</v>
      </c>
      <c r="F19" s="47"/>
      <c r="G19" s="47"/>
      <c r="H19" s="47"/>
      <c r="I19" s="57">
        <v>102.521</v>
      </c>
      <c r="J19" s="58">
        <v>587.5</v>
      </c>
      <c r="K19" s="59">
        <f t="shared" si="0"/>
        <v>29.5</v>
      </c>
      <c r="L19" s="19">
        <f t="shared" si="2"/>
        <v>0</v>
      </c>
      <c r="M19" s="19">
        <f t="shared" si="2"/>
        <v>-1.9999999999997797</v>
      </c>
      <c r="N19" s="19">
        <f t="shared" si="2"/>
        <v>-0.99999999999944578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-3.0000000000001137</v>
      </c>
      <c r="S19" s="27">
        <f t="shared" si="3"/>
        <v>0.99999999999944578</v>
      </c>
      <c r="T19" s="28">
        <f t="shared" si="3"/>
        <v>0</v>
      </c>
      <c r="U19" s="28">
        <f t="shared" si="3"/>
        <v>-0.99999999999944578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41711</v>
      </c>
      <c r="C20" s="26">
        <v>12.433999999999999</v>
      </c>
      <c r="D20" s="26">
        <v>7.4640000000000004</v>
      </c>
      <c r="E20" s="26">
        <v>7.5410000000000004</v>
      </c>
      <c r="F20" s="47"/>
      <c r="G20" s="47"/>
      <c r="H20" s="47"/>
      <c r="I20" s="57">
        <v>102.521</v>
      </c>
      <c r="J20" s="58">
        <v>596</v>
      </c>
      <c r="K20" s="59">
        <f t="shared" si="0"/>
        <v>38</v>
      </c>
      <c r="L20" s="19">
        <f t="shared" si="2"/>
        <v>0</v>
      </c>
      <c r="M20" s="19">
        <f t="shared" si="2"/>
        <v>-1.9999999999997797</v>
      </c>
      <c r="N20" s="19">
        <f t="shared" si="2"/>
        <v>-0.99999999999944578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-3.0000000000001137</v>
      </c>
      <c r="S20" s="27">
        <f t="shared" si="3"/>
        <v>0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41712</v>
      </c>
      <c r="C21" s="26">
        <v>12.433</v>
      </c>
      <c r="D21" s="26">
        <v>7.4640000000000004</v>
      </c>
      <c r="E21" s="26">
        <v>7.5419999999999998</v>
      </c>
      <c r="F21" s="47"/>
      <c r="G21" s="47"/>
      <c r="H21" s="47"/>
      <c r="I21" s="57">
        <v>102.52</v>
      </c>
      <c r="J21" s="58">
        <v>600.5</v>
      </c>
      <c r="K21" s="59">
        <f t="shared" si="0"/>
        <v>42.5</v>
      </c>
      <c r="L21" s="19">
        <f t="shared" si="2"/>
        <v>-0.99999999999944578</v>
      </c>
      <c r="M21" s="19">
        <f t="shared" si="2"/>
        <v>-1.9999999999997797</v>
      </c>
      <c r="N21" s="19">
        <f t="shared" si="2"/>
        <v>0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-4.0000000000048885</v>
      </c>
      <c r="S21" s="27">
        <f t="shared" si="3"/>
        <v>-0.99999999999944578</v>
      </c>
      <c r="T21" s="28">
        <f t="shared" si="3"/>
        <v>0</v>
      </c>
      <c r="U21" s="28">
        <f t="shared" si="3"/>
        <v>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41715</v>
      </c>
      <c r="C22" s="26">
        <v>12.433999999999999</v>
      </c>
      <c r="D22" s="26">
        <v>7.4640000000000004</v>
      </c>
      <c r="E22" s="26">
        <v>7.5410000000000004</v>
      </c>
      <c r="F22" s="47"/>
      <c r="G22" s="47"/>
      <c r="H22" s="47"/>
      <c r="I22" s="57">
        <v>102.52</v>
      </c>
      <c r="J22" s="58">
        <v>609.5</v>
      </c>
      <c r="K22" s="59">
        <f t="shared" si="0"/>
        <v>51.5</v>
      </c>
      <c r="L22" s="19">
        <f t="shared" si="2"/>
        <v>0</v>
      </c>
      <c r="M22" s="19">
        <f t="shared" si="2"/>
        <v>-1.9999999999997797</v>
      </c>
      <c r="N22" s="19">
        <f t="shared" si="2"/>
        <v>-0.99999999999944578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-4.0000000000048885</v>
      </c>
      <c r="S22" s="27">
        <f t="shared" si="3"/>
        <v>0.33333333333314857</v>
      </c>
      <c r="T22" s="28">
        <f t="shared" si="3"/>
        <v>0</v>
      </c>
      <c r="U22" s="28">
        <f t="shared" si="3"/>
        <v>-0.33333333333314857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41723</v>
      </c>
      <c r="C23" s="26">
        <v>12.433999999999999</v>
      </c>
      <c r="D23" s="26">
        <v>7.4640000000000004</v>
      </c>
      <c r="E23" s="26">
        <v>7.5419999999999998</v>
      </c>
      <c r="F23" s="47"/>
      <c r="G23" s="47"/>
      <c r="H23" s="47"/>
      <c r="I23" s="57">
        <v>102.52</v>
      </c>
      <c r="J23" s="58">
        <v>609.5</v>
      </c>
      <c r="K23" s="59">
        <f t="shared" si="0"/>
        <v>51.5</v>
      </c>
      <c r="L23" s="19">
        <f t="shared" si="2"/>
        <v>0</v>
      </c>
      <c r="M23" s="19">
        <f t="shared" si="2"/>
        <v>-1.9999999999997797</v>
      </c>
      <c r="N23" s="19">
        <f t="shared" si="2"/>
        <v>0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-4.0000000000048885</v>
      </c>
      <c r="S23" s="27">
        <f t="shared" si="3"/>
        <v>0</v>
      </c>
      <c r="T23" s="28">
        <f t="shared" si="3"/>
        <v>0</v>
      </c>
      <c r="U23" s="28">
        <f t="shared" si="3"/>
        <v>0.12499999999993072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 t="s">
        <v>23</v>
      </c>
    </row>
    <row r="24" spans="2:25" ht="15" customHeight="1" x14ac:dyDescent="0.2">
      <c r="B24" s="31">
        <v>41724</v>
      </c>
      <c r="C24" s="26">
        <v>12.433999999999999</v>
      </c>
      <c r="D24" s="26">
        <v>7.4640000000000004</v>
      </c>
      <c r="E24" s="26">
        <v>7.5410000000000004</v>
      </c>
      <c r="F24" s="47"/>
      <c r="G24" s="47"/>
      <c r="H24" s="47"/>
      <c r="I24" s="67">
        <v>102.51900000000001</v>
      </c>
      <c r="J24" s="58">
        <v>609.5</v>
      </c>
      <c r="K24" s="59">
        <f t="shared" si="0"/>
        <v>51.5</v>
      </c>
      <c r="L24" s="19">
        <f t="shared" si="2"/>
        <v>0</v>
      </c>
      <c r="M24" s="19">
        <f t="shared" si="2"/>
        <v>-1.9999999999997797</v>
      </c>
      <c r="N24" s="19">
        <f t="shared" si="2"/>
        <v>-0.99999999999944578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-4.9999999999954525</v>
      </c>
      <c r="S24" s="27">
        <f t="shared" si="3"/>
        <v>0</v>
      </c>
      <c r="T24" s="28">
        <f t="shared" si="3"/>
        <v>0</v>
      </c>
      <c r="U24" s="28">
        <f t="shared" si="3"/>
        <v>-0.99999999999944578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41744</v>
      </c>
      <c r="C25" s="26">
        <v>12.433999999999999</v>
      </c>
      <c r="D25" s="26">
        <v>7.4630000000000001</v>
      </c>
      <c r="E25" s="26">
        <v>7.5410000000000004</v>
      </c>
      <c r="F25" s="47"/>
      <c r="G25" s="47"/>
      <c r="H25" s="47"/>
      <c r="I25" s="67">
        <v>102.509</v>
      </c>
      <c r="J25" s="58">
        <v>609.5</v>
      </c>
      <c r="K25" s="59">
        <f t="shared" si="0"/>
        <v>51.5</v>
      </c>
      <c r="L25" s="19">
        <f t="shared" si="2"/>
        <v>0</v>
      </c>
      <c r="M25" s="19">
        <f t="shared" si="2"/>
        <v>-3.0000000000001137</v>
      </c>
      <c r="N25" s="19">
        <f t="shared" si="2"/>
        <v>-0.99999999999944578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>IF(ISBLANK(I25),"",(I25-I$16)*1000+10)</f>
        <v>-5.0000000000005684</v>
      </c>
      <c r="S25" s="27">
        <f t="shared" si="3"/>
        <v>0</v>
      </c>
      <c r="T25" s="28">
        <f t="shared" si="3"/>
        <v>-5.0000000000016698E-2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41752</v>
      </c>
      <c r="C26" s="26">
        <v>12.433999999999999</v>
      </c>
      <c r="D26" s="26">
        <v>7.4640000000000004</v>
      </c>
      <c r="E26" s="26">
        <v>7.5410000000000004</v>
      </c>
      <c r="F26" s="47"/>
      <c r="G26" s="47"/>
      <c r="H26" s="47"/>
      <c r="I26" s="57">
        <v>102.51</v>
      </c>
      <c r="J26" s="58">
        <v>609.5</v>
      </c>
      <c r="K26" s="59">
        <f t="shared" si="0"/>
        <v>51.5</v>
      </c>
      <c r="L26" s="19">
        <f t="shared" si="2"/>
        <v>0</v>
      </c>
      <c r="M26" s="19">
        <f t="shared" si="2"/>
        <v>-1.9999999999997797</v>
      </c>
      <c r="N26" s="19">
        <f t="shared" si="2"/>
        <v>-0.99999999999944578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ref="R26:R89" si="4">IF(ISBLANK(I26),"",(I26-I$16)*1000+10)</f>
        <v>-3.9999999999957936</v>
      </c>
      <c r="S26" s="27">
        <f t="shared" si="3"/>
        <v>0</v>
      </c>
      <c r="T26" s="28">
        <f t="shared" si="3"/>
        <v>0.12500000000004174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 t="s">
        <v>35</v>
      </c>
    </row>
    <row r="27" spans="2:25" ht="15" customHeight="1" x14ac:dyDescent="0.2">
      <c r="B27" s="31">
        <v>41753</v>
      </c>
      <c r="C27" s="26">
        <v>12.433999999999999</v>
      </c>
      <c r="D27" s="26">
        <v>7.4640000000000004</v>
      </c>
      <c r="E27" s="26">
        <v>7.5410000000000004</v>
      </c>
      <c r="F27" s="47"/>
      <c r="G27" s="47"/>
      <c r="H27" s="47"/>
      <c r="I27" s="57">
        <v>102.509</v>
      </c>
      <c r="J27" s="58">
        <v>609.5</v>
      </c>
      <c r="K27" s="59">
        <f t="shared" si="0"/>
        <v>51.5</v>
      </c>
      <c r="L27" s="19">
        <f t="shared" si="2"/>
        <v>0</v>
      </c>
      <c r="M27" s="19">
        <f t="shared" si="2"/>
        <v>-1.9999999999997797</v>
      </c>
      <c r="N27" s="19">
        <f t="shared" si="2"/>
        <v>-0.99999999999944578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4"/>
        <v>-5.0000000000005684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41754</v>
      </c>
      <c r="C28" s="26">
        <v>12.433999999999999</v>
      </c>
      <c r="D28" s="26">
        <v>7.4640000000000004</v>
      </c>
      <c r="E28" s="26">
        <v>7.5419999999999998</v>
      </c>
      <c r="F28" s="47"/>
      <c r="G28" s="47"/>
      <c r="H28" s="47"/>
      <c r="I28" s="57">
        <v>102.509</v>
      </c>
      <c r="J28" s="58">
        <v>609.5</v>
      </c>
      <c r="K28" s="59">
        <f t="shared" si="0"/>
        <v>51.5</v>
      </c>
      <c r="L28" s="19">
        <f t="shared" si="2"/>
        <v>0</v>
      </c>
      <c r="M28" s="19">
        <f t="shared" si="2"/>
        <v>-1.9999999999997797</v>
      </c>
      <c r="N28" s="19">
        <f t="shared" si="2"/>
        <v>0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4"/>
        <v>-5.0000000000005684</v>
      </c>
      <c r="S28" s="27">
        <f t="shared" si="3"/>
        <v>0</v>
      </c>
      <c r="T28" s="28">
        <f t="shared" si="3"/>
        <v>0</v>
      </c>
      <c r="U28" s="28">
        <f t="shared" si="3"/>
        <v>0.99999999999944578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41757</v>
      </c>
      <c r="C29" s="26">
        <v>12.433999999999999</v>
      </c>
      <c r="D29" s="26">
        <v>7.4630000000000001</v>
      </c>
      <c r="E29" s="26">
        <v>7.5410000000000004</v>
      </c>
      <c r="F29" s="47"/>
      <c r="G29" s="47"/>
      <c r="H29" s="47"/>
      <c r="I29" s="57">
        <v>102.509</v>
      </c>
      <c r="J29" s="58">
        <v>613.5</v>
      </c>
      <c r="K29" s="59">
        <f t="shared" si="0"/>
        <v>55.5</v>
      </c>
      <c r="L29" s="19">
        <f t="shared" si="2"/>
        <v>0</v>
      </c>
      <c r="M29" s="19">
        <f t="shared" si="2"/>
        <v>-3.0000000000001137</v>
      </c>
      <c r="N29" s="19">
        <f t="shared" si="2"/>
        <v>-0.99999999999944578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4"/>
        <v>-5.0000000000005684</v>
      </c>
      <c r="S29" s="27">
        <f t="shared" si="3"/>
        <v>0</v>
      </c>
      <c r="T29" s="28">
        <f t="shared" si="3"/>
        <v>-0.33333333333344467</v>
      </c>
      <c r="U29" s="28">
        <f t="shared" si="3"/>
        <v>-0.33333333333314857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41758</v>
      </c>
      <c r="C30" s="26">
        <v>12.433999999999999</v>
      </c>
      <c r="D30" s="26">
        <v>7.4640000000000004</v>
      </c>
      <c r="E30" s="26">
        <v>7.5410000000000004</v>
      </c>
      <c r="F30" s="47"/>
      <c r="G30" s="47"/>
      <c r="H30" s="47"/>
      <c r="I30" s="57">
        <v>102.509</v>
      </c>
      <c r="J30" s="58">
        <v>616.5</v>
      </c>
      <c r="K30" s="59">
        <f t="shared" si="0"/>
        <v>58.5</v>
      </c>
      <c r="L30" s="19">
        <f t="shared" si="2"/>
        <v>0</v>
      </c>
      <c r="M30" s="19">
        <f t="shared" si="2"/>
        <v>-1.9999999999997797</v>
      </c>
      <c r="N30" s="19">
        <f t="shared" si="2"/>
        <v>-0.99999999999944578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4"/>
        <v>-5.0000000000005684</v>
      </c>
      <c r="S30" s="27">
        <f t="shared" si="3"/>
        <v>0</v>
      </c>
      <c r="T30" s="28">
        <f t="shared" si="3"/>
        <v>1.000000000000334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41759</v>
      </c>
      <c r="C31" s="26">
        <v>12.433999999999999</v>
      </c>
      <c r="D31" s="26">
        <v>7.4640000000000004</v>
      </c>
      <c r="E31" s="26">
        <v>7.5410000000000004</v>
      </c>
      <c r="F31" s="47"/>
      <c r="G31" s="47"/>
      <c r="H31" s="47"/>
      <c r="I31" s="57">
        <v>102.508</v>
      </c>
      <c r="J31" s="58">
        <v>623</v>
      </c>
      <c r="K31" s="59">
        <f t="shared" si="0"/>
        <v>65</v>
      </c>
      <c r="L31" s="19">
        <f t="shared" si="2"/>
        <v>0</v>
      </c>
      <c r="M31" s="19">
        <f t="shared" si="2"/>
        <v>-1.9999999999997797</v>
      </c>
      <c r="N31" s="19">
        <f t="shared" si="2"/>
        <v>-0.99999999999944578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4"/>
        <v>-6.0000000000053433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41764</v>
      </c>
      <c r="C32" s="26">
        <v>12.435</v>
      </c>
      <c r="D32" s="26">
        <v>7.4640000000000004</v>
      </c>
      <c r="E32" s="26">
        <v>7.5410000000000004</v>
      </c>
      <c r="F32" s="47"/>
      <c r="G32" s="47"/>
      <c r="H32" s="47"/>
      <c r="I32" s="57">
        <v>102.508</v>
      </c>
      <c r="J32" s="58">
        <v>659</v>
      </c>
      <c r="K32" s="59">
        <f t="shared" ref="K32:K49" si="5">IF(ISBLANK(J32),"",(J32-$J$8))</f>
        <v>101</v>
      </c>
      <c r="L32" s="19">
        <f t="shared" si="2"/>
        <v>1.0000000000012221</v>
      </c>
      <c r="M32" s="19">
        <f t="shared" si="2"/>
        <v>-1.9999999999997797</v>
      </c>
      <c r="N32" s="19">
        <f t="shared" si="2"/>
        <v>-0.99999999999944578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4"/>
        <v>-6.0000000000053433</v>
      </c>
      <c r="S32" s="27">
        <f t="shared" si="3"/>
        <v>0.20000000000024443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41765</v>
      </c>
      <c r="C33" s="26">
        <v>12.433999999999999</v>
      </c>
      <c r="D33" s="26">
        <v>7.4640000000000004</v>
      </c>
      <c r="E33" s="26">
        <v>7.5410000000000004</v>
      </c>
      <c r="F33" s="47"/>
      <c r="G33" s="47"/>
      <c r="H33" s="47"/>
      <c r="I33" s="57">
        <v>102.508</v>
      </c>
      <c r="J33" s="58">
        <v>668</v>
      </c>
      <c r="K33" s="59">
        <f t="shared" si="5"/>
        <v>110</v>
      </c>
      <c r="L33" s="19">
        <f t="shared" si="2"/>
        <v>0</v>
      </c>
      <c r="M33" s="19">
        <f t="shared" si="2"/>
        <v>-1.9999999999997797</v>
      </c>
      <c r="N33" s="19">
        <f t="shared" si="2"/>
        <v>-0.99999999999944578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4"/>
        <v>-6.0000000000053433</v>
      </c>
      <c r="S33" s="27">
        <f t="shared" ref="S33:X48" si="6">IF(C33="","",((C33-C32)*1000)/($B33-$B32))</f>
        <v>-1.0000000000012221</v>
      </c>
      <c r="T33" s="28">
        <f t="shared" si="6"/>
        <v>0</v>
      </c>
      <c r="U33" s="28">
        <f t="shared" si="6"/>
        <v>0</v>
      </c>
      <c r="V33" s="28" t="str">
        <f t="shared" si="6"/>
        <v/>
      </c>
      <c r="W33" s="28" t="str">
        <f t="shared" si="6"/>
        <v/>
      </c>
      <c r="X33" s="29" t="str">
        <f t="shared" si="6"/>
        <v/>
      </c>
      <c r="Y33" s="24"/>
    </row>
    <row r="34" spans="2:25" ht="15" customHeight="1" x14ac:dyDescent="0.2">
      <c r="B34" s="31">
        <v>41766</v>
      </c>
      <c r="C34" s="26">
        <v>12.435</v>
      </c>
      <c r="D34" s="26">
        <v>7.4640000000000004</v>
      </c>
      <c r="E34" s="26">
        <v>7.5419999999999998</v>
      </c>
      <c r="F34" s="47"/>
      <c r="G34" s="47"/>
      <c r="H34" s="47"/>
      <c r="I34" s="57">
        <v>102.509</v>
      </c>
      <c r="J34" s="58">
        <v>677</v>
      </c>
      <c r="K34" s="59">
        <f t="shared" si="5"/>
        <v>119</v>
      </c>
      <c r="L34" s="19">
        <f t="shared" si="2"/>
        <v>1.0000000000012221</v>
      </c>
      <c r="M34" s="19">
        <f t="shared" si="2"/>
        <v>-1.9999999999997797</v>
      </c>
      <c r="N34" s="19">
        <f t="shared" si="2"/>
        <v>0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4"/>
        <v>-5.0000000000005684</v>
      </c>
      <c r="S34" s="27">
        <f t="shared" si="6"/>
        <v>1.0000000000012221</v>
      </c>
      <c r="T34" s="28">
        <f t="shared" si="6"/>
        <v>0</v>
      </c>
      <c r="U34" s="28">
        <f t="shared" si="6"/>
        <v>0.99999999999944578</v>
      </c>
      <c r="V34" s="28" t="str">
        <f t="shared" si="6"/>
        <v/>
      </c>
      <c r="W34" s="28" t="str">
        <f t="shared" si="6"/>
        <v/>
      </c>
      <c r="X34" s="29" t="str">
        <f t="shared" si="6"/>
        <v/>
      </c>
      <c r="Y34" s="24"/>
    </row>
    <row r="35" spans="2:25" ht="15" customHeight="1" x14ac:dyDescent="0.2">
      <c r="B35" s="31">
        <v>41781</v>
      </c>
      <c r="C35" s="26">
        <v>12.435</v>
      </c>
      <c r="D35" s="26">
        <v>7.4640000000000004</v>
      </c>
      <c r="E35" s="26">
        <v>7.5419999999999998</v>
      </c>
      <c r="F35" s="47"/>
      <c r="G35" s="47"/>
      <c r="H35" s="47"/>
      <c r="I35" s="57">
        <v>102.51</v>
      </c>
      <c r="J35" s="58">
        <v>792</v>
      </c>
      <c r="K35" s="59">
        <f t="shared" si="5"/>
        <v>234</v>
      </c>
      <c r="L35" s="19">
        <f t="shared" si="2"/>
        <v>1.0000000000012221</v>
      </c>
      <c r="M35" s="19">
        <f t="shared" si="2"/>
        <v>-1.9999999999997797</v>
      </c>
      <c r="N35" s="19">
        <f t="shared" si="2"/>
        <v>0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4"/>
        <v>-3.9999999999957936</v>
      </c>
      <c r="S35" s="27">
        <f t="shared" si="6"/>
        <v>0</v>
      </c>
      <c r="T35" s="28">
        <f t="shared" si="6"/>
        <v>0</v>
      </c>
      <c r="U35" s="28">
        <f t="shared" si="6"/>
        <v>0</v>
      </c>
      <c r="V35" s="28" t="str">
        <f t="shared" si="6"/>
        <v/>
      </c>
      <c r="W35" s="28" t="str">
        <f t="shared" si="6"/>
        <v/>
      </c>
      <c r="X35" s="29" t="str">
        <f t="shared" si="6"/>
        <v/>
      </c>
      <c r="Y35" s="24"/>
    </row>
    <row r="36" spans="2:25" ht="15" customHeight="1" x14ac:dyDescent="0.2">
      <c r="B36" s="31">
        <v>41806</v>
      </c>
      <c r="C36" s="26">
        <v>12.430999999999999</v>
      </c>
      <c r="D36" s="26">
        <v>7.4640000000000004</v>
      </c>
      <c r="E36" s="26">
        <v>7.54</v>
      </c>
      <c r="F36" s="47"/>
      <c r="G36" s="47"/>
      <c r="H36" s="47"/>
      <c r="I36" s="57">
        <v>102.51</v>
      </c>
      <c r="J36" s="58">
        <v>546</v>
      </c>
      <c r="K36" s="59">
        <f t="shared" si="5"/>
        <v>-12</v>
      </c>
      <c r="L36" s="19">
        <f t="shared" si="2"/>
        <v>-3.0000000000001137</v>
      </c>
      <c r="M36" s="19">
        <f t="shared" si="2"/>
        <v>-1.9999999999997797</v>
      </c>
      <c r="N36" s="19">
        <f t="shared" si="2"/>
        <v>-1.9999999999997797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4"/>
        <v>-3.9999999999957936</v>
      </c>
      <c r="S36" s="27">
        <f t="shared" si="6"/>
        <v>-0.16000000000005343</v>
      </c>
      <c r="T36" s="28">
        <f t="shared" si="6"/>
        <v>0</v>
      </c>
      <c r="U36" s="28">
        <f t="shared" si="6"/>
        <v>-7.9999999999991189E-2</v>
      </c>
      <c r="V36" s="28" t="str">
        <f t="shared" si="6"/>
        <v/>
      </c>
      <c r="W36" s="28" t="str">
        <f t="shared" si="6"/>
        <v/>
      </c>
      <c r="X36" s="29" t="str">
        <f t="shared" si="6"/>
        <v/>
      </c>
      <c r="Y36" s="24" t="s">
        <v>44</v>
      </c>
    </row>
    <row r="37" spans="2:25" ht="15" customHeight="1" x14ac:dyDescent="0.2">
      <c r="B37" s="31">
        <v>41807</v>
      </c>
      <c r="C37" s="26">
        <v>12.432</v>
      </c>
      <c r="D37" s="26">
        <v>7.4630000000000001</v>
      </c>
      <c r="E37" s="26">
        <v>7.5410000000000004</v>
      </c>
      <c r="F37" s="47"/>
      <c r="G37" s="47"/>
      <c r="H37" s="47"/>
      <c r="I37" s="57">
        <v>102.509</v>
      </c>
      <c r="J37" s="58">
        <v>556</v>
      </c>
      <c r="K37" s="59">
        <f t="shared" si="5"/>
        <v>-2</v>
      </c>
      <c r="L37" s="19">
        <f t="shared" si="2"/>
        <v>-1.9999999999988916</v>
      </c>
      <c r="M37" s="19">
        <f t="shared" si="2"/>
        <v>-3.0000000000001137</v>
      </c>
      <c r="N37" s="19">
        <f t="shared" si="2"/>
        <v>-0.99999999999944578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4"/>
        <v>-5.0000000000005684</v>
      </c>
      <c r="S37" s="27">
        <f t="shared" si="6"/>
        <v>1.0000000000012221</v>
      </c>
      <c r="T37" s="28">
        <f t="shared" si="6"/>
        <v>-1.000000000000334</v>
      </c>
      <c r="U37" s="28">
        <f t="shared" si="6"/>
        <v>1.000000000000334</v>
      </c>
      <c r="V37" s="28" t="str">
        <f t="shared" si="6"/>
        <v/>
      </c>
      <c r="W37" s="28" t="str">
        <f t="shared" si="6"/>
        <v/>
      </c>
      <c r="X37" s="29" t="str">
        <f t="shared" si="6"/>
        <v/>
      </c>
      <c r="Y37" s="24"/>
    </row>
    <row r="38" spans="2:25" ht="15" customHeight="1" x14ac:dyDescent="0.2">
      <c r="B38" s="31">
        <v>41808</v>
      </c>
      <c r="C38" s="26">
        <v>12.433</v>
      </c>
      <c r="D38" s="26">
        <v>7.4640000000000004</v>
      </c>
      <c r="E38" s="26">
        <v>7.5410000000000004</v>
      </c>
      <c r="F38" s="47"/>
      <c r="G38" s="47"/>
      <c r="H38" s="47"/>
      <c r="I38" s="57">
        <v>102.509</v>
      </c>
      <c r="J38" s="58">
        <v>552</v>
      </c>
      <c r="K38" s="59">
        <f t="shared" si="5"/>
        <v>-6</v>
      </c>
      <c r="L38" s="19">
        <f t="shared" si="2"/>
        <v>-0.99999999999944578</v>
      </c>
      <c r="M38" s="19">
        <f t="shared" si="2"/>
        <v>-1.9999999999997797</v>
      </c>
      <c r="N38" s="19">
        <f t="shared" si="2"/>
        <v>-0.99999999999944578</v>
      </c>
      <c r="O38" s="19" t="str">
        <f t="shared" si="2"/>
        <v/>
      </c>
      <c r="P38" s="19" t="str">
        <f t="shared" si="2"/>
        <v/>
      </c>
      <c r="Q38" s="19" t="str">
        <f t="shared" si="2"/>
        <v/>
      </c>
      <c r="R38" s="19">
        <f t="shared" si="4"/>
        <v>-5.0000000000005684</v>
      </c>
      <c r="S38" s="27">
        <f t="shared" si="6"/>
        <v>0.99999999999944578</v>
      </c>
      <c r="T38" s="28">
        <f t="shared" si="6"/>
        <v>1.000000000000334</v>
      </c>
      <c r="U38" s="28">
        <f t="shared" si="6"/>
        <v>0</v>
      </c>
      <c r="V38" s="28" t="str">
        <f t="shared" si="6"/>
        <v/>
      </c>
      <c r="W38" s="28" t="str">
        <f t="shared" si="6"/>
        <v/>
      </c>
      <c r="X38" s="29" t="str">
        <f t="shared" si="6"/>
        <v/>
      </c>
      <c r="Y38" s="24"/>
    </row>
    <row r="39" spans="2:25" ht="15" customHeight="1" x14ac:dyDescent="0.2">
      <c r="B39" s="31">
        <v>41809</v>
      </c>
      <c r="C39" s="26">
        <v>12.432</v>
      </c>
      <c r="D39" s="26">
        <v>7.4630000000000001</v>
      </c>
      <c r="E39" s="26">
        <v>7.5410000000000004</v>
      </c>
      <c r="F39" s="47"/>
      <c r="G39" s="47"/>
      <c r="H39" s="47"/>
      <c r="I39" s="57">
        <v>102.51</v>
      </c>
      <c r="J39" s="58">
        <v>559</v>
      </c>
      <c r="K39" s="59">
        <f t="shared" si="5"/>
        <v>1</v>
      </c>
      <c r="L39" s="19">
        <f t="shared" si="2"/>
        <v>-1.9999999999988916</v>
      </c>
      <c r="M39" s="19">
        <f t="shared" si="2"/>
        <v>-3.0000000000001137</v>
      </c>
      <c r="N39" s="19">
        <f t="shared" si="2"/>
        <v>-0.99999999999944578</v>
      </c>
      <c r="O39" s="19" t="str">
        <f t="shared" si="2"/>
        <v/>
      </c>
      <c r="P39" s="19" t="str">
        <f t="shared" si="2"/>
        <v/>
      </c>
      <c r="Q39" s="19" t="str">
        <f t="shared" si="2"/>
        <v/>
      </c>
      <c r="R39" s="19">
        <f t="shared" si="4"/>
        <v>-3.9999999999957936</v>
      </c>
      <c r="S39" s="27">
        <f t="shared" si="6"/>
        <v>-0.99999999999944578</v>
      </c>
      <c r="T39" s="28">
        <f t="shared" si="6"/>
        <v>-1.000000000000334</v>
      </c>
      <c r="U39" s="28">
        <f t="shared" si="6"/>
        <v>0</v>
      </c>
      <c r="V39" s="28" t="str">
        <f t="shared" si="6"/>
        <v/>
      </c>
      <c r="W39" s="28" t="str">
        <f t="shared" si="6"/>
        <v/>
      </c>
      <c r="X39" s="29" t="str">
        <f t="shared" si="6"/>
        <v/>
      </c>
      <c r="Y39" s="24"/>
    </row>
    <row r="40" spans="2:25" ht="15" customHeight="1" x14ac:dyDescent="0.2">
      <c r="B40" s="31">
        <v>41810</v>
      </c>
      <c r="C40" s="26">
        <v>12.433</v>
      </c>
      <c r="D40" s="26">
        <v>7.4630000000000001</v>
      </c>
      <c r="E40" s="26">
        <v>7.5419999999999998</v>
      </c>
      <c r="F40" s="47"/>
      <c r="G40" s="47"/>
      <c r="H40" s="47"/>
      <c r="I40" s="57">
        <v>102.509</v>
      </c>
      <c r="J40" s="58">
        <v>563</v>
      </c>
      <c r="K40" s="59">
        <f t="shared" si="5"/>
        <v>5</v>
      </c>
      <c r="L40" s="19">
        <f t="shared" si="2"/>
        <v>-0.99999999999944578</v>
      </c>
      <c r="M40" s="19">
        <f t="shared" si="2"/>
        <v>-3.0000000000001137</v>
      </c>
      <c r="N40" s="19">
        <f t="shared" si="2"/>
        <v>0</v>
      </c>
      <c r="O40" s="19" t="str">
        <f t="shared" si="2"/>
        <v/>
      </c>
      <c r="P40" s="19" t="str">
        <f t="shared" si="2"/>
        <v/>
      </c>
      <c r="Q40" s="19" t="str">
        <f t="shared" si="2"/>
        <v/>
      </c>
      <c r="R40" s="19">
        <f t="shared" si="4"/>
        <v>-5.0000000000005684</v>
      </c>
      <c r="S40" s="27">
        <f t="shared" si="6"/>
        <v>0.99999999999944578</v>
      </c>
      <c r="T40" s="28">
        <f t="shared" si="6"/>
        <v>0</v>
      </c>
      <c r="U40" s="28">
        <f t="shared" si="6"/>
        <v>0.99999999999944578</v>
      </c>
      <c r="V40" s="28" t="str">
        <f t="shared" si="6"/>
        <v/>
      </c>
      <c r="W40" s="28" t="str">
        <f t="shared" si="6"/>
        <v/>
      </c>
      <c r="X40" s="29" t="str">
        <f t="shared" si="6"/>
        <v/>
      </c>
      <c r="Y40" s="24"/>
    </row>
    <row r="41" spans="2:25" ht="15" customHeight="1" x14ac:dyDescent="0.2">
      <c r="B41" s="31">
        <v>41813</v>
      </c>
      <c r="C41" s="26">
        <v>12.433</v>
      </c>
      <c r="D41" s="26">
        <v>7.4630000000000001</v>
      </c>
      <c r="E41" s="26">
        <v>7.5419999999999998</v>
      </c>
      <c r="F41" s="47">
        <v>13.352</v>
      </c>
      <c r="G41" s="47">
        <v>10.074</v>
      </c>
      <c r="H41" s="47">
        <v>10.242000000000001</v>
      </c>
      <c r="I41" s="57">
        <v>102.509</v>
      </c>
      <c r="J41" s="58">
        <v>574</v>
      </c>
      <c r="K41" s="59">
        <f t="shared" si="5"/>
        <v>16</v>
      </c>
      <c r="L41" s="19">
        <f t="shared" si="2"/>
        <v>-0.99999999999944578</v>
      </c>
      <c r="M41" s="19">
        <f t="shared" si="2"/>
        <v>-3.0000000000001137</v>
      </c>
      <c r="N41" s="19">
        <f t="shared" si="2"/>
        <v>0</v>
      </c>
      <c r="O41" s="19">
        <f>IF(ISBLANK(F41),"",((F41-F$41)*1000)+L$41)</f>
        <v>-0.99999999999944578</v>
      </c>
      <c r="P41" s="19">
        <f>IF(ISBLANK(G41),"",((G41-G$41)*1000)+M$41)</f>
        <v>-3.0000000000001137</v>
      </c>
      <c r="Q41" s="19">
        <f>IF(ISBLANK(H41),"",((H41-H$41)*1000)+N$41)</f>
        <v>0</v>
      </c>
      <c r="R41" s="19">
        <f t="shared" si="4"/>
        <v>-5.0000000000005684</v>
      </c>
      <c r="S41" s="27">
        <f t="shared" si="6"/>
        <v>0</v>
      </c>
      <c r="T41" s="28">
        <f t="shared" si="6"/>
        <v>0</v>
      </c>
      <c r="U41" s="28">
        <f t="shared" si="6"/>
        <v>0</v>
      </c>
      <c r="V41" s="28"/>
      <c r="W41" s="28"/>
      <c r="X41" s="29"/>
      <c r="Y41" s="24"/>
    </row>
    <row r="42" spans="2:25" ht="15" customHeight="1" x14ac:dyDescent="0.2">
      <c r="B42" s="31">
        <v>41814</v>
      </c>
      <c r="C42" s="26">
        <v>12.432</v>
      </c>
      <c r="D42" s="26">
        <v>7.4630000000000001</v>
      </c>
      <c r="E42" s="26">
        <v>7.5419999999999998</v>
      </c>
      <c r="F42" s="47">
        <v>13.351000000000001</v>
      </c>
      <c r="G42" s="47">
        <v>10.074</v>
      </c>
      <c r="H42" s="47">
        <v>10.242000000000001</v>
      </c>
      <c r="I42" s="57">
        <v>102.509</v>
      </c>
      <c r="J42" s="58">
        <v>603</v>
      </c>
      <c r="K42" s="59">
        <f t="shared" si="5"/>
        <v>45</v>
      </c>
      <c r="L42" s="19">
        <f t="shared" si="2"/>
        <v>-1.9999999999988916</v>
      </c>
      <c r="M42" s="19">
        <f t="shared" si="2"/>
        <v>-3.0000000000001137</v>
      </c>
      <c r="N42" s="19">
        <f t="shared" si="2"/>
        <v>0</v>
      </c>
      <c r="O42" s="19">
        <f t="shared" ref="O42:O105" si="7">IF(ISBLANK(F42),"",((F42-F$41)*1000)+L$41)</f>
        <v>-1.9999999999988916</v>
      </c>
      <c r="P42" s="19">
        <f t="shared" ref="P42:P105" si="8">IF(ISBLANK(G42),"",((G42-G$41)*1000)+M$41)</f>
        <v>-3.0000000000001137</v>
      </c>
      <c r="Q42" s="19">
        <f t="shared" ref="Q42:Q105" si="9">IF(ISBLANK(H42),"",((H42-H$41)*1000)+N$41)</f>
        <v>0</v>
      </c>
      <c r="R42" s="19">
        <f t="shared" si="4"/>
        <v>-5.0000000000005684</v>
      </c>
      <c r="S42" s="27">
        <f t="shared" si="6"/>
        <v>-0.99999999999944578</v>
      </c>
      <c r="T42" s="28">
        <f t="shared" si="6"/>
        <v>0</v>
      </c>
      <c r="U42" s="28">
        <f t="shared" si="6"/>
        <v>0</v>
      </c>
      <c r="V42" s="28">
        <f t="shared" si="6"/>
        <v>-0.99999999999944578</v>
      </c>
      <c r="W42" s="28">
        <f t="shared" si="6"/>
        <v>0</v>
      </c>
      <c r="X42" s="29">
        <f t="shared" si="6"/>
        <v>0</v>
      </c>
      <c r="Y42" s="24"/>
    </row>
    <row r="43" spans="2:25" ht="15" customHeight="1" x14ac:dyDescent="0.2">
      <c r="B43" s="31">
        <v>41815</v>
      </c>
      <c r="C43" s="26">
        <v>12.433</v>
      </c>
      <c r="D43" s="26">
        <v>7.4630000000000001</v>
      </c>
      <c r="E43" s="26">
        <v>7.5419999999999998</v>
      </c>
      <c r="F43" s="47">
        <v>13.352</v>
      </c>
      <c r="G43" s="47">
        <v>10.073</v>
      </c>
      <c r="H43" s="47">
        <v>10.242000000000001</v>
      </c>
      <c r="I43" s="57">
        <v>102.509</v>
      </c>
      <c r="J43" s="58">
        <v>603</v>
      </c>
      <c r="K43" s="59">
        <f t="shared" si="5"/>
        <v>45</v>
      </c>
      <c r="L43" s="19">
        <f t="shared" si="2"/>
        <v>-0.99999999999944578</v>
      </c>
      <c r="M43" s="19">
        <f t="shared" si="2"/>
        <v>-3.0000000000001137</v>
      </c>
      <c r="N43" s="19">
        <f t="shared" si="2"/>
        <v>0</v>
      </c>
      <c r="O43" s="19">
        <f t="shared" si="7"/>
        <v>-0.99999999999944578</v>
      </c>
      <c r="P43" s="19">
        <f t="shared" si="8"/>
        <v>-3.9999999999995595</v>
      </c>
      <c r="Q43" s="19">
        <f t="shared" si="9"/>
        <v>0</v>
      </c>
      <c r="R43" s="19">
        <f t="shared" si="4"/>
        <v>-5.0000000000005684</v>
      </c>
      <c r="S43" s="27">
        <f t="shared" si="6"/>
        <v>0.99999999999944578</v>
      </c>
      <c r="T43" s="28">
        <f t="shared" si="6"/>
        <v>0</v>
      </c>
      <c r="U43" s="28">
        <f t="shared" si="6"/>
        <v>0</v>
      </c>
      <c r="V43" s="28">
        <f t="shared" si="6"/>
        <v>0.99999999999944578</v>
      </c>
      <c r="W43" s="28">
        <f t="shared" si="6"/>
        <v>-0.99999999999944578</v>
      </c>
      <c r="X43" s="29">
        <f t="shared" si="6"/>
        <v>0</v>
      </c>
      <c r="Y43" s="24"/>
    </row>
    <row r="44" spans="2:25" ht="15" customHeight="1" x14ac:dyDescent="0.2">
      <c r="B44" s="31">
        <v>41820</v>
      </c>
      <c r="C44" s="26">
        <v>12.433</v>
      </c>
      <c r="D44" s="26">
        <v>7.4630000000000001</v>
      </c>
      <c r="E44" s="26">
        <v>7.5419999999999998</v>
      </c>
      <c r="F44" s="47">
        <v>13.351000000000001</v>
      </c>
      <c r="G44" s="47">
        <v>10.074</v>
      </c>
      <c r="H44" s="47">
        <v>10.242000000000001</v>
      </c>
      <c r="I44" s="57">
        <v>102.509</v>
      </c>
      <c r="J44" s="58">
        <v>645</v>
      </c>
      <c r="K44" s="59">
        <f t="shared" si="5"/>
        <v>87</v>
      </c>
      <c r="L44" s="19">
        <f t="shared" si="2"/>
        <v>-0.99999999999944578</v>
      </c>
      <c r="M44" s="19">
        <f t="shared" si="2"/>
        <v>-3.0000000000001137</v>
      </c>
      <c r="N44" s="19">
        <f t="shared" si="2"/>
        <v>0</v>
      </c>
      <c r="O44" s="19">
        <f t="shared" si="7"/>
        <v>-1.9999999999988916</v>
      </c>
      <c r="P44" s="19">
        <f t="shared" si="8"/>
        <v>-3.0000000000001137</v>
      </c>
      <c r="Q44" s="19">
        <f t="shared" si="9"/>
        <v>0</v>
      </c>
      <c r="R44" s="19">
        <f t="shared" si="4"/>
        <v>-5.0000000000005684</v>
      </c>
      <c r="S44" s="27">
        <f t="shared" si="6"/>
        <v>0</v>
      </c>
      <c r="T44" s="28">
        <f t="shared" si="6"/>
        <v>0</v>
      </c>
      <c r="U44" s="28">
        <f t="shared" si="6"/>
        <v>0</v>
      </c>
      <c r="V44" s="28">
        <f t="shared" si="6"/>
        <v>-0.19999999999988916</v>
      </c>
      <c r="W44" s="28">
        <f t="shared" si="6"/>
        <v>0.19999999999988916</v>
      </c>
      <c r="X44" s="29">
        <f t="shared" si="6"/>
        <v>0</v>
      </c>
      <c r="Y44" s="24"/>
    </row>
    <row r="45" spans="2:25" ht="15" customHeight="1" x14ac:dyDescent="0.2">
      <c r="B45" s="31">
        <v>41821</v>
      </c>
      <c r="C45" s="26">
        <v>12.433</v>
      </c>
      <c r="D45" s="26">
        <v>7.4640000000000004</v>
      </c>
      <c r="E45" s="26">
        <v>7.5410000000000004</v>
      </c>
      <c r="F45" s="47">
        <v>13.352</v>
      </c>
      <c r="G45" s="47">
        <v>10.074</v>
      </c>
      <c r="H45" s="47">
        <v>10.243</v>
      </c>
      <c r="I45" s="57">
        <v>102.509</v>
      </c>
      <c r="J45" s="58">
        <v>671</v>
      </c>
      <c r="K45" s="59">
        <f t="shared" si="5"/>
        <v>113</v>
      </c>
      <c r="L45" s="19">
        <f t="shared" si="2"/>
        <v>-0.99999999999944578</v>
      </c>
      <c r="M45" s="19">
        <f t="shared" si="2"/>
        <v>-1.9999999999997797</v>
      </c>
      <c r="N45" s="19">
        <f t="shared" si="2"/>
        <v>-0.99999999999944578</v>
      </c>
      <c r="O45" s="19">
        <f t="shared" si="7"/>
        <v>-0.99999999999944578</v>
      </c>
      <c r="P45" s="19">
        <f t="shared" si="8"/>
        <v>-3.0000000000001137</v>
      </c>
      <c r="Q45" s="19">
        <f t="shared" si="9"/>
        <v>0.99999999999944578</v>
      </c>
      <c r="R45" s="19">
        <f t="shared" si="4"/>
        <v>-5.0000000000005684</v>
      </c>
      <c r="S45" s="27">
        <f t="shared" si="6"/>
        <v>0</v>
      </c>
      <c r="T45" s="28">
        <f t="shared" si="6"/>
        <v>1.000000000000334</v>
      </c>
      <c r="U45" s="28">
        <f t="shared" si="6"/>
        <v>-0.99999999999944578</v>
      </c>
      <c r="V45" s="28">
        <f t="shared" si="6"/>
        <v>0.99999999999944578</v>
      </c>
      <c r="W45" s="28">
        <f t="shared" si="6"/>
        <v>0</v>
      </c>
      <c r="X45" s="29">
        <f t="shared" si="6"/>
        <v>0.99999999999944578</v>
      </c>
      <c r="Y45" s="24"/>
    </row>
    <row r="46" spans="2:25" ht="15" customHeight="1" x14ac:dyDescent="0.2">
      <c r="B46" s="31">
        <v>41828</v>
      </c>
      <c r="C46" s="26">
        <v>12.433</v>
      </c>
      <c r="D46" s="26">
        <v>7.4630000000000001</v>
      </c>
      <c r="E46" s="26">
        <v>7.5419999999999998</v>
      </c>
      <c r="F46" s="47">
        <v>13.351000000000001</v>
      </c>
      <c r="G46" s="47">
        <v>10.074</v>
      </c>
      <c r="H46" s="47">
        <v>10.242000000000001</v>
      </c>
      <c r="I46" s="57">
        <v>102.51</v>
      </c>
      <c r="J46" s="58">
        <v>775</v>
      </c>
      <c r="K46" s="59">
        <f t="shared" si="5"/>
        <v>217</v>
      </c>
      <c r="L46" s="19">
        <f t="shared" si="2"/>
        <v>-0.99999999999944578</v>
      </c>
      <c r="M46" s="19">
        <f t="shared" si="2"/>
        <v>-3.0000000000001137</v>
      </c>
      <c r="N46" s="19">
        <f t="shared" si="2"/>
        <v>0</v>
      </c>
      <c r="O46" s="19">
        <f t="shared" si="7"/>
        <v>-1.9999999999988916</v>
      </c>
      <c r="P46" s="19">
        <f t="shared" si="8"/>
        <v>-3.0000000000001137</v>
      </c>
      <c r="Q46" s="19">
        <f t="shared" si="9"/>
        <v>0</v>
      </c>
      <c r="R46" s="19">
        <f t="shared" si="4"/>
        <v>-3.9999999999957936</v>
      </c>
      <c r="S46" s="27">
        <f t="shared" si="6"/>
        <v>0</v>
      </c>
      <c r="T46" s="28">
        <f t="shared" si="6"/>
        <v>-0.14285714285719056</v>
      </c>
      <c r="U46" s="28">
        <f t="shared" si="6"/>
        <v>0.14285714285706369</v>
      </c>
      <c r="V46" s="28">
        <f t="shared" si="6"/>
        <v>-0.14285714285706369</v>
      </c>
      <c r="W46" s="28">
        <f t="shared" si="6"/>
        <v>0</v>
      </c>
      <c r="X46" s="29">
        <f t="shared" si="6"/>
        <v>-0.14285714285706369</v>
      </c>
      <c r="Y46" s="24"/>
    </row>
    <row r="47" spans="2:25" ht="15" customHeight="1" x14ac:dyDescent="0.2">
      <c r="B47" s="31">
        <v>41835</v>
      </c>
      <c r="C47" s="26">
        <v>12.433</v>
      </c>
      <c r="D47" s="26">
        <v>7.4630000000000001</v>
      </c>
      <c r="E47" s="26">
        <v>7.5410000000000004</v>
      </c>
      <c r="F47" s="47">
        <v>13.351000000000001</v>
      </c>
      <c r="G47" s="47">
        <v>10.074</v>
      </c>
      <c r="H47" s="47">
        <v>10.242000000000001</v>
      </c>
      <c r="I47" s="57">
        <v>102.509</v>
      </c>
      <c r="J47" s="58">
        <v>857</v>
      </c>
      <c r="K47" s="59">
        <f t="shared" si="5"/>
        <v>299</v>
      </c>
      <c r="L47" s="19">
        <f t="shared" si="2"/>
        <v>-0.99999999999944578</v>
      </c>
      <c r="M47" s="19">
        <f t="shared" si="2"/>
        <v>-3.0000000000001137</v>
      </c>
      <c r="N47" s="19">
        <f t="shared" si="2"/>
        <v>-0.99999999999944578</v>
      </c>
      <c r="O47" s="19">
        <f t="shared" si="7"/>
        <v>-1.9999999999988916</v>
      </c>
      <c r="P47" s="19">
        <f t="shared" si="8"/>
        <v>-3.0000000000001137</v>
      </c>
      <c r="Q47" s="19">
        <f t="shared" si="9"/>
        <v>0</v>
      </c>
      <c r="R47" s="19">
        <f t="shared" si="4"/>
        <v>-5.0000000000005684</v>
      </c>
      <c r="S47" s="27">
        <f t="shared" si="6"/>
        <v>0</v>
      </c>
      <c r="T47" s="28">
        <f t="shared" si="6"/>
        <v>0</v>
      </c>
      <c r="U47" s="28">
        <f t="shared" si="6"/>
        <v>-0.14285714285706369</v>
      </c>
      <c r="V47" s="28">
        <f t="shared" si="6"/>
        <v>0</v>
      </c>
      <c r="W47" s="28">
        <f t="shared" si="6"/>
        <v>0</v>
      </c>
      <c r="X47" s="29">
        <f t="shared" si="6"/>
        <v>0</v>
      </c>
      <c r="Y47" s="24"/>
    </row>
    <row r="48" spans="2:25" ht="15" customHeight="1" x14ac:dyDescent="0.2">
      <c r="B48" s="31">
        <v>41879</v>
      </c>
      <c r="C48" s="26"/>
      <c r="D48" s="26"/>
      <c r="E48" s="26"/>
      <c r="F48" s="47">
        <v>13.351000000000001</v>
      </c>
      <c r="G48" s="47">
        <v>10.073</v>
      </c>
      <c r="H48" s="47">
        <v>10.242000000000001</v>
      </c>
      <c r="I48" s="57">
        <v>102.509</v>
      </c>
      <c r="J48" s="58">
        <v>943</v>
      </c>
      <c r="K48" s="59">
        <f t="shared" si="5"/>
        <v>385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7"/>
        <v>-1.9999999999988916</v>
      </c>
      <c r="P48" s="19">
        <f t="shared" si="8"/>
        <v>-3.9999999999995595</v>
      </c>
      <c r="Q48" s="19">
        <f t="shared" si="9"/>
        <v>0</v>
      </c>
      <c r="R48" s="19">
        <f t="shared" si="4"/>
        <v>-5.0000000000005684</v>
      </c>
      <c r="S48" s="27" t="str">
        <f t="shared" si="6"/>
        <v/>
      </c>
      <c r="T48" s="28" t="str">
        <f t="shared" si="6"/>
        <v/>
      </c>
      <c r="U48" s="28" t="str">
        <f t="shared" si="6"/>
        <v/>
      </c>
      <c r="V48" s="28">
        <f t="shared" si="6"/>
        <v>0</v>
      </c>
      <c r="W48" s="28">
        <f t="shared" si="6"/>
        <v>-2.272727272726013E-2</v>
      </c>
      <c r="X48" s="29">
        <f t="shared" si="6"/>
        <v>0</v>
      </c>
      <c r="Y48" s="24"/>
    </row>
    <row r="49" spans="2:25" ht="15" customHeight="1" x14ac:dyDescent="0.2">
      <c r="B49" s="31">
        <v>41913</v>
      </c>
      <c r="C49" s="26"/>
      <c r="D49" s="26"/>
      <c r="E49" s="26"/>
      <c r="F49" s="47">
        <v>13.352</v>
      </c>
      <c r="G49" s="47">
        <v>10.074</v>
      </c>
      <c r="H49" s="47">
        <v>10.243</v>
      </c>
      <c r="I49" s="57">
        <v>102.509</v>
      </c>
      <c r="J49" s="58">
        <v>943</v>
      </c>
      <c r="K49" s="59">
        <f t="shared" si="5"/>
        <v>385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7"/>
        <v>-0.99999999999944578</v>
      </c>
      <c r="P49" s="19">
        <f t="shared" si="8"/>
        <v>-3.0000000000001137</v>
      </c>
      <c r="Q49" s="19">
        <f t="shared" si="9"/>
        <v>0.99999999999944578</v>
      </c>
      <c r="R49" s="19">
        <f t="shared" si="4"/>
        <v>-5.0000000000005684</v>
      </c>
      <c r="S49" s="27" t="str">
        <f t="shared" ref="S49:X64" si="10">IF(C49="","",((C49-C48)*1000)/($B49-$B48))</f>
        <v/>
      </c>
      <c r="T49" s="28" t="str">
        <f t="shared" si="10"/>
        <v/>
      </c>
      <c r="U49" s="28" t="str">
        <f t="shared" si="10"/>
        <v/>
      </c>
      <c r="V49" s="28">
        <f t="shared" si="10"/>
        <v>2.9411764705866053E-2</v>
      </c>
      <c r="W49" s="28">
        <f t="shared" si="10"/>
        <v>2.9411764705866053E-2</v>
      </c>
      <c r="X49" s="29">
        <f t="shared" si="10"/>
        <v>2.9411764705866053E-2</v>
      </c>
      <c r="Y49" s="24"/>
    </row>
    <row r="50" spans="2:25" ht="15" customHeight="1" x14ac:dyDescent="0.2">
      <c r="B50" s="31">
        <v>42032</v>
      </c>
      <c r="C50" s="26"/>
      <c r="D50" s="26"/>
      <c r="E50" s="26"/>
      <c r="F50" s="47">
        <v>13.353</v>
      </c>
      <c r="G50" s="47">
        <v>10.074999999999999</v>
      </c>
      <c r="H50" s="47">
        <v>10.243</v>
      </c>
      <c r="I50" s="57">
        <v>102.509</v>
      </c>
      <c r="J50" s="58">
        <v>943</v>
      </c>
      <c r="K50" s="59">
        <f>IF(ISBLANK(J50),"",(J50-$J$8))</f>
        <v>385</v>
      </c>
      <c r="L50" s="19" t="str">
        <f t="shared" si="2"/>
        <v/>
      </c>
      <c r="M50" s="19" t="str">
        <f t="shared" si="2"/>
        <v/>
      </c>
      <c r="N50" s="19" t="str">
        <f t="shared" si="2"/>
        <v/>
      </c>
      <c r="O50" s="19">
        <f t="shared" si="7"/>
        <v>0</v>
      </c>
      <c r="P50" s="19">
        <f t="shared" si="8"/>
        <v>-2.0000000000006679</v>
      </c>
      <c r="Q50" s="19">
        <f t="shared" si="9"/>
        <v>0.99999999999944578</v>
      </c>
      <c r="R50" s="19">
        <f t="shared" si="4"/>
        <v>-5.0000000000005684</v>
      </c>
      <c r="S50" s="27" t="str">
        <f t="shared" si="10"/>
        <v/>
      </c>
      <c r="T50" s="28" t="str">
        <f t="shared" si="10"/>
        <v/>
      </c>
      <c r="U50" s="28" t="str">
        <f t="shared" si="10"/>
        <v/>
      </c>
      <c r="V50" s="28">
        <f t="shared" si="10"/>
        <v>8.403361344533157E-3</v>
      </c>
      <c r="W50" s="28">
        <f t="shared" si="10"/>
        <v>8.403361344533157E-3</v>
      </c>
      <c r="X50" s="29">
        <f t="shared" si="10"/>
        <v>0</v>
      </c>
      <c r="Y50" s="24"/>
    </row>
    <row r="51" spans="2:25" ht="15" customHeight="1" x14ac:dyDescent="0.2">
      <c r="B51" s="31">
        <v>42121</v>
      </c>
      <c r="C51" s="25"/>
      <c r="D51" s="26"/>
      <c r="E51" s="26"/>
      <c r="F51" s="47">
        <v>13.353</v>
      </c>
      <c r="G51" s="47">
        <v>10.074</v>
      </c>
      <c r="H51" s="47">
        <v>10.243</v>
      </c>
      <c r="I51" s="57">
        <v>102.509</v>
      </c>
      <c r="J51" s="58">
        <v>943</v>
      </c>
      <c r="K51" s="18">
        <f>IF(ISBLANK(J51),"",(J51-$J$8))</f>
        <v>385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7"/>
        <v>0</v>
      </c>
      <c r="P51" s="19">
        <f t="shared" si="8"/>
        <v>-3.0000000000001137</v>
      </c>
      <c r="Q51" s="19">
        <f t="shared" si="9"/>
        <v>0.99999999999944578</v>
      </c>
      <c r="R51" s="19">
        <f t="shared" si="4"/>
        <v>-5.0000000000005684</v>
      </c>
      <c r="S51" s="27" t="str">
        <f t="shared" si="10"/>
        <v/>
      </c>
      <c r="T51" s="28" t="str">
        <f t="shared" si="10"/>
        <v/>
      </c>
      <c r="U51" s="28" t="str">
        <f t="shared" si="10"/>
        <v/>
      </c>
      <c r="V51" s="28">
        <f t="shared" si="10"/>
        <v>0</v>
      </c>
      <c r="W51" s="28">
        <f t="shared" si="10"/>
        <v>-1.1235955056173547E-2</v>
      </c>
      <c r="X51" s="29">
        <f t="shared" si="10"/>
        <v>0</v>
      </c>
      <c r="Y51" s="24"/>
    </row>
    <row r="52" spans="2:25" ht="15" customHeight="1" x14ac:dyDescent="0.2">
      <c r="B52" s="31">
        <v>42222</v>
      </c>
      <c r="C52" s="33"/>
      <c r="D52" s="16"/>
      <c r="E52" s="16"/>
      <c r="F52" s="16">
        <v>13.352</v>
      </c>
      <c r="G52" s="16">
        <v>10.074</v>
      </c>
      <c r="H52" s="16">
        <v>10.242000000000001</v>
      </c>
      <c r="I52" s="16">
        <v>102.51</v>
      </c>
      <c r="J52" s="32">
        <v>1278</v>
      </c>
      <c r="K52" s="18">
        <f t="shared" ref="K52:K86" si="11">IF(ISBLANK(J52),"",(J52-$J$8))</f>
        <v>720</v>
      </c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>
        <f t="shared" si="7"/>
        <v>-0.99999999999944578</v>
      </c>
      <c r="P52" s="19">
        <f t="shared" si="8"/>
        <v>-3.0000000000001137</v>
      </c>
      <c r="Q52" s="19">
        <f t="shared" si="9"/>
        <v>0</v>
      </c>
      <c r="R52" s="19">
        <f t="shared" si="4"/>
        <v>-3.9999999999957936</v>
      </c>
      <c r="S52" s="27" t="str">
        <f t="shared" si="10"/>
        <v/>
      </c>
      <c r="T52" s="28" t="str">
        <f t="shared" si="10"/>
        <v/>
      </c>
      <c r="U52" s="28" t="str">
        <f t="shared" si="10"/>
        <v/>
      </c>
      <c r="V52" s="28">
        <f t="shared" si="10"/>
        <v>-9.9009900990044142E-3</v>
      </c>
      <c r="W52" s="28">
        <f t="shared" si="10"/>
        <v>0</v>
      </c>
      <c r="X52" s="29">
        <f t="shared" si="10"/>
        <v>-9.9009900990044142E-3</v>
      </c>
      <c r="Y52" s="24"/>
    </row>
    <row r="53" spans="2:25" ht="15" customHeight="1" x14ac:dyDescent="0.2">
      <c r="B53" s="31">
        <v>42326</v>
      </c>
      <c r="C53" s="25"/>
      <c r="D53" s="26"/>
      <c r="E53" s="26"/>
      <c r="F53" s="16">
        <v>13.35</v>
      </c>
      <c r="G53" s="16">
        <v>10.074</v>
      </c>
      <c r="H53" s="16">
        <v>10.242000000000001</v>
      </c>
      <c r="I53" s="16">
        <v>102.51</v>
      </c>
      <c r="J53" s="32">
        <v>2248</v>
      </c>
      <c r="K53" s="18">
        <f t="shared" si="11"/>
        <v>1690</v>
      </c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>
        <f t="shared" si="7"/>
        <v>-3.0000000000001137</v>
      </c>
      <c r="P53" s="19">
        <f t="shared" si="8"/>
        <v>-3.0000000000001137</v>
      </c>
      <c r="Q53" s="19">
        <f t="shared" si="9"/>
        <v>0</v>
      </c>
      <c r="R53" s="19">
        <f t="shared" si="4"/>
        <v>-3.9999999999957936</v>
      </c>
      <c r="S53" s="27" t="str">
        <f t="shared" si="10"/>
        <v/>
      </c>
      <c r="T53" s="28" t="str">
        <f t="shared" si="10"/>
        <v/>
      </c>
      <c r="U53" s="28" t="str">
        <f t="shared" si="10"/>
        <v/>
      </c>
      <c r="V53" s="28">
        <f t="shared" si="10"/>
        <v>-1.9230769230775654E-2</v>
      </c>
      <c r="W53" s="28">
        <f t="shared" si="10"/>
        <v>0</v>
      </c>
      <c r="X53" s="29">
        <f t="shared" si="10"/>
        <v>0</v>
      </c>
      <c r="Y53" s="24"/>
    </row>
    <row r="54" spans="2:25" ht="15" customHeight="1" x14ac:dyDescent="0.2">
      <c r="B54" s="31">
        <v>42416</v>
      </c>
      <c r="C54" s="26">
        <v>12.432</v>
      </c>
      <c r="D54" s="26">
        <v>7.4630000000000001</v>
      </c>
      <c r="E54" s="26">
        <v>7.5419999999999998</v>
      </c>
      <c r="F54" s="16">
        <v>13.351000000000001</v>
      </c>
      <c r="G54" s="16">
        <v>10.074999999999999</v>
      </c>
      <c r="H54" s="16">
        <v>10.241</v>
      </c>
      <c r="I54" s="16">
        <v>102.511</v>
      </c>
      <c r="J54" s="58">
        <v>2519</v>
      </c>
      <c r="K54" s="18">
        <f t="shared" si="11"/>
        <v>1961</v>
      </c>
      <c r="L54" s="19"/>
      <c r="M54" s="19"/>
      <c r="N54" s="19"/>
      <c r="O54" s="19">
        <f t="shared" si="7"/>
        <v>-1.9999999999988916</v>
      </c>
      <c r="P54" s="19">
        <f t="shared" si="8"/>
        <v>-2.0000000000006679</v>
      </c>
      <c r="Q54" s="19">
        <f t="shared" si="9"/>
        <v>-1.0000000000012221</v>
      </c>
      <c r="R54" s="19">
        <f t="shared" si="4"/>
        <v>-3.0000000000052296</v>
      </c>
      <c r="S54" s="27"/>
      <c r="T54" s="28"/>
      <c r="U54" s="28"/>
      <c r="V54" s="28">
        <f t="shared" si="10"/>
        <v>1.1111111111124691E-2</v>
      </c>
      <c r="W54" s="28">
        <f t="shared" si="10"/>
        <v>1.1111111111104953E-2</v>
      </c>
      <c r="X54" s="29">
        <f t="shared" si="10"/>
        <v>-1.1111111111124691E-2</v>
      </c>
      <c r="Y54" s="24"/>
    </row>
    <row r="55" spans="2:25" ht="15" customHeight="1" x14ac:dyDescent="0.2">
      <c r="B55" s="31">
        <v>42530</v>
      </c>
      <c r="C55" s="26">
        <v>12.433</v>
      </c>
      <c r="D55" s="26">
        <v>7.4630000000000001</v>
      </c>
      <c r="E55" s="26">
        <v>7.5419999999999998</v>
      </c>
      <c r="F55" s="16">
        <v>13.352</v>
      </c>
      <c r="G55" s="16">
        <v>10.076000000000001</v>
      </c>
      <c r="H55" s="16">
        <v>10.24</v>
      </c>
      <c r="I55" s="16">
        <v>102.511</v>
      </c>
      <c r="J55" s="58">
        <v>2608</v>
      </c>
      <c r="K55" s="18">
        <f t="shared" ref="K55" si="12">IF(ISBLANK(J55),"",(J55-$J$8))</f>
        <v>2050</v>
      </c>
      <c r="L55" s="19">
        <f t="shared" si="2"/>
        <v>-0.99999999999944578</v>
      </c>
      <c r="M55" s="19">
        <f t="shared" si="2"/>
        <v>-3.0000000000001137</v>
      </c>
      <c r="N55" s="19">
        <f t="shared" si="2"/>
        <v>0</v>
      </c>
      <c r="O55" s="19">
        <f t="shared" si="7"/>
        <v>-0.99999999999944578</v>
      </c>
      <c r="P55" s="19">
        <f t="shared" si="8"/>
        <v>-0.99999999999944578</v>
      </c>
      <c r="Q55" s="19">
        <f t="shared" si="9"/>
        <v>-2.0000000000006679</v>
      </c>
      <c r="R55" s="19">
        <f t="shared" si="4"/>
        <v>-3.0000000000052296</v>
      </c>
      <c r="S55" s="27">
        <f t="shared" si="10"/>
        <v>8.7719298245565423E-3</v>
      </c>
      <c r="T55" s="28">
        <f t="shared" si="10"/>
        <v>0</v>
      </c>
      <c r="U55" s="28">
        <f t="shared" si="10"/>
        <v>0</v>
      </c>
      <c r="V55" s="28">
        <f t="shared" si="10"/>
        <v>8.7719298245565423E-3</v>
      </c>
      <c r="W55" s="28">
        <f t="shared" si="10"/>
        <v>8.7719298245721236E-3</v>
      </c>
      <c r="X55" s="29">
        <f t="shared" si="10"/>
        <v>-8.7719298245565423E-3</v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11"/>
        <v/>
      </c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 t="str">
        <f t="shared" si="7"/>
        <v/>
      </c>
      <c r="P56" s="19" t="str">
        <f t="shared" si="8"/>
        <v/>
      </c>
      <c r="Q56" s="19" t="str">
        <f t="shared" si="9"/>
        <v/>
      </c>
      <c r="R56" s="19" t="str">
        <f t="shared" si="4"/>
        <v/>
      </c>
      <c r="S56" s="27" t="str">
        <f t="shared" si="10"/>
        <v/>
      </c>
      <c r="T56" s="28" t="str">
        <f t="shared" si="10"/>
        <v/>
      </c>
      <c r="U56" s="28" t="str">
        <f t="shared" si="10"/>
        <v/>
      </c>
      <c r="V56" s="28" t="str">
        <f t="shared" si="10"/>
        <v/>
      </c>
      <c r="W56" s="28" t="str">
        <f t="shared" si="10"/>
        <v/>
      </c>
      <c r="X56" s="29" t="str">
        <f t="shared" si="10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11"/>
        <v/>
      </c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 t="str">
        <f t="shared" si="7"/>
        <v/>
      </c>
      <c r="P57" s="19" t="str">
        <f t="shared" si="8"/>
        <v/>
      </c>
      <c r="Q57" s="19" t="str">
        <f t="shared" si="9"/>
        <v/>
      </c>
      <c r="R57" s="19" t="str">
        <f t="shared" si="4"/>
        <v/>
      </c>
      <c r="S57" s="27" t="str">
        <f t="shared" si="10"/>
        <v/>
      </c>
      <c r="T57" s="28" t="str">
        <f t="shared" si="10"/>
        <v/>
      </c>
      <c r="U57" s="28" t="str">
        <f t="shared" si="10"/>
        <v/>
      </c>
      <c r="V57" s="28" t="str">
        <f t="shared" si="10"/>
        <v/>
      </c>
      <c r="W57" s="28" t="str">
        <f t="shared" si="10"/>
        <v/>
      </c>
      <c r="X57" s="29" t="str">
        <f t="shared" si="10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11"/>
        <v/>
      </c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 t="str">
        <f t="shared" si="7"/>
        <v/>
      </c>
      <c r="P58" s="19" t="str">
        <f t="shared" si="8"/>
        <v/>
      </c>
      <c r="Q58" s="19" t="str">
        <f t="shared" si="9"/>
        <v/>
      </c>
      <c r="R58" s="19" t="str">
        <f t="shared" si="4"/>
        <v/>
      </c>
      <c r="S58" s="27" t="str">
        <f t="shared" si="10"/>
        <v/>
      </c>
      <c r="T58" s="28" t="str">
        <f t="shared" si="10"/>
        <v/>
      </c>
      <c r="U58" s="28" t="str">
        <f t="shared" si="10"/>
        <v/>
      </c>
      <c r="V58" s="28" t="str">
        <f t="shared" si="10"/>
        <v/>
      </c>
      <c r="W58" s="28" t="str">
        <f t="shared" si="10"/>
        <v/>
      </c>
      <c r="X58" s="29" t="str">
        <f t="shared" si="10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11"/>
        <v/>
      </c>
      <c r="L59" s="19" t="str">
        <f t="shared" si="2"/>
        <v/>
      </c>
      <c r="M59" s="19" t="str">
        <f t="shared" si="2"/>
        <v/>
      </c>
      <c r="N59" s="19" t="str">
        <f t="shared" si="2"/>
        <v/>
      </c>
      <c r="O59" s="19" t="str">
        <f t="shared" si="7"/>
        <v/>
      </c>
      <c r="P59" s="19" t="str">
        <f t="shared" si="8"/>
        <v/>
      </c>
      <c r="Q59" s="19" t="str">
        <f t="shared" si="9"/>
        <v/>
      </c>
      <c r="R59" s="19" t="str">
        <f t="shared" si="4"/>
        <v/>
      </c>
      <c r="S59" s="27" t="str">
        <f t="shared" si="10"/>
        <v/>
      </c>
      <c r="T59" s="28" t="str">
        <f t="shared" si="10"/>
        <v/>
      </c>
      <c r="U59" s="28" t="str">
        <f t="shared" si="10"/>
        <v/>
      </c>
      <c r="V59" s="28" t="str">
        <f t="shared" si="10"/>
        <v/>
      </c>
      <c r="W59" s="28" t="str">
        <f t="shared" si="10"/>
        <v/>
      </c>
      <c r="X59" s="29" t="str">
        <f t="shared" si="10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1"/>
        <v/>
      </c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 t="str">
        <f t="shared" si="7"/>
        <v/>
      </c>
      <c r="P60" s="19" t="str">
        <f t="shared" si="8"/>
        <v/>
      </c>
      <c r="Q60" s="19" t="str">
        <f t="shared" si="9"/>
        <v/>
      </c>
      <c r="R60" s="19" t="str">
        <f t="shared" si="4"/>
        <v/>
      </c>
      <c r="S60" s="27" t="str">
        <f t="shared" si="10"/>
        <v/>
      </c>
      <c r="T60" s="28" t="str">
        <f t="shared" si="10"/>
        <v/>
      </c>
      <c r="U60" s="28" t="str">
        <f t="shared" si="10"/>
        <v/>
      </c>
      <c r="V60" s="28" t="str">
        <f t="shared" si="10"/>
        <v/>
      </c>
      <c r="W60" s="28" t="str">
        <f t="shared" si="10"/>
        <v/>
      </c>
      <c r="X60" s="29" t="str">
        <f t="shared" si="10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1"/>
        <v/>
      </c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7"/>
        <v/>
      </c>
      <c r="P61" s="19" t="str">
        <f t="shared" si="8"/>
        <v/>
      </c>
      <c r="Q61" s="19" t="str">
        <f t="shared" si="9"/>
        <v/>
      </c>
      <c r="R61" s="19" t="str">
        <f t="shared" si="4"/>
        <v/>
      </c>
      <c r="S61" s="27" t="str">
        <f t="shared" si="10"/>
        <v/>
      </c>
      <c r="T61" s="28" t="str">
        <f t="shared" si="10"/>
        <v/>
      </c>
      <c r="U61" s="28" t="str">
        <f t="shared" si="10"/>
        <v/>
      </c>
      <c r="V61" s="28" t="str">
        <f t="shared" si="10"/>
        <v/>
      </c>
      <c r="W61" s="28" t="str">
        <f t="shared" si="10"/>
        <v/>
      </c>
      <c r="X61" s="29" t="str">
        <f t="shared" si="1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1"/>
        <v/>
      </c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7"/>
        <v/>
      </c>
      <c r="P62" s="19" t="str">
        <f t="shared" si="8"/>
        <v/>
      </c>
      <c r="Q62" s="19" t="str">
        <f t="shared" si="9"/>
        <v/>
      </c>
      <c r="R62" s="19" t="str">
        <f t="shared" si="4"/>
        <v/>
      </c>
      <c r="S62" s="27" t="str">
        <f t="shared" si="10"/>
        <v/>
      </c>
      <c r="T62" s="28" t="str">
        <f t="shared" si="10"/>
        <v/>
      </c>
      <c r="U62" s="28" t="str">
        <f t="shared" si="10"/>
        <v/>
      </c>
      <c r="V62" s="28" t="str">
        <f t="shared" si="10"/>
        <v/>
      </c>
      <c r="W62" s="28" t="str">
        <f t="shared" si="10"/>
        <v/>
      </c>
      <c r="X62" s="29" t="str">
        <f t="shared" si="1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1"/>
        <v/>
      </c>
      <c r="L63" s="19" t="str">
        <f t="shared" ref="L63:N117" si="13">IF(ISBLANK(C63),"",(C63-C$16)*1000)</f>
        <v/>
      </c>
      <c r="M63" s="19" t="str">
        <f t="shared" si="13"/>
        <v/>
      </c>
      <c r="N63" s="19" t="str">
        <f t="shared" si="13"/>
        <v/>
      </c>
      <c r="O63" s="19" t="str">
        <f t="shared" si="7"/>
        <v/>
      </c>
      <c r="P63" s="19" t="str">
        <f t="shared" si="8"/>
        <v/>
      </c>
      <c r="Q63" s="19" t="str">
        <f t="shared" si="9"/>
        <v/>
      </c>
      <c r="R63" s="19" t="str">
        <f t="shared" si="4"/>
        <v/>
      </c>
      <c r="S63" s="27" t="str">
        <f t="shared" si="10"/>
        <v/>
      </c>
      <c r="T63" s="28" t="str">
        <f t="shared" si="10"/>
        <v/>
      </c>
      <c r="U63" s="28" t="str">
        <f t="shared" si="10"/>
        <v/>
      </c>
      <c r="V63" s="28" t="str">
        <f t="shared" si="10"/>
        <v/>
      </c>
      <c r="W63" s="28" t="str">
        <f t="shared" si="10"/>
        <v/>
      </c>
      <c r="X63" s="29" t="str">
        <f t="shared" si="1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1"/>
        <v/>
      </c>
      <c r="L64" s="19" t="str">
        <f t="shared" si="13"/>
        <v/>
      </c>
      <c r="M64" s="19" t="str">
        <f t="shared" si="13"/>
        <v/>
      </c>
      <c r="N64" s="19" t="str">
        <f t="shared" si="13"/>
        <v/>
      </c>
      <c r="O64" s="19" t="str">
        <f t="shared" si="7"/>
        <v/>
      </c>
      <c r="P64" s="19" t="str">
        <f t="shared" si="8"/>
        <v/>
      </c>
      <c r="Q64" s="19" t="str">
        <f t="shared" si="9"/>
        <v/>
      </c>
      <c r="R64" s="19" t="str">
        <f t="shared" si="4"/>
        <v/>
      </c>
      <c r="S64" s="27" t="str">
        <f t="shared" si="10"/>
        <v/>
      </c>
      <c r="T64" s="28" t="str">
        <f t="shared" si="10"/>
        <v/>
      </c>
      <c r="U64" s="28" t="str">
        <f t="shared" si="10"/>
        <v/>
      </c>
      <c r="V64" s="28" t="str">
        <f t="shared" si="10"/>
        <v/>
      </c>
      <c r="W64" s="28" t="str">
        <f t="shared" si="10"/>
        <v/>
      </c>
      <c r="X64" s="29" t="str">
        <f t="shared" si="1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1"/>
        <v/>
      </c>
      <c r="L65" s="19" t="str">
        <f t="shared" si="13"/>
        <v/>
      </c>
      <c r="M65" s="19" t="str">
        <f t="shared" si="13"/>
        <v/>
      </c>
      <c r="N65" s="19" t="str">
        <f t="shared" si="13"/>
        <v/>
      </c>
      <c r="O65" s="19" t="str">
        <f t="shared" si="7"/>
        <v/>
      </c>
      <c r="P65" s="19" t="str">
        <f t="shared" si="8"/>
        <v/>
      </c>
      <c r="Q65" s="19" t="str">
        <f t="shared" si="9"/>
        <v/>
      </c>
      <c r="R65" s="19" t="str">
        <f t="shared" si="4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1"/>
        <v/>
      </c>
      <c r="L66" s="19" t="str">
        <f t="shared" si="13"/>
        <v/>
      </c>
      <c r="M66" s="19" t="str">
        <f t="shared" si="13"/>
        <v/>
      </c>
      <c r="N66" s="19" t="str">
        <f t="shared" si="13"/>
        <v/>
      </c>
      <c r="O66" s="19" t="str">
        <f t="shared" si="7"/>
        <v/>
      </c>
      <c r="P66" s="19" t="str">
        <f t="shared" si="8"/>
        <v/>
      </c>
      <c r="Q66" s="19" t="str">
        <f t="shared" si="9"/>
        <v/>
      </c>
      <c r="R66" s="19" t="str">
        <f t="shared" si="4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1"/>
        <v/>
      </c>
      <c r="L67" s="19" t="str">
        <f t="shared" si="13"/>
        <v/>
      </c>
      <c r="M67" s="19" t="str">
        <f t="shared" si="13"/>
        <v/>
      </c>
      <c r="N67" s="19" t="str">
        <f t="shared" si="13"/>
        <v/>
      </c>
      <c r="O67" s="19" t="str">
        <f t="shared" si="7"/>
        <v/>
      </c>
      <c r="P67" s="19" t="str">
        <f t="shared" si="8"/>
        <v/>
      </c>
      <c r="Q67" s="19" t="str">
        <f t="shared" si="9"/>
        <v/>
      </c>
      <c r="R67" s="19" t="str">
        <f t="shared" si="4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1"/>
        <v/>
      </c>
      <c r="L68" s="19" t="str">
        <f t="shared" si="13"/>
        <v/>
      </c>
      <c r="M68" s="19" t="str">
        <f t="shared" si="13"/>
        <v/>
      </c>
      <c r="N68" s="19" t="str">
        <f t="shared" si="13"/>
        <v/>
      </c>
      <c r="O68" s="19" t="str">
        <f t="shared" si="7"/>
        <v/>
      </c>
      <c r="P68" s="19" t="str">
        <f t="shared" si="8"/>
        <v/>
      </c>
      <c r="Q68" s="19" t="str">
        <f t="shared" si="9"/>
        <v/>
      </c>
      <c r="R68" s="19" t="str">
        <f t="shared" si="4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1"/>
        <v/>
      </c>
      <c r="L69" s="19" t="str">
        <f t="shared" si="13"/>
        <v/>
      </c>
      <c r="M69" s="19" t="str">
        <f t="shared" si="13"/>
        <v/>
      </c>
      <c r="N69" s="19" t="str">
        <f t="shared" si="13"/>
        <v/>
      </c>
      <c r="O69" s="19" t="str">
        <f t="shared" si="7"/>
        <v/>
      </c>
      <c r="P69" s="19" t="str">
        <f t="shared" si="8"/>
        <v/>
      </c>
      <c r="Q69" s="19" t="str">
        <f t="shared" si="9"/>
        <v/>
      </c>
      <c r="R69" s="19" t="str">
        <f t="shared" si="4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1"/>
        <v/>
      </c>
      <c r="L70" s="19" t="str">
        <f t="shared" si="13"/>
        <v/>
      </c>
      <c r="M70" s="19" t="str">
        <f t="shared" si="13"/>
        <v/>
      </c>
      <c r="N70" s="19" t="str">
        <f t="shared" si="13"/>
        <v/>
      </c>
      <c r="O70" s="19" t="str">
        <f t="shared" si="7"/>
        <v/>
      </c>
      <c r="P70" s="19" t="str">
        <f t="shared" si="8"/>
        <v/>
      </c>
      <c r="Q70" s="19" t="str">
        <f t="shared" si="9"/>
        <v/>
      </c>
      <c r="R70" s="19" t="str">
        <f t="shared" si="4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1"/>
        <v/>
      </c>
      <c r="L71" s="19" t="str">
        <f t="shared" si="13"/>
        <v/>
      </c>
      <c r="M71" s="19" t="str">
        <f t="shared" si="13"/>
        <v/>
      </c>
      <c r="N71" s="19" t="str">
        <f t="shared" si="13"/>
        <v/>
      </c>
      <c r="O71" s="19" t="str">
        <f t="shared" si="7"/>
        <v/>
      </c>
      <c r="P71" s="19" t="str">
        <f t="shared" si="8"/>
        <v/>
      </c>
      <c r="Q71" s="19" t="str">
        <f t="shared" si="9"/>
        <v/>
      </c>
      <c r="R71" s="19" t="str">
        <f t="shared" si="4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1"/>
        <v/>
      </c>
      <c r="L72" s="19" t="str">
        <f t="shared" si="13"/>
        <v/>
      </c>
      <c r="M72" s="19" t="str">
        <f t="shared" si="13"/>
        <v/>
      </c>
      <c r="N72" s="19" t="str">
        <f t="shared" si="13"/>
        <v/>
      </c>
      <c r="O72" s="19" t="str">
        <f t="shared" si="7"/>
        <v/>
      </c>
      <c r="P72" s="19" t="str">
        <f t="shared" si="8"/>
        <v/>
      </c>
      <c r="Q72" s="19" t="str">
        <f t="shared" si="9"/>
        <v/>
      </c>
      <c r="R72" s="19" t="str">
        <f t="shared" si="4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1"/>
        <v/>
      </c>
      <c r="L73" s="19" t="str">
        <f t="shared" si="13"/>
        <v/>
      </c>
      <c r="M73" s="19" t="str">
        <f t="shared" si="13"/>
        <v/>
      </c>
      <c r="N73" s="19" t="str">
        <f t="shared" si="13"/>
        <v/>
      </c>
      <c r="O73" s="19" t="str">
        <f t="shared" si="7"/>
        <v/>
      </c>
      <c r="P73" s="19" t="str">
        <f t="shared" si="8"/>
        <v/>
      </c>
      <c r="Q73" s="19" t="str">
        <f t="shared" si="9"/>
        <v/>
      </c>
      <c r="R73" s="19" t="str">
        <f t="shared" si="4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1"/>
        <v/>
      </c>
      <c r="L74" s="19" t="str">
        <f t="shared" si="13"/>
        <v/>
      </c>
      <c r="M74" s="19" t="str">
        <f t="shared" si="13"/>
        <v/>
      </c>
      <c r="N74" s="19" t="str">
        <f t="shared" si="13"/>
        <v/>
      </c>
      <c r="O74" s="19" t="str">
        <f t="shared" si="7"/>
        <v/>
      </c>
      <c r="P74" s="19" t="str">
        <f t="shared" si="8"/>
        <v/>
      </c>
      <c r="Q74" s="19" t="str">
        <f t="shared" si="9"/>
        <v/>
      </c>
      <c r="R74" s="19" t="str">
        <f t="shared" si="4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1"/>
        <v/>
      </c>
      <c r="L75" s="19" t="str">
        <f t="shared" si="13"/>
        <v/>
      </c>
      <c r="M75" s="19" t="str">
        <f t="shared" si="13"/>
        <v/>
      </c>
      <c r="N75" s="19" t="str">
        <f t="shared" si="13"/>
        <v/>
      </c>
      <c r="O75" s="19" t="str">
        <f t="shared" si="7"/>
        <v/>
      </c>
      <c r="P75" s="19" t="str">
        <f t="shared" si="8"/>
        <v/>
      </c>
      <c r="Q75" s="19" t="str">
        <f t="shared" si="9"/>
        <v/>
      </c>
      <c r="R75" s="19" t="str">
        <f t="shared" si="4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1"/>
        <v/>
      </c>
      <c r="L76" s="19" t="str">
        <f t="shared" si="13"/>
        <v/>
      </c>
      <c r="M76" s="19" t="str">
        <f t="shared" si="13"/>
        <v/>
      </c>
      <c r="N76" s="19" t="str">
        <f t="shared" si="13"/>
        <v/>
      </c>
      <c r="O76" s="19" t="str">
        <f t="shared" si="7"/>
        <v/>
      </c>
      <c r="P76" s="19" t="str">
        <f t="shared" si="8"/>
        <v/>
      </c>
      <c r="Q76" s="19" t="str">
        <f t="shared" si="9"/>
        <v/>
      </c>
      <c r="R76" s="19" t="str">
        <f t="shared" si="4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1"/>
        <v/>
      </c>
      <c r="L77" s="19" t="str">
        <f t="shared" si="13"/>
        <v/>
      </c>
      <c r="M77" s="19" t="str">
        <f t="shared" si="13"/>
        <v/>
      </c>
      <c r="N77" s="19" t="str">
        <f t="shared" si="13"/>
        <v/>
      </c>
      <c r="O77" s="19" t="str">
        <f t="shared" si="7"/>
        <v/>
      </c>
      <c r="P77" s="19" t="str">
        <f t="shared" si="8"/>
        <v/>
      </c>
      <c r="Q77" s="19" t="str">
        <f t="shared" si="9"/>
        <v/>
      </c>
      <c r="R77" s="19" t="str">
        <f t="shared" si="4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1"/>
        <v/>
      </c>
      <c r="L78" s="19" t="str">
        <f t="shared" si="13"/>
        <v/>
      </c>
      <c r="M78" s="19" t="str">
        <f t="shared" si="13"/>
        <v/>
      </c>
      <c r="N78" s="19" t="str">
        <f t="shared" si="13"/>
        <v/>
      </c>
      <c r="O78" s="19" t="str">
        <f t="shared" si="7"/>
        <v/>
      </c>
      <c r="P78" s="19" t="str">
        <f t="shared" si="8"/>
        <v/>
      </c>
      <c r="Q78" s="19" t="str">
        <f t="shared" si="9"/>
        <v/>
      </c>
      <c r="R78" s="19" t="str">
        <f t="shared" si="4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1"/>
        <v/>
      </c>
      <c r="L79" s="19" t="str">
        <f t="shared" si="13"/>
        <v/>
      </c>
      <c r="M79" s="19" t="str">
        <f t="shared" si="13"/>
        <v/>
      </c>
      <c r="N79" s="19" t="str">
        <f t="shared" si="13"/>
        <v/>
      </c>
      <c r="O79" s="19" t="str">
        <f t="shared" si="7"/>
        <v/>
      </c>
      <c r="P79" s="19" t="str">
        <f t="shared" si="8"/>
        <v/>
      </c>
      <c r="Q79" s="19" t="str">
        <f t="shared" si="9"/>
        <v/>
      </c>
      <c r="R79" s="19" t="str">
        <f t="shared" si="4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1"/>
        <v/>
      </c>
      <c r="L80" s="19" t="str">
        <f t="shared" si="13"/>
        <v/>
      </c>
      <c r="M80" s="19" t="str">
        <f t="shared" si="13"/>
        <v/>
      </c>
      <c r="N80" s="19" t="str">
        <f t="shared" si="13"/>
        <v/>
      </c>
      <c r="O80" s="19" t="str">
        <f t="shared" si="7"/>
        <v/>
      </c>
      <c r="P80" s="19" t="str">
        <f t="shared" si="8"/>
        <v/>
      </c>
      <c r="Q80" s="19" t="str">
        <f t="shared" si="9"/>
        <v/>
      </c>
      <c r="R80" s="19" t="str">
        <f t="shared" si="4"/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1"/>
        <v/>
      </c>
      <c r="L81" s="19" t="str">
        <f t="shared" si="13"/>
        <v/>
      </c>
      <c r="M81" s="19" t="str">
        <f t="shared" si="13"/>
        <v/>
      </c>
      <c r="N81" s="19" t="str">
        <f t="shared" si="13"/>
        <v/>
      </c>
      <c r="O81" s="19" t="str">
        <f t="shared" si="7"/>
        <v/>
      </c>
      <c r="P81" s="19" t="str">
        <f t="shared" si="8"/>
        <v/>
      </c>
      <c r="Q81" s="19" t="str">
        <f t="shared" si="9"/>
        <v/>
      </c>
      <c r="R81" s="19" t="str">
        <f t="shared" si="4"/>
        <v/>
      </c>
      <c r="S81" s="27" t="str">
        <f t="shared" ref="S81:X96" si="15">IF(C81="","",((C81-C80)*1000)/($B81-$B80))</f>
        <v/>
      </c>
      <c r="T81" s="28" t="str">
        <f t="shared" si="15"/>
        <v/>
      </c>
      <c r="U81" s="28" t="str">
        <f t="shared" si="15"/>
        <v/>
      </c>
      <c r="V81" s="28" t="str">
        <f t="shared" si="15"/>
        <v/>
      </c>
      <c r="W81" s="28" t="str">
        <f t="shared" si="15"/>
        <v/>
      </c>
      <c r="X81" s="29" t="str">
        <f t="shared" si="15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1"/>
        <v/>
      </c>
      <c r="L82" s="19" t="str">
        <f t="shared" si="13"/>
        <v/>
      </c>
      <c r="M82" s="19" t="str">
        <f t="shared" si="13"/>
        <v/>
      </c>
      <c r="N82" s="19" t="str">
        <f t="shared" si="13"/>
        <v/>
      </c>
      <c r="O82" s="19" t="str">
        <f t="shared" si="7"/>
        <v/>
      </c>
      <c r="P82" s="19" t="str">
        <f t="shared" si="8"/>
        <v/>
      </c>
      <c r="Q82" s="19" t="str">
        <f t="shared" si="9"/>
        <v/>
      </c>
      <c r="R82" s="19" t="str">
        <f t="shared" si="4"/>
        <v/>
      </c>
      <c r="S82" s="27" t="str">
        <f t="shared" si="15"/>
        <v/>
      </c>
      <c r="T82" s="28" t="str">
        <f t="shared" si="15"/>
        <v/>
      </c>
      <c r="U82" s="28" t="str">
        <f t="shared" si="15"/>
        <v/>
      </c>
      <c r="V82" s="28" t="str">
        <f t="shared" si="15"/>
        <v/>
      </c>
      <c r="W82" s="28" t="str">
        <f t="shared" si="15"/>
        <v/>
      </c>
      <c r="X82" s="29" t="str">
        <f t="shared" si="15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1"/>
        <v/>
      </c>
      <c r="L83" s="19" t="str">
        <f t="shared" si="13"/>
        <v/>
      </c>
      <c r="M83" s="19" t="str">
        <f t="shared" si="13"/>
        <v/>
      </c>
      <c r="N83" s="19" t="str">
        <f t="shared" si="13"/>
        <v/>
      </c>
      <c r="O83" s="19" t="str">
        <f t="shared" si="7"/>
        <v/>
      </c>
      <c r="P83" s="19" t="str">
        <f t="shared" si="8"/>
        <v/>
      </c>
      <c r="Q83" s="19" t="str">
        <f t="shared" si="9"/>
        <v/>
      </c>
      <c r="R83" s="19" t="str">
        <f t="shared" si="4"/>
        <v/>
      </c>
      <c r="S83" s="27" t="str">
        <f t="shared" si="15"/>
        <v/>
      </c>
      <c r="T83" s="28" t="str">
        <f t="shared" si="15"/>
        <v/>
      </c>
      <c r="U83" s="28" t="str">
        <f t="shared" si="15"/>
        <v/>
      </c>
      <c r="V83" s="28" t="str">
        <f t="shared" si="15"/>
        <v/>
      </c>
      <c r="W83" s="28" t="str">
        <f t="shared" si="15"/>
        <v/>
      </c>
      <c r="X83" s="29" t="str">
        <f t="shared" si="15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1"/>
        <v/>
      </c>
      <c r="L84" s="19" t="str">
        <f t="shared" si="13"/>
        <v/>
      </c>
      <c r="M84" s="19" t="str">
        <f t="shared" si="13"/>
        <v/>
      </c>
      <c r="N84" s="19" t="str">
        <f t="shared" si="13"/>
        <v/>
      </c>
      <c r="O84" s="19" t="str">
        <f t="shared" si="7"/>
        <v/>
      </c>
      <c r="P84" s="19" t="str">
        <f t="shared" si="8"/>
        <v/>
      </c>
      <c r="Q84" s="19" t="str">
        <f t="shared" si="9"/>
        <v/>
      </c>
      <c r="R84" s="19" t="str">
        <f t="shared" si="4"/>
        <v/>
      </c>
      <c r="S84" s="27" t="str">
        <f t="shared" si="15"/>
        <v/>
      </c>
      <c r="T84" s="28" t="str">
        <f t="shared" si="15"/>
        <v/>
      </c>
      <c r="U84" s="28" t="str">
        <f t="shared" si="15"/>
        <v/>
      </c>
      <c r="V84" s="28" t="str">
        <f t="shared" si="15"/>
        <v/>
      </c>
      <c r="W84" s="28" t="str">
        <f t="shared" si="15"/>
        <v/>
      </c>
      <c r="X84" s="29" t="str">
        <f t="shared" si="15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1"/>
        <v/>
      </c>
      <c r="L85" s="19" t="str">
        <f t="shared" si="13"/>
        <v/>
      </c>
      <c r="M85" s="19" t="str">
        <f t="shared" si="13"/>
        <v/>
      </c>
      <c r="N85" s="19" t="str">
        <f t="shared" si="13"/>
        <v/>
      </c>
      <c r="O85" s="19" t="str">
        <f t="shared" si="7"/>
        <v/>
      </c>
      <c r="P85" s="19" t="str">
        <f t="shared" si="8"/>
        <v/>
      </c>
      <c r="Q85" s="19" t="str">
        <f t="shared" si="9"/>
        <v/>
      </c>
      <c r="R85" s="19" t="str">
        <f t="shared" si="4"/>
        <v/>
      </c>
      <c r="S85" s="27" t="str">
        <f t="shared" si="15"/>
        <v/>
      </c>
      <c r="T85" s="28" t="str">
        <f t="shared" si="15"/>
        <v/>
      </c>
      <c r="U85" s="28" t="str">
        <f t="shared" si="15"/>
        <v/>
      </c>
      <c r="V85" s="28" t="str">
        <f t="shared" si="15"/>
        <v/>
      </c>
      <c r="W85" s="28" t="str">
        <f t="shared" si="15"/>
        <v/>
      </c>
      <c r="X85" s="29" t="str">
        <f t="shared" si="15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1"/>
        <v/>
      </c>
      <c r="L86" s="19" t="str">
        <f t="shared" si="13"/>
        <v/>
      </c>
      <c r="M86" s="19" t="str">
        <f t="shared" si="13"/>
        <v/>
      </c>
      <c r="N86" s="19" t="str">
        <f t="shared" si="13"/>
        <v/>
      </c>
      <c r="O86" s="19" t="str">
        <f t="shared" si="7"/>
        <v/>
      </c>
      <c r="P86" s="19" t="str">
        <f t="shared" si="8"/>
        <v/>
      </c>
      <c r="Q86" s="19" t="str">
        <f t="shared" si="9"/>
        <v/>
      </c>
      <c r="R86" s="19" t="str">
        <f t="shared" si="4"/>
        <v/>
      </c>
      <c r="S86" s="27" t="str">
        <f t="shared" si="15"/>
        <v/>
      </c>
      <c r="T86" s="28" t="str">
        <f t="shared" si="15"/>
        <v/>
      </c>
      <c r="U86" s="28" t="str">
        <f t="shared" si="15"/>
        <v/>
      </c>
      <c r="V86" s="28" t="str">
        <f t="shared" si="15"/>
        <v/>
      </c>
      <c r="W86" s="28" t="str">
        <f t="shared" si="15"/>
        <v/>
      </c>
      <c r="X86" s="29" t="str">
        <f t="shared" si="15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ref="K87:K150" si="16">IF(ISBLANK(J87),"",(J87-$J$8))</f>
        <v/>
      </c>
      <c r="L87" s="19" t="str">
        <f t="shared" si="13"/>
        <v/>
      </c>
      <c r="M87" s="19" t="str">
        <f t="shared" si="13"/>
        <v/>
      </c>
      <c r="N87" s="19" t="str">
        <f t="shared" si="13"/>
        <v/>
      </c>
      <c r="O87" s="19" t="str">
        <f t="shared" si="7"/>
        <v/>
      </c>
      <c r="P87" s="19" t="str">
        <f t="shared" si="8"/>
        <v/>
      </c>
      <c r="Q87" s="19" t="str">
        <f t="shared" si="9"/>
        <v/>
      </c>
      <c r="R87" s="19" t="str">
        <f t="shared" si="4"/>
        <v/>
      </c>
      <c r="S87" s="27" t="str">
        <f t="shared" si="15"/>
        <v/>
      </c>
      <c r="T87" s="28" t="str">
        <f t="shared" si="15"/>
        <v/>
      </c>
      <c r="U87" s="28" t="str">
        <f t="shared" si="15"/>
        <v/>
      </c>
      <c r="V87" s="28" t="str">
        <f t="shared" si="15"/>
        <v/>
      </c>
      <c r="W87" s="28" t="str">
        <f t="shared" si="15"/>
        <v/>
      </c>
      <c r="X87" s="29" t="str">
        <f t="shared" si="15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6"/>
        <v/>
      </c>
      <c r="L88" s="19" t="str">
        <f t="shared" si="13"/>
        <v/>
      </c>
      <c r="M88" s="19" t="str">
        <f t="shared" si="13"/>
        <v/>
      </c>
      <c r="N88" s="19" t="str">
        <f t="shared" si="13"/>
        <v/>
      </c>
      <c r="O88" s="19" t="str">
        <f t="shared" si="7"/>
        <v/>
      </c>
      <c r="P88" s="19" t="str">
        <f t="shared" si="8"/>
        <v/>
      </c>
      <c r="Q88" s="19" t="str">
        <f t="shared" si="9"/>
        <v/>
      </c>
      <c r="R88" s="19" t="str">
        <f t="shared" si="4"/>
        <v/>
      </c>
      <c r="S88" s="27" t="str">
        <f t="shared" si="15"/>
        <v/>
      </c>
      <c r="T88" s="28" t="str">
        <f t="shared" si="15"/>
        <v/>
      </c>
      <c r="U88" s="28" t="str">
        <f t="shared" si="15"/>
        <v/>
      </c>
      <c r="V88" s="28" t="str">
        <f t="shared" si="15"/>
        <v/>
      </c>
      <c r="W88" s="28" t="str">
        <f t="shared" si="15"/>
        <v/>
      </c>
      <c r="X88" s="29" t="str">
        <f t="shared" si="15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6"/>
        <v/>
      </c>
      <c r="L89" s="19" t="str">
        <f t="shared" si="13"/>
        <v/>
      </c>
      <c r="M89" s="19" t="str">
        <f t="shared" si="13"/>
        <v/>
      </c>
      <c r="N89" s="19" t="str">
        <f t="shared" si="13"/>
        <v/>
      </c>
      <c r="O89" s="19" t="str">
        <f t="shared" si="7"/>
        <v/>
      </c>
      <c r="P89" s="19" t="str">
        <f t="shared" si="8"/>
        <v/>
      </c>
      <c r="Q89" s="19" t="str">
        <f t="shared" si="9"/>
        <v/>
      </c>
      <c r="R89" s="19" t="str">
        <f t="shared" si="4"/>
        <v/>
      </c>
      <c r="S89" s="27" t="str">
        <f t="shared" si="15"/>
        <v/>
      </c>
      <c r="T89" s="28" t="str">
        <f t="shared" si="15"/>
        <v/>
      </c>
      <c r="U89" s="28" t="str">
        <f t="shared" si="15"/>
        <v/>
      </c>
      <c r="V89" s="28" t="str">
        <f t="shared" si="15"/>
        <v/>
      </c>
      <c r="W89" s="28" t="str">
        <f t="shared" si="15"/>
        <v/>
      </c>
      <c r="X89" s="29" t="str">
        <f t="shared" si="15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6"/>
        <v/>
      </c>
      <c r="L90" s="19" t="str">
        <f t="shared" si="13"/>
        <v/>
      </c>
      <c r="M90" s="19" t="str">
        <f t="shared" si="13"/>
        <v/>
      </c>
      <c r="N90" s="19" t="str">
        <f t="shared" si="13"/>
        <v/>
      </c>
      <c r="O90" s="19" t="str">
        <f t="shared" si="7"/>
        <v/>
      </c>
      <c r="P90" s="19" t="str">
        <f t="shared" si="8"/>
        <v/>
      </c>
      <c r="Q90" s="19" t="str">
        <f t="shared" si="9"/>
        <v/>
      </c>
      <c r="R90" s="19" t="str">
        <f t="shared" ref="R90:R153" si="17">IF(ISBLANK(I90),"",(I90-I$16)*1000+10)</f>
        <v/>
      </c>
      <c r="S90" s="27" t="str">
        <f t="shared" si="15"/>
        <v/>
      </c>
      <c r="T90" s="28" t="str">
        <f t="shared" si="15"/>
        <v/>
      </c>
      <c r="U90" s="28" t="str">
        <f t="shared" si="15"/>
        <v/>
      </c>
      <c r="V90" s="28" t="str">
        <f t="shared" si="15"/>
        <v/>
      </c>
      <c r="W90" s="28" t="str">
        <f t="shared" si="15"/>
        <v/>
      </c>
      <c r="X90" s="29" t="str">
        <f t="shared" si="15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6"/>
        <v/>
      </c>
      <c r="L91" s="19" t="str">
        <f t="shared" si="13"/>
        <v/>
      </c>
      <c r="M91" s="19" t="str">
        <f t="shared" si="13"/>
        <v/>
      </c>
      <c r="N91" s="19" t="str">
        <f t="shared" si="13"/>
        <v/>
      </c>
      <c r="O91" s="19" t="str">
        <f t="shared" si="7"/>
        <v/>
      </c>
      <c r="P91" s="19" t="str">
        <f t="shared" si="8"/>
        <v/>
      </c>
      <c r="Q91" s="19" t="str">
        <f t="shared" si="9"/>
        <v/>
      </c>
      <c r="R91" s="19" t="str">
        <f t="shared" si="17"/>
        <v/>
      </c>
      <c r="S91" s="27" t="str">
        <f t="shared" si="15"/>
        <v/>
      </c>
      <c r="T91" s="28" t="str">
        <f t="shared" si="15"/>
        <v/>
      </c>
      <c r="U91" s="28" t="str">
        <f t="shared" si="15"/>
        <v/>
      </c>
      <c r="V91" s="28" t="str">
        <f t="shared" si="15"/>
        <v/>
      </c>
      <c r="W91" s="28" t="str">
        <f t="shared" si="15"/>
        <v/>
      </c>
      <c r="X91" s="29" t="str">
        <f t="shared" si="15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6"/>
        <v/>
      </c>
      <c r="L92" s="19" t="str">
        <f t="shared" si="13"/>
        <v/>
      </c>
      <c r="M92" s="19" t="str">
        <f t="shared" si="13"/>
        <v/>
      </c>
      <c r="N92" s="19" t="str">
        <f t="shared" si="13"/>
        <v/>
      </c>
      <c r="O92" s="19" t="str">
        <f t="shared" si="7"/>
        <v/>
      </c>
      <c r="P92" s="19" t="str">
        <f t="shared" si="8"/>
        <v/>
      </c>
      <c r="Q92" s="19" t="str">
        <f t="shared" si="9"/>
        <v/>
      </c>
      <c r="R92" s="19" t="str">
        <f t="shared" si="17"/>
        <v/>
      </c>
      <c r="S92" s="27" t="str">
        <f t="shared" si="15"/>
        <v/>
      </c>
      <c r="T92" s="28" t="str">
        <f t="shared" si="15"/>
        <v/>
      </c>
      <c r="U92" s="28" t="str">
        <f t="shared" si="15"/>
        <v/>
      </c>
      <c r="V92" s="28" t="str">
        <f t="shared" si="15"/>
        <v/>
      </c>
      <c r="W92" s="28" t="str">
        <f t="shared" si="15"/>
        <v/>
      </c>
      <c r="X92" s="29" t="str">
        <f t="shared" si="15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6"/>
        <v/>
      </c>
      <c r="L93" s="19" t="str">
        <f t="shared" si="13"/>
        <v/>
      </c>
      <c r="M93" s="19" t="str">
        <f t="shared" si="13"/>
        <v/>
      </c>
      <c r="N93" s="19" t="str">
        <f t="shared" si="13"/>
        <v/>
      </c>
      <c r="O93" s="19" t="str">
        <f t="shared" si="7"/>
        <v/>
      </c>
      <c r="P93" s="19" t="str">
        <f t="shared" si="8"/>
        <v/>
      </c>
      <c r="Q93" s="19" t="str">
        <f t="shared" si="9"/>
        <v/>
      </c>
      <c r="R93" s="19" t="str">
        <f t="shared" si="17"/>
        <v/>
      </c>
      <c r="S93" s="27" t="str">
        <f t="shared" si="15"/>
        <v/>
      </c>
      <c r="T93" s="28" t="str">
        <f t="shared" si="15"/>
        <v/>
      </c>
      <c r="U93" s="28" t="str">
        <f t="shared" si="15"/>
        <v/>
      </c>
      <c r="V93" s="28" t="str">
        <f t="shared" si="15"/>
        <v/>
      </c>
      <c r="W93" s="28" t="str">
        <f t="shared" si="15"/>
        <v/>
      </c>
      <c r="X93" s="29" t="str">
        <f t="shared" si="15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6"/>
        <v/>
      </c>
      <c r="L94" s="19" t="str">
        <f t="shared" si="13"/>
        <v/>
      </c>
      <c r="M94" s="19" t="str">
        <f t="shared" si="13"/>
        <v/>
      </c>
      <c r="N94" s="19" t="str">
        <f t="shared" si="13"/>
        <v/>
      </c>
      <c r="O94" s="19" t="str">
        <f t="shared" si="7"/>
        <v/>
      </c>
      <c r="P94" s="19" t="str">
        <f t="shared" si="8"/>
        <v/>
      </c>
      <c r="Q94" s="19" t="str">
        <f t="shared" si="9"/>
        <v/>
      </c>
      <c r="R94" s="19" t="str">
        <f t="shared" si="17"/>
        <v/>
      </c>
      <c r="S94" s="27" t="str">
        <f t="shared" si="15"/>
        <v/>
      </c>
      <c r="T94" s="28" t="str">
        <f t="shared" si="15"/>
        <v/>
      </c>
      <c r="U94" s="28" t="str">
        <f t="shared" si="15"/>
        <v/>
      </c>
      <c r="V94" s="28" t="str">
        <f t="shared" si="15"/>
        <v/>
      </c>
      <c r="W94" s="28" t="str">
        <f t="shared" si="15"/>
        <v/>
      </c>
      <c r="X94" s="29" t="str">
        <f t="shared" si="15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6"/>
        <v/>
      </c>
      <c r="L95" s="19" t="str">
        <f t="shared" si="13"/>
        <v/>
      </c>
      <c r="M95" s="19" t="str">
        <f t="shared" si="13"/>
        <v/>
      </c>
      <c r="N95" s="19" t="str">
        <f t="shared" si="13"/>
        <v/>
      </c>
      <c r="O95" s="19" t="str">
        <f t="shared" si="7"/>
        <v/>
      </c>
      <c r="P95" s="19" t="str">
        <f t="shared" si="8"/>
        <v/>
      </c>
      <c r="Q95" s="19" t="str">
        <f t="shared" si="9"/>
        <v/>
      </c>
      <c r="R95" s="19" t="str">
        <f t="shared" si="17"/>
        <v/>
      </c>
      <c r="S95" s="27" t="str">
        <f t="shared" si="15"/>
        <v/>
      </c>
      <c r="T95" s="28" t="str">
        <f t="shared" si="15"/>
        <v/>
      </c>
      <c r="U95" s="28" t="str">
        <f t="shared" si="15"/>
        <v/>
      </c>
      <c r="V95" s="28" t="str">
        <f t="shared" si="15"/>
        <v/>
      </c>
      <c r="W95" s="28" t="str">
        <f t="shared" si="15"/>
        <v/>
      </c>
      <c r="X95" s="29" t="str">
        <f t="shared" si="15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6"/>
        <v/>
      </c>
      <c r="L96" s="19" t="str">
        <f t="shared" si="13"/>
        <v/>
      </c>
      <c r="M96" s="19" t="str">
        <f t="shared" si="13"/>
        <v/>
      </c>
      <c r="N96" s="19" t="str">
        <f t="shared" si="13"/>
        <v/>
      </c>
      <c r="O96" s="19" t="str">
        <f t="shared" si="7"/>
        <v/>
      </c>
      <c r="P96" s="19" t="str">
        <f t="shared" si="8"/>
        <v/>
      </c>
      <c r="Q96" s="19" t="str">
        <f t="shared" si="9"/>
        <v/>
      </c>
      <c r="R96" s="19" t="str">
        <f t="shared" si="17"/>
        <v/>
      </c>
      <c r="S96" s="27" t="str">
        <f t="shared" si="15"/>
        <v/>
      </c>
      <c r="T96" s="28" t="str">
        <f t="shared" si="15"/>
        <v/>
      </c>
      <c r="U96" s="28" t="str">
        <f t="shared" si="15"/>
        <v/>
      </c>
      <c r="V96" s="28" t="str">
        <f t="shared" si="15"/>
        <v/>
      </c>
      <c r="W96" s="28" t="str">
        <f t="shared" si="15"/>
        <v/>
      </c>
      <c r="X96" s="29" t="str">
        <f t="shared" si="15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6"/>
        <v/>
      </c>
      <c r="L97" s="19" t="str">
        <f t="shared" si="13"/>
        <v/>
      </c>
      <c r="M97" s="19" t="str">
        <f t="shared" si="13"/>
        <v/>
      </c>
      <c r="N97" s="19" t="str">
        <f t="shared" si="13"/>
        <v/>
      </c>
      <c r="O97" s="19" t="str">
        <f t="shared" si="7"/>
        <v/>
      </c>
      <c r="P97" s="19" t="str">
        <f t="shared" si="8"/>
        <v/>
      </c>
      <c r="Q97" s="19" t="str">
        <f t="shared" si="9"/>
        <v/>
      </c>
      <c r="R97" s="19" t="str">
        <f t="shared" si="17"/>
        <v/>
      </c>
      <c r="S97" s="27" t="str">
        <f t="shared" ref="S97:X112" si="18">IF(C97="","",((C97-C96)*1000)/($B97-$B96))</f>
        <v/>
      </c>
      <c r="T97" s="28" t="str">
        <f t="shared" si="18"/>
        <v/>
      </c>
      <c r="U97" s="28" t="str">
        <f t="shared" si="18"/>
        <v/>
      </c>
      <c r="V97" s="28" t="str">
        <f t="shared" si="18"/>
        <v/>
      </c>
      <c r="W97" s="28" t="str">
        <f t="shared" si="18"/>
        <v/>
      </c>
      <c r="X97" s="29" t="str">
        <f t="shared" si="18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6"/>
        <v/>
      </c>
      <c r="L98" s="19" t="str">
        <f t="shared" si="13"/>
        <v/>
      </c>
      <c r="M98" s="19" t="str">
        <f t="shared" si="13"/>
        <v/>
      </c>
      <c r="N98" s="19" t="str">
        <f t="shared" si="13"/>
        <v/>
      </c>
      <c r="O98" s="19" t="str">
        <f t="shared" si="7"/>
        <v/>
      </c>
      <c r="P98" s="19" t="str">
        <f t="shared" si="8"/>
        <v/>
      </c>
      <c r="Q98" s="19" t="str">
        <f t="shared" si="9"/>
        <v/>
      </c>
      <c r="R98" s="19" t="str">
        <f t="shared" si="17"/>
        <v/>
      </c>
      <c r="S98" s="27" t="str">
        <f t="shared" si="18"/>
        <v/>
      </c>
      <c r="T98" s="28" t="str">
        <f t="shared" si="18"/>
        <v/>
      </c>
      <c r="U98" s="28" t="str">
        <f t="shared" si="18"/>
        <v/>
      </c>
      <c r="V98" s="28" t="str">
        <f t="shared" si="18"/>
        <v/>
      </c>
      <c r="W98" s="28" t="str">
        <f t="shared" si="18"/>
        <v/>
      </c>
      <c r="X98" s="29" t="str">
        <f t="shared" si="18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6"/>
        <v/>
      </c>
      <c r="L99" s="19" t="str">
        <f t="shared" si="13"/>
        <v/>
      </c>
      <c r="M99" s="19" t="str">
        <f t="shared" si="13"/>
        <v/>
      </c>
      <c r="N99" s="19" t="str">
        <f t="shared" si="13"/>
        <v/>
      </c>
      <c r="O99" s="19" t="str">
        <f t="shared" si="7"/>
        <v/>
      </c>
      <c r="P99" s="19" t="str">
        <f t="shared" si="8"/>
        <v/>
      </c>
      <c r="Q99" s="19" t="str">
        <f t="shared" si="9"/>
        <v/>
      </c>
      <c r="R99" s="19" t="str">
        <f t="shared" si="17"/>
        <v/>
      </c>
      <c r="S99" s="27" t="str">
        <f t="shared" si="18"/>
        <v/>
      </c>
      <c r="T99" s="28" t="str">
        <f t="shared" si="18"/>
        <v/>
      </c>
      <c r="U99" s="28" t="str">
        <f t="shared" si="18"/>
        <v/>
      </c>
      <c r="V99" s="28" t="str">
        <f t="shared" si="18"/>
        <v/>
      </c>
      <c r="W99" s="28" t="str">
        <f t="shared" si="18"/>
        <v/>
      </c>
      <c r="X99" s="29" t="str">
        <f t="shared" si="18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6"/>
        <v/>
      </c>
      <c r="L100" s="19" t="str">
        <f t="shared" si="13"/>
        <v/>
      </c>
      <c r="M100" s="19" t="str">
        <f t="shared" si="13"/>
        <v/>
      </c>
      <c r="N100" s="19" t="str">
        <f t="shared" si="13"/>
        <v/>
      </c>
      <c r="O100" s="19" t="str">
        <f t="shared" si="7"/>
        <v/>
      </c>
      <c r="P100" s="19" t="str">
        <f t="shared" si="8"/>
        <v/>
      </c>
      <c r="Q100" s="19" t="str">
        <f t="shared" si="9"/>
        <v/>
      </c>
      <c r="R100" s="19" t="str">
        <f t="shared" si="17"/>
        <v/>
      </c>
      <c r="S100" s="27" t="str">
        <f t="shared" si="18"/>
        <v/>
      </c>
      <c r="T100" s="28" t="str">
        <f t="shared" si="18"/>
        <v/>
      </c>
      <c r="U100" s="28" t="str">
        <f t="shared" si="18"/>
        <v/>
      </c>
      <c r="V100" s="28" t="str">
        <f t="shared" si="18"/>
        <v/>
      </c>
      <c r="W100" s="28" t="str">
        <f t="shared" si="18"/>
        <v/>
      </c>
      <c r="X100" s="29" t="str">
        <f t="shared" si="18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6"/>
        <v/>
      </c>
      <c r="L101" s="19" t="str">
        <f t="shared" si="13"/>
        <v/>
      </c>
      <c r="M101" s="19" t="str">
        <f t="shared" si="13"/>
        <v/>
      </c>
      <c r="N101" s="19" t="str">
        <f t="shared" si="13"/>
        <v/>
      </c>
      <c r="O101" s="19" t="str">
        <f t="shared" si="7"/>
        <v/>
      </c>
      <c r="P101" s="19" t="str">
        <f t="shared" si="8"/>
        <v/>
      </c>
      <c r="Q101" s="19" t="str">
        <f t="shared" si="9"/>
        <v/>
      </c>
      <c r="R101" s="19" t="str">
        <f t="shared" si="17"/>
        <v/>
      </c>
      <c r="S101" s="27" t="str">
        <f t="shared" si="18"/>
        <v/>
      </c>
      <c r="T101" s="28" t="str">
        <f t="shared" si="18"/>
        <v/>
      </c>
      <c r="U101" s="28" t="str">
        <f t="shared" si="18"/>
        <v/>
      </c>
      <c r="V101" s="28" t="str">
        <f t="shared" si="18"/>
        <v/>
      </c>
      <c r="W101" s="28" t="str">
        <f t="shared" si="18"/>
        <v/>
      </c>
      <c r="X101" s="29" t="str">
        <f t="shared" si="18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6"/>
        <v/>
      </c>
      <c r="L102" s="19" t="str">
        <f t="shared" si="13"/>
        <v/>
      </c>
      <c r="M102" s="19" t="str">
        <f t="shared" si="13"/>
        <v/>
      </c>
      <c r="N102" s="19" t="str">
        <f t="shared" si="13"/>
        <v/>
      </c>
      <c r="O102" s="19" t="str">
        <f t="shared" si="7"/>
        <v/>
      </c>
      <c r="P102" s="19" t="str">
        <f t="shared" si="8"/>
        <v/>
      </c>
      <c r="Q102" s="19" t="str">
        <f t="shared" si="9"/>
        <v/>
      </c>
      <c r="R102" s="19" t="str">
        <f t="shared" si="17"/>
        <v/>
      </c>
      <c r="S102" s="27" t="str">
        <f t="shared" si="18"/>
        <v/>
      </c>
      <c r="T102" s="28" t="str">
        <f t="shared" si="18"/>
        <v/>
      </c>
      <c r="U102" s="28" t="str">
        <f t="shared" si="18"/>
        <v/>
      </c>
      <c r="V102" s="28" t="str">
        <f t="shared" si="18"/>
        <v/>
      </c>
      <c r="W102" s="28" t="str">
        <f t="shared" si="18"/>
        <v/>
      </c>
      <c r="X102" s="29" t="str">
        <f t="shared" si="18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16"/>
        <v/>
      </c>
      <c r="L103" s="19" t="str">
        <f t="shared" si="13"/>
        <v/>
      </c>
      <c r="M103" s="19" t="str">
        <f t="shared" si="13"/>
        <v/>
      </c>
      <c r="N103" s="19" t="str">
        <f t="shared" si="13"/>
        <v/>
      </c>
      <c r="O103" s="19" t="str">
        <f t="shared" si="7"/>
        <v/>
      </c>
      <c r="P103" s="19" t="str">
        <f t="shared" si="8"/>
        <v/>
      </c>
      <c r="Q103" s="19" t="str">
        <f t="shared" si="9"/>
        <v/>
      </c>
      <c r="R103" s="19" t="str">
        <f t="shared" si="17"/>
        <v/>
      </c>
      <c r="S103" s="27" t="str">
        <f t="shared" si="18"/>
        <v/>
      </c>
      <c r="T103" s="28" t="str">
        <f t="shared" si="18"/>
        <v/>
      </c>
      <c r="U103" s="28" t="str">
        <f t="shared" si="18"/>
        <v/>
      </c>
      <c r="V103" s="28" t="str">
        <f t="shared" si="18"/>
        <v/>
      </c>
      <c r="W103" s="28" t="str">
        <f t="shared" si="18"/>
        <v/>
      </c>
      <c r="X103" s="29" t="str">
        <f t="shared" si="18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16"/>
        <v/>
      </c>
      <c r="L104" s="19" t="str">
        <f t="shared" si="13"/>
        <v/>
      </c>
      <c r="M104" s="19" t="str">
        <f t="shared" si="13"/>
        <v/>
      </c>
      <c r="N104" s="19" t="str">
        <f t="shared" si="13"/>
        <v/>
      </c>
      <c r="O104" s="19" t="str">
        <f t="shared" si="7"/>
        <v/>
      </c>
      <c r="P104" s="19" t="str">
        <f t="shared" si="8"/>
        <v/>
      </c>
      <c r="Q104" s="19" t="str">
        <f t="shared" si="9"/>
        <v/>
      </c>
      <c r="R104" s="19" t="str">
        <f t="shared" si="17"/>
        <v/>
      </c>
      <c r="S104" s="27" t="str">
        <f t="shared" si="18"/>
        <v/>
      </c>
      <c r="T104" s="28" t="str">
        <f t="shared" si="18"/>
        <v/>
      </c>
      <c r="U104" s="28" t="str">
        <f t="shared" si="18"/>
        <v/>
      </c>
      <c r="V104" s="28" t="str">
        <f t="shared" si="18"/>
        <v/>
      </c>
      <c r="W104" s="28" t="str">
        <f t="shared" si="18"/>
        <v/>
      </c>
      <c r="X104" s="29" t="str">
        <f t="shared" si="18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16"/>
        <v/>
      </c>
      <c r="L105" s="19" t="str">
        <f t="shared" si="13"/>
        <v/>
      </c>
      <c r="M105" s="19" t="str">
        <f t="shared" si="13"/>
        <v/>
      </c>
      <c r="N105" s="19" t="str">
        <f t="shared" si="13"/>
        <v/>
      </c>
      <c r="O105" s="19" t="str">
        <f t="shared" si="7"/>
        <v/>
      </c>
      <c r="P105" s="19" t="str">
        <f t="shared" si="8"/>
        <v/>
      </c>
      <c r="Q105" s="19" t="str">
        <f t="shared" si="9"/>
        <v/>
      </c>
      <c r="R105" s="19" t="str">
        <f t="shared" si="17"/>
        <v/>
      </c>
      <c r="S105" s="27" t="str">
        <f t="shared" si="18"/>
        <v/>
      </c>
      <c r="T105" s="28" t="str">
        <f t="shared" si="18"/>
        <v/>
      </c>
      <c r="U105" s="28" t="str">
        <f t="shared" si="18"/>
        <v/>
      </c>
      <c r="V105" s="28" t="str">
        <f t="shared" si="18"/>
        <v/>
      </c>
      <c r="W105" s="28" t="str">
        <f t="shared" si="18"/>
        <v/>
      </c>
      <c r="X105" s="29" t="str">
        <f t="shared" si="18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16"/>
        <v/>
      </c>
      <c r="L106" s="19" t="str">
        <f t="shared" si="13"/>
        <v/>
      </c>
      <c r="M106" s="19" t="str">
        <f t="shared" si="13"/>
        <v/>
      </c>
      <c r="N106" s="19" t="str">
        <f t="shared" si="13"/>
        <v/>
      </c>
      <c r="O106" s="19" t="str">
        <f t="shared" ref="O106:O153" si="19">IF(ISBLANK(F106),"",((F106-F$41)*1000)+L$41)</f>
        <v/>
      </c>
      <c r="P106" s="19" t="str">
        <f t="shared" ref="P106:P153" si="20">IF(ISBLANK(G106),"",((G106-G$41)*1000)+M$41)</f>
        <v/>
      </c>
      <c r="Q106" s="19" t="str">
        <f t="shared" ref="Q106:Q153" si="21">IF(ISBLANK(H106),"",((H106-H$41)*1000)+N$41)</f>
        <v/>
      </c>
      <c r="R106" s="19" t="str">
        <f t="shared" si="17"/>
        <v/>
      </c>
      <c r="S106" s="27" t="str">
        <f t="shared" si="18"/>
        <v/>
      </c>
      <c r="T106" s="28" t="str">
        <f t="shared" si="18"/>
        <v/>
      </c>
      <c r="U106" s="28" t="str">
        <f t="shared" si="18"/>
        <v/>
      </c>
      <c r="V106" s="28" t="str">
        <f t="shared" si="18"/>
        <v/>
      </c>
      <c r="W106" s="28" t="str">
        <f t="shared" si="18"/>
        <v/>
      </c>
      <c r="X106" s="29" t="str">
        <f t="shared" si="18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16"/>
        <v/>
      </c>
      <c r="L107" s="19" t="str">
        <f t="shared" si="13"/>
        <v/>
      </c>
      <c r="M107" s="19" t="str">
        <f t="shared" si="13"/>
        <v/>
      </c>
      <c r="N107" s="19" t="str">
        <f t="shared" si="13"/>
        <v/>
      </c>
      <c r="O107" s="19" t="str">
        <f t="shared" si="19"/>
        <v/>
      </c>
      <c r="P107" s="19" t="str">
        <f t="shared" si="20"/>
        <v/>
      </c>
      <c r="Q107" s="19" t="str">
        <f t="shared" si="21"/>
        <v/>
      </c>
      <c r="R107" s="19" t="str">
        <f t="shared" si="17"/>
        <v/>
      </c>
      <c r="S107" s="27" t="str">
        <f t="shared" si="18"/>
        <v/>
      </c>
      <c r="T107" s="28" t="str">
        <f t="shared" si="18"/>
        <v/>
      </c>
      <c r="U107" s="28" t="str">
        <f t="shared" si="18"/>
        <v/>
      </c>
      <c r="V107" s="28" t="str">
        <f t="shared" si="18"/>
        <v/>
      </c>
      <c r="W107" s="28" t="str">
        <f t="shared" si="18"/>
        <v/>
      </c>
      <c r="X107" s="29" t="str">
        <f t="shared" si="18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16"/>
        <v/>
      </c>
      <c r="L108" s="19" t="str">
        <f t="shared" si="13"/>
        <v/>
      </c>
      <c r="M108" s="19" t="str">
        <f t="shared" si="13"/>
        <v/>
      </c>
      <c r="N108" s="19" t="str">
        <f t="shared" si="13"/>
        <v/>
      </c>
      <c r="O108" s="19" t="str">
        <f t="shared" si="19"/>
        <v/>
      </c>
      <c r="P108" s="19" t="str">
        <f t="shared" si="20"/>
        <v/>
      </c>
      <c r="Q108" s="19" t="str">
        <f t="shared" si="21"/>
        <v/>
      </c>
      <c r="R108" s="19" t="str">
        <f t="shared" si="17"/>
        <v/>
      </c>
      <c r="S108" s="27" t="str">
        <f t="shared" si="18"/>
        <v/>
      </c>
      <c r="T108" s="28" t="str">
        <f t="shared" si="18"/>
        <v/>
      </c>
      <c r="U108" s="28" t="str">
        <f t="shared" si="18"/>
        <v/>
      </c>
      <c r="V108" s="28" t="str">
        <f t="shared" si="18"/>
        <v/>
      </c>
      <c r="W108" s="28" t="str">
        <f t="shared" si="18"/>
        <v/>
      </c>
      <c r="X108" s="29" t="str">
        <f t="shared" si="18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16"/>
        <v/>
      </c>
      <c r="L109" s="19" t="str">
        <f t="shared" si="13"/>
        <v/>
      </c>
      <c r="M109" s="19" t="str">
        <f t="shared" si="13"/>
        <v/>
      </c>
      <c r="N109" s="19" t="str">
        <f t="shared" si="13"/>
        <v/>
      </c>
      <c r="O109" s="19" t="str">
        <f t="shared" si="19"/>
        <v/>
      </c>
      <c r="P109" s="19" t="str">
        <f t="shared" si="20"/>
        <v/>
      </c>
      <c r="Q109" s="19" t="str">
        <f t="shared" si="21"/>
        <v/>
      </c>
      <c r="R109" s="19" t="str">
        <f t="shared" si="17"/>
        <v/>
      </c>
      <c r="S109" s="27" t="str">
        <f t="shared" si="18"/>
        <v/>
      </c>
      <c r="T109" s="28" t="str">
        <f t="shared" si="18"/>
        <v/>
      </c>
      <c r="U109" s="28" t="str">
        <f t="shared" si="18"/>
        <v/>
      </c>
      <c r="V109" s="28" t="str">
        <f t="shared" si="18"/>
        <v/>
      </c>
      <c r="W109" s="28" t="str">
        <f t="shared" si="18"/>
        <v/>
      </c>
      <c r="X109" s="29" t="str">
        <f t="shared" si="18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16"/>
        <v/>
      </c>
      <c r="L110" s="19" t="str">
        <f t="shared" si="13"/>
        <v/>
      </c>
      <c r="M110" s="19" t="str">
        <f t="shared" si="13"/>
        <v/>
      </c>
      <c r="N110" s="19" t="str">
        <f t="shared" si="13"/>
        <v/>
      </c>
      <c r="O110" s="19" t="str">
        <f t="shared" si="19"/>
        <v/>
      </c>
      <c r="P110" s="19" t="str">
        <f t="shared" si="20"/>
        <v/>
      </c>
      <c r="Q110" s="19" t="str">
        <f t="shared" si="21"/>
        <v/>
      </c>
      <c r="R110" s="19" t="str">
        <f t="shared" si="17"/>
        <v/>
      </c>
      <c r="S110" s="27" t="str">
        <f t="shared" si="18"/>
        <v/>
      </c>
      <c r="T110" s="28" t="str">
        <f t="shared" si="18"/>
        <v/>
      </c>
      <c r="U110" s="28" t="str">
        <f t="shared" si="18"/>
        <v/>
      </c>
      <c r="V110" s="28" t="str">
        <f t="shared" si="18"/>
        <v/>
      </c>
      <c r="W110" s="28" t="str">
        <f t="shared" si="18"/>
        <v/>
      </c>
      <c r="X110" s="29" t="str">
        <f t="shared" si="18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16"/>
        <v/>
      </c>
      <c r="L111" s="19" t="str">
        <f t="shared" si="13"/>
        <v/>
      </c>
      <c r="M111" s="19" t="str">
        <f t="shared" si="13"/>
        <v/>
      </c>
      <c r="N111" s="19" t="str">
        <f t="shared" si="13"/>
        <v/>
      </c>
      <c r="O111" s="19" t="str">
        <f t="shared" si="19"/>
        <v/>
      </c>
      <c r="P111" s="19" t="str">
        <f t="shared" si="20"/>
        <v/>
      </c>
      <c r="Q111" s="19" t="str">
        <f t="shared" si="21"/>
        <v/>
      </c>
      <c r="R111" s="19" t="str">
        <f t="shared" si="17"/>
        <v/>
      </c>
      <c r="S111" s="27" t="str">
        <f t="shared" si="18"/>
        <v/>
      </c>
      <c r="T111" s="28" t="str">
        <f t="shared" si="18"/>
        <v/>
      </c>
      <c r="U111" s="28" t="str">
        <f t="shared" si="18"/>
        <v/>
      </c>
      <c r="V111" s="28" t="str">
        <f t="shared" si="18"/>
        <v/>
      </c>
      <c r="W111" s="28" t="str">
        <f t="shared" si="18"/>
        <v/>
      </c>
      <c r="X111" s="29" t="str">
        <f t="shared" si="18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16"/>
        <v/>
      </c>
      <c r="L112" s="19" t="str">
        <f t="shared" si="13"/>
        <v/>
      </c>
      <c r="M112" s="19" t="str">
        <f t="shared" si="13"/>
        <v/>
      </c>
      <c r="N112" s="19" t="str">
        <f t="shared" si="13"/>
        <v/>
      </c>
      <c r="O112" s="19" t="str">
        <f t="shared" si="19"/>
        <v/>
      </c>
      <c r="P112" s="19" t="str">
        <f t="shared" si="20"/>
        <v/>
      </c>
      <c r="Q112" s="19" t="str">
        <f t="shared" si="21"/>
        <v/>
      </c>
      <c r="R112" s="19" t="str">
        <f t="shared" si="17"/>
        <v/>
      </c>
      <c r="S112" s="27" t="str">
        <f t="shared" si="18"/>
        <v/>
      </c>
      <c r="T112" s="28" t="str">
        <f t="shared" si="18"/>
        <v/>
      </c>
      <c r="U112" s="28" t="str">
        <f t="shared" si="18"/>
        <v/>
      </c>
      <c r="V112" s="28" t="str">
        <f t="shared" si="18"/>
        <v/>
      </c>
      <c r="W112" s="28" t="str">
        <f t="shared" si="18"/>
        <v/>
      </c>
      <c r="X112" s="29" t="str">
        <f t="shared" si="18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16"/>
        <v/>
      </c>
      <c r="L113" s="19" t="str">
        <f t="shared" si="13"/>
        <v/>
      </c>
      <c r="M113" s="19" t="str">
        <f t="shared" si="13"/>
        <v/>
      </c>
      <c r="N113" s="19" t="str">
        <f t="shared" si="13"/>
        <v/>
      </c>
      <c r="O113" s="19" t="str">
        <f t="shared" si="19"/>
        <v/>
      </c>
      <c r="P113" s="19" t="str">
        <f t="shared" si="20"/>
        <v/>
      </c>
      <c r="Q113" s="19" t="str">
        <f t="shared" si="21"/>
        <v/>
      </c>
      <c r="R113" s="19" t="str">
        <f t="shared" si="17"/>
        <v/>
      </c>
      <c r="S113" s="27" t="str">
        <f t="shared" ref="S113:X128" si="22">IF(C113="","",((C113-C112)*1000)/($B113-$B112))</f>
        <v/>
      </c>
      <c r="T113" s="28" t="str">
        <f t="shared" si="22"/>
        <v/>
      </c>
      <c r="U113" s="28" t="str">
        <f t="shared" si="22"/>
        <v/>
      </c>
      <c r="V113" s="28" t="str">
        <f t="shared" si="22"/>
        <v/>
      </c>
      <c r="W113" s="28" t="str">
        <f t="shared" si="22"/>
        <v/>
      </c>
      <c r="X113" s="29" t="str">
        <f t="shared" si="22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16"/>
        <v/>
      </c>
      <c r="L114" s="19" t="str">
        <f t="shared" si="13"/>
        <v/>
      </c>
      <c r="M114" s="19" t="str">
        <f t="shared" si="13"/>
        <v/>
      </c>
      <c r="N114" s="19" t="str">
        <f t="shared" si="13"/>
        <v/>
      </c>
      <c r="O114" s="19" t="str">
        <f t="shared" si="19"/>
        <v/>
      </c>
      <c r="P114" s="19" t="str">
        <f t="shared" si="20"/>
        <v/>
      </c>
      <c r="Q114" s="19" t="str">
        <f t="shared" si="21"/>
        <v/>
      </c>
      <c r="R114" s="19" t="str">
        <f t="shared" si="17"/>
        <v/>
      </c>
      <c r="S114" s="27" t="str">
        <f t="shared" si="22"/>
        <v/>
      </c>
      <c r="T114" s="28" t="str">
        <f t="shared" si="22"/>
        <v/>
      </c>
      <c r="U114" s="28" t="str">
        <f t="shared" si="22"/>
        <v/>
      </c>
      <c r="V114" s="28" t="str">
        <f t="shared" si="22"/>
        <v/>
      </c>
      <c r="W114" s="28" t="str">
        <f t="shared" si="22"/>
        <v/>
      </c>
      <c r="X114" s="29" t="str">
        <f t="shared" si="2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16"/>
        <v/>
      </c>
      <c r="L115" s="19" t="str">
        <f t="shared" si="13"/>
        <v/>
      </c>
      <c r="M115" s="19" t="str">
        <f t="shared" si="13"/>
        <v/>
      </c>
      <c r="N115" s="19" t="str">
        <f t="shared" si="13"/>
        <v/>
      </c>
      <c r="O115" s="19" t="str">
        <f t="shared" si="19"/>
        <v/>
      </c>
      <c r="P115" s="19" t="str">
        <f t="shared" si="20"/>
        <v/>
      </c>
      <c r="Q115" s="19" t="str">
        <f t="shared" si="21"/>
        <v/>
      </c>
      <c r="R115" s="19" t="str">
        <f t="shared" si="17"/>
        <v/>
      </c>
      <c r="S115" s="27" t="str">
        <f t="shared" si="22"/>
        <v/>
      </c>
      <c r="T115" s="28" t="str">
        <f t="shared" si="22"/>
        <v/>
      </c>
      <c r="U115" s="28" t="str">
        <f t="shared" si="22"/>
        <v/>
      </c>
      <c r="V115" s="28" t="str">
        <f t="shared" si="22"/>
        <v/>
      </c>
      <c r="W115" s="28" t="str">
        <f t="shared" si="22"/>
        <v/>
      </c>
      <c r="X115" s="29" t="str">
        <f t="shared" si="2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16"/>
        <v/>
      </c>
      <c r="L116" s="19" t="str">
        <f t="shared" si="13"/>
        <v/>
      </c>
      <c r="M116" s="19" t="str">
        <f t="shared" si="13"/>
        <v/>
      </c>
      <c r="N116" s="19" t="str">
        <f t="shared" si="13"/>
        <v/>
      </c>
      <c r="O116" s="19" t="str">
        <f t="shared" si="19"/>
        <v/>
      </c>
      <c r="P116" s="19" t="str">
        <f t="shared" si="20"/>
        <v/>
      </c>
      <c r="Q116" s="19" t="str">
        <f t="shared" si="21"/>
        <v/>
      </c>
      <c r="R116" s="19" t="str">
        <f t="shared" si="17"/>
        <v/>
      </c>
      <c r="S116" s="27" t="str">
        <f t="shared" si="22"/>
        <v/>
      </c>
      <c r="T116" s="28" t="str">
        <f t="shared" si="22"/>
        <v/>
      </c>
      <c r="U116" s="28" t="str">
        <f t="shared" si="22"/>
        <v/>
      </c>
      <c r="V116" s="28" t="str">
        <f t="shared" si="22"/>
        <v/>
      </c>
      <c r="W116" s="28" t="str">
        <f t="shared" si="22"/>
        <v/>
      </c>
      <c r="X116" s="29" t="str">
        <f t="shared" si="2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16"/>
        <v/>
      </c>
      <c r="L117" s="19" t="str">
        <f t="shared" si="13"/>
        <v/>
      </c>
      <c r="M117" s="19" t="str">
        <f t="shared" ref="M117:N153" si="23">IF(ISBLANK(D117),"",(D117-D$16)*1000)</f>
        <v/>
      </c>
      <c r="N117" s="19" t="str">
        <f t="shared" si="23"/>
        <v/>
      </c>
      <c r="O117" s="19" t="str">
        <f t="shared" si="19"/>
        <v/>
      </c>
      <c r="P117" s="19" t="str">
        <f t="shared" si="20"/>
        <v/>
      </c>
      <c r="Q117" s="19" t="str">
        <f t="shared" si="21"/>
        <v/>
      </c>
      <c r="R117" s="19" t="str">
        <f t="shared" si="17"/>
        <v/>
      </c>
      <c r="S117" s="27" t="str">
        <f t="shared" si="22"/>
        <v/>
      </c>
      <c r="T117" s="28" t="str">
        <f t="shared" si="22"/>
        <v/>
      </c>
      <c r="U117" s="28" t="str">
        <f t="shared" si="22"/>
        <v/>
      </c>
      <c r="V117" s="28" t="str">
        <f t="shared" si="22"/>
        <v/>
      </c>
      <c r="W117" s="28" t="str">
        <f t="shared" si="22"/>
        <v/>
      </c>
      <c r="X117" s="29" t="str">
        <f t="shared" si="2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16"/>
        <v/>
      </c>
      <c r="L118" s="19" t="str">
        <f t="shared" ref="L118:L153" si="24">IF(ISBLANK(C118),"",(C118-C$16)*1000)</f>
        <v/>
      </c>
      <c r="M118" s="19" t="str">
        <f t="shared" si="23"/>
        <v/>
      </c>
      <c r="N118" s="19" t="str">
        <f t="shared" si="23"/>
        <v/>
      </c>
      <c r="O118" s="19" t="str">
        <f t="shared" si="19"/>
        <v/>
      </c>
      <c r="P118" s="19" t="str">
        <f t="shared" si="20"/>
        <v/>
      </c>
      <c r="Q118" s="19" t="str">
        <f t="shared" si="21"/>
        <v/>
      </c>
      <c r="R118" s="19" t="str">
        <f t="shared" si="17"/>
        <v/>
      </c>
      <c r="S118" s="27" t="str">
        <f t="shared" si="22"/>
        <v/>
      </c>
      <c r="T118" s="28" t="str">
        <f t="shared" si="22"/>
        <v/>
      </c>
      <c r="U118" s="28" t="str">
        <f t="shared" si="22"/>
        <v/>
      </c>
      <c r="V118" s="28" t="str">
        <f t="shared" si="22"/>
        <v/>
      </c>
      <c r="W118" s="28" t="str">
        <f t="shared" si="22"/>
        <v/>
      </c>
      <c r="X118" s="29" t="str">
        <f t="shared" si="2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16"/>
        <v/>
      </c>
      <c r="L119" s="19" t="str">
        <f t="shared" si="24"/>
        <v/>
      </c>
      <c r="M119" s="19" t="str">
        <f t="shared" si="23"/>
        <v/>
      </c>
      <c r="N119" s="19" t="str">
        <f t="shared" si="23"/>
        <v/>
      </c>
      <c r="O119" s="19" t="str">
        <f t="shared" si="19"/>
        <v/>
      </c>
      <c r="P119" s="19" t="str">
        <f t="shared" si="20"/>
        <v/>
      </c>
      <c r="Q119" s="19" t="str">
        <f t="shared" si="21"/>
        <v/>
      </c>
      <c r="R119" s="19" t="str">
        <f t="shared" si="17"/>
        <v/>
      </c>
      <c r="S119" s="27" t="str">
        <f t="shared" si="22"/>
        <v/>
      </c>
      <c r="T119" s="28" t="str">
        <f t="shared" si="22"/>
        <v/>
      </c>
      <c r="U119" s="28" t="str">
        <f t="shared" si="22"/>
        <v/>
      </c>
      <c r="V119" s="28" t="str">
        <f t="shared" si="22"/>
        <v/>
      </c>
      <c r="W119" s="28" t="str">
        <f t="shared" si="22"/>
        <v/>
      </c>
      <c r="X119" s="29" t="str">
        <f t="shared" si="2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16"/>
        <v/>
      </c>
      <c r="L120" s="19" t="str">
        <f t="shared" si="24"/>
        <v/>
      </c>
      <c r="M120" s="19" t="str">
        <f t="shared" si="23"/>
        <v/>
      </c>
      <c r="N120" s="19" t="str">
        <f t="shared" si="23"/>
        <v/>
      </c>
      <c r="O120" s="19" t="str">
        <f t="shared" si="19"/>
        <v/>
      </c>
      <c r="P120" s="19" t="str">
        <f t="shared" si="20"/>
        <v/>
      </c>
      <c r="Q120" s="19" t="str">
        <f t="shared" si="21"/>
        <v/>
      </c>
      <c r="R120" s="19" t="str">
        <f t="shared" si="17"/>
        <v/>
      </c>
      <c r="S120" s="27" t="str">
        <f t="shared" si="22"/>
        <v/>
      </c>
      <c r="T120" s="28" t="str">
        <f t="shared" si="22"/>
        <v/>
      </c>
      <c r="U120" s="28" t="str">
        <f t="shared" si="22"/>
        <v/>
      </c>
      <c r="V120" s="28" t="str">
        <f t="shared" si="22"/>
        <v/>
      </c>
      <c r="W120" s="28" t="str">
        <f t="shared" si="22"/>
        <v/>
      </c>
      <c r="X120" s="29" t="str">
        <f t="shared" si="2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16"/>
        <v/>
      </c>
      <c r="L121" s="19" t="str">
        <f t="shared" si="24"/>
        <v/>
      </c>
      <c r="M121" s="19" t="str">
        <f t="shared" si="23"/>
        <v/>
      </c>
      <c r="N121" s="19" t="str">
        <f t="shared" si="23"/>
        <v/>
      </c>
      <c r="O121" s="19" t="str">
        <f t="shared" si="19"/>
        <v/>
      </c>
      <c r="P121" s="19" t="str">
        <f t="shared" si="20"/>
        <v/>
      </c>
      <c r="Q121" s="19" t="str">
        <f t="shared" si="21"/>
        <v/>
      </c>
      <c r="R121" s="19" t="str">
        <f t="shared" si="17"/>
        <v/>
      </c>
      <c r="S121" s="27" t="str">
        <f t="shared" si="22"/>
        <v/>
      </c>
      <c r="T121" s="28" t="str">
        <f t="shared" si="22"/>
        <v/>
      </c>
      <c r="U121" s="28" t="str">
        <f t="shared" si="22"/>
        <v/>
      </c>
      <c r="V121" s="28" t="str">
        <f t="shared" si="22"/>
        <v/>
      </c>
      <c r="W121" s="28" t="str">
        <f t="shared" si="22"/>
        <v/>
      </c>
      <c r="X121" s="29" t="str">
        <f t="shared" si="2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16"/>
        <v/>
      </c>
      <c r="L122" s="19" t="str">
        <f t="shared" si="24"/>
        <v/>
      </c>
      <c r="M122" s="19" t="str">
        <f t="shared" si="23"/>
        <v/>
      </c>
      <c r="N122" s="19" t="str">
        <f t="shared" si="23"/>
        <v/>
      </c>
      <c r="O122" s="19" t="str">
        <f t="shared" si="19"/>
        <v/>
      </c>
      <c r="P122" s="19" t="str">
        <f t="shared" si="20"/>
        <v/>
      </c>
      <c r="Q122" s="19" t="str">
        <f t="shared" si="21"/>
        <v/>
      </c>
      <c r="R122" s="19" t="str">
        <f t="shared" si="17"/>
        <v/>
      </c>
      <c r="S122" s="27" t="str">
        <f t="shared" si="22"/>
        <v/>
      </c>
      <c r="T122" s="28" t="str">
        <f t="shared" si="22"/>
        <v/>
      </c>
      <c r="U122" s="28" t="str">
        <f t="shared" si="22"/>
        <v/>
      </c>
      <c r="V122" s="28" t="str">
        <f t="shared" si="22"/>
        <v/>
      </c>
      <c r="W122" s="28" t="str">
        <f t="shared" si="22"/>
        <v/>
      </c>
      <c r="X122" s="29" t="str">
        <f t="shared" si="2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16"/>
        <v/>
      </c>
      <c r="L123" s="19" t="str">
        <f t="shared" si="24"/>
        <v/>
      </c>
      <c r="M123" s="19" t="str">
        <f t="shared" si="23"/>
        <v/>
      </c>
      <c r="N123" s="19" t="str">
        <f t="shared" si="23"/>
        <v/>
      </c>
      <c r="O123" s="19" t="str">
        <f t="shared" si="19"/>
        <v/>
      </c>
      <c r="P123" s="19" t="str">
        <f t="shared" si="20"/>
        <v/>
      </c>
      <c r="Q123" s="19" t="str">
        <f t="shared" si="21"/>
        <v/>
      </c>
      <c r="R123" s="19" t="str">
        <f t="shared" si="17"/>
        <v/>
      </c>
      <c r="S123" s="27" t="str">
        <f t="shared" si="22"/>
        <v/>
      </c>
      <c r="T123" s="28" t="str">
        <f t="shared" si="22"/>
        <v/>
      </c>
      <c r="U123" s="28" t="str">
        <f t="shared" si="22"/>
        <v/>
      </c>
      <c r="V123" s="28" t="str">
        <f t="shared" si="22"/>
        <v/>
      </c>
      <c r="W123" s="28" t="str">
        <f t="shared" si="22"/>
        <v/>
      </c>
      <c r="X123" s="29" t="str">
        <f t="shared" si="2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16"/>
        <v/>
      </c>
      <c r="L124" s="19" t="str">
        <f t="shared" si="24"/>
        <v/>
      </c>
      <c r="M124" s="19" t="str">
        <f t="shared" si="23"/>
        <v/>
      </c>
      <c r="N124" s="19" t="str">
        <f t="shared" si="23"/>
        <v/>
      </c>
      <c r="O124" s="19" t="str">
        <f t="shared" si="19"/>
        <v/>
      </c>
      <c r="P124" s="19" t="str">
        <f t="shared" si="20"/>
        <v/>
      </c>
      <c r="Q124" s="19" t="str">
        <f t="shared" si="21"/>
        <v/>
      </c>
      <c r="R124" s="19" t="str">
        <f t="shared" si="17"/>
        <v/>
      </c>
      <c r="S124" s="27" t="str">
        <f t="shared" si="22"/>
        <v/>
      </c>
      <c r="T124" s="28" t="str">
        <f t="shared" si="22"/>
        <v/>
      </c>
      <c r="U124" s="28" t="str">
        <f t="shared" si="22"/>
        <v/>
      </c>
      <c r="V124" s="28" t="str">
        <f t="shared" si="22"/>
        <v/>
      </c>
      <c r="W124" s="28" t="str">
        <f t="shared" si="22"/>
        <v/>
      </c>
      <c r="X124" s="29" t="str">
        <f t="shared" si="2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16"/>
        <v/>
      </c>
      <c r="L125" s="19" t="str">
        <f t="shared" si="24"/>
        <v/>
      </c>
      <c r="M125" s="19" t="str">
        <f t="shared" si="23"/>
        <v/>
      </c>
      <c r="N125" s="19" t="str">
        <f t="shared" si="23"/>
        <v/>
      </c>
      <c r="O125" s="19" t="str">
        <f t="shared" si="19"/>
        <v/>
      </c>
      <c r="P125" s="19" t="str">
        <f t="shared" si="20"/>
        <v/>
      </c>
      <c r="Q125" s="19" t="str">
        <f t="shared" si="21"/>
        <v/>
      </c>
      <c r="R125" s="19" t="str">
        <f t="shared" si="17"/>
        <v/>
      </c>
      <c r="S125" s="27" t="str">
        <f t="shared" si="22"/>
        <v/>
      </c>
      <c r="T125" s="28" t="str">
        <f t="shared" si="22"/>
        <v/>
      </c>
      <c r="U125" s="28" t="str">
        <f t="shared" si="22"/>
        <v/>
      </c>
      <c r="V125" s="28" t="str">
        <f t="shared" si="22"/>
        <v/>
      </c>
      <c r="W125" s="28" t="str">
        <f t="shared" si="22"/>
        <v/>
      </c>
      <c r="X125" s="29" t="str">
        <f t="shared" si="2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16"/>
        <v/>
      </c>
      <c r="L126" s="19" t="str">
        <f t="shared" si="24"/>
        <v/>
      </c>
      <c r="M126" s="19" t="str">
        <f t="shared" si="23"/>
        <v/>
      </c>
      <c r="N126" s="19" t="str">
        <f t="shared" si="23"/>
        <v/>
      </c>
      <c r="O126" s="19" t="str">
        <f t="shared" si="19"/>
        <v/>
      </c>
      <c r="P126" s="19" t="str">
        <f t="shared" si="20"/>
        <v/>
      </c>
      <c r="Q126" s="19" t="str">
        <f t="shared" si="21"/>
        <v/>
      </c>
      <c r="R126" s="19" t="str">
        <f t="shared" si="17"/>
        <v/>
      </c>
      <c r="S126" s="27" t="str">
        <f t="shared" si="22"/>
        <v/>
      </c>
      <c r="T126" s="28" t="str">
        <f t="shared" si="22"/>
        <v/>
      </c>
      <c r="U126" s="28" t="str">
        <f t="shared" si="22"/>
        <v/>
      </c>
      <c r="V126" s="28" t="str">
        <f t="shared" si="22"/>
        <v/>
      </c>
      <c r="W126" s="28" t="str">
        <f t="shared" si="22"/>
        <v/>
      </c>
      <c r="X126" s="29" t="str">
        <f t="shared" si="2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16"/>
        <v/>
      </c>
      <c r="L127" s="19" t="str">
        <f t="shared" si="24"/>
        <v/>
      </c>
      <c r="M127" s="19" t="str">
        <f t="shared" si="23"/>
        <v/>
      </c>
      <c r="N127" s="19" t="str">
        <f t="shared" si="23"/>
        <v/>
      </c>
      <c r="O127" s="19" t="str">
        <f t="shared" si="19"/>
        <v/>
      </c>
      <c r="P127" s="19" t="str">
        <f t="shared" si="20"/>
        <v/>
      </c>
      <c r="Q127" s="19" t="str">
        <f t="shared" si="21"/>
        <v/>
      </c>
      <c r="R127" s="19" t="str">
        <f t="shared" si="17"/>
        <v/>
      </c>
      <c r="S127" s="27" t="str">
        <f t="shared" si="22"/>
        <v/>
      </c>
      <c r="T127" s="28" t="str">
        <f t="shared" si="22"/>
        <v/>
      </c>
      <c r="U127" s="28" t="str">
        <f t="shared" si="22"/>
        <v/>
      </c>
      <c r="V127" s="28" t="str">
        <f t="shared" si="22"/>
        <v/>
      </c>
      <c r="W127" s="28" t="str">
        <f t="shared" si="22"/>
        <v/>
      </c>
      <c r="X127" s="29" t="str">
        <f t="shared" si="2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16"/>
        <v/>
      </c>
      <c r="L128" s="19" t="str">
        <f t="shared" si="24"/>
        <v/>
      </c>
      <c r="M128" s="19" t="str">
        <f t="shared" si="23"/>
        <v/>
      </c>
      <c r="N128" s="19" t="str">
        <f t="shared" si="23"/>
        <v/>
      </c>
      <c r="O128" s="19" t="str">
        <f t="shared" si="19"/>
        <v/>
      </c>
      <c r="P128" s="19" t="str">
        <f t="shared" si="20"/>
        <v/>
      </c>
      <c r="Q128" s="19" t="str">
        <f t="shared" si="21"/>
        <v/>
      </c>
      <c r="R128" s="19" t="str">
        <f t="shared" si="17"/>
        <v/>
      </c>
      <c r="S128" s="27" t="str">
        <f t="shared" si="22"/>
        <v/>
      </c>
      <c r="T128" s="28" t="str">
        <f t="shared" si="22"/>
        <v/>
      </c>
      <c r="U128" s="28" t="str">
        <f t="shared" si="22"/>
        <v/>
      </c>
      <c r="V128" s="28" t="str">
        <f t="shared" si="22"/>
        <v/>
      </c>
      <c r="W128" s="28" t="str">
        <f t="shared" si="22"/>
        <v/>
      </c>
      <c r="X128" s="29" t="str">
        <f t="shared" si="2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16"/>
        <v/>
      </c>
      <c r="L129" s="19" t="str">
        <f t="shared" si="24"/>
        <v/>
      </c>
      <c r="M129" s="19" t="str">
        <f t="shared" si="23"/>
        <v/>
      </c>
      <c r="N129" s="19" t="str">
        <f t="shared" si="23"/>
        <v/>
      </c>
      <c r="O129" s="19" t="str">
        <f t="shared" si="19"/>
        <v/>
      </c>
      <c r="P129" s="19" t="str">
        <f t="shared" si="20"/>
        <v/>
      </c>
      <c r="Q129" s="19" t="str">
        <f t="shared" si="21"/>
        <v/>
      </c>
      <c r="R129" s="19" t="str">
        <f t="shared" si="17"/>
        <v/>
      </c>
      <c r="S129" s="27" t="str">
        <f t="shared" ref="S129:X144" si="25">IF(C129="","",((C129-C128)*1000)/($B129-$B128))</f>
        <v/>
      </c>
      <c r="T129" s="28" t="str">
        <f t="shared" si="25"/>
        <v/>
      </c>
      <c r="U129" s="28" t="str">
        <f t="shared" si="25"/>
        <v/>
      </c>
      <c r="V129" s="28" t="str">
        <f t="shared" si="25"/>
        <v/>
      </c>
      <c r="W129" s="28" t="str">
        <f t="shared" si="25"/>
        <v/>
      </c>
      <c r="X129" s="29" t="str">
        <f t="shared" si="25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16"/>
        <v/>
      </c>
      <c r="L130" s="19" t="str">
        <f t="shared" si="24"/>
        <v/>
      </c>
      <c r="M130" s="19" t="str">
        <f t="shared" si="23"/>
        <v/>
      </c>
      <c r="N130" s="19" t="str">
        <f t="shared" si="23"/>
        <v/>
      </c>
      <c r="O130" s="19" t="str">
        <f t="shared" si="19"/>
        <v/>
      </c>
      <c r="P130" s="19" t="str">
        <f t="shared" si="20"/>
        <v/>
      </c>
      <c r="Q130" s="19" t="str">
        <f t="shared" si="21"/>
        <v/>
      </c>
      <c r="R130" s="19" t="str">
        <f t="shared" si="17"/>
        <v/>
      </c>
      <c r="S130" s="27" t="str">
        <f t="shared" si="25"/>
        <v/>
      </c>
      <c r="T130" s="28" t="str">
        <f t="shared" si="25"/>
        <v/>
      </c>
      <c r="U130" s="28" t="str">
        <f t="shared" si="25"/>
        <v/>
      </c>
      <c r="V130" s="28" t="str">
        <f t="shared" si="25"/>
        <v/>
      </c>
      <c r="W130" s="28" t="str">
        <f t="shared" si="25"/>
        <v/>
      </c>
      <c r="X130" s="29" t="str">
        <f t="shared" si="25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16"/>
        <v/>
      </c>
      <c r="L131" s="19" t="str">
        <f t="shared" si="24"/>
        <v/>
      </c>
      <c r="M131" s="19" t="str">
        <f t="shared" si="23"/>
        <v/>
      </c>
      <c r="N131" s="19" t="str">
        <f t="shared" si="23"/>
        <v/>
      </c>
      <c r="O131" s="19" t="str">
        <f t="shared" si="19"/>
        <v/>
      </c>
      <c r="P131" s="19" t="str">
        <f t="shared" si="20"/>
        <v/>
      </c>
      <c r="Q131" s="19" t="str">
        <f t="shared" si="21"/>
        <v/>
      </c>
      <c r="R131" s="19" t="str">
        <f t="shared" si="17"/>
        <v/>
      </c>
      <c r="S131" s="27" t="str">
        <f t="shared" si="25"/>
        <v/>
      </c>
      <c r="T131" s="28" t="str">
        <f t="shared" si="25"/>
        <v/>
      </c>
      <c r="U131" s="28" t="str">
        <f t="shared" si="25"/>
        <v/>
      </c>
      <c r="V131" s="28" t="str">
        <f t="shared" si="25"/>
        <v/>
      </c>
      <c r="W131" s="28" t="str">
        <f t="shared" si="25"/>
        <v/>
      </c>
      <c r="X131" s="29" t="str">
        <f t="shared" si="25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16"/>
        <v/>
      </c>
      <c r="L132" s="19" t="str">
        <f t="shared" si="24"/>
        <v/>
      </c>
      <c r="M132" s="19" t="str">
        <f t="shared" si="23"/>
        <v/>
      </c>
      <c r="N132" s="19" t="str">
        <f t="shared" si="23"/>
        <v/>
      </c>
      <c r="O132" s="19" t="str">
        <f t="shared" si="19"/>
        <v/>
      </c>
      <c r="P132" s="19" t="str">
        <f t="shared" si="20"/>
        <v/>
      </c>
      <c r="Q132" s="19" t="str">
        <f t="shared" si="21"/>
        <v/>
      </c>
      <c r="R132" s="19" t="str">
        <f t="shared" si="17"/>
        <v/>
      </c>
      <c r="S132" s="27" t="str">
        <f t="shared" si="25"/>
        <v/>
      </c>
      <c r="T132" s="28" t="str">
        <f t="shared" si="25"/>
        <v/>
      </c>
      <c r="U132" s="28" t="str">
        <f t="shared" si="25"/>
        <v/>
      </c>
      <c r="V132" s="28" t="str">
        <f t="shared" si="25"/>
        <v/>
      </c>
      <c r="W132" s="28" t="str">
        <f t="shared" si="25"/>
        <v/>
      </c>
      <c r="X132" s="29" t="str">
        <f t="shared" si="25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16"/>
        <v/>
      </c>
      <c r="L133" s="19" t="str">
        <f t="shared" si="24"/>
        <v/>
      </c>
      <c r="M133" s="19" t="str">
        <f t="shared" si="23"/>
        <v/>
      </c>
      <c r="N133" s="19" t="str">
        <f t="shared" si="23"/>
        <v/>
      </c>
      <c r="O133" s="19" t="str">
        <f t="shared" si="19"/>
        <v/>
      </c>
      <c r="P133" s="19" t="str">
        <f t="shared" si="20"/>
        <v/>
      </c>
      <c r="Q133" s="19" t="str">
        <f t="shared" si="21"/>
        <v/>
      </c>
      <c r="R133" s="19" t="str">
        <f t="shared" si="17"/>
        <v/>
      </c>
      <c r="S133" s="27" t="str">
        <f t="shared" si="25"/>
        <v/>
      </c>
      <c r="T133" s="28" t="str">
        <f t="shared" si="25"/>
        <v/>
      </c>
      <c r="U133" s="28" t="str">
        <f t="shared" si="25"/>
        <v/>
      </c>
      <c r="V133" s="28" t="str">
        <f t="shared" si="25"/>
        <v/>
      </c>
      <c r="W133" s="28" t="str">
        <f t="shared" si="25"/>
        <v/>
      </c>
      <c r="X133" s="29" t="str">
        <f t="shared" si="25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16"/>
        <v/>
      </c>
      <c r="L134" s="19" t="str">
        <f t="shared" si="24"/>
        <v/>
      </c>
      <c r="M134" s="19" t="str">
        <f t="shared" si="23"/>
        <v/>
      </c>
      <c r="N134" s="19" t="str">
        <f t="shared" si="23"/>
        <v/>
      </c>
      <c r="O134" s="19" t="str">
        <f t="shared" si="19"/>
        <v/>
      </c>
      <c r="P134" s="19" t="str">
        <f t="shared" si="20"/>
        <v/>
      </c>
      <c r="Q134" s="19" t="str">
        <f t="shared" si="21"/>
        <v/>
      </c>
      <c r="R134" s="19" t="str">
        <f t="shared" si="17"/>
        <v/>
      </c>
      <c r="S134" s="27" t="str">
        <f t="shared" si="25"/>
        <v/>
      </c>
      <c r="T134" s="28" t="str">
        <f t="shared" si="25"/>
        <v/>
      </c>
      <c r="U134" s="28" t="str">
        <f t="shared" si="25"/>
        <v/>
      </c>
      <c r="V134" s="28" t="str">
        <f t="shared" si="25"/>
        <v/>
      </c>
      <c r="W134" s="28" t="str">
        <f t="shared" si="25"/>
        <v/>
      </c>
      <c r="X134" s="29" t="str">
        <f t="shared" si="25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16"/>
        <v/>
      </c>
      <c r="L135" s="19" t="str">
        <f t="shared" si="24"/>
        <v/>
      </c>
      <c r="M135" s="19" t="str">
        <f t="shared" si="23"/>
        <v/>
      </c>
      <c r="N135" s="19" t="str">
        <f t="shared" si="23"/>
        <v/>
      </c>
      <c r="O135" s="19" t="str">
        <f t="shared" si="19"/>
        <v/>
      </c>
      <c r="P135" s="19" t="str">
        <f t="shared" si="20"/>
        <v/>
      </c>
      <c r="Q135" s="19" t="str">
        <f t="shared" si="21"/>
        <v/>
      </c>
      <c r="R135" s="19" t="str">
        <f t="shared" si="17"/>
        <v/>
      </c>
      <c r="S135" s="27" t="str">
        <f t="shared" si="25"/>
        <v/>
      </c>
      <c r="T135" s="28" t="str">
        <f t="shared" si="25"/>
        <v/>
      </c>
      <c r="U135" s="28" t="str">
        <f t="shared" si="25"/>
        <v/>
      </c>
      <c r="V135" s="28" t="str">
        <f t="shared" si="25"/>
        <v/>
      </c>
      <c r="W135" s="28" t="str">
        <f t="shared" si="25"/>
        <v/>
      </c>
      <c r="X135" s="29" t="str">
        <f t="shared" si="25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16"/>
        <v/>
      </c>
      <c r="L136" s="19" t="str">
        <f t="shared" si="24"/>
        <v/>
      </c>
      <c r="M136" s="19" t="str">
        <f t="shared" si="23"/>
        <v/>
      </c>
      <c r="N136" s="19" t="str">
        <f t="shared" si="23"/>
        <v/>
      </c>
      <c r="O136" s="19" t="str">
        <f t="shared" si="19"/>
        <v/>
      </c>
      <c r="P136" s="19" t="str">
        <f t="shared" si="20"/>
        <v/>
      </c>
      <c r="Q136" s="19" t="str">
        <f t="shared" si="21"/>
        <v/>
      </c>
      <c r="R136" s="19" t="str">
        <f t="shared" si="17"/>
        <v/>
      </c>
      <c r="S136" s="27" t="str">
        <f t="shared" si="25"/>
        <v/>
      </c>
      <c r="T136" s="28" t="str">
        <f t="shared" si="25"/>
        <v/>
      </c>
      <c r="U136" s="28" t="str">
        <f t="shared" si="25"/>
        <v/>
      </c>
      <c r="V136" s="28" t="str">
        <f t="shared" si="25"/>
        <v/>
      </c>
      <c r="W136" s="28" t="str">
        <f t="shared" si="25"/>
        <v/>
      </c>
      <c r="X136" s="29" t="str">
        <f t="shared" si="25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16"/>
        <v/>
      </c>
      <c r="L137" s="19" t="str">
        <f t="shared" si="24"/>
        <v/>
      </c>
      <c r="M137" s="19" t="str">
        <f t="shared" si="23"/>
        <v/>
      </c>
      <c r="N137" s="19" t="str">
        <f t="shared" si="23"/>
        <v/>
      </c>
      <c r="O137" s="19" t="str">
        <f t="shared" si="19"/>
        <v/>
      </c>
      <c r="P137" s="19" t="str">
        <f t="shared" si="20"/>
        <v/>
      </c>
      <c r="Q137" s="19" t="str">
        <f t="shared" si="21"/>
        <v/>
      </c>
      <c r="R137" s="19" t="str">
        <f t="shared" si="17"/>
        <v/>
      </c>
      <c r="S137" s="27" t="str">
        <f t="shared" si="25"/>
        <v/>
      </c>
      <c r="T137" s="28" t="str">
        <f t="shared" si="25"/>
        <v/>
      </c>
      <c r="U137" s="28" t="str">
        <f t="shared" si="25"/>
        <v/>
      </c>
      <c r="V137" s="28" t="str">
        <f t="shared" si="25"/>
        <v/>
      </c>
      <c r="W137" s="28" t="str">
        <f t="shared" si="25"/>
        <v/>
      </c>
      <c r="X137" s="29" t="str">
        <f t="shared" si="25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16"/>
        <v/>
      </c>
      <c r="L138" s="19" t="str">
        <f t="shared" si="24"/>
        <v/>
      </c>
      <c r="M138" s="19" t="str">
        <f t="shared" si="23"/>
        <v/>
      </c>
      <c r="N138" s="19" t="str">
        <f t="shared" si="23"/>
        <v/>
      </c>
      <c r="O138" s="19" t="str">
        <f t="shared" si="19"/>
        <v/>
      </c>
      <c r="P138" s="19" t="str">
        <f t="shared" si="20"/>
        <v/>
      </c>
      <c r="Q138" s="19" t="str">
        <f t="shared" si="21"/>
        <v/>
      </c>
      <c r="R138" s="19" t="str">
        <f t="shared" si="17"/>
        <v/>
      </c>
      <c r="S138" s="27" t="str">
        <f t="shared" si="25"/>
        <v/>
      </c>
      <c r="T138" s="28" t="str">
        <f t="shared" si="25"/>
        <v/>
      </c>
      <c r="U138" s="28" t="str">
        <f t="shared" si="25"/>
        <v/>
      </c>
      <c r="V138" s="28" t="str">
        <f t="shared" si="25"/>
        <v/>
      </c>
      <c r="W138" s="28" t="str">
        <f t="shared" si="25"/>
        <v/>
      </c>
      <c r="X138" s="29" t="str">
        <f t="shared" si="25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16"/>
        <v/>
      </c>
      <c r="L139" s="19" t="str">
        <f t="shared" si="24"/>
        <v/>
      </c>
      <c r="M139" s="19" t="str">
        <f t="shared" si="23"/>
        <v/>
      </c>
      <c r="N139" s="19" t="str">
        <f t="shared" si="23"/>
        <v/>
      </c>
      <c r="O139" s="19" t="str">
        <f t="shared" si="19"/>
        <v/>
      </c>
      <c r="P139" s="19" t="str">
        <f t="shared" si="20"/>
        <v/>
      </c>
      <c r="Q139" s="19" t="str">
        <f t="shared" si="21"/>
        <v/>
      </c>
      <c r="R139" s="19" t="str">
        <f t="shared" si="17"/>
        <v/>
      </c>
      <c r="S139" s="27" t="str">
        <f t="shared" si="25"/>
        <v/>
      </c>
      <c r="T139" s="28" t="str">
        <f t="shared" si="25"/>
        <v/>
      </c>
      <c r="U139" s="28" t="str">
        <f t="shared" si="25"/>
        <v/>
      </c>
      <c r="V139" s="28" t="str">
        <f t="shared" si="25"/>
        <v/>
      </c>
      <c r="W139" s="28" t="str">
        <f t="shared" si="25"/>
        <v/>
      </c>
      <c r="X139" s="29" t="str">
        <f t="shared" si="25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16"/>
        <v/>
      </c>
      <c r="L140" s="19" t="str">
        <f t="shared" si="24"/>
        <v/>
      </c>
      <c r="M140" s="19" t="str">
        <f t="shared" si="23"/>
        <v/>
      </c>
      <c r="N140" s="19" t="str">
        <f t="shared" si="23"/>
        <v/>
      </c>
      <c r="O140" s="19" t="str">
        <f t="shared" si="19"/>
        <v/>
      </c>
      <c r="P140" s="19" t="str">
        <f t="shared" si="20"/>
        <v/>
      </c>
      <c r="Q140" s="19" t="str">
        <f t="shared" si="21"/>
        <v/>
      </c>
      <c r="R140" s="19" t="str">
        <f t="shared" si="17"/>
        <v/>
      </c>
      <c r="S140" s="27" t="str">
        <f t="shared" si="25"/>
        <v/>
      </c>
      <c r="T140" s="28" t="str">
        <f t="shared" si="25"/>
        <v/>
      </c>
      <c r="U140" s="28" t="str">
        <f t="shared" si="25"/>
        <v/>
      </c>
      <c r="V140" s="28" t="str">
        <f t="shared" si="25"/>
        <v/>
      </c>
      <c r="W140" s="28" t="str">
        <f t="shared" si="25"/>
        <v/>
      </c>
      <c r="X140" s="29" t="str">
        <f t="shared" si="25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16"/>
        <v/>
      </c>
      <c r="L141" s="19" t="str">
        <f t="shared" si="24"/>
        <v/>
      </c>
      <c r="M141" s="19" t="str">
        <f t="shared" si="23"/>
        <v/>
      </c>
      <c r="N141" s="19" t="str">
        <f t="shared" si="23"/>
        <v/>
      </c>
      <c r="O141" s="19" t="str">
        <f t="shared" si="19"/>
        <v/>
      </c>
      <c r="P141" s="19" t="str">
        <f t="shared" si="20"/>
        <v/>
      </c>
      <c r="Q141" s="19" t="str">
        <f t="shared" si="21"/>
        <v/>
      </c>
      <c r="R141" s="19" t="str">
        <f t="shared" si="17"/>
        <v/>
      </c>
      <c r="S141" s="27" t="str">
        <f t="shared" si="25"/>
        <v/>
      </c>
      <c r="T141" s="28" t="str">
        <f t="shared" si="25"/>
        <v/>
      </c>
      <c r="U141" s="28" t="str">
        <f t="shared" si="25"/>
        <v/>
      </c>
      <c r="V141" s="28" t="str">
        <f t="shared" si="25"/>
        <v/>
      </c>
      <c r="W141" s="28" t="str">
        <f t="shared" si="25"/>
        <v/>
      </c>
      <c r="X141" s="29" t="str">
        <f t="shared" si="25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16"/>
        <v/>
      </c>
      <c r="L142" s="19" t="str">
        <f t="shared" si="24"/>
        <v/>
      </c>
      <c r="M142" s="19" t="str">
        <f t="shared" si="23"/>
        <v/>
      </c>
      <c r="N142" s="19" t="str">
        <f t="shared" si="23"/>
        <v/>
      </c>
      <c r="O142" s="19" t="str">
        <f t="shared" si="19"/>
        <v/>
      </c>
      <c r="P142" s="19" t="str">
        <f t="shared" si="20"/>
        <v/>
      </c>
      <c r="Q142" s="19" t="str">
        <f t="shared" si="21"/>
        <v/>
      </c>
      <c r="R142" s="19" t="str">
        <f t="shared" si="17"/>
        <v/>
      </c>
      <c r="S142" s="27" t="str">
        <f t="shared" si="25"/>
        <v/>
      </c>
      <c r="T142" s="28" t="str">
        <f t="shared" si="25"/>
        <v/>
      </c>
      <c r="U142" s="28" t="str">
        <f t="shared" si="25"/>
        <v/>
      </c>
      <c r="V142" s="28" t="str">
        <f t="shared" si="25"/>
        <v/>
      </c>
      <c r="W142" s="28" t="str">
        <f t="shared" si="25"/>
        <v/>
      </c>
      <c r="X142" s="29" t="str">
        <f t="shared" si="25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16"/>
        <v/>
      </c>
      <c r="L143" s="19" t="str">
        <f t="shared" si="24"/>
        <v/>
      </c>
      <c r="M143" s="19" t="str">
        <f t="shared" si="23"/>
        <v/>
      </c>
      <c r="N143" s="19" t="str">
        <f t="shared" si="23"/>
        <v/>
      </c>
      <c r="O143" s="19" t="str">
        <f t="shared" si="19"/>
        <v/>
      </c>
      <c r="P143" s="19" t="str">
        <f t="shared" si="20"/>
        <v/>
      </c>
      <c r="Q143" s="19" t="str">
        <f t="shared" si="21"/>
        <v/>
      </c>
      <c r="R143" s="19" t="str">
        <f t="shared" si="17"/>
        <v/>
      </c>
      <c r="S143" s="27" t="str">
        <f t="shared" si="25"/>
        <v/>
      </c>
      <c r="T143" s="28" t="str">
        <f t="shared" si="25"/>
        <v/>
      </c>
      <c r="U143" s="28" t="str">
        <f t="shared" si="25"/>
        <v/>
      </c>
      <c r="V143" s="28" t="str">
        <f t="shared" si="25"/>
        <v/>
      </c>
      <c r="W143" s="28" t="str">
        <f t="shared" si="25"/>
        <v/>
      </c>
      <c r="X143" s="29" t="str">
        <f t="shared" si="25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16"/>
        <v/>
      </c>
      <c r="L144" s="19" t="str">
        <f t="shared" si="24"/>
        <v/>
      </c>
      <c r="M144" s="19" t="str">
        <f t="shared" si="23"/>
        <v/>
      </c>
      <c r="N144" s="19" t="str">
        <f t="shared" si="23"/>
        <v/>
      </c>
      <c r="O144" s="19" t="str">
        <f t="shared" si="19"/>
        <v/>
      </c>
      <c r="P144" s="19" t="str">
        <f t="shared" si="20"/>
        <v/>
      </c>
      <c r="Q144" s="19" t="str">
        <f t="shared" si="21"/>
        <v/>
      </c>
      <c r="R144" s="19" t="str">
        <f t="shared" si="17"/>
        <v/>
      </c>
      <c r="S144" s="27" t="str">
        <f t="shared" si="25"/>
        <v/>
      </c>
      <c r="T144" s="28" t="str">
        <f t="shared" si="25"/>
        <v/>
      </c>
      <c r="U144" s="28" t="str">
        <f t="shared" si="25"/>
        <v/>
      </c>
      <c r="V144" s="28" t="str">
        <f t="shared" si="25"/>
        <v/>
      </c>
      <c r="W144" s="28" t="str">
        <f t="shared" si="25"/>
        <v/>
      </c>
      <c r="X144" s="29" t="str">
        <f t="shared" si="25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16"/>
        <v/>
      </c>
      <c r="L145" s="19" t="str">
        <f t="shared" si="24"/>
        <v/>
      </c>
      <c r="M145" s="19" t="str">
        <f t="shared" si="23"/>
        <v/>
      </c>
      <c r="N145" s="19" t="str">
        <f t="shared" si="23"/>
        <v/>
      </c>
      <c r="O145" s="19" t="str">
        <f t="shared" si="19"/>
        <v/>
      </c>
      <c r="P145" s="19" t="str">
        <f t="shared" si="20"/>
        <v/>
      </c>
      <c r="Q145" s="19" t="str">
        <f t="shared" si="21"/>
        <v/>
      </c>
      <c r="R145" s="19" t="str">
        <f t="shared" si="17"/>
        <v/>
      </c>
      <c r="S145" s="27" t="str">
        <f t="shared" ref="S145:X153" si="26">IF(C145="","",((C145-C144)*1000)/($B145-$B144))</f>
        <v/>
      </c>
      <c r="T145" s="28" t="str">
        <f t="shared" si="26"/>
        <v/>
      </c>
      <c r="U145" s="28" t="str">
        <f t="shared" si="26"/>
        <v/>
      </c>
      <c r="V145" s="28" t="str">
        <f t="shared" si="26"/>
        <v/>
      </c>
      <c r="W145" s="28" t="str">
        <f t="shared" si="26"/>
        <v/>
      </c>
      <c r="X145" s="29" t="str">
        <f t="shared" si="26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16"/>
        <v/>
      </c>
      <c r="L146" s="19" t="str">
        <f t="shared" si="24"/>
        <v/>
      </c>
      <c r="M146" s="19" t="str">
        <f t="shared" si="23"/>
        <v/>
      </c>
      <c r="N146" s="19" t="str">
        <f t="shared" si="23"/>
        <v/>
      </c>
      <c r="O146" s="19" t="str">
        <f t="shared" si="19"/>
        <v/>
      </c>
      <c r="P146" s="19" t="str">
        <f t="shared" si="20"/>
        <v/>
      </c>
      <c r="Q146" s="19" t="str">
        <f t="shared" si="21"/>
        <v/>
      </c>
      <c r="R146" s="19" t="str">
        <f t="shared" si="17"/>
        <v/>
      </c>
      <c r="S146" s="27" t="str">
        <f t="shared" si="26"/>
        <v/>
      </c>
      <c r="T146" s="28" t="str">
        <f t="shared" si="26"/>
        <v/>
      </c>
      <c r="U146" s="28" t="str">
        <f t="shared" si="26"/>
        <v/>
      </c>
      <c r="V146" s="28" t="str">
        <f t="shared" si="26"/>
        <v/>
      </c>
      <c r="W146" s="28" t="str">
        <f t="shared" si="26"/>
        <v/>
      </c>
      <c r="X146" s="29" t="str">
        <f t="shared" si="26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16"/>
        <v/>
      </c>
      <c r="L147" s="19" t="str">
        <f t="shared" si="24"/>
        <v/>
      </c>
      <c r="M147" s="19" t="str">
        <f t="shared" si="23"/>
        <v/>
      </c>
      <c r="N147" s="19" t="str">
        <f t="shared" si="23"/>
        <v/>
      </c>
      <c r="O147" s="19" t="str">
        <f t="shared" si="19"/>
        <v/>
      </c>
      <c r="P147" s="19" t="str">
        <f t="shared" si="20"/>
        <v/>
      </c>
      <c r="Q147" s="19" t="str">
        <f t="shared" si="21"/>
        <v/>
      </c>
      <c r="R147" s="19" t="str">
        <f t="shared" si="17"/>
        <v/>
      </c>
      <c r="S147" s="27" t="str">
        <f t="shared" si="26"/>
        <v/>
      </c>
      <c r="T147" s="28" t="str">
        <f t="shared" si="26"/>
        <v/>
      </c>
      <c r="U147" s="28" t="str">
        <f t="shared" si="26"/>
        <v/>
      </c>
      <c r="V147" s="28" t="str">
        <f t="shared" si="26"/>
        <v/>
      </c>
      <c r="W147" s="28" t="str">
        <f t="shared" si="26"/>
        <v/>
      </c>
      <c r="X147" s="29" t="str">
        <f t="shared" si="26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16"/>
        <v/>
      </c>
      <c r="L148" s="19" t="str">
        <f t="shared" si="24"/>
        <v/>
      </c>
      <c r="M148" s="19" t="str">
        <f t="shared" si="23"/>
        <v/>
      </c>
      <c r="N148" s="19" t="str">
        <f t="shared" si="23"/>
        <v/>
      </c>
      <c r="O148" s="19" t="str">
        <f t="shared" si="19"/>
        <v/>
      </c>
      <c r="P148" s="19" t="str">
        <f t="shared" si="20"/>
        <v/>
      </c>
      <c r="Q148" s="19" t="str">
        <f t="shared" si="21"/>
        <v/>
      </c>
      <c r="R148" s="19" t="str">
        <f t="shared" si="17"/>
        <v/>
      </c>
      <c r="S148" s="27" t="str">
        <f t="shared" si="26"/>
        <v/>
      </c>
      <c r="T148" s="28" t="str">
        <f t="shared" si="26"/>
        <v/>
      </c>
      <c r="U148" s="28" t="str">
        <f t="shared" si="26"/>
        <v/>
      </c>
      <c r="V148" s="28" t="str">
        <f t="shared" si="26"/>
        <v/>
      </c>
      <c r="W148" s="28" t="str">
        <f t="shared" si="26"/>
        <v/>
      </c>
      <c r="X148" s="29" t="str">
        <f t="shared" si="26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16"/>
        <v/>
      </c>
      <c r="L149" s="19" t="str">
        <f t="shared" si="24"/>
        <v/>
      </c>
      <c r="M149" s="19" t="str">
        <f t="shared" si="23"/>
        <v/>
      </c>
      <c r="N149" s="19" t="str">
        <f t="shared" si="23"/>
        <v/>
      </c>
      <c r="O149" s="19" t="str">
        <f t="shared" si="19"/>
        <v/>
      </c>
      <c r="P149" s="19" t="str">
        <f t="shared" si="20"/>
        <v/>
      </c>
      <c r="Q149" s="19" t="str">
        <f t="shared" si="21"/>
        <v/>
      </c>
      <c r="R149" s="19" t="str">
        <f t="shared" si="17"/>
        <v/>
      </c>
      <c r="S149" s="27" t="str">
        <f t="shared" si="26"/>
        <v/>
      </c>
      <c r="T149" s="28" t="str">
        <f t="shared" si="26"/>
        <v/>
      </c>
      <c r="U149" s="28" t="str">
        <f t="shared" si="26"/>
        <v/>
      </c>
      <c r="V149" s="28" t="str">
        <f t="shared" si="26"/>
        <v/>
      </c>
      <c r="W149" s="28" t="str">
        <f t="shared" si="26"/>
        <v/>
      </c>
      <c r="X149" s="29" t="str">
        <f t="shared" si="26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16"/>
        <v/>
      </c>
      <c r="L150" s="19" t="str">
        <f t="shared" si="24"/>
        <v/>
      </c>
      <c r="M150" s="19" t="str">
        <f t="shared" si="23"/>
        <v/>
      </c>
      <c r="N150" s="19" t="str">
        <f t="shared" si="23"/>
        <v/>
      </c>
      <c r="O150" s="19" t="str">
        <f t="shared" si="19"/>
        <v/>
      </c>
      <c r="P150" s="19" t="str">
        <f t="shared" si="20"/>
        <v/>
      </c>
      <c r="Q150" s="19" t="str">
        <f t="shared" si="21"/>
        <v/>
      </c>
      <c r="R150" s="19" t="str">
        <f t="shared" si="17"/>
        <v/>
      </c>
      <c r="S150" s="27" t="str">
        <f t="shared" si="26"/>
        <v/>
      </c>
      <c r="T150" s="28" t="str">
        <f t="shared" si="26"/>
        <v/>
      </c>
      <c r="U150" s="28" t="str">
        <f t="shared" si="26"/>
        <v/>
      </c>
      <c r="V150" s="28" t="str">
        <f t="shared" si="26"/>
        <v/>
      </c>
      <c r="W150" s="28" t="str">
        <f t="shared" si="26"/>
        <v/>
      </c>
      <c r="X150" s="29" t="str">
        <f t="shared" si="26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>IF(ISBLANK(J151),"",(J151-$J$8))</f>
        <v/>
      </c>
      <c r="L151" s="19" t="str">
        <f t="shared" si="24"/>
        <v/>
      </c>
      <c r="M151" s="19" t="str">
        <f t="shared" si="23"/>
        <v/>
      </c>
      <c r="N151" s="19" t="str">
        <f t="shared" si="23"/>
        <v/>
      </c>
      <c r="O151" s="19" t="str">
        <f t="shared" si="19"/>
        <v/>
      </c>
      <c r="P151" s="19" t="str">
        <f t="shared" si="20"/>
        <v/>
      </c>
      <c r="Q151" s="19" t="str">
        <f t="shared" si="21"/>
        <v/>
      </c>
      <c r="R151" s="19" t="str">
        <f t="shared" si="17"/>
        <v/>
      </c>
      <c r="S151" s="27" t="str">
        <f t="shared" si="26"/>
        <v/>
      </c>
      <c r="T151" s="28" t="str">
        <f t="shared" si="26"/>
        <v/>
      </c>
      <c r="U151" s="28" t="str">
        <f t="shared" si="26"/>
        <v/>
      </c>
      <c r="V151" s="28" t="str">
        <f t="shared" si="26"/>
        <v/>
      </c>
      <c r="W151" s="28" t="str">
        <f t="shared" si="26"/>
        <v/>
      </c>
      <c r="X151" s="29" t="str">
        <f t="shared" si="26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>IF(ISBLANK(J152),"",(J152-$J$8))</f>
        <v/>
      </c>
      <c r="L152" s="19" t="str">
        <f t="shared" si="24"/>
        <v/>
      </c>
      <c r="M152" s="19" t="str">
        <f t="shared" si="23"/>
        <v/>
      </c>
      <c r="N152" s="19" t="str">
        <f t="shared" si="23"/>
        <v/>
      </c>
      <c r="O152" s="19" t="str">
        <f t="shared" si="19"/>
        <v/>
      </c>
      <c r="P152" s="19" t="str">
        <f t="shared" si="20"/>
        <v/>
      </c>
      <c r="Q152" s="19" t="str">
        <f t="shared" si="21"/>
        <v/>
      </c>
      <c r="R152" s="19" t="str">
        <f t="shared" si="17"/>
        <v/>
      </c>
      <c r="S152" s="27" t="str">
        <f t="shared" si="26"/>
        <v/>
      </c>
      <c r="T152" s="28" t="str">
        <f t="shared" si="26"/>
        <v/>
      </c>
      <c r="U152" s="28" t="str">
        <f t="shared" si="26"/>
        <v/>
      </c>
      <c r="V152" s="28" t="str">
        <f t="shared" si="26"/>
        <v/>
      </c>
      <c r="W152" s="28" t="str">
        <f t="shared" si="26"/>
        <v/>
      </c>
      <c r="X152" s="29" t="str">
        <f t="shared" si="26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>IF(ISBLANK(J153),"",(J153-$J$8))</f>
        <v/>
      </c>
      <c r="L153" s="19" t="str">
        <f t="shared" si="24"/>
        <v/>
      </c>
      <c r="M153" s="19" t="str">
        <f t="shared" si="23"/>
        <v/>
      </c>
      <c r="N153" s="19" t="str">
        <f t="shared" si="23"/>
        <v/>
      </c>
      <c r="O153" s="19" t="str">
        <f t="shared" si="19"/>
        <v/>
      </c>
      <c r="P153" s="19" t="str">
        <f t="shared" si="20"/>
        <v/>
      </c>
      <c r="Q153" s="19" t="str">
        <f t="shared" si="21"/>
        <v/>
      </c>
      <c r="R153" s="19" t="str">
        <f t="shared" si="17"/>
        <v/>
      </c>
      <c r="S153" s="27" t="str">
        <f t="shared" si="26"/>
        <v/>
      </c>
      <c r="T153" s="28" t="str">
        <f t="shared" si="26"/>
        <v/>
      </c>
      <c r="U153" s="28" t="str">
        <f t="shared" si="26"/>
        <v/>
      </c>
      <c r="V153" s="28" t="str">
        <f t="shared" si="26"/>
        <v/>
      </c>
      <c r="W153" s="28" t="str">
        <f t="shared" si="26"/>
        <v/>
      </c>
      <c r="X153" s="29" t="str">
        <f t="shared" si="26"/>
        <v/>
      </c>
      <c r="Y153" s="24"/>
    </row>
  </sheetData>
  <sheetProtection selectLockedCells="1"/>
  <mergeCells count="38">
    <mergeCell ref="R8:V8"/>
    <mergeCell ref="W7:Y7"/>
    <mergeCell ref="J7:Q7"/>
    <mergeCell ref="R7:V7"/>
    <mergeCell ref="E7:I7"/>
    <mergeCell ref="AA9:AI9"/>
    <mergeCell ref="B10:J12"/>
    <mergeCell ref="K10:S12"/>
    <mergeCell ref="T10:Y12"/>
    <mergeCell ref="B9:O9"/>
    <mergeCell ref="P9:Y9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6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27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TZ-24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52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41754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41758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350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608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13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41759</v>
      </c>
      <c r="C16" s="35">
        <v>12.467000000000001</v>
      </c>
      <c r="D16" s="36">
        <v>7.3760000000000003</v>
      </c>
      <c r="E16" s="36">
        <v>7.6539999999999999</v>
      </c>
      <c r="F16" s="37"/>
      <c r="G16" s="37"/>
      <c r="H16" s="37"/>
      <c r="I16" s="38">
        <v>102.929</v>
      </c>
      <c r="J16" s="68">
        <v>623</v>
      </c>
      <c r="K16" s="55">
        <f t="shared" ref="K16:K22" si="0">IF(ISBLANK(J16),"",(J16-$J$8))</f>
        <v>15</v>
      </c>
      <c r="L16" s="19">
        <f t="shared" ref="L16:L22" si="1">IF(ISBLANK(C16),"",(C16-C$16)*1000)</f>
        <v>0</v>
      </c>
      <c r="M16" s="19">
        <f t="shared" ref="M16:M22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47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41764</v>
      </c>
      <c r="C17" s="25">
        <v>12.467000000000001</v>
      </c>
      <c r="D17" s="26">
        <v>7.3760000000000003</v>
      </c>
      <c r="E17" s="26">
        <v>7.6539999999999999</v>
      </c>
      <c r="F17" s="16"/>
      <c r="G17" s="16"/>
      <c r="H17" s="16"/>
      <c r="I17" s="17">
        <v>102.928</v>
      </c>
      <c r="J17" s="58">
        <v>659</v>
      </c>
      <c r="K17" s="18">
        <f t="shared" si="0"/>
        <v>51</v>
      </c>
      <c r="L17" s="19">
        <f t="shared" si="1"/>
        <v>0</v>
      </c>
      <c r="M17" s="19">
        <f t="shared" si="2"/>
        <v>0</v>
      </c>
      <c r="N17" s="19">
        <f t="shared" si="3"/>
        <v>0</v>
      </c>
      <c r="O17" s="19" t="str">
        <f t="shared" ref="O17:Q21" si="5">IF(ISBLANK(F17),"",(F17-F$16)*1000)</f>
        <v/>
      </c>
      <c r="P17" s="19" t="str">
        <f t="shared" si="5"/>
        <v/>
      </c>
      <c r="Q17" s="19" t="str">
        <f t="shared" si="5"/>
        <v/>
      </c>
      <c r="R17" s="19">
        <f t="shared" si="4"/>
        <v>-1.0000000000047748</v>
      </c>
      <c r="S17" s="27">
        <f t="shared" ref="S17:S48" si="6">IF(C17="","",((C17-C16)*1000)/($B17-$B16))</f>
        <v>0</v>
      </c>
      <c r="T17" s="28">
        <f t="shared" ref="T17:T48" si="7">IF(D17="","",((D17-D16)*1000)/($B17-$B16))</f>
        <v>0</v>
      </c>
      <c r="U17" s="28">
        <f t="shared" ref="U17:U48" si="8">IF(E17="","",((E17-E16)*1000)/($B17-$B16))</f>
        <v>0</v>
      </c>
      <c r="V17" s="28" t="str">
        <f t="shared" ref="V17:V48" si="9">IF(F17="","",((F17-F16)*1000)/($B17-$B16))</f>
        <v/>
      </c>
      <c r="W17" s="28" t="str">
        <f t="shared" ref="W17:W48" si="10">IF(G17="","",((G17-G16)*1000)/($B17-$B16))</f>
        <v/>
      </c>
      <c r="X17" s="29" t="str">
        <f t="shared" ref="X17:X48" si="11">IF(H17="","",((H17-H16)*1000)/($B17-$B16))</f>
        <v/>
      </c>
      <c r="Y17" s="24"/>
    </row>
    <row r="18" spans="2:25" ht="15" customHeight="1" x14ac:dyDescent="0.2">
      <c r="B18" s="31">
        <v>41765</v>
      </c>
      <c r="C18" s="25">
        <v>12.467000000000001</v>
      </c>
      <c r="D18" s="26">
        <v>7.3760000000000003</v>
      </c>
      <c r="E18" s="26">
        <v>7.6529999999999996</v>
      </c>
      <c r="F18" s="16"/>
      <c r="G18" s="16"/>
      <c r="H18" s="16"/>
      <c r="I18" s="17">
        <v>102.928</v>
      </c>
      <c r="J18" s="58">
        <v>668</v>
      </c>
      <c r="K18" s="18">
        <f t="shared" si="0"/>
        <v>60</v>
      </c>
      <c r="L18" s="19">
        <f t="shared" si="1"/>
        <v>0</v>
      </c>
      <c r="M18" s="19">
        <f t="shared" si="2"/>
        <v>0</v>
      </c>
      <c r="N18" s="19">
        <f t="shared" si="3"/>
        <v>-1.000000000000334</v>
      </c>
      <c r="O18" s="19" t="str">
        <f t="shared" si="5"/>
        <v/>
      </c>
      <c r="P18" s="19" t="str">
        <f t="shared" si="5"/>
        <v/>
      </c>
      <c r="Q18" s="19" t="str">
        <f t="shared" si="5"/>
        <v/>
      </c>
      <c r="R18" s="19">
        <f t="shared" si="4"/>
        <v>-1.0000000000047748</v>
      </c>
      <c r="S18" s="27">
        <f t="shared" si="6"/>
        <v>0</v>
      </c>
      <c r="T18" s="28">
        <f t="shared" si="7"/>
        <v>0</v>
      </c>
      <c r="U18" s="28">
        <f t="shared" si="8"/>
        <v>-1.000000000000334</v>
      </c>
      <c r="V18" s="28" t="str">
        <f t="shared" si="9"/>
        <v/>
      </c>
      <c r="W18" s="28" t="str">
        <f t="shared" si="10"/>
        <v/>
      </c>
      <c r="X18" s="29" t="str">
        <f t="shared" si="11"/>
        <v/>
      </c>
      <c r="Y18" s="24"/>
    </row>
    <row r="19" spans="2:25" ht="15" customHeight="1" x14ac:dyDescent="0.2">
      <c r="B19" s="31">
        <v>41766</v>
      </c>
      <c r="C19" s="25">
        <v>12.467000000000001</v>
      </c>
      <c r="D19" s="26">
        <v>7.3760000000000003</v>
      </c>
      <c r="E19" s="26">
        <v>7.6529999999999996</v>
      </c>
      <c r="F19" s="16"/>
      <c r="G19" s="16"/>
      <c r="H19" s="16"/>
      <c r="I19" s="17">
        <v>102.928</v>
      </c>
      <c r="J19" s="58">
        <v>677</v>
      </c>
      <c r="K19" s="18">
        <f t="shared" si="0"/>
        <v>69</v>
      </c>
      <c r="L19" s="19">
        <f t="shared" si="1"/>
        <v>0</v>
      </c>
      <c r="M19" s="19">
        <f t="shared" si="2"/>
        <v>0</v>
      </c>
      <c r="N19" s="19">
        <f t="shared" si="3"/>
        <v>-1.000000000000334</v>
      </c>
      <c r="O19" s="19" t="str">
        <f t="shared" si="5"/>
        <v/>
      </c>
      <c r="P19" s="19" t="str">
        <f t="shared" si="5"/>
        <v/>
      </c>
      <c r="Q19" s="19" t="str">
        <f t="shared" si="5"/>
        <v/>
      </c>
      <c r="R19" s="19">
        <f t="shared" si="4"/>
        <v>-1.0000000000047748</v>
      </c>
      <c r="S19" s="27">
        <f t="shared" si="6"/>
        <v>0</v>
      </c>
      <c r="T19" s="28">
        <f t="shared" si="7"/>
        <v>0</v>
      </c>
      <c r="U19" s="28">
        <f t="shared" si="8"/>
        <v>0</v>
      </c>
      <c r="V19" s="28" t="str">
        <f t="shared" si="9"/>
        <v/>
      </c>
      <c r="W19" s="28" t="str">
        <f t="shared" si="10"/>
        <v/>
      </c>
      <c r="X19" s="29" t="str">
        <f t="shared" si="11"/>
        <v/>
      </c>
      <c r="Y19" s="24"/>
    </row>
    <row r="20" spans="2:25" ht="15" customHeight="1" x14ac:dyDescent="0.2">
      <c r="B20" s="31">
        <v>41781</v>
      </c>
      <c r="C20" s="25">
        <v>12.467000000000001</v>
      </c>
      <c r="D20" s="26">
        <v>7.3760000000000003</v>
      </c>
      <c r="E20" s="26">
        <v>7.6529999999999996</v>
      </c>
      <c r="F20" s="16"/>
      <c r="G20" s="16"/>
      <c r="H20" s="16"/>
      <c r="I20" s="17">
        <v>102.929</v>
      </c>
      <c r="J20" s="58">
        <v>792</v>
      </c>
      <c r="K20" s="18">
        <f t="shared" si="0"/>
        <v>184</v>
      </c>
      <c r="L20" s="19">
        <f t="shared" si="1"/>
        <v>0</v>
      </c>
      <c r="M20" s="19">
        <f t="shared" si="2"/>
        <v>0</v>
      </c>
      <c r="N20" s="19">
        <f t="shared" si="3"/>
        <v>-1.000000000000334</v>
      </c>
      <c r="O20" s="19" t="str">
        <f t="shared" si="5"/>
        <v/>
      </c>
      <c r="P20" s="19" t="str">
        <f t="shared" si="5"/>
        <v/>
      </c>
      <c r="Q20" s="19" t="str">
        <f t="shared" si="5"/>
        <v/>
      </c>
      <c r="R20" s="19">
        <f t="shared" si="4"/>
        <v>0</v>
      </c>
      <c r="S20" s="27">
        <f t="shared" si="6"/>
        <v>0</v>
      </c>
      <c r="T20" s="28">
        <f t="shared" si="7"/>
        <v>0</v>
      </c>
      <c r="U20" s="28">
        <f t="shared" si="8"/>
        <v>0</v>
      </c>
      <c r="V20" s="28" t="str">
        <f t="shared" si="9"/>
        <v/>
      </c>
      <c r="W20" s="28" t="str">
        <f t="shared" si="10"/>
        <v/>
      </c>
      <c r="X20" s="29" t="str">
        <f t="shared" si="11"/>
        <v/>
      </c>
      <c r="Y20" s="24"/>
    </row>
    <row r="21" spans="2:25" ht="15" customHeight="1" x14ac:dyDescent="0.2">
      <c r="B21" s="31">
        <v>41813</v>
      </c>
      <c r="C21" s="25">
        <v>12.467000000000001</v>
      </c>
      <c r="D21" s="26">
        <v>7.3760000000000003</v>
      </c>
      <c r="E21" s="26">
        <v>7.6529999999999996</v>
      </c>
      <c r="F21" s="16"/>
      <c r="G21" s="16"/>
      <c r="H21" s="16"/>
      <c r="I21" s="17">
        <v>102.929</v>
      </c>
      <c r="J21" s="58">
        <v>574</v>
      </c>
      <c r="K21" s="18">
        <f t="shared" si="0"/>
        <v>-34</v>
      </c>
      <c r="L21" s="19">
        <f t="shared" si="1"/>
        <v>0</v>
      </c>
      <c r="M21" s="19">
        <f t="shared" si="2"/>
        <v>0</v>
      </c>
      <c r="N21" s="19">
        <f t="shared" si="3"/>
        <v>-1.000000000000334</v>
      </c>
      <c r="O21" s="19" t="str">
        <f t="shared" si="5"/>
        <v/>
      </c>
      <c r="P21" s="19" t="str">
        <f t="shared" si="5"/>
        <v/>
      </c>
      <c r="Q21" s="19" t="str">
        <f t="shared" si="5"/>
        <v/>
      </c>
      <c r="R21" s="19">
        <f t="shared" si="4"/>
        <v>0</v>
      </c>
      <c r="S21" s="27">
        <f t="shared" si="6"/>
        <v>0</v>
      </c>
      <c r="T21" s="28">
        <f t="shared" si="7"/>
        <v>0</v>
      </c>
      <c r="U21" s="28">
        <f t="shared" si="8"/>
        <v>0</v>
      </c>
      <c r="V21" s="28" t="str">
        <f t="shared" si="9"/>
        <v/>
      </c>
      <c r="W21" s="28" t="str">
        <f t="shared" si="10"/>
        <v/>
      </c>
      <c r="X21" s="29" t="str">
        <f t="shared" si="11"/>
        <v/>
      </c>
      <c r="Y21" s="24"/>
    </row>
    <row r="22" spans="2:25" ht="15" customHeight="1" x14ac:dyDescent="0.2">
      <c r="B22" s="31">
        <v>41820</v>
      </c>
      <c r="C22" s="64">
        <v>12.465</v>
      </c>
      <c r="D22" s="65">
        <v>7.3760000000000003</v>
      </c>
      <c r="E22" s="26">
        <v>7.6520000000000001</v>
      </c>
      <c r="F22" s="16">
        <v>13.173999999999999</v>
      </c>
      <c r="G22" s="16">
        <v>10.215</v>
      </c>
      <c r="H22" s="16">
        <v>10.481999999999999</v>
      </c>
      <c r="I22" s="17">
        <v>102.928</v>
      </c>
      <c r="J22" s="58">
        <v>645</v>
      </c>
      <c r="K22" s="18">
        <f t="shared" si="0"/>
        <v>37</v>
      </c>
      <c r="L22" s="19">
        <f t="shared" si="1"/>
        <v>-2.0000000000006679</v>
      </c>
      <c r="M22" s="19">
        <f t="shared" si="2"/>
        <v>0</v>
      </c>
      <c r="N22" s="19">
        <f t="shared" si="3"/>
        <v>-1.9999999999997797</v>
      </c>
      <c r="O22" s="19">
        <f>IF(ISBLANK(F22),"",((F22-F$22)*1000)+L$22)</f>
        <v>-2.0000000000006679</v>
      </c>
      <c r="P22" s="19">
        <f>IF(ISBLANK(G22),"",((G22-G$22)*1000)+M$22)</f>
        <v>0</v>
      </c>
      <c r="Q22" s="19">
        <f>IF(ISBLANK(H22),"",((H22-H$22)*1000)+N$22)</f>
        <v>-1.9999999999997797</v>
      </c>
      <c r="R22" s="19">
        <f t="shared" si="4"/>
        <v>-1.0000000000047748</v>
      </c>
      <c r="S22" s="27">
        <f t="shared" si="6"/>
        <v>-0.28571428571438112</v>
      </c>
      <c r="T22" s="28">
        <f t="shared" si="7"/>
        <v>0</v>
      </c>
      <c r="U22" s="28">
        <f t="shared" si="8"/>
        <v>-0.14285714285706369</v>
      </c>
      <c r="V22" s="28"/>
      <c r="W22" s="28"/>
      <c r="X22" s="29"/>
      <c r="Y22" s="24"/>
    </row>
    <row r="23" spans="2:25" ht="15" customHeight="1" x14ac:dyDescent="0.2">
      <c r="B23" s="31">
        <v>41822</v>
      </c>
      <c r="C23" s="82">
        <v>12.493</v>
      </c>
      <c r="D23" s="45">
        <v>7.4009999999999998</v>
      </c>
      <c r="E23" s="26">
        <v>7.6529999999999996</v>
      </c>
      <c r="F23" s="16">
        <v>13.173</v>
      </c>
      <c r="G23" s="16">
        <v>10.215</v>
      </c>
      <c r="H23" s="16">
        <v>10.481999999999999</v>
      </c>
      <c r="I23" s="17">
        <v>102.928</v>
      </c>
      <c r="J23" s="58">
        <v>686</v>
      </c>
      <c r="K23" s="18">
        <f t="shared" ref="K23:K29" si="12">IF(ISBLANK(J23),"",(J23-$J$8))</f>
        <v>78</v>
      </c>
      <c r="L23" s="19">
        <f>IF(ISBLANK(C23),"",((C23-C$23)*1000)+L$22)</f>
        <v>-2.0000000000006679</v>
      </c>
      <c r="M23" s="19">
        <f>IF(ISBLANK(D23),"",((D23-D$23)*1000)+M$22)</f>
        <v>0</v>
      </c>
      <c r="N23" s="19">
        <f t="shared" si="3"/>
        <v>-1.000000000000334</v>
      </c>
      <c r="O23" s="19">
        <f t="shared" ref="O23:O86" si="13">IF(ISBLANK(F23),"",((F23-F$22)*1000)+L$22)</f>
        <v>-3.0000000000001137</v>
      </c>
      <c r="P23" s="19">
        <f t="shared" ref="P23:P86" si="14">IF(ISBLANK(G23),"",((G23-G$22)*1000)+M$22)</f>
        <v>0</v>
      </c>
      <c r="Q23" s="19">
        <f t="shared" ref="Q23:Q86" si="15">IF(ISBLANK(H23),"",((H23-H$22)*1000)+N$22)</f>
        <v>-1.9999999999997797</v>
      </c>
      <c r="R23" s="19">
        <f t="shared" si="4"/>
        <v>-1.0000000000047748</v>
      </c>
      <c r="S23" s="27">
        <f t="shared" si="6"/>
        <v>14.000000000000234</v>
      </c>
      <c r="T23" s="28">
        <f t="shared" si="7"/>
        <v>12.499999999999734</v>
      </c>
      <c r="U23" s="28">
        <f t="shared" si="8"/>
        <v>0.49999999999972289</v>
      </c>
      <c r="V23" s="28">
        <f t="shared" si="9"/>
        <v>-0.49999999999972289</v>
      </c>
      <c r="W23" s="28">
        <f t="shared" si="10"/>
        <v>0</v>
      </c>
      <c r="X23" s="29">
        <f t="shared" si="11"/>
        <v>0</v>
      </c>
      <c r="Y23" s="49" t="s">
        <v>53</v>
      </c>
    </row>
    <row r="24" spans="2:25" ht="15" customHeight="1" x14ac:dyDescent="0.2">
      <c r="B24" s="31">
        <v>41823</v>
      </c>
      <c r="C24" s="25">
        <v>12.492000000000001</v>
      </c>
      <c r="D24" s="26">
        <v>7.4009999999999998</v>
      </c>
      <c r="E24" s="26">
        <v>7.6520000000000001</v>
      </c>
      <c r="F24" s="16">
        <v>13.173999999999999</v>
      </c>
      <c r="G24" s="16">
        <v>10.215</v>
      </c>
      <c r="H24" s="16">
        <v>10.483000000000001</v>
      </c>
      <c r="I24" s="17">
        <v>102.928</v>
      </c>
      <c r="J24" s="58">
        <v>703</v>
      </c>
      <c r="K24" s="18">
        <f t="shared" si="12"/>
        <v>95</v>
      </c>
      <c r="L24" s="19">
        <f t="shared" ref="L24:L87" si="16">IF(ISBLANK(C24),"",((C24-C$23)*1000)+L$22)</f>
        <v>-3.0000000000001137</v>
      </c>
      <c r="M24" s="19">
        <f t="shared" ref="M24:M87" si="17">IF(ISBLANK(D24),"",((D24-D$23)*1000)+M$22)</f>
        <v>0</v>
      </c>
      <c r="N24" s="19">
        <f t="shared" si="3"/>
        <v>-1.9999999999997797</v>
      </c>
      <c r="O24" s="19">
        <f t="shared" si="13"/>
        <v>-2.0000000000006679</v>
      </c>
      <c r="P24" s="19">
        <f t="shared" si="14"/>
        <v>0</v>
      </c>
      <c r="Q24" s="19">
        <f t="shared" si="15"/>
        <v>-0.9999999999985576</v>
      </c>
      <c r="R24" s="19">
        <f t="shared" si="4"/>
        <v>-1.0000000000047748</v>
      </c>
      <c r="S24" s="27">
        <f t="shared" si="6"/>
        <v>-0.99999999999944578</v>
      </c>
      <c r="T24" s="28">
        <f t="shared" si="7"/>
        <v>0</v>
      </c>
      <c r="U24" s="28">
        <f t="shared" si="8"/>
        <v>-0.99999999999944578</v>
      </c>
      <c r="V24" s="28">
        <f t="shared" si="9"/>
        <v>0.99999999999944578</v>
      </c>
      <c r="W24" s="28">
        <f t="shared" si="10"/>
        <v>0</v>
      </c>
      <c r="X24" s="29">
        <f t="shared" si="11"/>
        <v>1.0000000000012221</v>
      </c>
      <c r="Y24" s="24"/>
    </row>
    <row r="25" spans="2:25" ht="15" customHeight="1" x14ac:dyDescent="0.2">
      <c r="B25" s="31">
        <v>41824</v>
      </c>
      <c r="C25" s="25">
        <v>12.493</v>
      </c>
      <c r="D25" s="26">
        <v>7.4009999999999998</v>
      </c>
      <c r="E25" s="26">
        <v>7.6520000000000001</v>
      </c>
      <c r="F25" s="16">
        <v>13.173</v>
      </c>
      <c r="G25" s="16">
        <v>10.215</v>
      </c>
      <c r="H25" s="16">
        <v>10.481999999999999</v>
      </c>
      <c r="I25" s="17">
        <v>102.928</v>
      </c>
      <c r="J25" s="58">
        <v>725</v>
      </c>
      <c r="K25" s="18">
        <f t="shared" si="12"/>
        <v>117</v>
      </c>
      <c r="L25" s="19">
        <f t="shared" si="16"/>
        <v>-2.0000000000006679</v>
      </c>
      <c r="M25" s="19">
        <f t="shared" si="17"/>
        <v>0</v>
      </c>
      <c r="N25" s="19">
        <f t="shared" si="3"/>
        <v>-1.9999999999997797</v>
      </c>
      <c r="O25" s="19">
        <f t="shared" si="13"/>
        <v>-3.0000000000001137</v>
      </c>
      <c r="P25" s="19">
        <f t="shared" si="14"/>
        <v>0</v>
      </c>
      <c r="Q25" s="19">
        <f t="shared" si="15"/>
        <v>-1.9999999999997797</v>
      </c>
      <c r="R25" s="19">
        <f t="shared" si="4"/>
        <v>-1.0000000000047748</v>
      </c>
      <c r="S25" s="27">
        <f t="shared" si="6"/>
        <v>0.99999999999944578</v>
      </c>
      <c r="T25" s="28">
        <f t="shared" si="7"/>
        <v>0</v>
      </c>
      <c r="U25" s="28">
        <f t="shared" si="8"/>
        <v>0</v>
      </c>
      <c r="V25" s="28">
        <f t="shared" si="9"/>
        <v>-0.99999999999944578</v>
      </c>
      <c r="W25" s="28">
        <f t="shared" si="10"/>
        <v>0</v>
      </c>
      <c r="X25" s="29">
        <f t="shared" si="11"/>
        <v>-1.0000000000012221</v>
      </c>
      <c r="Y25" s="24"/>
    </row>
    <row r="26" spans="2:25" ht="15" customHeight="1" x14ac:dyDescent="0.2">
      <c r="B26" s="31">
        <v>41829</v>
      </c>
      <c r="C26" s="25">
        <v>12.493</v>
      </c>
      <c r="D26" s="26">
        <v>7.4</v>
      </c>
      <c r="E26" s="26">
        <v>7.6520000000000001</v>
      </c>
      <c r="F26" s="16">
        <v>13.173</v>
      </c>
      <c r="G26" s="16">
        <v>10.215</v>
      </c>
      <c r="H26" s="16">
        <v>10.481999999999999</v>
      </c>
      <c r="I26" s="17">
        <v>102.928</v>
      </c>
      <c r="J26" s="58">
        <v>793</v>
      </c>
      <c r="K26" s="18">
        <f t="shared" si="12"/>
        <v>185</v>
      </c>
      <c r="L26" s="19">
        <f t="shared" si="16"/>
        <v>-2.0000000000006679</v>
      </c>
      <c r="M26" s="19">
        <f t="shared" si="17"/>
        <v>-0.99999999999944578</v>
      </c>
      <c r="N26" s="19">
        <f t="shared" si="3"/>
        <v>-1.9999999999997797</v>
      </c>
      <c r="O26" s="19">
        <f t="shared" si="13"/>
        <v>-3.0000000000001137</v>
      </c>
      <c r="P26" s="19">
        <f t="shared" si="14"/>
        <v>0</v>
      </c>
      <c r="Q26" s="19">
        <f t="shared" si="15"/>
        <v>-1.9999999999997797</v>
      </c>
      <c r="R26" s="19">
        <f t="shared" si="4"/>
        <v>-1.0000000000047748</v>
      </c>
      <c r="S26" s="27">
        <f t="shared" si="6"/>
        <v>0</v>
      </c>
      <c r="T26" s="28">
        <f t="shared" si="7"/>
        <v>-0.19999999999988916</v>
      </c>
      <c r="U26" s="28">
        <f t="shared" si="8"/>
        <v>0</v>
      </c>
      <c r="V26" s="28">
        <f t="shared" si="9"/>
        <v>0</v>
      </c>
      <c r="W26" s="28">
        <f t="shared" si="10"/>
        <v>0</v>
      </c>
      <c r="X26" s="29">
        <f t="shared" si="11"/>
        <v>0</v>
      </c>
      <c r="Y26" s="24"/>
    </row>
    <row r="27" spans="2:25" ht="15" customHeight="1" x14ac:dyDescent="0.2">
      <c r="B27" s="31">
        <v>41830</v>
      </c>
      <c r="C27" s="25">
        <v>12.492000000000001</v>
      </c>
      <c r="D27" s="26">
        <v>7.4</v>
      </c>
      <c r="E27" s="26">
        <v>7.6529999999999996</v>
      </c>
      <c r="F27" s="16">
        <v>13.173</v>
      </c>
      <c r="G27" s="16">
        <v>10.215</v>
      </c>
      <c r="H27" s="16">
        <v>10.481999999999999</v>
      </c>
      <c r="I27" s="17">
        <v>102.92700000000001</v>
      </c>
      <c r="J27" s="58">
        <v>808</v>
      </c>
      <c r="K27" s="18">
        <f t="shared" si="12"/>
        <v>200</v>
      </c>
      <c r="L27" s="19">
        <f t="shared" si="16"/>
        <v>-3.0000000000001137</v>
      </c>
      <c r="M27" s="19">
        <f t="shared" si="17"/>
        <v>-0.99999999999944578</v>
      </c>
      <c r="N27" s="19">
        <f t="shared" si="3"/>
        <v>-1.000000000000334</v>
      </c>
      <c r="O27" s="19">
        <f t="shared" si="13"/>
        <v>-3.0000000000001137</v>
      </c>
      <c r="P27" s="19">
        <f t="shared" si="14"/>
        <v>0</v>
      </c>
      <c r="Q27" s="19">
        <f t="shared" si="15"/>
        <v>-1.9999999999997797</v>
      </c>
      <c r="R27" s="19">
        <f t="shared" si="4"/>
        <v>-1.9999999999953388</v>
      </c>
      <c r="S27" s="27">
        <f t="shared" si="6"/>
        <v>-0.99999999999944578</v>
      </c>
      <c r="T27" s="28">
        <f t="shared" si="7"/>
        <v>0</v>
      </c>
      <c r="U27" s="28">
        <f t="shared" si="8"/>
        <v>0.99999999999944578</v>
      </c>
      <c r="V27" s="28">
        <f t="shared" si="9"/>
        <v>0</v>
      </c>
      <c r="W27" s="28">
        <f t="shared" si="10"/>
        <v>0</v>
      </c>
      <c r="X27" s="29">
        <f t="shared" si="11"/>
        <v>0</v>
      </c>
      <c r="Y27" s="24"/>
    </row>
    <row r="28" spans="2:25" ht="15" customHeight="1" x14ac:dyDescent="0.2">
      <c r="B28" s="31">
        <v>41834</v>
      </c>
      <c r="C28" s="25">
        <v>12.492000000000001</v>
      </c>
      <c r="D28" s="26">
        <v>7.4</v>
      </c>
      <c r="E28" s="26">
        <v>7.6520000000000001</v>
      </c>
      <c r="F28" s="16">
        <v>13.173</v>
      </c>
      <c r="G28" s="16">
        <v>10.215</v>
      </c>
      <c r="H28" s="16">
        <v>10.481999999999999</v>
      </c>
      <c r="I28" s="17">
        <v>102.92700000000001</v>
      </c>
      <c r="J28" s="58">
        <v>845</v>
      </c>
      <c r="K28" s="18">
        <f t="shared" si="12"/>
        <v>237</v>
      </c>
      <c r="L28" s="19">
        <f t="shared" si="16"/>
        <v>-3.0000000000001137</v>
      </c>
      <c r="M28" s="19">
        <f t="shared" si="17"/>
        <v>-0.99999999999944578</v>
      </c>
      <c r="N28" s="19">
        <f t="shared" si="3"/>
        <v>-1.9999999999997797</v>
      </c>
      <c r="O28" s="19">
        <f t="shared" si="13"/>
        <v>-3.0000000000001137</v>
      </c>
      <c r="P28" s="19">
        <f t="shared" si="14"/>
        <v>0</v>
      </c>
      <c r="Q28" s="19">
        <f t="shared" si="15"/>
        <v>-1.9999999999997797</v>
      </c>
      <c r="R28" s="19">
        <f t="shared" si="4"/>
        <v>-1.9999999999953388</v>
      </c>
      <c r="S28" s="27">
        <f t="shared" si="6"/>
        <v>0</v>
      </c>
      <c r="T28" s="28">
        <f t="shared" si="7"/>
        <v>0</v>
      </c>
      <c r="U28" s="28">
        <f t="shared" si="8"/>
        <v>-0.24999999999986144</v>
      </c>
      <c r="V28" s="28">
        <f t="shared" si="9"/>
        <v>0</v>
      </c>
      <c r="W28" s="28">
        <f t="shared" si="10"/>
        <v>0</v>
      </c>
      <c r="X28" s="29">
        <f t="shared" si="11"/>
        <v>0</v>
      </c>
      <c r="Y28" s="24"/>
    </row>
    <row r="29" spans="2:25" ht="15" customHeight="1" x14ac:dyDescent="0.2">
      <c r="B29" s="31">
        <v>41835</v>
      </c>
      <c r="C29" s="25">
        <v>12.492000000000001</v>
      </c>
      <c r="D29" s="26">
        <v>7.399</v>
      </c>
      <c r="E29" s="26">
        <v>7.6529999999999996</v>
      </c>
      <c r="F29" s="16">
        <v>13.173</v>
      </c>
      <c r="G29" s="16">
        <v>10.215</v>
      </c>
      <c r="H29" s="16">
        <v>10.483000000000001</v>
      </c>
      <c r="I29" s="17">
        <v>102.92700000000001</v>
      </c>
      <c r="J29" s="58">
        <v>857</v>
      </c>
      <c r="K29" s="18">
        <f t="shared" si="12"/>
        <v>249</v>
      </c>
      <c r="L29" s="19">
        <f t="shared" si="16"/>
        <v>-3.0000000000001137</v>
      </c>
      <c r="M29" s="19">
        <f t="shared" si="17"/>
        <v>-1.9999999999997797</v>
      </c>
      <c r="N29" s="19">
        <f t="shared" si="3"/>
        <v>-1.000000000000334</v>
      </c>
      <c r="O29" s="19">
        <f t="shared" si="13"/>
        <v>-3.0000000000001137</v>
      </c>
      <c r="P29" s="19">
        <f t="shared" si="14"/>
        <v>0</v>
      </c>
      <c r="Q29" s="19">
        <f t="shared" si="15"/>
        <v>-0.9999999999985576</v>
      </c>
      <c r="R29" s="19">
        <f t="shared" si="4"/>
        <v>-1.9999999999953388</v>
      </c>
      <c r="S29" s="27">
        <f t="shared" si="6"/>
        <v>0</v>
      </c>
      <c r="T29" s="28">
        <f t="shared" si="7"/>
        <v>-1.000000000000334</v>
      </c>
      <c r="U29" s="28">
        <f t="shared" si="8"/>
        <v>0.99999999999944578</v>
      </c>
      <c r="V29" s="28">
        <f t="shared" si="9"/>
        <v>0</v>
      </c>
      <c r="W29" s="28">
        <f t="shared" si="10"/>
        <v>0</v>
      </c>
      <c r="X29" s="29">
        <f t="shared" si="11"/>
        <v>1.0000000000012221</v>
      </c>
      <c r="Y29" s="24"/>
    </row>
    <row r="30" spans="2:25" ht="15" customHeight="1" x14ac:dyDescent="0.2">
      <c r="B30" s="31">
        <v>41879</v>
      </c>
      <c r="C30" s="25"/>
      <c r="D30" s="26"/>
      <c r="E30" s="26"/>
      <c r="F30" s="16">
        <v>13.173</v>
      </c>
      <c r="G30" s="16">
        <v>10.215</v>
      </c>
      <c r="H30" s="16">
        <v>10.483000000000001</v>
      </c>
      <c r="I30" s="17">
        <v>102.928</v>
      </c>
      <c r="J30" s="58">
        <v>943</v>
      </c>
      <c r="K30" s="18">
        <f>IF(ISBLANK(J30),"",(J30-$J$8))</f>
        <v>335</v>
      </c>
      <c r="L30" s="19" t="str">
        <f t="shared" si="16"/>
        <v/>
      </c>
      <c r="M30" s="19" t="str">
        <f t="shared" si="17"/>
        <v/>
      </c>
      <c r="N30" s="19" t="str">
        <f t="shared" si="3"/>
        <v/>
      </c>
      <c r="O30" s="19">
        <f t="shared" si="13"/>
        <v>-3.0000000000001137</v>
      </c>
      <c r="P30" s="19">
        <f t="shared" si="14"/>
        <v>0</v>
      </c>
      <c r="Q30" s="19">
        <f t="shared" si="15"/>
        <v>-0.9999999999985576</v>
      </c>
      <c r="R30" s="19">
        <f t="shared" si="4"/>
        <v>-1.0000000000047748</v>
      </c>
      <c r="S30" s="27" t="str">
        <f t="shared" si="6"/>
        <v/>
      </c>
      <c r="T30" s="28" t="str">
        <f t="shared" si="7"/>
        <v/>
      </c>
      <c r="U30" s="28" t="str">
        <f t="shared" si="8"/>
        <v/>
      </c>
      <c r="V30" s="28">
        <f t="shared" si="9"/>
        <v>0</v>
      </c>
      <c r="W30" s="28">
        <f t="shared" si="10"/>
        <v>0</v>
      </c>
      <c r="X30" s="29">
        <f t="shared" si="11"/>
        <v>0</v>
      </c>
      <c r="Y30" s="24"/>
    </row>
    <row r="31" spans="2:25" ht="15" customHeight="1" x14ac:dyDescent="0.2">
      <c r="B31" s="31">
        <v>41913</v>
      </c>
      <c r="C31" s="25"/>
      <c r="D31" s="26"/>
      <c r="E31" s="26"/>
      <c r="F31" s="16">
        <v>13.173999999999999</v>
      </c>
      <c r="G31" s="16">
        <v>10.215</v>
      </c>
      <c r="H31" s="16">
        <v>10.483000000000001</v>
      </c>
      <c r="I31" s="17">
        <v>102.928</v>
      </c>
      <c r="J31" s="58">
        <v>943</v>
      </c>
      <c r="K31" s="18">
        <f>IF(ISBLANK(J31),"",(J31-$J$8))</f>
        <v>335</v>
      </c>
      <c r="L31" s="19" t="str">
        <f t="shared" si="16"/>
        <v/>
      </c>
      <c r="M31" s="19" t="str">
        <f t="shared" si="17"/>
        <v/>
      </c>
      <c r="N31" s="19" t="str">
        <f t="shared" si="3"/>
        <v/>
      </c>
      <c r="O31" s="19">
        <f t="shared" si="13"/>
        <v>-2.0000000000006679</v>
      </c>
      <c r="P31" s="19">
        <f t="shared" si="14"/>
        <v>0</v>
      </c>
      <c r="Q31" s="19">
        <f t="shared" si="15"/>
        <v>-0.9999999999985576</v>
      </c>
      <c r="R31" s="19">
        <f t="shared" si="4"/>
        <v>-1.0000000000047748</v>
      </c>
      <c r="S31" s="27" t="str">
        <f t="shared" si="6"/>
        <v/>
      </c>
      <c r="T31" s="28" t="str">
        <f t="shared" si="7"/>
        <v/>
      </c>
      <c r="U31" s="28" t="str">
        <f t="shared" si="8"/>
        <v/>
      </c>
      <c r="V31" s="28">
        <f t="shared" si="9"/>
        <v>2.9411764705866053E-2</v>
      </c>
      <c r="W31" s="28">
        <f t="shared" si="10"/>
        <v>0</v>
      </c>
      <c r="X31" s="29">
        <f t="shared" si="11"/>
        <v>0</v>
      </c>
      <c r="Y31" s="24"/>
    </row>
    <row r="32" spans="2:25" ht="15" customHeight="1" x14ac:dyDescent="0.2">
      <c r="B32" s="31">
        <v>42032</v>
      </c>
      <c r="C32" s="25"/>
      <c r="D32" s="26"/>
      <c r="E32" s="26"/>
      <c r="F32" s="16">
        <v>13.173999999999999</v>
      </c>
      <c r="G32" s="16">
        <v>10.215</v>
      </c>
      <c r="H32" s="16">
        <v>10.483000000000001</v>
      </c>
      <c r="I32" s="17">
        <v>102.92700000000001</v>
      </c>
      <c r="J32" s="58">
        <v>943</v>
      </c>
      <c r="K32" s="18">
        <f>IF(ISBLANK(J32),"",(J32-$J$8))</f>
        <v>335</v>
      </c>
      <c r="L32" s="19" t="str">
        <f t="shared" si="16"/>
        <v/>
      </c>
      <c r="M32" s="19" t="str">
        <f t="shared" si="17"/>
        <v/>
      </c>
      <c r="N32" s="19" t="str">
        <f t="shared" si="3"/>
        <v/>
      </c>
      <c r="O32" s="19">
        <f t="shared" si="13"/>
        <v>-2.0000000000006679</v>
      </c>
      <c r="P32" s="19">
        <f t="shared" si="14"/>
        <v>0</v>
      </c>
      <c r="Q32" s="19">
        <f t="shared" si="15"/>
        <v>-0.9999999999985576</v>
      </c>
      <c r="R32" s="19">
        <f t="shared" si="4"/>
        <v>-1.9999999999953388</v>
      </c>
      <c r="S32" s="27" t="str">
        <f t="shared" si="6"/>
        <v/>
      </c>
      <c r="T32" s="28" t="str">
        <f t="shared" si="7"/>
        <v/>
      </c>
      <c r="U32" s="28" t="str">
        <f t="shared" si="8"/>
        <v/>
      </c>
      <c r="V32" s="28">
        <f t="shared" si="9"/>
        <v>0</v>
      </c>
      <c r="W32" s="28">
        <f t="shared" si="10"/>
        <v>0</v>
      </c>
      <c r="X32" s="29">
        <f t="shared" si="11"/>
        <v>0</v>
      </c>
      <c r="Y32" s="24"/>
    </row>
    <row r="33" spans="2:25" ht="15" customHeight="1" x14ac:dyDescent="0.2">
      <c r="B33" s="31">
        <v>42121</v>
      </c>
      <c r="C33" s="25"/>
      <c r="D33" s="26"/>
      <c r="E33" s="26"/>
      <c r="F33" s="16">
        <v>13.173999999999999</v>
      </c>
      <c r="G33" s="16">
        <v>10.215</v>
      </c>
      <c r="H33" s="16">
        <v>10.483000000000001</v>
      </c>
      <c r="I33" s="17">
        <v>102.928</v>
      </c>
      <c r="J33" s="58">
        <v>943</v>
      </c>
      <c r="K33" s="18">
        <f>IF(ISBLANK(J33),"",(J33-$J$8))</f>
        <v>335</v>
      </c>
      <c r="L33" s="19" t="str">
        <f t="shared" si="16"/>
        <v/>
      </c>
      <c r="M33" s="19" t="str">
        <f t="shared" si="17"/>
        <v/>
      </c>
      <c r="N33" s="19" t="str">
        <f t="shared" si="3"/>
        <v/>
      </c>
      <c r="O33" s="19">
        <f t="shared" si="13"/>
        <v>-2.0000000000006679</v>
      </c>
      <c r="P33" s="19">
        <f t="shared" si="14"/>
        <v>0</v>
      </c>
      <c r="Q33" s="19">
        <f t="shared" si="15"/>
        <v>-0.9999999999985576</v>
      </c>
      <c r="R33" s="19">
        <f t="shared" si="4"/>
        <v>-1.0000000000047748</v>
      </c>
      <c r="S33" s="27" t="str">
        <f t="shared" si="6"/>
        <v/>
      </c>
      <c r="T33" s="28" t="str">
        <f t="shared" si="7"/>
        <v/>
      </c>
      <c r="U33" s="28" t="str">
        <f t="shared" si="8"/>
        <v/>
      </c>
      <c r="V33" s="28">
        <f t="shared" si="9"/>
        <v>0</v>
      </c>
      <c r="W33" s="28">
        <f t="shared" si="10"/>
        <v>0</v>
      </c>
      <c r="X33" s="29">
        <f t="shared" si="11"/>
        <v>0</v>
      </c>
      <c r="Y33" s="24"/>
    </row>
    <row r="34" spans="2:25" ht="15" customHeight="1" x14ac:dyDescent="0.2">
      <c r="B34" s="31">
        <v>42222</v>
      </c>
      <c r="C34" s="25"/>
      <c r="D34" s="26"/>
      <c r="E34" s="26"/>
      <c r="F34" s="16">
        <v>13.175000000000001</v>
      </c>
      <c r="G34" s="16">
        <v>10.217000000000001</v>
      </c>
      <c r="H34" s="16">
        <v>10.484</v>
      </c>
      <c r="I34" s="17">
        <v>102.929</v>
      </c>
      <c r="J34" s="32">
        <v>1278</v>
      </c>
      <c r="K34" s="18">
        <f>IF(ISBLANK(J34),"",(J34-$J$8))</f>
        <v>670</v>
      </c>
      <c r="L34" s="19" t="str">
        <f t="shared" si="16"/>
        <v/>
      </c>
      <c r="M34" s="19" t="str">
        <f t="shared" si="17"/>
        <v/>
      </c>
      <c r="N34" s="19" t="str">
        <f t="shared" si="3"/>
        <v/>
      </c>
      <c r="O34" s="19">
        <f t="shared" si="13"/>
        <v>-0.99999999999944578</v>
      </c>
      <c r="P34" s="19">
        <f t="shared" si="14"/>
        <v>2.0000000000006679</v>
      </c>
      <c r="Q34" s="19">
        <f t="shared" si="15"/>
        <v>8.8817841970012523E-13</v>
      </c>
      <c r="R34" s="19">
        <f t="shared" si="4"/>
        <v>0</v>
      </c>
      <c r="S34" s="27" t="str">
        <f t="shared" si="6"/>
        <v/>
      </c>
      <c r="T34" s="28" t="str">
        <f t="shared" si="7"/>
        <v/>
      </c>
      <c r="U34" s="28" t="str">
        <f t="shared" si="8"/>
        <v/>
      </c>
      <c r="V34" s="28">
        <f t="shared" si="9"/>
        <v>9.9009900990220008E-3</v>
      </c>
      <c r="W34" s="28">
        <f t="shared" si="10"/>
        <v>1.9801980198026415E-2</v>
      </c>
      <c r="X34" s="29">
        <f t="shared" si="11"/>
        <v>9.9009900990044142E-3</v>
      </c>
      <c r="Y34" s="24"/>
    </row>
    <row r="35" spans="2:25" ht="15" customHeight="1" x14ac:dyDescent="0.2">
      <c r="B35" s="31">
        <v>42326</v>
      </c>
      <c r="C35" s="25"/>
      <c r="D35" s="26"/>
      <c r="E35" s="26"/>
      <c r="F35" s="16">
        <v>13.173</v>
      </c>
      <c r="G35" s="16">
        <v>10.217000000000001</v>
      </c>
      <c r="H35" s="16">
        <v>10.483000000000001</v>
      </c>
      <c r="I35" s="17">
        <v>102.928</v>
      </c>
      <c r="J35" s="32">
        <v>2248</v>
      </c>
      <c r="K35" s="18">
        <f t="shared" ref="K35:K37" si="18">IF(ISBLANK(J35),"",(J35-$J$8))</f>
        <v>1640</v>
      </c>
      <c r="L35" s="19" t="str">
        <f t="shared" si="16"/>
        <v/>
      </c>
      <c r="M35" s="19" t="str">
        <f t="shared" si="17"/>
        <v/>
      </c>
      <c r="N35" s="19" t="str">
        <f t="shared" si="3"/>
        <v/>
      </c>
      <c r="O35" s="19">
        <f t="shared" si="13"/>
        <v>-3.0000000000001137</v>
      </c>
      <c r="P35" s="19">
        <f t="shared" si="14"/>
        <v>2.0000000000006679</v>
      </c>
      <c r="Q35" s="19">
        <f t="shared" si="15"/>
        <v>-0.9999999999985576</v>
      </c>
      <c r="R35" s="19">
        <f t="shared" si="4"/>
        <v>-1.0000000000047748</v>
      </c>
      <c r="S35" s="27" t="str">
        <f t="shared" si="6"/>
        <v/>
      </c>
      <c r="T35" s="28" t="str">
        <f t="shared" si="7"/>
        <v/>
      </c>
      <c r="U35" s="28" t="str">
        <f t="shared" si="8"/>
        <v/>
      </c>
      <c r="V35" s="28">
        <f t="shared" si="9"/>
        <v>-1.9230769230775654E-2</v>
      </c>
      <c r="W35" s="28">
        <f t="shared" si="10"/>
        <v>0</v>
      </c>
      <c r="X35" s="29">
        <f t="shared" si="11"/>
        <v>-9.6153846153792868E-3</v>
      </c>
      <c r="Y35" s="24"/>
    </row>
    <row r="36" spans="2:25" ht="15" customHeight="1" x14ac:dyDescent="0.2">
      <c r="B36" s="31">
        <v>42416</v>
      </c>
      <c r="C36" s="25">
        <v>12.492000000000001</v>
      </c>
      <c r="D36" s="26">
        <v>7.4020000000000001</v>
      </c>
      <c r="E36" s="26">
        <v>7.6520000000000001</v>
      </c>
      <c r="F36" s="16">
        <v>13.173999999999999</v>
      </c>
      <c r="G36" s="16">
        <v>10.215999999999999</v>
      </c>
      <c r="H36" s="16">
        <v>10.483000000000001</v>
      </c>
      <c r="I36" s="17">
        <v>102.928</v>
      </c>
      <c r="J36" s="58">
        <v>2519</v>
      </c>
      <c r="K36" s="18">
        <f t="shared" si="18"/>
        <v>1911</v>
      </c>
      <c r="L36" s="19"/>
      <c r="M36" s="19"/>
      <c r="N36" s="19"/>
      <c r="O36" s="19">
        <f t="shared" si="13"/>
        <v>-2.0000000000006679</v>
      </c>
      <c r="P36" s="19">
        <f t="shared" si="14"/>
        <v>0.99999999999944578</v>
      </c>
      <c r="Q36" s="19">
        <f t="shared" si="15"/>
        <v>-0.9999999999985576</v>
      </c>
      <c r="R36" s="19">
        <f t="shared" si="4"/>
        <v>-1.0000000000047748</v>
      </c>
      <c r="S36" s="27"/>
      <c r="T36" s="28"/>
      <c r="U36" s="28"/>
      <c r="V36" s="28">
        <f t="shared" si="9"/>
        <v>1.1111111111104953E-2</v>
      </c>
      <c r="W36" s="28">
        <f t="shared" si="10"/>
        <v>-1.1111111111124691E-2</v>
      </c>
      <c r="X36" s="29">
        <f t="shared" si="11"/>
        <v>0</v>
      </c>
      <c r="Y36" s="24"/>
    </row>
    <row r="37" spans="2:25" ht="15" customHeight="1" x14ac:dyDescent="0.2">
      <c r="B37" s="31">
        <v>42530</v>
      </c>
      <c r="C37" s="25"/>
      <c r="D37" s="26"/>
      <c r="E37" s="26"/>
      <c r="F37" s="16">
        <v>13.173</v>
      </c>
      <c r="G37" s="16">
        <v>10.215999999999999</v>
      </c>
      <c r="H37" s="16">
        <v>10.484</v>
      </c>
      <c r="I37" s="17">
        <v>102.928</v>
      </c>
      <c r="J37" s="58">
        <v>2608</v>
      </c>
      <c r="K37" s="18">
        <f t="shared" si="18"/>
        <v>2000</v>
      </c>
      <c r="L37" s="19" t="str">
        <f t="shared" si="16"/>
        <v/>
      </c>
      <c r="M37" s="19" t="str">
        <f t="shared" si="17"/>
        <v/>
      </c>
      <c r="N37" s="19" t="str">
        <f t="shared" si="3"/>
        <v/>
      </c>
      <c r="O37" s="19">
        <f t="shared" si="13"/>
        <v>-3.0000000000001137</v>
      </c>
      <c r="P37" s="19">
        <f t="shared" si="14"/>
        <v>0.99999999999944578</v>
      </c>
      <c r="Q37" s="19">
        <f t="shared" si="15"/>
        <v>8.8817841970012523E-13</v>
      </c>
      <c r="R37" s="19">
        <f t="shared" si="4"/>
        <v>-1.0000000000047748</v>
      </c>
      <c r="S37" s="27" t="str">
        <f t="shared" si="6"/>
        <v/>
      </c>
      <c r="T37" s="28" t="str">
        <f t="shared" si="7"/>
        <v/>
      </c>
      <c r="U37" s="28" t="str">
        <f t="shared" si="8"/>
        <v/>
      </c>
      <c r="V37" s="28">
        <f t="shared" si="9"/>
        <v>-8.7719298245565423E-3</v>
      </c>
      <c r="W37" s="28">
        <f t="shared" si="10"/>
        <v>0</v>
      </c>
      <c r="X37" s="29">
        <f t="shared" si="11"/>
        <v>8.7719298245565423E-3</v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59"/>
      <c r="L38" s="19" t="str">
        <f t="shared" si="16"/>
        <v/>
      </c>
      <c r="M38" s="19" t="str">
        <f t="shared" si="17"/>
        <v/>
      </c>
      <c r="N38" s="19" t="str">
        <f t="shared" si="3"/>
        <v/>
      </c>
      <c r="O38" s="19" t="str">
        <f t="shared" si="13"/>
        <v/>
      </c>
      <c r="P38" s="19" t="str">
        <f t="shared" si="14"/>
        <v/>
      </c>
      <c r="Q38" s="19" t="str">
        <f t="shared" si="15"/>
        <v/>
      </c>
      <c r="R38" s="19" t="str">
        <f t="shared" si="4"/>
        <v/>
      </c>
      <c r="S38" s="27" t="str">
        <f t="shared" si="6"/>
        <v/>
      </c>
      <c r="T38" s="28" t="str">
        <f t="shared" si="7"/>
        <v/>
      </c>
      <c r="U38" s="28" t="str">
        <f t="shared" si="8"/>
        <v/>
      </c>
      <c r="V38" s="28" t="str">
        <f t="shared" si="9"/>
        <v/>
      </c>
      <c r="W38" s="28" t="str">
        <f t="shared" si="10"/>
        <v/>
      </c>
      <c r="X38" s="29" t="str">
        <f t="shared" si="11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59"/>
      <c r="L39" s="19" t="str">
        <f t="shared" si="16"/>
        <v/>
      </c>
      <c r="M39" s="19" t="str">
        <f t="shared" si="17"/>
        <v/>
      </c>
      <c r="N39" s="19" t="str">
        <f t="shared" si="3"/>
        <v/>
      </c>
      <c r="O39" s="19" t="str">
        <f t="shared" si="13"/>
        <v/>
      </c>
      <c r="P39" s="19" t="str">
        <f t="shared" si="14"/>
        <v/>
      </c>
      <c r="Q39" s="19" t="str">
        <f t="shared" si="15"/>
        <v/>
      </c>
      <c r="R39" s="19" t="str">
        <f t="shared" si="4"/>
        <v/>
      </c>
      <c r="S39" s="27" t="str">
        <f t="shared" si="6"/>
        <v/>
      </c>
      <c r="T39" s="28" t="str">
        <f t="shared" si="7"/>
        <v/>
      </c>
      <c r="U39" s="28" t="str">
        <f t="shared" si="8"/>
        <v/>
      </c>
      <c r="V39" s="28" t="str">
        <f t="shared" si="9"/>
        <v/>
      </c>
      <c r="W39" s="28" t="str">
        <f t="shared" si="10"/>
        <v/>
      </c>
      <c r="X39" s="29" t="str">
        <f t="shared" si="11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59"/>
      <c r="L40" s="19" t="str">
        <f t="shared" si="16"/>
        <v/>
      </c>
      <c r="M40" s="19" t="str">
        <f t="shared" si="17"/>
        <v/>
      </c>
      <c r="N40" s="19" t="str">
        <f t="shared" si="3"/>
        <v/>
      </c>
      <c r="O40" s="19" t="str">
        <f t="shared" si="13"/>
        <v/>
      </c>
      <c r="P40" s="19" t="str">
        <f t="shared" si="14"/>
        <v/>
      </c>
      <c r="Q40" s="19" t="str">
        <f t="shared" si="15"/>
        <v/>
      </c>
      <c r="R40" s="19" t="str">
        <f t="shared" si="4"/>
        <v/>
      </c>
      <c r="S40" s="27" t="str">
        <f t="shared" si="6"/>
        <v/>
      </c>
      <c r="T40" s="28" t="str">
        <f t="shared" si="7"/>
        <v/>
      </c>
      <c r="U40" s="28" t="str">
        <f t="shared" si="8"/>
        <v/>
      </c>
      <c r="V40" s="28" t="str">
        <f t="shared" si="9"/>
        <v/>
      </c>
      <c r="W40" s="28" t="str">
        <f t="shared" si="10"/>
        <v/>
      </c>
      <c r="X40" s="29" t="str">
        <f t="shared" si="11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16"/>
        <v/>
      </c>
      <c r="M41" s="19" t="str">
        <f t="shared" si="17"/>
        <v/>
      </c>
      <c r="N41" s="19" t="str">
        <f t="shared" si="3"/>
        <v/>
      </c>
      <c r="O41" s="19" t="str">
        <f t="shared" si="13"/>
        <v/>
      </c>
      <c r="P41" s="19" t="str">
        <f t="shared" si="14"/>
        <v/>
      </c>
      <c r="Q41" s="19" t="str">
        <f t="shared" si="15"/>
        <v/>
      </c>
      <c r="R41" s="19" t="str">
        <f t="shared" si="4"/>
        <v/>
      </c>
      <c r="S41" s="27" t="str">
        <f t="shared" si="6"/>
        <v/>
      </c>
      <c r="T41" s="28" t="str">
        <f t="shared" si="7"/>
        <v/>
      </c>
      <c r="U41" s="28" t="str">
        <f t="shared" si="8"/>
        <v/>
      </c>
      <c r="V41" s="28" t="str">
        <f t="shared" si="9"/>
        <v/>
      </c>
      <c r="W41" s="28" t="str">
        <f t="shared" si="10"/>
        <v/>
      </c>
      <c r="X41" s="29" t="str">
        <f t="shared" si="11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16"/>
        <v/>
      </c>
      <c r="M42" s="19" t="str">
        <f t="shared" si="17"/>
        <v/>
      </c>
      <c r="N42" s="19" t="str">
        <f t="shared" si="3"/>
        <v/>
      </c>
      <c r="O42" s="19" t="str">
        <f t="shared" si="13"/>
        <v/>
      </c>
      <c r="P42" s="19" t="str">
        <f t="shared" si="14"/>
        <v/>
      </c>
      <c r="Q42" s="19" t="str">
        <f t="shared" si="15"/>
        <v/>
      </c>
      <c r="R42" s="19" t="str">
        <f t="shared" si="4"/>
        <v/>
      </c>
      <c r="S42" s="27" t="str">
        <f t="shared" si="6"/>
        <v/>
      </c>
      <c r="T42" s="28" t="str">
        <f t="shared" si="7"/>
        <v/>
      </c>
      <c r="U42" s="28" t="str">
        <f t="shared" si="8"/>
        <v/>
      </c>
      <c r="V42" s="28" t="str">
        <f t="shared" si="9"/>
        <v/>
      </c>
      <c r="W42" s="28" t="str">
        <f t="shared" si="10"/>
        <v/>
      </c>
      <c r="X42" s="29" t="str">
        <f t="shared" si="11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16"/>
        <v/>
      </c>
      <c r="M43" s="19" t="str">
        <f t="shared" si="17"/>
        <v/>
      </c>
      <c r="N43" s="19" t="str">
        <f t="shared" si="3"/>
        <v/>
      </c>
      <c r="O43" s="19" t="str">
        <f t="shared" si="13"/>
        <v/>
      </c>
      <c r="P43" s="19" t="str">
        <f t="shared" si="14"/>
        <v/>
      </c>
      <c r="Q43" s="19" t="str">
        <f t="shared" si="15"/>
        <v/>
      </c>
      <c r="R43" s="19" t="str">
        <f t="shared" si="4"/>
        <v/>
      </c>
      <c r="S43" s="27" t="str">
        <f t="shared" si="6"/>
        <v/>
      </c>
      <c r="T43" s="28" t="str">
        <f t="shared" si="7"/>
        <v/>
      </c>
      <c r="U43" s="28" t="str">
        <f t="shared" si="8"/>
        <v/>
      </c>
      <c r="V43" s="28" t="str">
        <f t="shared" si="9"/>
        <v/>
      </c>
      <c r="W43" s="28" t="str">
        <f t="shared" si="10"/>
        <v/>
      </c>
      <c r="X43" s="29" t="str">
        <f t="shared" si="11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6"/>
        <v/>
      </c>
      <c r="M44" s="19" t="str">
        <f t="shared" si="17"/>
        <v/>
      </c>
      <c r="N44" s="19" t="str">
        <f t="shared" si="3"/>
        <v/>
      </c>
      <c r="O44" s="19" t="str">
        <f t="shared" si="13"/>
        <v/>
      </c>
      <c r="P44" s="19" t="str">
        <f t="shared" si="14"/>
        <v/>
      </c>
      <c r="Q44" s="19" t="str">
        <f t="shared" si="15"/>
        <v/>
      </c>
      <c r="R44" s="19" t="str">
        <f t="shared" si="4"/>
        <v/>
      </c>
      <c r="S44" s="27" t="str">
        <f t="shared" si="6"/>
        <v/>
      </c>
      <c r="T44" s="28" t="str">
        <f t="shared" si="7"/>
        <v/>
      </c>
      <c r="U44" s="28" t="str">
        <f t="shared" si="8"/>
        <v/>
      </c>
      <c r="V44" s="28" t="str">
        <f t="shared" si="9"/>
        <v/>
      </c>
      <c r="W44" s="28" t="str">
        <f t="shared" si="10"/>
        <v/>
      </c>
      <c r="X44" s="29" t="str">
        <f t="shared" si="11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6"/>
        <v/>
      </c>
      <c r="M45" s="19" t="str">
        <f t="shared" si="17"/>
        <v/>
      </c>
      <c r="N45" s="19" t="str">
        <f t="shared" si="3"/>
        <v/>
      </c>
      <c r="O45" s="19" t="str">
        <f t="shared" si="13"/>
        <v/>
      </c>
      <c r="P45" s="19" t="str">
        <f t="shared" si="14"/>
        <v/>
      </c>
      <c r="Q45" s="19" t="str">
        <f t="shared" si="15"/>
        <v/>
      </c>
      <c r="R45" s="19" t="str">
        <f t="shared" si="4"/>
        <v/>
      </c>
      <c r="S45" s="27" t="str">
        <f t="shared" si="6"/>
        <v/>
      </c>
      <c r="T45" s="28" t="str">
        <f t="shared" si="7"/>
        <v/>
      </c>
      <c r="U45" s="28" t="str">
        <f t="shared" si="8"/>
        <v/>
      </c>
      <c r="V45" s="28" t="str">
        <f t="shared" si="9"/>
        <v/>
      </c>
      <c r="W45" s="28" t="str">
        <f t="shared" si="10"/>
        <v/>
      </c>
      <c r="X45" s="29" t="str">
        <f t="shared" si="11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6"/>
        <v/>
      </c>
      <c r="M46" s="19" t="str">
        <f t="shared" si="17"/>
        <v/>
      </c>
      <c r="N46" s="19" t="str">
        <f t="shared" si="3"/>
        <v/>
      </c>
      <c r="O46" s="19" t="str">
        <f t="shared" si="13"/>
        <v/>
      </c>
      <c r="P46" s="19" t="str">
        <f t="shared" si="14"/>
        <v/>
      </c>
      <c r="Q46" s="19" t="str">
        <f t="shared" si="15"/>
        <v/>
      </c>
      <c r="R46" s="19" t="str">
        <f t="shared" si="4"/>
        <v/>
      </c>
      <c r="S46" s="27" t="str">
        <f t="shared" si="6"/>
        <v/>
      </c>
      <c r="T46" s="28" t="str">
        <f t="shared" si="7"/>
        <v/>
      </c>
      <c r="U46" s="28" t="str">
        <f t="shared" si="8"/>
        <v/>
      </c>
      <c r="V46" s="28" t="str">
        <f t="shared" si="9"/>
        <v/>
      </c>
      <c r="W46" s="28" t="str">
        <f t="shared" si="10"/>
        <v/>
      </c>
      <c r="X46" s="29" t="str">
        <f t="shared" si="1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6"/>
        <v/>
      </c>
      <c r="M47" s="19" t="str">
        <f t="shared" si="17"/>
        <v/>
      </c>
      <c r="N47" s="19" t="str">
        <f t="shared" si="3"/>
        <v/>
      </c>
      <c r="O47" s="19" t="str">
        <f t="shared" si="13"/>
        <v/>
      </c>
      <c r="P47" s="19" t="str">
        <f t="shared" si="14"/>
        <v/>
      </c>
      <c r="Q47" s="19" t="str">
        <f t="shared" si="15"/>
        <v/>
      </c>
      <c r="R47" s="19" t="str">
        <f t="shared" si="4"/>
        <v/>
      </c>
      <c r="S47" s="27" t="str">
        <f t="shared" si="6"/>
        <v/>
      </c>
      <c r="T47" s="28" t="str">
        <f t="shared" si="7"/>
        <v/>
      </c>
      <c r="U47" s="28" t="str">
        <f t="shared" si="8"/>
        <v/>
      </c>
      <c r="V47" s="28" t="str">
        <f t="shared" si="9"/>
        <v/>
      </c>
      <c r="W47" s="28" t="str">
        <f t="shared" si="10"/>
        <v/>
      </c>
      <c r="X47" s="29" t="str">
        <f t="shared" si="1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6"/>
        <v/>
      </c>
      <c r="M48" s="19" t="str">
        <f t="shared" si="17"/>
        <v/>
      </c>
      <c r="N48" s="19" t="str">
        <f t="shared" ref="N48:N79" si="19">IF(ISBLANK(E48),"",(E48-E$16)*1000)</f>
        <v/>
      </c>
      <c r="O48" s="19" t="str">
        <f t="shared" si="13"/>
        <v/>
      </c>
      <c r="P48" s="19" t="str">
        <f t="shared" si="14"/>
        <v/>
      </c>
      <c r="Q48" s="19" t="str">
        <f t="shared" si="15"/>
        <v/>
      </c>
      <c r="R48" s="19" t="str">
        <f t="shared" ref="R48:R79" si="20">IF(ISBLANK(I48),"",(I48-I$16)*1000)</f>
        <v/>
      </c>
      <c r="S48" s="27" t="str">
        <f t="shared" si="6"/>
        <v/>
      </c>
      <c r="T48" s="28" t="str">
        <f t="shared" si="7"/>
        <v/>
      </c>
      <c r="U48" s="28" t="str">
        <f t="shared" si="8"/>
        <v/>
      </c>
      <c r="V48" s="28" t="str">
        <f t="shared" si="9"/>
        <v/>
      </c>
      <c r="W48" s="28" t="str">
        <f t="shared" si="10"/>
        <v/>
      </c>
      <c r="X48" s="29" t="str">
        <f t="shared" si="1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6"/>
        <v/>
      </c>
      <c r="M49" s="19" t="str">
        <f t="shared" si="17"/>
        <v/>
      </c>
      <c r="N49" s="19" t="str">
        <f t="shared" si="19"/>
        <v/>
      </c>
      <c r="O49" s="19" t="str">
        <f t="shared" si="13"/>
        <v/>
      </c>
      <c r="P49" s="19" t="str">
        <f t="shared" si="14"/>
        <v/>
      </c>
      <c r="Q49" s="19" t="str">
        <f t="shared" si="15"/>
        <v/>
      </c>
      <c r="R49" s="19" t="str">
        <f t="shared" si="20"/>
        <v/>
      </c>
      <c r="S49" s="27" t="str">
        <f t="shared" ref="S49:S80" si="21">IF(C49="","",((C49-C48)*1000)/($B49-$B48))</f>
        <v/>
      </c>
      <c r="T49" s="28" t="str">
        <f t="shared" ref="T49:T80" si="22">IF(D49="","",((D49-D48)*1000)/($B49-$B48))</f>
        <v/>
      </c>
      <c r="U49" s="28" t="str">
        <f t="shared" ref="U49:U80" si="23">IF(E49="","",((E49-E48)*1000)/($B49-$B48))</f>
        <v/>
      </c>
      <c r="V49" s="28" t="str">
        <f t="shared" ref="V49:V80" si="24">IF(F49="","",((F49-F48)*1000)/($B49-$B48))</f>
        <v/>
      </c>
      <c r="W49" s="28" t="str">
        <f t="shared" ref="W49:W80" si="25">IF(G49="","",((G49-G48)*1000)/($B49-$B48))</f>
        <v/>
      </c>
      <c r="X49" s="29" t="str">
        <f t="shared" ref="X49:X80" si="26">IF(H49="","",((H49-H48)*1000)/($B49-$B48))</f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6"/>
        <v/>
      </c>
      <c r="M50" s="19" t="str">
        <f t="shared" si="17"/>
        <v/>
      </c>
      <c r="N50" s="19" t="str">
        <f t="shared" si="19"/>
        <v/>
      </c>
      <c r="O50" s="19" t="str">
        <f t="shared" si="13"/>
        <v/>
      </c>
      <c r="P50" s="19" t="str">
        <f t="shared" si="14"/>
        <v/>
      </c>
      <c r="Q50" s="19" t="str">
        <f t="shared" si="15"/>
        <v/>
      </c>
      <c r="R50" s="19" t="str">
        <f t="shared" si="20"/>
        <v/>
      </c>
      <c r="S50" s="27" t="str">
        <f t="shared" si="21"/>
        <v/>
      </c>
      <c r="T50" s="28" t="str">
        <f t="shared" si="22"/>
        <v/>
      </c>
      <c r="U50" s="28" t="str">
        <f t="shared" si="23"/>
        <v/>
      </c>
      <c r="V50" s="28" t="str">
        <f t="shared" si="24"/>
        <v/>
      </c>
      <c r="W50" s="28" t="str">
        <f t="shared" si="25"/>
        <v/>
      </c>
      <c r="X50" s="29" t="str">
        <f t="shared" si="2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6"/>
        <v/>
      </c>
      <c r="M51" s="19" t="str">
        <f t="shared" si="17"/>
        <v/>
      </c>
      <c r="N51" s="19" t="str">
        <f t="shared" si="19"/>
        <v/>
      </c>
      <c r="O51" s="19" t="str">
        <f t="shared" si="13"/>
        <v/>
      </c>
      <c r="P51" s="19" t="str">
        <f t="shared" si="14"/>
        <v/>
      </c>
      <c r="Q51" s="19" t="str">
        <f t="shared" si="15"/>
        <v/>
      </c>
      <c r="R51" s="19" t="str">
        <f t="shared" si="20"/>
        <v/>
      </c>
      <c r="S51" s="27" t="str">
        <f t="shared" si="21"/>
        <v/>
      </c>
      <c r="T51" s="28" t="str">
        <f t="shared" si="22"/>
        <v/>
      </c>
      <c r="U51" s="28" t="str">
        <f t="shared" si="23"/>
        <v/>
      </c>
      <c r="V51" s="28" t="str">
        <f t="shared" si="24"/>
        <v/>
      </c>
      <c r="W51" s="28" t="str">
        <f t="shared" si="25"/>
        <v/>
      </c>
      <c r="X51" s="29" t="str">
        <f t="shared" si="2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6"/>
        <v/>
      </c>
      <c r="M52" s="19" t="str">
        <f t="shared" si="17"/>
        <v/>
      </c>
      <c r="N52" s="19" t="str">
        <f t="shared" si="19"/>
        <v/>
      </c>
      <c r="O52" s="19" t="str">
        <f t="shared" si="13"/>
        <v/>
      </c>
      <c r="P52" s="19" t="str">
        <f t="shared" si="14"/>
        <v/>
      </c>
      <c r="Q52" s="19" t="str">
        <f t="shared" si="15"/>
        <v/>
      </c>
      <c r="R52" s="19" t="str">
        <f t="shared" si="20"/>
        <v/>
      </c>
      <c r="S52" s="27" t="str">
        <f t="shared" si="21"/>
        <v/>
      </c>
      <c r="T52" s="28" t="str">
        <f t="shared" si="22"/>
        <v/>
      </c>
      <c r="U52" s="28" t="str">
        <f t="shared" si="23"/>
        <v/>
      </c>
      <c r="V52" s="28" t="str">
        <f t="shared" si="24"/>
        <v/>
      </c>
      <c r="W52" s="28" t="str">
        <f t="shared" si="25"/>
        <v/>
      </c>
      <c r="X52" s="29" t="str">
        <f t="shared" si="2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6"/>
        <v/>
      </c>
      <c r="M53" s="19" t="str">
        <f t="shared" si="17"/>
        <v/>
      </c>
      <c r="N53" s="19" t="str">
        <f t="shared" si="19"/>
        <v/>
      </c>
      <c r="O53" s="19" t="str">
        <f t="shared" si="13"/>
        <v/>
      </c>
      <c r="P53" s="19" t="str">
        <f t="shared" si="14"/>
        <v/>
      </c>
      <c r="Q53" s="19" t="str">
        <f t="shared" si="15"/>
        <v/>
      </c>
      <c r="R53" s="19" t="str">
        <f t="shared" si="20"/>
        <v/>
      </c>
      <c r="S53" s="27" t="str">
        <f t="shared" si="21"/>
        <v/>
      </c>
      <c r="T53" s="28" t="str">
        <f t="shared" si="22"/>
        <v/>
      </c>
      <c r="U53" s="28" t="str">
        <f t="shared" si="23"/>
        <v/>
      </c>
      <c r="V53" s="28" t="str">
        <f t="shared" si="24"/>
        <v/>
      </c>
      <c r="W53" s="28" t="str">
        <f t="shared" si="25"/>
        <v/>
      </c>
      <c r="X53" s="29" t="str">
        <f t="shared" si="2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6"/>
        <v/>
      </c>
      <c r="M54" s="19" t="str">
        <f t="shared" si="17"/>
        <v/>
      </c>
      <c r="N54" s="19" t="str">
        <f t="shared" si="19"/>
        <v/>
      </c>
      <c r="O54" s="19" t="str">
        <f t="shared" si="13"/>
        <v/>
      </c>
      <c r="P54" s="19" t="str">
        <f t="shared" si="14"/>
        <v/>
      </c>
      <c r="Q54" s="19" t="str">
        <f t="shared" si="15"/>
        <v/>
      </c>
      <c r="R54" s="19" t="str">
        <f t="shared" si="20"/>
        <v/>
      </c>
      <c r="S54" s="27" t="str">
        <f t="shared" si="21"/>
        <v/>
      </c>
      <c r="T54" s="28" t="str">
        <f t="shared" si="22"/>
        <v/>
      </c>
      <c r="U54" s="28" t="str">
        <f t="shared" si="23"/>
        <v/>
      </c>
      <c r="V54" s="28" t="str">
        <f t="shared" si="24"/>
        <v/>
      </c>
      <c r="W54" s="28" t="str">
        <f t="shared" si="25"/>
        <v/>
      </c>
      <c r="X54" s="29" t="str">
        <f t="shared" si="2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6"/>
        <v/>
      </c>
      <c r="M55" s="19" t="str">
        <f t="shared" si="17"/>
        <v/>
      </c>
      <c r="N55" s="19" t="str">
        <f t="shared" si="19"/>
        <v/>
      </c>
      <c r="O55" s="19" t="str">
        <f t="shared" si="13"/>
        <v/>
      </c>
      <c r="P55" s="19" t="str">
        <f t="shared" si="14"/>
        <v/>
      </c>
      <c r="Q55" s="19" t="str">
        <f t="shared" si="15"/>
        <v/>
      </c>
      <c r="R55" s="19" t="str">
        <f t="shared" si="20"/>
        <v/>
      </c>
      <c r="S55" s="27" t="str">
        <f t="shared" si="21"/>
        <v/>
      </c>
      <c r="T55" s="28" t="str">
        <f t="shared" si="22"/>
        <v/>
      </c>
      <c r="U55" s="28" t="str">
        <f t="shared" si="23"/>
        <v/>
      </c>
      <c r="V55" s="28" t="str">
        <f t="shared" si="24"/>
        <v/>
      </c>
      <c r="W55" s="28" t="str">
        <f t="shared" si="25"/>
        <v/>
      </c>
      <c r="X55" s="29" t="str">
        <f t="shared" si="2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6"/>
        <v/>
      </c>
      <c r="M56" s="19" t="str">
        <f t="shared" si="17"/>
        <v/>
      </c>
      <c r="N56" s="19" t="str">
        <f t="shared" si="19"/>
        <v/>
      </c>
      <c r="O56" s="19" t="str">
        <f t="shared" si="13"/>
        <v/>
      </c>
      <c r="P56" s="19" t="str">
        <f t="shared" si="14"/>
        <v/>
      </c>
      <c r="Q56" s="19" t="str">
        <f t="shared" si="15"/>
        <v/>
      </c>
      <c r="R56" s="19" t="str">
        <f t="shared" si="20"/>
        <v/>
      </c>
      <c r="S56" s="27" t="str">
        <f t="shared" si="21"/>
        <v/>
      </c>
      <c r="T56" s="28" t="str">
        <f t="shared" si="22"/>
        <v/>
      </c>
      <c r="U56" s="28" t="str">
        <f t="shared" si="23"/>
        <v/>
      </c>
      <c r="V56" s="28" t="str">
        <f t="shared" si="24"/>
        <v/>
      </c>
      <c r="W56" s="28" t="str">
        <f t="shared" si="25"/>
        <v/>
      </c>
      <c r="X56" s="29" t="str">
        <f t="shared" si="2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6"/>
        <v/>
      </c>
      <c r="M57" s="19" t="str">
        <f t="shared" si="17"/>
        <v/>
      </c>
      <c r="N57" s="19" t="str">
        <f t="shared" si="19"/>
        <v/>
      </c>
      <c r="O57" s="19" t="str">
        <f t="shared" si="13"/>
        <v/>
      </c>
      <c r="P57" s="19" t="str">
        <f t="shared" si="14"/>
        <v/>
      </c>
      <c r="Q57" s="19" t="str">
        <f t="shared" si="15"/>
        <v/>
      </c>
      <c r="R57" s="19" t="str">
        <f t="shared" si="20"/>
        <v/>
      </c>
      <c r="S57" s="27" t="str">
        <f t="shared" si="21"/>
        <v/>
      </c>
      <c r="T57" s="28" t="str">
        <f t="shared" si="22"/>
        <v/>
      </c>
      <c r="U57" s="28" t="str">
        <f t="shared" si="23"/>
        <v/>
      </c>
      <c r="V57" s="28" t="str">
        <f t="shared" si="24"/>
        <v/>
      </c>
      <c r="W57" s="28" t="str">
        <f t="shared" si="25"/>
        <v/>
      </c>
      <c r="X57" s="29" t="str">
        <f t="shared" si="2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6"/>
        <v/>
      </c>
      <c r="M58" s="19" t="str">
        <f t="shared" si="17"/>
        <v/>
      </c>
      <c r="N58" s="19" t="str">
        <f t="shared" si="19"/>
        <v/>
      </c>
      <c r="O58" s="19" t="str">
        <f t="shared" si="13"/>
        <v/>
      </c>
      <c r="P58" s="19" t="str">
        <f t="shared" si="14"/>
        <v/>
      </c>
      <c r="Q58" s="19" t="str">
        <f t="shared" si="15"/>
        <v/>
      </c>
      <c r="R58" s="19" t="str">
        <f t="shared" si="20"/>
        <v/>
      </c>
      <c r="S58" s="27" t="str">
        <f t="shared" si="21"/>
        <v/>
      </c>
      <c r="T58" s="28" t="str">
        <f t="shared" si="22"/>
        <v/>
      </c>
      <c r="U58" s="28" t="str">
        <f t="shared" si="23"/>
        <v/>
      </c>
      <c r="V58" s="28" t="str">
        <f t="shared" si="24"/>
        <v/>
      </c>
      <c r="W58" s="28" t="str">
        <f t="shared" si="25"/>
        <v/>
      </c>
      <c r="X58" s="29" t="str">
        <f t="shared" si="2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6"/>
        <v/>
      </c>
      <c r="M59" s="19" t="str">
        <f t="shared" si="17"/>
        <v/>
      </c>
      <c r="N59" s="19" t="str">
        <f t="shared" si="19"/>
        <v/>
      </c>
      <c r="O59" s="19" t="str">
        <f t="shared" si="13"/>
        <v/>
      </c>
      <c r="P59" s="19" t="str">
        <f t="shared" si="14"/>
        <v/>
      </c>
      <c r="Q59" s="19" t="str">
        <f t="shared" si="15"/>
        <v/>
      </c>
      <c r="R59" s="19" t="str">
        <f t="shared" si="20"/>
        <v/>
      </c>
      <c r="S59" s="27" t="str">
        <f t="shared" si="21"/>
        <v/>
      </c>
      <c r="T59" s="28" t="str">
        <f t="shared" si="22"/>
        <v/>
      </c>
      <c r="U59" s="28" t="str">
        <f t="shared" si="23"/>
        <v/>
      </c>
      <c r="V59" s="28" t="str">
        <f t="shared" si="24"/>
        <v/>
      </c>
      <c r="W59" s="28" t="str">
        <f t="shared" si="25"/>
        <v/>
      </c>
      <c r="X59" s="29" t="str">
        <f t="shared" si="2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6"/>
        <v/>
      </c>
      <c r="M60" s="19" t="str">
        <f t="shared" si="17"/>
        <v/>
      </c>
      <c r="N60" s="19" t="str">
        <f t="shared" si="19"/>
        <v/>
      </c>
      <c r="O60" s="19" t="str">
        <f t="shared" si="13"/>
        <v/>
      </c>
      <c r="P60" s="19" t="str">
        <f t="shared" si="14"/>
        <v/>
      </c>
      <c r="Q60" s="19" t="str">
        <f t="shared" si="15"/>
        <v/>
      </c>
      <c r="R60" s="19" t="str">
        <f t="shared" si="20"/>
        <v/>
      </c>
      <c r="S60" s="27" t="str">
        <f t="shared" si="21"/>
        <v/>
      </c>
      <c r="T60" s="28" t="str">
        <f t="shared" si="22"/>
        <v/>
      </c>
      <c r="U60" s="28" t="str">
        <f t="shared" si="23"/>
        <v/>
      </c>
      <c r="V60" s="28" t="str">
        <f t="shared" si="24"/>
        <v/>
      </c>
      <c r="W60" s="28" t="str">
        <f t="shared" si="25"/>
        <v/>
      </c>
      <c r="X60" s="29" t="str">
        <f t="shared" si="2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6"/>
        <v/>
      </c>
      <c r="M61" s="19" t="str">
        <f t="shared" si="17"/>
        <v/>
      </c>
      <c r="N61" s="19" t="str">
        <f t="shared" si="19"/>
        <v/>
      </c>
      <c r="O61" s="19" t="str">
        <f t="shared" si="13"/>
        <v/>
      </c>
      <c r="P61" s="19" t="str">
        <f t="shared" si="14"/>
        <v/>
      </c>
      <c r="Q61" s="19" t="str">
        <f t="shared" si="15"/>
        <v/>
      </c>
      <c r="R61" s="19" t="str">
        <f t="shared" si="20"/>
        <v/>
      </c>
      <c r="S61" s="27" t="str">
        <f t="shared" si="21"/>
        <v/>
      </c>
      <c r="T61" s="28" t="str">
        <f t="shared" si="22"/>
        <v/>
      </c>
      <c r="U61" s="28" t="str">
        <f t="shared" si="23"/>
        <v/>
      </c>
      <c r="V61" s="28" t="str">
        <f t="shared" si="24"/>
        <v/>
      </c>
      <c r="W61" s="28" t="str">
        <f t="shared" si="25"/>
        <v/>
      </c>
      <c r="X61" s="29" t="str">
        <f t="shared" si="2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6"/>
        <v/>
      </c>
      <c r="M62" s="19" t="str">
        <f t="shared" si="17"/>
        <v/>
      </c>
      <c r="N62" s="19" t="str">
        <f t="shared" si="19"/>
        <v/>
      </c>
      <c r="O62" s="19" t="str">
        <f t="shared" si="13"/>
        <v/>
      </c>
      <c r="P62" s="19" t="str">
        <f t="shared" si="14"/>
        <v/>
      </c>
      <c r="Q62" s="19" t="str">
        <f t="shared" si="15"/>
        <v/>
      </c>
      <c r="R62" s="19" t="str">
        <f t="shared" si="20"/>
        <v/>
      </c>
      <c r="S62" s="27" t="str">
        <f t="shared" si="21"/>
        <v/>
      </c>
      <c r="T62" s="28" t="str">
        <f t="shared" si="22"/>
        <v/>
      </c>
      <c r="U62" s="28" t="str">
        <f t="shared" si="23"/>
        <v/>
      </c>
      <c r="V62" s="28" t="str">
        <f t="shared" si="24"/>
        <v/>
      </c>
      <c r="W62" s="28" t="str">
        <f t="shared" si="25"/>
        <v/>
      </c>
      <c r="X62" s="29" t="str">
        <f t="shared" si="2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6"/>
        <v/>
      </c>
      <c r="M63" s="19" t="str">
        <f t="shared" si="17"/>
        <v/>
      </c>
      <c r="N63" s="19" t="str">
        <f t="shared" si="19"/>
        <v/>
      </c>
      <c r="O63" s="19" t="str">
        <f t="shared" si="13"/>
        <v/>
      </c>
      <c r="P63" s="19" t="str">
        <f t="shared" si="14"/>
        <v/>
      </c>
      <c r="Q63" s="19" t="str">
        <f t="shared" si="15"/>
        <v/>
      </c>
      <c r="R63" s="19" t="str">
        <f t="shared" si="20"/>
        <v/>
      </c>
      <c r="S63" s="27" t="str">
        <f t="shared" si="21"/>
        <v/>
      </c>
      <c r="T63" s="28" t="str">
        <f t="shared" si="22"/>
        <v/>
      </c>
      <c r="U63" s="28" t="str">
        <f t="shared" si="23"/>
        <v/>
      </c>
      <c r="V63" s="28" t="str">
        <f t="shared" si="24"/>
        <v/>
      </c>
      <c r="W63" s="28" t="str">
        <f t="shared" si="25"/>
        <v/>
      </c>
      <c r="X63" s="29" t="str">
        <f t="shared" si="2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6"/>
        <v/>
      </c>
      <c r="M64" s="19" t="str">
        <f t="shared" si="17"/>
        <v/>
      </c>
      <c r="N64" s="19" t="str">
        <f t="shared" si="19"/>
        <v/>
      </c>
      <c r="O64" s="19" t="str">
        <f t="shared" si="13"/>
        <v/>
      </c>
      <c r="P64" s="19" t="str">
        <f t="shared" si="14"/>
        <v/>
      </c>
      <c r="Q64" s="19" t="str">
        <f t="shared" si="15"/>
        <v/>
      </c>
      <c r="R64" s="19" t="str">
        <f t="shared" si="20"/>
        <v/>
      </c>
      <c r="S64" s="27" t="str">
        <f t="shared" si="21"/>
        <v/>
      </c>
      <c r="T64" s="28" t="str">
        <f t="shared" si="22"/>
        <v/>
      </c>
      <c r="U64" s="28" t="str">
        <f t="shared" si="23"/>
        <v/>
      </c>
      <c r="V64" s="28" t="str">
        <f t="shared" si="24"/>
        <v/>
      </c>
      <c r="W64" s="28" t="str">
        <f t="shared" si="25"/>
        <v/>
      </c>
      <c r="X64" s="29" t="str">
        <f t="shared" si="2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6"/>
        <v/>
      </c>
      <c r="M65" s="19" t="str">
        <f t="shared" si="17"/>
        <v/>
      </c>
      <c r="N65" s="19" t="str">
        <f t="shared" si="19"/>
        <v/>
      </c>
      <c r="O65" s="19" t="str">
        <f t="shared" si="13"/>
        <v/>
      </c>
      <c r="P65" s="19" t="str">
        <f t="shared" si="14"/>
        <v/>
      </c>
      <c r="Q65" s="19" t="str">
        <f t="shared" si="15"/>
        <v/>
      </c>
      <c r="R65" s="19" t="str">
        <f t="shared" si="20"/>
        <v/>
      </c>
      <c r="S65" s="27" t="str">
        <f t="shared" si="21"/>
        <v/>
      </c>
      <c r="T65" s="28" t="str">
        <f t="shared" si="22"/>
        <v/>
      </c>
      <c r="U65" s="28" t="str">
        <f t="shared" si="23"/>
        <v/>
      </c>
      <c r="V65" s="28" t="str">
        <f t="shared" si="24"/>
        <v/>
      </c>
      <c r="W65" s="28" t="str">
        <f t="shared" si="25"/>
        <v/>
      </c>
      <c r="X65" s="29" t="str">
        <f t="shared" si="26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6"/>
        <v/>
      </c>
      <c r="M66" s="19" t="str">
        <f t="shared" si="17"/>
        <v/>
      </c>
      <c r="N66" s="19" t="str">
        <f t="shared" si="19"/>
        <v/>
      </c>
      <c r="O66" s="19" t="str">
        <f t="shared" si="13"/>
        <v/>
      </c>
      <c r="P66" s="19" t="str">
        <f t="shared" si="14"/>
        <v/>
      </c>
      <c r="Q66" s="19" t="str">
        <f t="shared" si="15"/>
        <v/>
      </c>
      <c r="R66" s="19" t="str">
        <f t="shared" si="20"/>
        <v/>
      </c>
      <c r="S66" s="27" t="str">
        <f t="shared" si="21"/>
        <v/>
      </c>
      <c r="T66" s="28" t="str">
        <f t="shared" si="22"/>
        <v/>
      </c>
      <c r="U66" s="28" t="str">
        <f t="shared" si="23"/>
        <v/>
      </c>
      <c r="V66" s="28" t="str">
        <f t="shared" si="24"/>
        <v/>
      </c>
      <c r="W66" s="28" t="str">
        <f t="shared" si="25"/>
        <v/>
      </c>
      <c r="X66" s="29" t="str">
        <f t="shared" si="26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6"/>
        <v/>
      </c>
      <c r="M67" s="19" t="str">
        <f t="shared" si="17"/>
        <v/>
      </c>
      <c r="N67" s="19" t="str">
        <f t="shared" si="19"/>
        <v/>
      </c>
      <c r="O67" s="19" t="str">
        <f t="shared" si="13"/>
        <v/>
      </c>
      <c r="P67" s="19" t="str">
        <f t="shared" si="14"/>
        <v/>
      </c>
      <c r="Q67" s="19" t="str">
        <f t="shared" si="15"/>
        <v/>
      </c>
      <c r="R67" s="19" t="str">
        <f t="shared" si="20"/>
        <v/>
      </c>
      <c r="S67" s="27" t="str">
        <f t="shared" si="21"/>
        <v/>
      </c>
      <c r="T67" s="28" t="str">
        <f t="shared" si="22"/>
        <v/>
      </c>
      <c r="U67" s="28" t="str">
        <f t="shared" si="23"/>
        <v/>
      </c>
      <c r="V67" s="28" t="str">
        <f t="shared" si="24"/>
        <v/>
      </c>
      <c r="W67" s="28" t="str">
        <f t="shared" si="25"/>
        <v/>
      </c>
      <c r="X67" s="29" t="str">
        <f t="shared" si="26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6"/>
        <v/>
      </c>
      <c r="M68" s="19" t="str">
        <f t="shared" si="17"/>
        <v/>
      </c>
      <c r="N68" s="19" t="str">
        <f t="shared" si="19"/>
        <v/>
      </c>
      <c r="O68" s="19" t="str">
        <f t="shared" si="13"/>
        <v/>
      </c>
      <c r="P68" s="19" t="str">
        <f t="shared" si="14"/>
        <v/>
      </c>
      <c r="Q68" s="19" t="str">
        <f t="shared" si="15"/>
        <v/>
      </c>
      <c r="R68" s="19" t="str">
        <f t="shared" si="20"/>
        <v/>
      </c>
      <c r="S68" s="27" t="str">
        <f t="shared" si="21"/>
        <v/>
      </c>
      <c r="T68" s="28" t="str">
        <f t="shared" si="22"/>
        <v/>
      </c>
      <c r="U68" s="28" t="str">
        <f t="shared" si="23"/>
        <v/>
      </c>
      <c r="V68" s="28" t="str">
        <f t="shared" si="24"/>
        <v/>
      </c>
      <c r="W68" s="28" t="str">
        <f t="shared" si="25"/>
        <v/>
      </c>
      <c r="X68" s="29" t="str">
        <f t="shared" si="26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6"/>
        <v/>
      </c>
      <c r="M69" s="19" t="str">
        <f t="shared" si="17"/>
        <v/>
      </c>
      <c r="N69" s="19" t="str">
        <f t="shared" si="19"/>
        <v/>
      </c>
      <c r="O69" s="19" t="str">
        <f t="shared" si="13"/>
        <v/>
      </c>
      <c r="P69" s="19" t="str">
        <f t="shared" si="14"/>
        <v/>
      </c>
      <c r="Q69" s="19" t="str">
        <f t="shared" si="15"/>
        <v/>
      </c>
      <c r="R69" s="19" t="str">
        <f t="shared" si="20"/>
        <v/>
      </c>
      <c r="S69" s="27" t="str">
        <f t="shared" si="21"/>
        <v/>
      </c>
      <c r="T69" s="28" t="str">
        <f t="shared" si="22"/>
        <v/>
      </c>
      <c r="U69" s="28" t="str">
        <f t="shared" si="23"/>
        <v/>
      </c>
      <c r="V69" s="28" t="str">
        <f t="shared" si="24"/>
        <v/>
      </c>
      <c r="W69" s="28" t="str">
        <f t="shared" si="25"/>
        <v/>
      </c>
      <c r="X69" s="29" t="str">
        <f t="shared" si="26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6"/>
        <v/>
      </c>
      <c r="M70" s="19" t="str">
        <f t="shared" si="17"/>
        <v/>
      </c>
      <c r="N70" s="19" t="str">
        <f t="shared" si="19"/>
        <v/>
      </c>
      <c r="O70" s="19" t="str">
        <f t="shared" si="13"/>
        <v/>
      </c>
      <c r="P70" s="19" t="str">
        <f t="shared" si="14"/>
        <v/>
      </c>
      <c r="Q70" s="19" t="str">
        <f t="shared" si="15"/>
        <v/>
      </c>
      <c r="R70" s="19" t="str">
        <f t="shared" si="20"/>
        <v/>
      </c>
      <c r="S70" s="27" t="str">
        <f t="shared" si="21"/>
        <v/>
      </c>
      <c r="T70" s="28" t="str">
        <f t="shared" si="22"/>
        <v/>
      </c>
      <c r="U70" s="28" t="str">
        <f t="shared" si="23"/>
        <v/>
      </c>
      <c r="V70" s="28" t="str">
        <f t="shared" si="24"/>
        <v/>
      </c>
      <c r="W70" s="28" t="str">
        <f t="shared" si="25"/>
        <v/>
      </c>
      <c r="X70" s="29" t="str">
        <f t="shared" si="26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6"/>
        <v/>
      </c>
      <c r="M71" s="19" t="str">
        <f t="shared" si="17"/>
        <v/>
      </c>
      <c r="N71" s="19" t="str">
        <f t="shared" si="19"/>
        <v/>
      </c>
      <c r="O71" s="19" t="str">
        <f t="shared" si="13"/>
        <v/>
      </c>
      <c r="P71" s="19" t="str">
        <f t="shared" si="14"/>
        <v/>
      </c>
      <c r="Q71" s="19" t="str">
        <f t="shared" si="15"/>
        <v/>
      </c>
      <c r="R71" s="19" t="str">
        <f t="shared" si="20"/>
        <v/>
      </c>
      <c r="S71" s="27" t="str">
        <f t="shared" si="21"/>
        <v/>
      </c>
      <c r="T71" s="28" t="str">
        <f t="shared" si="22"/>
        <v/>
      </c>
      <c r="U71" s="28" t="str">
        <f t="shared" si="23"/>
        <v/>
      </c>
      <c r="V71" s="28" t="str">
        <f t="shared" si="24"/>
        <v/>
      </c>
      <c r="W71" s="28" t="str">
        <f t="shared" si="25"/>
        <v/>
      </c>
      <c r="X71" s="29" t="str">
        <f t="shared" si="26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6"/>
        <v/>
      </c>
      <c r="M72" s="19" t="str">
        <f t="shared" si="17"/>
        <v/>
      </c>
      <c r="N72" s="19" t="str">
        <f t="shared" si="19"/>
        <v/>
      </c>
      <c r="O72" s="19" t="str">
        <f t="shared" si="13"/>
        <v/>
      </c>
      <c r="P72" s="19" t="str">
        <f t="shared" si="14"/>
        <v/>
      </c>
      <c r="Q72" s="19" t="str">
        <f t="shared" si="15"/>
        <v/>
      </c>
      <c r="R72" s="19" t="str">
        <f t="shared" si="20"/>
        <v/>
      </c>
      <c r="S72" s="27" t="str">
        <f t="shared" si="21"/>
        <v/>
      </c>
      <c r="T72" s="28" t="str">
        <f t="shared" si="22"/>
        <v/>
      </c>
      <c r="U72" s="28" t="str">
        <f t="shared" si="23"/>
        <v/>
      </c>
      <c r="V72" s="28" t="str">
        <f t="shared" si="24"/>
        <v/>
      </c>
      <c r="W72" s="28" t="str">
        <f t="shared" si="25"/>
        <v/>
      </c>
      <c r="X72" s="29" t="str">
        <f t="shared" si="26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6"/>
        <v/>
      </c>
      <c r="M73" s="19" t="str">
        <f t="shared" si="17"/>
        <v/>
      </c>
      <c r="N73" s="19" t="str">
        <f t="shared" si="19"/>
        <v/>
      </c>
      <c r="O73" s="19" t="str">
        <f t="shared" si="13"/>
        <v/>
      </c>
      <c r="P73" s="19" t="str">
        <f t="shared" si="14"/>
        <v/>
      </c>
      <c r="Q73" s="19" t="str">
        <f t="shared" si="15"/>
        <v/>
      </c>
      <c r="R73" s="19" t="str">
        <f t="shared" si="20"/>
        <v/>
      </c>
      <c r="S73" s="27" t="str">
        <f t="shared" si="21"/>
        <v/>
      </c>
      <c r="T73" s="28" t="str">
        <f t="shared" si="22"/>
        <v/>
      </c>
      <c r="U73" s="28" t="str">
        <f t="shared" si="23"/>
        <v/>
      </c>
      <c r="V73" s="28" t="str">
        <f t="shared" si="24"/>
        <v/>
      </c>
      <c r="W73" s="28" t="str">
        <f t="shared" si="25"/>
        <v/>
      </c>
      <c r="X73" s="29" t="str">
        <f t="shared" si="26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6"/>
        <v/>
      </c>
      <c r="M74" s="19" t="str">
        <f t="shared" si="17"/>
        <v/>
      </c>
      <c r="N74" s="19" t="str">
        <f t="shared" si="19"/>
        <v/>
      </c>
      <c r="O74" s="19" t="str">
        <f t="shared" si="13"/>
        <v/>
      </c>
      <c r="P74" s="19" t="str">
        <f t="shared" si="14"/>
        <v/>
      </c>
      <c r="Q74" s="19" t="str">
        <f t="shared" si="15"/>
        <v/>
      </c>
      <c r="R74" s="19" t="str">
        <f t="shared" si="20"/>
        <v/>
      </c>
      <c r="S74" s="27" t="str">
        <f t="shared" si="21"/>
        <v/>
      </c>
      <c r="T74" s="28" t="str">
        <f t="shared" si="22"/>
        <v/>
      </c>
      <c r="U74" s="28" t="str">
        <f t="shared" si="23"/>
        <v/>
      </c>
      <c r="V74" s="28" t="str">
        <f t="shared" si="24"/>
        <v/>
      </c>
      <c r="W74" s="28" t="str">
        <f t="shared" si="25"/>
        <v/>
      </c>
      <c r="X74" s="29" t="str">
        <f t="shared" si="26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6"/>
        <v/>
      </c>
      <c r="M75" s="19" t="str">
        <f t="shared" si="17"/>
        <v/>
      </c>
      <c r="N75" s="19" t="str">
        <f t="shared" si="19"/>
        <v/>
      </c>
      <c r="O75" s="19" t="str">
        <f t="shared" si="13"/>
        <v/>
      </c>
      <c r="P75" s="19" t="str">
        <f t="shared" si="14"/>
        <v/>
      </c>
      <c r="Q75" s="19" t="str">
        <f t="shared" si="15"/>
        <v/>
      </c>
      <c r="R75" s="19" t="str">
        <f t="shared" si="20"/>
        <v/>
      </c>
      <c r="S75" s="27" t="str">
        <f t="shared" si="21"/>
        <v/>
      </c>
      <c r="T75" s="28" t="str">
        <f t="shared" si="22"/>
        <v/>
      </c>
      <c r="U75" s="28" t="str">
        <f t="shared" si="23"/>
        <v/>
      </c>
      <c r="V75" s="28" t="str">
        <f t="shared" si="24"/>
        <v/>
      </c>
      <c r="W75" s="28" t="str">
        <f t="shared" si="25"/>
        <v/>
      </c>
      <c r="X75" s="29" t="str">
        <f t="shared" si="26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6"/>
        <v/>
      </c>
      <c r="M76" s="19" t="str">
        <f t="shared" si="17"/>
        <v/>
      </c>
      <c r="N76" s="19" t="str">
        <f t="shared" si="19"/>
        <v/>
      </c>
      <c r="O76" s="19" t="str">
        <f t="shared" si="13"/>
        <v/>
      </c>
      <c r="P76" s="19" t="str">
        <f t="shared" si="14"/>
        <v/>
      </c>
      <c r="Q76" s="19" t="str">
        <f t="shared" si="15"/>
        <v/>
      </c>
      <c r="R76" s="19" t="str">
        <f t="shared" si="20"/>
        <v/>
      </c>
      <c r="S76" s="27" t="str">
        <f t="shared" si="21"/>
        <v/>
      </c>
      <c r="T76" s="28" t="str">
        <f t="shared" si="22"/>
        <v/>
      </c>
      <c r="U76" s="28" t="str">
        <f t="shared" si="23"/>
        <v/>
      </c>
      <c r="V76" s="28" t="str">
        <f t="shared" si="24"/>
        <v/>
      </c>
      <c r="W76" s="28" t="str">
        <f t="shared" si="25"/>
        <v/>
      </c>
      <c r="X76" s="29" t="str">
        <f t="shared" si="26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6"/>
        <v/>
      </c>
      <c r="M77" s="19" t="str">
        <f t="shared" si="17"/>
        <v/>
      </c>
      <c r="N77" s="19" t="str">
        <f t="shared" si="19"/>
        <v/>
      </c>
      <c r="O77" s="19" t="str">
        <f t="shared" si="13"/>
        <v/>
      </c>
      <c r="P77" s="19" t="str">
        <f t="shared" si="14"/>
        <v/>
      </c>
      <c r="Q77" s="19" t="str">
        <f t="shared" si="15"/>
        <v/>
      </c>
      <c r="R77" s="19" t="str">
        <f t="shared" si="20"/>
        <v/>
      </c>
      <c r="S77" s="27" t="str">
        <f t="shared" si="21"/>
        <v/>
      </c>
      <c r="T77" s="28" t="str">
        <f t="shared" si="22"/>
        <v/>
      </c>
      <c r="U77" s="28" t="str">
        <f t="shared" si="23"/>
        <v/>
      </c>
      <c r="V77" s="28" t="str">
        <f t="shared" si="24"/>
        <v/>
      </c>
      <c r="W77" s="28" t="str">
        <f t="shared" si="25"/>
        <v/>
      </c>
      <c r="X77" s="29" t="str">
        <f t="shared" si="26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6"/>
        <v/>
      </c>
      <c r="M78" s="19" t="str">
        <f t="shared" si="17"/>
        <v/>
      </c>
      <c r="N78" s="19" t="str">
        <f t="shared" si="19"/>
        <v/>
      </c>
      <c r="O78" s="19" t="str">
        <f t="shared" si="13"/>
        <v/>
      </c>
      <c r="P78" s="19" t="str">
        <f t="shared" si="14"/>
        <v/>
      </c>
      <c r="Q78" s="19" t="str">
        <f t="shared" si="15"/>
        <v/>
      </c>
      <c r="R78" s="19" t="str">
        <f t="shared" si="20"/>
        <v/>
      </c>
      <c r="S78" s="27" t="str">
        <f t="shared" si="21"/>
        <v/>
      </c>
      <c r="T78" s="28" t="str">
        <f t="shared" si="22"/>
        <v/>
      </c>
      <c r="U78" s="28" t="str">
        <f t="shared" si="23"/>
        <v/>
      </c>
      <c r="V78" s="28" t="str">
        <f t="shared" si="24"/>
        <v/>
      </c>
      <c r="W78" s="28" t="str">
        <f t="shared" si="25"/>
        <v/>
      </c>
      <c r="X78" s="29" t="str">
        <f t="shared" si="26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6"/>
        <v/>
      </c>
      <c r="M79" s="19" t="str">
        <f t="shared" si="17"/>
        <v/>
      </c>
      <c r="N79" s="19" t="str">
        <f t="shared" si="19"/>
        <v/>
      </c>
      <c r="O79" s="19" t="str">
        <f t="shared" si="13"/>
        <v/>
      </c>
      <c r="P79" s="19" t="str">
        <f t="shared" si="14"/>
        <v/>
      </c>
      <c r="Q79" s="19" t="str">
        <f t="shared" si="15"/>
        <v/>
      </c>
      <c r="R79" s="19" t="str">
        <f t="shared" si="20"/>
        <v/>
      </c>
      <c r="S79" s="27" t="str">
        <f t="shared" si="21"/>
        <v/>
      </c>
      <c r="T79" s="28" t="str">
        <f t="shared" si="22"/>
        <v/>
      </c>
      <c r="U79" s="28" t="str">
        <f t="shared" si="23"/>
        <v/>
      </c>
      <c r="V79" s="28" t="str">
        <f t="shared" si="24"/>
        <v/>
      </c>
      <c r="W79" s="28" t="str">
        <f t="shared" si="25"/>
        <v/>
      </c>
      <c r="X79" s="29" t="str">
        <f t="shared" si="26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6"/>
        <v/>
      </c>
      <c r="M80" s="19" t="str">
        <f t="shared" si="17"/>
        <v/>
      </c>
      <c r="N80" s="19" t="str">
        <f t="shared" ref="N80:N111" si="27">IF(ISBLANK(E80),"",(E80-E$16)*1000)</f>
        <v/>
      </c>
      <c r="O80" s="19" t="str">
        <f t="shared" si="13"/>
        <v/>
      </c>
      <c r="P80" s="19" t="str">
        <f t="shared" si="14"/>
        <v/>
      </c>
      <c r="Q80" s="19" t="str">
        <f t="shared" si="15"/>
        <v/>
      </c>
      <c r="R80" s="19" t="str">
        <f t="shared" ref="R80:R111" si="28">IF(ISBLANK(I80),"",(I80-I$16)*1000)</f>
        <v/>
      </c>
      <c r="S80" s="27" t="str">
        <f t="shared" si="21"/>
        <v/>
      </c>
      <c r="T80" s="28" t="str">
        <f t="shared" si="22"/>
        <v/>
      </c>
      <c r="U80" s="28" t="str">
        <f t="shared" si="23"/>
        <v/>
      </c>
      <c r="V80" s="28" t="str">
        <f t="shared" si="24"/>
        <v/>
      </c>
      <c r="W80" s="28" t="str">
        <f t="shared" si="25"/>
        <v/>
      </c>
      <c r="X80" s="29" t="str">
        <f t="shared" si="26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6"/>
        <v/>
      </c>
      <c r="M81" s="19" t="str">
        <f t="shared" si="17"/>
        <v/>
      </c>
      <c r="N81" s="19" t="str">
        <f t="shared" si="27"/>
        <v/>
      </c>
      <c r="O81" s="19" t="str">
        <f t="shared" si="13"/>
        <v/>
      </c>
      <c r="P81" s="19" t="str">
        <f t="shared" si="14"/>
        <v/>
      </c>
      <c r="Q81" s="19" t="str">
        <f t="shared" si="15"/>
        <v/>
      </c>
      <c r="R81" s="19" t="str">
        <f t="shared" si="28"/>
        <v/>
      </c>
      <c r="S81" s="27" t="str">
        <f t="shared" ref="S81:S112" si="29">IF(C81="","",((C81-C80)*1000)/($B81-$B80))</f>
        <v/>
      </c>
      <c r="T81" s="28" t="str">
        <f t="shared" ref="T81:T112" si="30">IF(D81="","",((D81-D80)*1000)/($B81-$B80))</f>
        <v/>
      </c>
      <c r="U81" s="28" t="str">
        <f t="shared" ref="U81:U112" si="31">IF(E81="","",((E81-E80)*1000)/($B81-$B80))</f>
        <v/>
      </c>
      <c r="V81" s="28" t="str">
        <f t="shared" ref="V81:V112" si="32">IF(F81="","",((F81-F80)*1000)/($B81-$B80))</f>
        <v/>
      </c>
      <c r="W81" s="28" t="str">
        <f t="shared" ref="W81:W112" si="33">IF(G81="","",((G81-G80)*1000)/($B81-$B80))</f>
        <v/>
      </c>
      <c r="X81" s="29" t="str">
        <f t="shared" ref="X81:X112" si="34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6"/>
        <v/>
      </c>
      <c r="M82" s="19" t="str">
        <f t="shared" si="17"/>
        <v/>
      </c>
      <c r="N82" s="19" t="str">
        <f t="shared" si="27"/>
        <v/>
      </c>
      <c r="O82" s="19" t="str">
        <f t="shared" si="13"/>
        <v/>
      </c>
      <c r="P82" s="19" t="str">
        <f t="shared" si="14"/>
        <v/>
      </c>
      <c r="Q82" s="19" t="str">
        <f t="shared" si="15"/>
        <v/>
      </c>
      <c r="R82" s="19" t="str">
        <f t="shared" si="28"/>
        <v/>
      </c>
      <c r="S82" s="27" t="str">
        <f t="shared" si="29"/>
        <v/>
      </c>
      <c r="T82" s="28" t="str">
        <f t="shared" si="30"/>
        <v/>
      </c>
      <c r="U82" s="28" t="str">
        <f t="shared" si="31"/>
        <v/>
      </c>
      <c r="V82" s="28" t="str">
        <f t="shared" si="32"/>
        <v/>
      </c>
      <c r="W82" s="28" t="str">
        <f t="shared" si="33"/>
        <v/>
      </c>
      <c r="X82" s="29" t="str">
        <f t="shared" si="34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6"/>
        <v/>
      </c>
      <c r="M83" s="19" t="str">
        <f t="shared" si="17"/>
        <v/>
      </c>
      <c r="N83" s="19" t="str">
        <f t="shared" si="27"/>
        <v/>
      </c>
      <c r="O83" s="19" t="str">
        <f t="shared" si="13"/>
        <v/>
      </c>
      <c r="P83" s="19" t="str">
        <f t="shared" si="14"/>
        <v/>
      </c>
      <c r="Q83" s="19" t="str">
        <f t="shared" si="15"/>
        <v/>
      </c>
      <c r="R83" s="19" t="str">
        <f t="shared" si="28"/>
        <v/>
      </c>
      <c r="S83" s="27" t="str">
        <f t="shared" si="29"/>
        <v/>
      </c>
      <c r="T83" s="28" t="str">
        <f t="shared" si="30"/>
        <v/>
      </c>
      <c r="U83" s="28" t="str">
        <f t="shared" si="31"/>
        <v/>
      </c>
      <c r="V83" s="28" t="str">
        <f t="shared" si="32"/>
        <v/>
      </c>
      <c r="W83" s="28" t="str">
        <f t="shared" si="33"/>
        <v/>
      </c>
      <c r="X83" s="29" t="str">
        <f t="shared" si="34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6"/>
        <v/>
      </c>
      <c r="M84" s="19" t="str">
        <f t="shared" si="17"/>
        <v/>
      </c>
      <c r="N84" s="19" t="str">
        <f t="shared" si="27"/>
        <v/>
      </c>
      <c r="O84" s="19" t="str">
        <f t="shared" si="13"/>
        <v/>
      </c>
      <c r="P84" s="19" t="str">
        <f t="shared" si="14"/>
        <v/>
      </c>
      <c r="Q84" s="19" t="str">
        <f t="shared" si="15"/>
        <v/>
      </c>
      <c r="R84" s="19" t="str">
        <f t="shared" si="28"/>
        <v/>
      </c>
      <c r="S84" s="27" t="str">
        <f t="shared" si="29"/>
        <v/>
      </c>
      <c r="T84" s="28" t="str">
        <f t="shared" si="30"/>
        <v/>
      </c>
      <c r="U84" s="28" t="str">
        <f t="shared" si="31"/>
        <v/>
      </c>
      <c r="V84" s="28" t="str">
        <f t="shared" si="32"/>
        <v/>
      </c>
      <c r="W84" s="28" t="str">
        <f t="shared" si="33"/>
        <v/>
      </c>
      <c r="X84" s="29" t="str">
        <f t="shared" si="34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6"/>
        <v/>
      </c>
      <c r="M85" s="19" t="str">
        <f t="shared" si="17"/>
        <v/>
      </c>
      <c r="N85" s="19" t="str">
        <f t="shared" si="27"/>
        <v/>
      </c>
      <c r="O85" s="19" t="str">
        <f t="shared" si="13"/>
        <v/>
      </c>
      <c r="P85" s="19" t="str">
        <f t="shared" si="14"/>
        <v/>
      </c>
      <c r="Q85" s="19" t="str">
        <f t="shared" si="15"/>
        <v/>
      </c>
      <c r="R85" s="19" t="str">
        <f t="shared" si="28"/>
        <v/>
      </c>
      <c r="S85" s="27" t="str">
        <f t="shared" si="29"/>
        <v/>
      </c>
      <c r="T85" s="28" t="str">
        <f t="shared" si="30"/>
        <v/>
      </c>
      <c r="U85" s="28" t="str">
        <f t="shared" si="31"/>
        <v/>
      </c>
      <c r="V85" s="28" t="str">
        <f t="shared" si="32"/>
        <v/>
      </c>
      <c r="W85" s="28" t="str">
        <f t="shared" si="33"/>
        <v/>
      </c>
      <c r="X85" s="29" t="str">
        <f t="shared" si="34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6"/>
        <v/>
      </c>
      <c r="M86" s="19" t="str">
        <f t="shared" si="17"/>
        <v/>
      </c>
      <c r="N86" s="19" t="str">
        <f t="shared" si="27"/>
        <v/>
      </c>
      <c r="O86" s="19" t="str">
        <f t="shared" si="13"/>
        <v/>
      </c>
      <c r="P86" s="19" t="str">
        <f t="shared" si="14"/>
        <v/>
      </c>
      <c r="Q86" s="19" t="str">
        <f t="shared" si="15"/>
        <v/>
      </c>
      <c r="R86" s="19" t="str">
        <f t="shared" si="28"/>
        <v/>
      </c>
      <c r="S86" s="27" t="str">
        <f t="shared" si="29"/>
        <v/>
      </c>
      <c r="T86" s="28" t="str">
        <f t="shared" si="30"/>
        <v/>
      </c>
      <c r="U86" s="28" t="str">
        <f t="shared" si="31"/>
        <v/>
      </c>
      <c r="V86" s="28" t="str">
        <f t="shared" si="32"/>
        <v/>
      </c>
      <c r="W86" s="28" t="str">
        <f t="shared" si="33"/>
        <v/>
      </c>
      <c r="X86" s="29" t="str">
        <f t="shared" si="34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6"/>
        <v/>
      </c>
      <c r="M87" s="19" t="str">
        <f t="shared" si="17"/>
        <v/>
      </c>
      <c r="N87" s="19" t="str">
        <f t="shared" si="27"/>
        <v/>
      </c>
      <c r="O87" s="19" t="str">
        <f t="shared" ref="O87:O150" si="35">IF(ISBLANK(F87),"",((F87-F$22)*1000)+L$22)</f>
        <v/>
      </c>
      <c r="P87" s="19" t="str">
        <f t="shared" ref="P87:P150" si="36">IF(ISBLANK(G87),"",((G87-G$22)*1000)+M$22)</f>
        <v/>
      </c>
      <c r="Q87" s="19" t="str">
        <f t="shared" ref="Q87:Q150" si="37">IF(ISBLANK(H87),"",((H87-H$22)*1000)+N$22)</f>
        <v/>
      </c>
      <c r="R87" s="19" t="str">
        <f t="shared" si="28"/>
        <v/>
      </c>
      <c r="S87" s="27" t="str">
        <f t="shared" si="29"/>
        <v/>
      </c>
      <c r="T87" s="28" t="str">
        <f t="shared" si="30"/>
        <v/>
      </c>
      <c r="U87" s="28" t="str">
        <f t="shared" si="31"/>
        <v/>
      </c>
      <c r="V87" s="28" t="str">
        <f t="shared" si="32"/>
        <v/>
      </c>
      <c r="W87" s="28" t="str">
        <f t="shared" si="33"/>
        <v/>
      </c>
      <c r="X87" s="29" t="str">
        <f t="shared" si="34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ref="L88:L151" si="38">IF(ISBLANK(C88),"",((C88-C$23)*1000)+L$22)</f>
        <v/>
      </c>
      <c r="M88" s="19" t="str">
        <f t="shared" ref="M88:M151" si="39">IF(ISBLANK(D88),"",((D88-D$23)*1000)+M$22)</f>
        <v/>
      </c>
      <c r="N88" s="19" t="str">
        <f t="shared" si="27"/>
        <v/>
      </c>
      <c r="O88" s="19" t="str">
        <f t="shared" si="35"/>
        <v/>
      </c>
      <c r="P88" s="19" t="str">
        <f t="shared" si="36"/>
        <v/>
      </c>
      <c r="Q88" s="19" t="str">
        <f t="shared" si="37"/>
        <v/>
      </c>
      <c r="R88" s="19" t="str">
        <f t="shared" si="28"/>
        <v/>
      </c>
      <c r="S88" s="27" t="str">
        <f t="shared" si="29"/>
        <v/>
      </c>
      <c r="T88" s="28" t="str">
        <f t="shared" si="30"/>
        <v/>
      </c>
      <c r="U88" s="28" t="str">
        <f t="shared" si="31"/>
        <v/>
      </c>
      <c r="V88" s="28" t="str">
        <f t="shared" si="32"/>
        <v/>
      </c>
      <c r="W88" s="28" t="str">
        <f t="shared" si="33"/>
        <v/>
      </c>
      <c r="X88" s="29" t="str">
        <f t="shared" si="34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8"/>
        <v/>
      </c>
      <c r="M89" s="19" t="str">
        <f t="shared" si="39"/>
        <v/>
      </c>
      <c r="N89" s="19" t="str">
        <f t="shared" si="27"/>
        <v/>
      </c>
      <c r="O89" s="19" t="str">
        <f t="shared" si="35"/>
        <v/>
      </c>
      <c r="P89" s="19" t="str">
        <f t="shared" si="36"/>
        <v/>
      </c>
      <c r="Q89" s="19" t="str">
        <f t="shared" si="37"/>
        <v/>
      </c>
      <c r="R89" s="19" t="str">
        <f t="shared" si="28"/>
        <v/>
      </c>
      <c r="S89" s="27" t="str">
        <f t="shared" si="29"/>
        <v/>
      </c>
      <c r="T89" s="28" t="str">
        <f t="shared" si="30"/>
        <v/>
      </c>
      <c r="U89" s="28" t="str">
        <f t="shared" si="31"/>
        <v/>
      </c>
      <c r="V89" s="28" t="str">
        <f t="shared" si="32"/>
        <v/>
      </c>
      <c r="W89" s="28" t="str">
        <f t="shared" si="33"/>
        <v/>
      </c>
      <c r="X89" s="29" t="str">
        <f t="shared" si="34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8"/>
        <v/>
      </c>
      <c r="M90" s="19" t="str">
        <f t="shared" si="39"/>
        <v/>
      </c>
      <c r="N90" s="19" t="str">
        <f t="shared" si="27"/>
        <v/>
      </c>
      <c r="O90" s="19" t="str">
        <f t="shared" si="35"/>
        <v/>
      </c>
      <c r="P90" s="19" t="str">
        <f t="shared" si="36"/>
        <v/>
      </c>
      <c r="Q90" s="19" t="str">
        <f t="shared" si="37"/>
        <v/>
      </c>
      <c r="R90" s="19" t="str">
        <f t="shared" si="28"/>
        <v/>
      </c>
      <c r="S90" s="27" t="str">
        <f t="shared" si="29"/>
        <v/>
      </c>
      <c r="T90" s="28" t="str">
        <f t="shared" si="30"/>
        <v/>
      </c>
      <c r="U90" s="28" t="str">
        <f t="shared" si="31"/>
        <v/>
      </c>
      <c r="V90" s="28" t="str">
        <f t="shared" si="32"/>
        <v/>
      </c>
      <c r="W90" s="28" t="str">
        <f t="shared" si="33"/>
        <v/>
      </c>
      <c r="X90" s="29" t="str">
        <f t="shared" si="34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8"/>
        <v/>
      </c>
      <c r="M91" s="19" t="str">
        <f t="shared" si="39"/>
        <v/>
      </c>
      <c r="N91" s="19" t="str">
        <f t="shared" si="27"/>
        <v/>
      </c>
      <c r="O91" s="19" t="str">
        <f t="shared" si="35"/>
        <v/>
      </c>
      <c r="P91" s="19" t="str">
        <f t="shared" si="36"/>
        <v/>
      </c>
      <c r="Q91" s="19" t="str">
        <f t="shared" si="37"/>
        <v/>
      </c>
      <c r="R91" s="19" t="str">
        <f t="shared" si="28"/>
        <v/>
      </c>
      <c r="S91" s="27" t="str">
        <f t="shared" si="29"/>
        <v/>
      </c>
      <c r="T91" s="28" t="str">
        <f t="shared" si="30"/>
        <v/>
      </c>
      <c r="U91" s="28" t="str">
        <f t="shared" si="31"/>
        <v/>
      </c>
      <c r="V91" s="28" t="str">
        <f t="shared" si="32"/>
        <v/>
      </c>
      <c r="W91" s="28" t="str">
        <f t="shared" si="33"/>
        <v/>
      </c>
      <c r="X91" s="29" t="str">
        <f t="shared" si="34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8"/>
        <v/>
      </c>
      <c r="M92" s="19" t="str">
        <f t="shared" si="39"/>
        <v/>
      </c>
      <c r="N92" s="19" t="str">
        <f t="shared" si="27"/>
        <v/>
      </c>
      <c r="O92" s="19" t="str">
        <f t="shared" si="35"/>
        <v/>
      </c>
      <c r="P92" s="19" t="str">
        <f t="shared" si="36"/>
        <v/>
      </c>
      <c r="Q92" s="19" t="str">
        <f t="shared" si="37"/>
        <v/>
      </c>
      <c r="R92" s="19" t="str">
        <f t="shared" si="28"/>
        <v/>
      </c>
      <c r="S92" s="27" t="str">
        <f t="shared" si="29"/>
        <v/>
      </c>
      <c r="T92" s="28" t="str">
        <f t="shared" si="30"/>
        <v/>
      </c>
      <c r="U92" s="28" t="str">
        <f t="shared" si="31"/>
        <v/>
      </c>
      <c r="V92" s="28" t="str">
        <f t="shared" si="32"/>
        <v/>
      </c>
      <c r="W92" s="28" t="str">
        <f t="shared" si="33"/>
        <v/>
      </c>
      <c r="X92" s="29" t="str">
        <f t="shared" si="34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8"/>
        <v/>
      </c>
      <c r="M93" s="19" t="str">
        <f t="shared" si="39"/>
        <v/>
      </c>
      <c r="N93" s="19" t="str">
        <f t="shared" si="27"/>
        <v/>
      </c>
      <c r="O93" s="19" t="str">
        <f t="shared" si="35"/>
        <v/>
      </c>
      <c r="P93" s="19" t="str">
        <f t="shared" si="36"/>
        <v/>
      </c>
      <c r="Q93" s="19" t="str">
        <f t="shared" si="37"/>
        <v/>
      </c>
      <c r="R93" s="19" t="str">
        <f t="shared" si="28"/>
        <v/>
      </c>
      <c r="S93" s="27" t="str">
        <f t="shared" si="29"/>
        <v/>
      </c>
      <c r="T93" s="28" t="str">
        <f t="shared" si="30"/>
        <v/>
      </c>
      <c r="U93" s="28" t="str">
        <f t="shared" si="31"/>
        <v/>
      </c>
      <c r="V93" s="28" t="str">
        <f t="shared" si="32"/>
        <v/>
      </c>
      <c r="W93" s="28" t="str">
        <f t="shared" si="33"/>
        <v/>
      </c>
      <c r="X93" s="29" t="str">
        <f t="shared" si="34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8"/>
        <v/>
      </c>
      <c r="M94" s="19" t="str">
        <f t="shared" si="39"/>
        <v/>
      </c>
      <c r="N94" s="19" t="str">
        <f t="shared" si="27"/>
        <v/>
      </c>
      <c r="O94" s="19" t="str">
        <f t="shared" si="35"/>
        <v/>
      </c>
      <c r="P94" s="19" t="str">
        <f t="shared" si="36"/>
        <v/>
      </c>
      <c r="Q94" s="19" t="str">
        <f t="shared" si="37"/>
        <v/>
      </c>
      <c r="R94" s="19" t="str">
        <f t="shared" si="28"/>
        <v/>
      </c>
      <c r="S94" s="27" t="str">
        <f t="shared" si="29"/>
        <v/>
      </c>
      <c r="T94" s="28" t="str">
        <f t="shared" si="30"/>
        <v/>
      </c>
      <c r="U94" s="28" t="str">
        <f t="shared" si="31"/>
        <v/>
      </c>
      <c r="V94" s="28" t="str">
        <f t="shared" si="32"/>
        <v/>
      </c>
      <c r="W94" s="28" t="str">
        <f t="shared" si="33"/>
        <v/>
      </c>
      <c r="X94" s="29" t="str">
        <f t="shared" si="34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8"/>
        <v/>
      </c>
      <c r="M95" s="19" t="str">
        <f t="shared" si="39"/>
        <v/>
      </c>
      <c r="N95" s="19" t="str">
        <f t="shared" si="27"/>
        <v/>
      </c>
      <c r="O95" s="19" t="str">
        <f t="shared" si="35"/>
        <v/>
      </c>
      <c r="P95" s="19" t="str">
        <f t="shared" si="36"/>
        <v/>
      </c>
      <c r="Q95" s="19" t="str">
        <f t="shared" si="37"/>
        <v/>
      </c>
      <c r="R95" s="19" t="str">
        <f t="shared" si="28"/>
        <v/>
      </c>
      <c r="S95" s="27" t="str">
        <f t="shared" si="29"/>
        <v/>
      </c>
      <c r="T95" s="28" t="str">
        <f t="shared" si="30"/>
        <v/>
      </c>
      <c r="U95" s="28" t="str">
        <f t="shared" si="31"/>
        <v/>
      </c>
      <c r="V95" s="28" t="str">
        <f t="shared" si="32"/>
        <v/>
      </c>
      <c r="W95" s="28" t="str">
        <f t="shared" si="33"/>
        <v/>
      </c>
      <c r="X95" s="29" t="str">
        <f t="shared" si="34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8"/>
        <v/>
      </c>
      <c r="M96" s="19" t="str">
        <f t="shared" si="39"/>
        <v/>
      </c>
      <c r="N96" s="19" t="str">
        <f t="shared" si="27"/>
        <v/>
      </c>
      <c r="O96" s="19" t="str">
        <f t="shared" si="35"/>
        <v/>
      </c>
      <c r="P96" s="19" t="str">
        <f t="shared" si="36"/>
        <v/>
      </c>
      <c r="Q96" s="19" t="str">
        <f t="shared" si="37"/>
        <v/>
      </c>
      <c r="R96" s="19" t="str">
        <f t="shared" si="28"/>
        <v/>
      </c>
      <c r="S96" s="27" t="str">
        <f t="shared" si="29"/>
        <v/>
      </c>
      <c r="T96" s="28" t="str">
        <f t="shared" si="30"/>
        <v/>
      </c>
      <c r="U96" s="28" t="str">
        <f t="shared" si="31"/>
        <v/>
      </c>
      <c r="V96" s="28" t="str">
        <f t="shared" si="32"/>
        <v/>
      </c>
      <c r="W96" s="28" t="str">
        <f t="shared" si="33"/>
        <v/>
      </c>
      <c r="X96" s="29" t="str">
        <f t="shared" si="34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8"/>
        <v/>
      </c>
      <c r="M97" s="19" t="str">
        <f t="shared" si="39"/>
        <v/>
      </c>
      <c r="N97" s="19" t="str">
        <f t="shared" si="27"/>
        <v/>
      </c>
      <c r="O97" s="19" t="str">
        <f t="shared" si="35"/>
        <v/>
      </c>
      <c r="P97" s="19" t="str">
        <f t="shared" si="36"/>
        <v/>
      </c>
      <c r="Q97" s="19" t="str">
        <f t="shared" si="37"/>
        <v/>
      </c>
      <c r="R97" s="19" t="str">
        <f t="shared" si="28"/>
        <v/>
      </c>
      <c r="S97" s="27" t="str">
        <f t="shared" si="29"/>
        <v/>
      </c>
      <c r="T97" s="28" t="str">
        <f t="shared" si="30"/>
        <v/>
      </c>
      <c r="U97" s="28" t="str">
        <f t="shared" si="31"/>
        <v/>
      </c>
      <c r="V97" s="28" t="str">
        <f t="shared" si="32"/>
        <v/>
      </c>
      <c r="W97" s="28" t="str">
        <f t="shared" si="33"/>
        <v/>
      </c>
      <c r="X97" s="29" t="str">
        <f t="shared" si="34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8"/>
        <v/>
      </c>
      <c r="M98" s="19" t="str">
        <f t="shared" si="39"/>
        <v/>
      </c>
      <c r="N98" s="19" t="str">
        <f t="shared" si="27"/>
        <v/>
      </c>
      <c r="O98" s="19" t="str">
        <f t="shared" si="35"/>
        <v/>
      </c>
      <c r="P98" s="19" t="str">
        <f t="shared" si="36"/>
        <v/>
      </c>
      <c r="Q98" s="19" t="str">
        <f t="shared" si="37"/>
        <v/>
      </c>
      <c r="R98" s="19" t="str">
        <f t="shared" si="28"/>
        <v/>
      </c>
      <c r="S98" s="27" t="str">
        <f t="shared" si="29"/>
        <v/>
      </c>
      <c r="T98" s="28" t="str">
        <f t="shared" si="30"/>
        <v/>
      </c>
      <c r="U98" s="28" t="str">
        <f t="shared" si="31"/>
        <v/>
      </c>
      <c r="V98" s="28" t="str">
        <f t="shared" si="32"/>
        <v/>
      </c>
      <c r="W98" s="28" t="str">
        <f t="shared" si="33"/>
        <v/>
      </c>
      <c r="X98" s="29" t="str">
        <f t="shared" si="34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8"/>
        <v/>
      </c>
      <c r="M99" s="19" t="str">
        <f t="shared" si="39"/>
        <v/>
      </c>
      <c r="N99" s="19" t="str">
        <f t="shared" si="27"/>
        <v/>
      </c>
      <c r="O99" s="19" t="str">
        <f t="shared" si="35"/>
        <v/>
      </c>
      <c r="P99" s="19" t="str">
        <f t="shared" si="36"/>
        <v/>
      </c>
      <c r="Q99" s="19" t="str">
        <f t="shared" si="37"/>
        <v/>
      </c>
      <c r="R99" s="19" t="str">
        <f t="shared" si="28"/>
        <v/>
      </c>
      <c r="S99" s="27" t="str">
        <f t="shared" si="29"/>
        <v/>
      </c>
      <c r="T99" s="28" t="str">
        <f t="shared" si="30"/>
        <v/>
      </c>
      <c r="U99" s="28" t="str">
        <f t="shared" si="31"/>
        <v/>
      </c>
      <c r="V99" s="28" t="str">
        <f t="shared" si="32"/>
        <v/>
      </c>
      <c r="W99" s="28" t="str">
        <f t="shared" si="33"/>
        <v/>
      </c>
      <c r="X99" s="29" t="str">
        <f t="shared" si="34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8"/>
        <v/>
      </c>
      <c r="M100" s="19" t="str">
        <f t="shared" si="39"/>
        <v/>
      </c>
      <c r="N100" s="19" t="str">
        <f t="shared" si="27"/>
        <v/>
      </c>
      <c r="O100" s="19" t="str">
        <f t="shared" si="35"/>
        <v/>
      </c>
      <c r="P100" s="19" t="str">
        <f t="shared" si="36"/>
        <v/>
      </c>
      <c r="Q100" s="19" t="str">
        <f t="shared" si="37"/>
        <v/>
      </c>
      <c r="R100" s="19" t="str">
        <f t="shared" si="28"/>
        <v/>
      </c>
      <c r="S100" s="27" t="str">
        <f t="shared" si="29"/>
        <v/>
      </c>
      <c r="T100" s="28" t="str">
        <f t="shared" si="30"/>
        <v/>
      </c>
      <c r="U100" s="28" t="str">
        <f t="shared" si="31"/>
        <v/>
      </c>
      <c r="V100" s="28" t="str">
        <f t="shared" si="32"/>
        <v/>
      </c>
      <c r="W100" s="28" t="str">
        <f t="shared" si="33"/>
        <v/>
      </c>
      <c r="X100" s="29" t="str">
        <f t="shared" si="34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8"/>
        <v/>
      </c>
      <c r="M101" s="19" t="str">
        <f t="shared" si="39"/>
        <v/>
      </c>
      <c r="N101" s="19" t="str">
        <f t="shared" si="27"/>
        <v/>
      </c>
      <c r="O101" s="19" t="str">
        <f t="shared" si="35"/>
        <v/>
      </c>
      <c r="P101" s="19" t="str">
        <f t="shared" si="36"/>
        <v/>
      </c>
      <c r="Q101" s="19" t="str">
        <f t="shared" si="37"/>
        <v/>
      </c>
      <c r="R101" s="19" t="str">
        <f t="shared" si="28"/>
        <v/>
      </c>
      <c r="S101" s="27" t="str">
        <f t="shared" si="29"/>
        <v/>
      </c>
      <c r="T101" s="28" t="str">
        <f t="shared" si="30"/>
        <v/>
      </c>
      <c r="U101" s="28" t="str">
        <f t="shared" si="31"/>
        <v/>
      </c>
      <c r="V101" s="28" t="str">
        <f t="shared" si="32"/>
        <v/>
      </c>
      <c r="W101" s="28" t="str">
        <f t="shared" si="33"/>
        <v/>
      </c>
      <c r="X101" s="29" t="str">
        <f t="shared" si="34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8"/>
        <v/>
      </c>
      <c r="M102" s="19" t="str">
        <f t="shared" si="39"/>
        <v/>
      </c>
      <c r="N102" s="19" t="str">
        <f t="shared" si="27"/>
        <v/>
      </c>
      <c r="O102" s="19" t="str">
        <f t="shared" si="35"/>
        <v/>
      </c>
      <c r="P102" s="19" t="str">
        <f t="shared" si="36"/>
        <v/>
      </c>
      <c r="Q102" s="19" t="str">
        <f t="shared" si="37"/>
        <v/>
      </c>
      <c r="R102" s="19" t="str">
        <f t="shared" si="28"/>
        <v/>
      </c>
      <c r="S102" s="27" t="str">
        <f t="shared" si="29"/>
        <v/>
      </c>
      <c r="T102" s="28" t="str">
        <f t="shared" si="30"/>
        <v/>
      </c>
      <c r="U102" s="28" t="str">
        <f t="shared" si="31"/>
        <v/>
      </c>
      <c r="V102" s="28" t="str">
        <f t="shared" si="32"/>
        <v/>
      </c>
      <c r="W102" s="28" t="str">
        <f t="shared" si="33"/>
        <v/>
      </c>
      <c r="X102" s="29" t="str">
        <f t="shared" si="34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8"/>
        <v/>
      </c>
      <c r="M103" s="19" t="str">
        <f t="shared" si="39"/>
        <v/>
      </c>
      <c r="N103" s="19" t="str">
        <f t="shared" si="27"/>
        <v/>
      </c>
      <c r="O103" s="19" t="str">
        <f t="shared" si="35"/>
        <v/>
      </c>
      <c r="P103" s="19" t="str">
        <f t="shared" si="36"/>
        <v/>
      </c>
      <c r="Q103" s="19" t="str">
        <f t="shared" si="37"/>
        <v/>
      </c>
      <c r="R103" s="19" t="str">
        <f t="shared" si="28"/>
        <v/>
      </c>
      <c r="S103" s="27" t="str">
        <f t="shared" si="29"/>
        <v/>
      </c>
      <c r="T103" s="28" t="str">
        <f t="shared" si="30"/>
        <v/>
      </c>
      <c r="U103" s="28" t="str">
        <f t="shared" si="31"/>
        <v/>
      </c>
      <c r="V103" s="28" t="str">
        <f t="shared" si="32"/>
        <v/>
      </c>
      <c r="W103" s="28" t="str">
        <f t="shared" si="33"/>
        <v/>
      </c>
      <c r="X103" s="29" t="str">
        <f t="shared" si="34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8"/>
        <v/>
      </c>
      <c r="M104" s="19" t="str">
        <f t="shared" si="39"/>
        <v/>
      </c>
      <c r="N104" s="19" t="str">
        <f t="shared" si="27"/>
        <v/>
      </c>
      <c r="O104" s="19" t="str">
        <f t="shared" si="35"/>
        <v/>
      </c>
      <c r="P104" s="19" t="str">
        <f t="shared" si="36"/>
        <v/>
      </c>
      <c r="Q104" s="19" t="str">
        <f t="shared" si="37"/>
        <v/>
      </c>
      <c r="R104" s="19" t="str">
        <f t="shared" si="28"/>
        <v/>
      </c>
      <c r="S104" s="27" t="str">
        <f t="shared" si="29"/>
        <v/>
      </c>
      <c r="T104" s="28" t="str">
        <f t="shared" si="30"/>
        <v/>
      </c>
      <c r="U104" s="28" t="str">
        <f t="shared" si="31"/>
        <v/>
      </c>
      <c r="V104" s="28" t="str">
        <f t="shared" si="32"/>
        <v/>
      </c>
      <c r="W104" s="28" t="str">
        <f t="shared" si="33"/>
        <v/>
      </c>
      <c r="X104" s="29" t="str">
        <f t="shared" si="34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8"/>
        <v/>
      </c>
      <c r="M105" s="19" t="str">
        <f t="shared" si="39"/>
        <v/>
      </c>
      <c r="N105" s="19" t="str">
        <f t="shared" si="27"/>
        <v/>
      </c>
      <c r="O105" s="19" t="str">
        <f t="shared" si="35"/>
        <v/>
      </c>
      <c r="P105" s="19" t="str">
        <f t="shared" si="36"/>
        <v/>
      </c>
      <c r="Q105" s="19" t="str">
        <f t="shared" si="37"/>
        <v/>
      </c>
      <c r="R105" s="19" t="str">
        <f t="shared" si="28"/>
        <v/>
      </c>
      <c r="S105" s="27" t="str">
        <f t="shared" si="29"/>
        <v/>
      </c>
      <c r="T105" s="28" t="str">
        <f t="shared" si="30"/>
        <v/>
      </c>
      <c r="U105" s="28" t="str">
        <f t="shared" si="31"/>
        <v/>
      </c>
      <c r="V105" s="28" t="str">
        <f t="shared" si="32"/>
        <v/>
      </c>
      <c r="W105" s="28" t="str">
        <f t="shared" si="33"/>
        <v/>
      </c>
      <c r="X105" s="29" t="str">
        <f t="shared" si="34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8"/>
        <v/>
      </c>
      <c r="M106" s="19" t="str">
        <f t="shared" si="39"/>
        <v/>
      </c>
      <c r="N106" s="19" t="str">
        <f t="shared" si="27"/>
        <v/>
      </c>
      <c r="O106" s="19" t="str">
        <f t="shared" si="35"/>
        <v/>
      </c>
      <c r="P106" s="19" t="str">
        <f t="shared" si="36"/>
        <v/>
      </c>
      <c r="Q106" s="19" t="str">
        <f t="shared" si="37"/>
        <v/>
      </c>
      <c r="R106" s="19" t="str">
        <f t="shared" si="28"/>
        <v/>
      </c>
      <c r="S106" s="27" t="str">
        <f t="shared" si="29"/>
        <v/>
      </c>
      <c r="T106" s="28" t="str">
        <f t="shared" si="30"/>
        <v/>
      </c>
      <c r="U106" s="28" t="str">
        <f t="shared" si="31"/>
        <v/>
      </c>
      <c r="V106" s="28" t="str">
        <f t="shared" si="32"/>
        <v/>
      </c>
      <c r="W106" s="28" t="str">
        <f t="shared" si="33"/>
        <v/>
      </c>
      <c r="X106" s="29" t="str">
        <f t="shared" si="34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8"/>
        <v/>
      </c>
      <c r="M107" s="19" t="str">
        <f t="shared" si="39"/>
        <v/>
      </c>
      <c r="N107" s="19" t="str">
        <f t="shared" si="27"/>
        <v/>
      </c>
      <c r="O107" s="19" t="str">
        <f t="shared" si="35"/>
        <v/>
      </c>
      <c r="P107" s="19" t="str">
        <f t="shared" si="36"/>
        <v/>
      </c>
      <c r="Q107" s="19" t="str">
        <f t="shared" si="37"/>
        <v/>
      </c>
      <c r="R107" s="19" t="str">
        <f t="shared" si="28"/>
        <v/>
      </c>
      <c r="S107" s="27" t="str">
        <f t="shared" si="29"/>
        <v/>
      </c>
      <c r="T107" s="28" t="str">
        <f t="shared" si="30"/>
        <v/>
      </c>
      <c r="U107" s="28" t="str">
        <f t="shared" si="31"/>
        <v/>
      </c>
      <c r="V107" s="28" t="str">
        <f t="shared" si="32"/>
        <v/>
      </c>
      <c r="W107" s="28" t="str">
        <f t="shared" si="33"/>
        <v/>
      </c>
      <c r="X107" s="29" t="str">
        <f t="shared" si="34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8"/>
        <v/>
      </c>
      <c r="M108" s="19" t="str">
        <f t="shared" si="39"/>
        <v/>
      </c>
      <c r="N108" s="19" t="str">
        <f t="shared" si="27"/>
        <v/>
      </c>
      <c r="O108" s="19" t="str">
        <f t="shared" si="35"/>
        <v/>
      </c>
      <c r="P108" s="19" t="str">
        <f t="shared" si="36"/>
        <v/>
      </c>
      <c r="Q108" s="19" t="str">
        <f t="shared" si="37"/>
        <v/>
      </c>
      <c r="R108" s="19" t="str">
        <f t="shared" si="28"/>
        <v/>
      </c>
      <c r="S108" s="27" t="str">
        <f t="shared" si="29"/>
        <v/>
      </c>
      <c r="T108" s="28" t="str">
        <f t="shared" si="30"/>
        <v/>
      </c>
      <c r="U108" s="28" t="str">
        <f t="shared" si="31"/>
        <v/>
      </c>
      <c r="V108" s="28" t="str">
        <f t="shared" si="32"/>
        <v/>
      </c>
      <c r="W108" s="28" t="str">
        <f t="shared" si="33"/>
        <v/>
      </c>
      <c r="X108" s="29" t="str">
        <f t="shared" si="34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8"/>
        <v/>
      </c>
      <c r="M109" s="19" t="str">
        <f t="shared" si="39"/>
        <v/>
      </c>
      <c r="N109" s="19" t="str">
        <f t="shared" si="27"/>
        <v/>
      </c>
      <c r="O109" s="19" t="str">
        <f t="shared" si="35"/>
        <v/>
      </c>
      <c r="P109" s="19" t="str">
        <f t="shared" si="36"/>
        <v/>
      </c>
      <c r="Q109" s="19" t="str">
        <f t="shared" si="37"/>
        <v/>
      </c>
      <c r="R109" s="19" t="str">
        <f t="shared" si="28"/>
        <v/>
      </c>
      <c r="S109" s="27" t="str">
        <f t="shared" si="29"/>
        <v/>
      </c>
      <c r="T109" s="28" t="str">
        <f t="shared" si="30"/>
        <v/>
      </c>
      <c r="U109" s="28" t="str">
        <f t="shared" si="31"/>
        <v/>
      </c>
      <c r="V109" s="28" t="str">
        <f t="shared" si="32"/>
        <v/>
      </c>
      <c r="W109" s="28" t="str">
        <f t="shared" si="33"/>
        <v/>
      </c>
      <c r="X109" s="29" t="str">
        <f t="shared" si="34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8"/>
        <v/>
      </c>
      <c r="M110" s="19" t="str">
        <f t="shared" si="39"/>
        <v/>
      </c>
      <c r="N110" s="19" t="str">
        <f t="shared" si="27"/>
        <v/>
      </c>
      <c r="O110" s="19" t="str">
        <f t="shared" si="35"/>
        <v/>
      </c>
      <c r="P110" s="19" t="str">
        <f t="shared" si="36"/>
        <v/>
      </c>
      <c r="Q110" s="19" t="str">
        <f t="shared" si="37"/>
        <v/>
      </c>
      <c r="R110" s="19" t="str">
        <f t="shared" si="28"/>
        <v/>
      </c>
      <c r="S110" s="27" t="str">
        <f t="shared" si="29"/>
        <v/>
      </c>
      <c r="T110" s="28" t="str">
        <f t="shared" si="30"/>
        <v/>
      </c>
      <c r="U110" s="28" t="str">
        <f t="shared" si="31"/>
        <v/>
      </c>
      <c r="V110" s="28" t="str">
        <f t="shared" si="32"/>
        <v/>
      </c>
      <c r="W110" s="28" t="str">
        <f t="shared" si="33"/>
        <v/>
      </c>
      <c r="X110" s="29" t="str">
        <f t="shared" si="34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8"/>
        <v/>
      </c>
      <c r="M111" s="19" t="str">
        <f t="shared" si="39"/>
        <v/>
      </c>
      <c r="N111" s="19" t="str">
        <f t="shared" si="27"/>
        <v/>
      </c>
      <c r="O111" s="19" t="str">
        <f t="shared" si="35"/>
        <v/>
      </c>
      <c r="P111" s="19" t="str">
        <f t="shared" si="36"/>
        <v/>
      </c>
      <c r="Q111" s="19" t="str">
        <f t="shared" si="37"/>
        <v/>
      </c>
      <c r="R111" s="19" t="str">
        <f t="shared" si="28"/>
        <v/>
      </c>
      <c r="S111" s="27" t="str">
        <f t="shared" si="29"/>
        <v/>
      </c>
      <c r="T111" s="28" t="str">
        <f t="shared" si="30"/>
        <v/>
      </c>
      <c r="U111" s="28" t="str">
        <f t="shared" si="31"/>
        <v/>
      </c>
      <c r="V111" s="28" t="str">
        <f t="shared" si="32"/>
        <v/>
      </c>
      <c r="W111" s="28" t="str">
        <f t="shared" si="33"/>
        <v/>
      </c>
      <c r="X111" s="29" t="str">
        <f t="shared" si="34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38"/>
        <v/>
      </c>
      <c r="M112" s="19" t="str">
        <f t="shared" si="39"/>
        <v/>
      </c>
      <c r="N112" s="19" t="str">
        <f t="shared" ref="N112:N143" si="40">IF(ISBLANK(E112),"",(E112-E$16)*1000)</f>
        <v/>
      </c>
      <c r="O112" s="19" t="str">
        <f t="shared" si="35"/>
        <v/>
      </c>
      <c r="P112" s="19" t="str">
        <f t="shared" si="36"/>
        <v/>
      </c>
      <c r="Q112" s="19" t="str">
        <f t="shared" si="37"/>
        <v/>
      </c>
      <c r="R112" s="19" t="str">
        <f t="shared" ref="R112:R143" si="41">IF(ISBLANK(I112),"",(I112-I$16)*1000)</f>
        <v/>
      </c>
      <c r="S112" s="27" t="str">
        <f t="shared" si="29"/>
        <v/>
      </c>
      <c r="T112" s="28" t="str">
        <f t="shared" si="30"/>
        <v/>
      </c>
      <c r="U112" s="28" t="str">
        <f t="shared" si="31"/>
        <v/>
      </c>
      <c r="V112" s="28" t="str">
        <f t="shared" si="32"/>
        <v/>
      </c>
      <c r="W112" s="28" t="str">
        <f t="shared" si="33"/>
        <v/>
      </c>
      <c r="X112" s="29" t="str">
        <f t="shared" si="34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38"/>
        <v/>
      </c>
      <c r="M113" s="19" t="str">
        <f t="shared" si="39"/>
        <v/>
      </c>
      <c r="N113" s="19" t="str">
        <f t="shared" si="40"/>
        <v/>
      </c>
      <c r="O113" s="19" t="str">
        <f t="shared" si="35"/>
        <v/>
      </c>
      <c r="P113" s="19" t="str">
        <f t="shared" si="36"/>
        <v/>
      </c>
      <c r="Q113" s="19" t="str">
        <f t="shared" si="37"/>
        <v/>
      </c>
      <c r="R113" s="19" t="str">
        <f t="shared" si="41"/>
        <v/>
      </c>
      <c r="S113" s="27" t="str">
        <f t="shared" ref="S113:S144" si="42">IF(C113="","",((C113-C112)*1000)/($B113-$B112))</f>
        <v/>
      </c>
      <c r="T113" s="28" t="str">
        <f t="shared" ref="T113:T144" si="43">IF(D113="","",((D113-D112)*1000)/($B113-$B112))</f>
        <v/>
      </c>
      <c r="U113" s="28" t="str">
        <f t="shared" ref="U113:U144" si="44">IF(E113="","",((E113-E112)*1000)/($B113-$B112))</f>
        <v/>
      </c>
      <c r="V113" s="28" t="str">
        <f t="shared" ref="V113:V144" si="45">IF(F113="","",((F113-F112)*1000)/($B113-$B112))</f>
        <v/>
      </c>
      <c r="W113" s="28" t="str">
        <f t="shared" ref="W113:W144" si="46">IF(G113="","",((G113-G112)*1000)/($B113-$B112))</f>
        <v/>
      </c>
      <c r="X113" s="29" t="str">
        <f t="shared" ref="X113:X144" si="47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38"/>
        <v/>
      </c>
      <c r="M114" s="19" t="str">
        <f t="shared" si="39"/>
        <v/>
      </c>
      <c r="N114" s="19" t="str">
        <f t="shared" si="40"/>
        <v/>
      </c>
      <c r="O114" s="19" t="str">
        <f t="shared" si="35"/>
        <v/>
      </c>
      <c r="P114" s="19" t="str">
        <f t="shared" si="36"/>
        <v/>
      </c>
      <c r="Q114" s="19" t="str">
        <f t="shared" si="37"/>
        <v/>
      </c>
      <c r="R114" s="19" t="str">
        <f t="shared" si="41"/>
        <v/>
      </c>
      <c r="S114" s="27" t="str">
        <f t="shared" si="42"/>
        <v/>
      </c>
      <c r="T114" s="28" t="str">
        <f t="shared" si="43"/>
        <v/>
      </c>
      <c r="U114" s="28" t="str">
        <f t="shared" si="44"/>
        <v/>
      </c>
      <c r="V114" s="28" t="str">
        <f t="shared" si="45"/>
        <v/>
      </c>
      <c r="W114" s="28" t="str">
        <f t="shared" si="46"/>
        <v/>
      </c>
      <c r="X114" s="29" t="str">
        <f t="shared" si="4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38"/>
        <v/>
      </c>
      <c r="M115" s="19" t="str">
        <f t="shared" si="39"/>
        <v/>
      </c>
      <c r="N115" s="19" t="str">
        <f t="shared" si="40"/>
        <v/>
      </c>
      <c r="O115" s="19" t="str">
        <f t="shared" si="35"/>
        <v/>
      </c>
      <c r="P115" s="19" t="str">
        <f t="shared" si="36"/>
        <v/>
      </c>
      <c r="Q115" s="19" t="str">
        <f t="shared" si="37"/>
        <v/>
      </c>
      <c r="R115" s="19" t="str">
        <f t="shared" si="41"/>
        <v/>
      </c>
      <c r="S115" s="27" t="str">
        <f t="shared" si="42"/>
        <v/>
      </c>
      <c r="T115" s="28" t="str">
        <f t="shared" si="43"/>
        <v/>
      </c>
      <c r="U115" s="28" t="str">
        <f t="shared" si="44"/>
        <v/>
      </c>
      <c r="V115" s="28" t="str">
        <f t="shared" si="45"/>
        <v/>
      </c>
      <c r="W115" s="28" t="str">
        <f t="shared" si="46"/>
        <v/>
      </c>
      <c r="X115" s="29" t="str">
        <f t="shared" si="4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38"/>
        <v/>
      </c>
      <c r="M116" s="19" t="str">
        <f t="shared" si="39"/>
        <v/>
      </c>
      <c r="N116" s="19" t="str">
        <f t="shared" si="40"/>
        <v/>
      </c>
      <c r="O116" s="19" t="str">
        <f t="shared" si="35"/>
        <v/>
      </c>
      <c r="P116" s="19" t="str">
        <f t="shared" si="36"/>
        <v/>
      </c>
      <c r="Q116" s="19" t="str">
        <f t="shared" si="37"/>
        <v/>
      </c>
      <c r="R116" s="19" t="str">
        <f t="shared" si="41"/>
        <v/>
      </c>
      <c r="S116" s="27" t="str">
        <f t="shared" si="42"/>
        <v/>
      </c>
      <c r="T116" s="28" t="str">
        <f t="shared" si="43"/>
        <v/>
      </c>
      <c r="U116" s="28" t="str">
        <f t="shared" si="44"/>
        <v/>
      </c>
      <c r="V116" s="28" t="str">
        <f t="shared" si="45"/>
        <v/>
      </c>
      <c r="W116" s="28" t="str">
        <f t="shared" si="46"/>
        <v/>
      </c>
      <c r="X116" s="29" t="str">
        <f t="shared" si="4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38"/>
        <v/>
      </c>
      <c r="M117" s="19" t="str">
        <f t="shared" si="39"/>
        <v/>
      </c>
      <c r="N117" s="19" t="str">
        <f t="shared" si="40"/>
        <v/>
      </c>
      <c r="O117" s="19" t="str">
        <f t="shared" si="35"/>
        <v/>
      </c>
      <c r="P117" s="19" t="str">
        <f t="shared" si="36"/>
        <v/>
      </c>
      <c r="Q117" s="19" t="str">
        <f t="shared" si="37"/>
        <v/>
      </c>
      <c r="R117" s="19" t="str">
        <f t="shared" si="41"/>
        <v/>
      </c>
      <c r="S117" s="27" t="str">
        <f t="shared" si="42"/>
        <v/>
      </c>
      <c r="T117" s="28" t="str">
        <f t="shared" si="43"/>
        <v/>
      </c>
      <c r="U117" s="28" t="str">
        <f t="shared" si="44"/>
        <v/>
      </c>
      <c r="V117" s="28" t="str">
        <f t="shared" si="45"/>
        <v/>
      </c>
      <c r="W117" s="28" t="str">
        <f t="shared" si="46"/>
        <v/>
      </c>
      <c r="X117" s="29" t="str">
        <f t="shared" si="4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38"/>
        <v/>
      </c>
      <c r="M118" s="19" t="str">
        <f t="shared" si="39"/>
        <v/>
      </c>
      <c r="N118" s="19" t="str">
        <f t="shared" si="40"/>
        <v/>
      </c>
      <c r="O118" s="19" t="str">
        <f t="shared" si="35"/>
        <v/>
      </c>
      <c r="P118" s="19" t="str">
        <f t="shared" si="36"/>
        <v/>
      </c>
      <c r="Q118" s="19" t="str">
        <f t="shared" si="37"/>
        <v/>
      </c>
      <c r="R118" s="19" t="str">
        <f t="shared" si="41"/>
        <v/>
      </c>
      <c r="S118" s="27" t="str">
        <f t="shared" si="42"/>
        <v/>
      </c>
      <c r="T118" s="28" t="str">
        <f t="shared" si="43"/>
        <v/>
      </c>
      <c r="U118" s="28" t="str">
        <f t="shared" si="44"/>
        <v/>
      </c>
      <c r="V118" s="28" t="str">
        <f t="shared" si="45"/>
        <v/>
      </c>
      <c r="W118" s="28" t="str">
        <f t="shared" si="46"/>
        <v/>
      </c>
      <c r="X118" s="29" t="str">
        <f t="shared" si="4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8"/>
        <v/>
      </c>
      <c r="M119" s="19" t="str">
        <f t="shared" si="39"/>
        <v/>
      </c>
      <c r="N119" s="19" t="str">
        <f t="shared" si="40"/>
        <v/>
      </c>
      <c r="O119" s="19" t="str">
        <f t="shared" si="35"/>
        <v/>
      </c>
      <c r="P119" s="19" t="str">
        <f t="shared" si="36"/>
        <v/>
      </c>
      <c r="Q119" s="19" t="str">
        <f t="shared" si="37"/>
        <v/>
      </c>
      <c r="R119" s="19" t="str">
        <f t="shared" si="41"/>
        <v/>
      </c>
      <c r="S119" s="27" t="str">
        <f t="shared" si="42"/>
        <v/>
      </c>
      <c r="T119" s="28" t="str">
        <f t="shared" si="43"/>
        <v/>
      </c>
      <c r="U119" s="28" t="str">
        <f t="shared" si="44"/>
        <v/>
      </c>
      <c r="V119" s="28" t="str">
        <f t="shared" si="45"/>
        <v/>
      </c>
      <c r="W119" s="28" t="str">
        <f t="shared" si="46"/>
        <v/>
      </c>
      <c r="X119" s="29" t="str">
        <f t="shared" si="4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8"/>
        <v/>
      </c>
      <c r="M120" s="19" t="str">
        <f t="shared" si="39"/>
        <v/>
      </c>
      <c r="N120" s="19" t="str">
        <f t="shared" si="40"/>
        <v/>
      </c>
      <c r="O120" s="19" t="str">
        <f t="shared" si="35"/>
        <v/>
      </c>
      <c r="P120" s="19" t="str">
        <f t="shared" si="36"/>
        <v/>
      </c>
      <c r="Q120" s="19" t="str">
        <f t="shared" si="37"/>
        <v/>
      </c>
      <c r="R120" s="19" t="str">
        <f t="shared" si="41"/>
        <v/>
      </c>
      <c r="S120" s="27" t="str">
        <f t="shared" si="42"/>
        <v/>
      </c>
      <c r="T120" s="28" t="str">
        <f t="shared" si="43"/>
        <v/>
      </c>
      <c r="U120" s="28" t="str">
        <f t="shared" si="44"/>
        <v/>
      </c>
      <c r="V120" s="28" t="str">
        <f t="shared" si="45"/>
        <v/>
      </c>
      <c r="W120" s="28" t="str">
        <f t="shared" si="46"/>
        <v/>
      </c>
      <c r="X120" s="29" t="str">
        <f t="shared" si="4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8"/>
        <v/>
      </c>
      <c r="M121" s="19" t="str">
        <f t="shared" si="39"/>
        <v/>
      </c>
      <c r="N121" s="19" t="str">
        <f t="shared" si="40"/>
        <v/>
      </c>
      <c r="O121" s="19" t="str">
        <f t="shared" si="35"/>
        <v/>
      </c>
      <c r="P121" s="19" t="str">
        <f t="shared" si="36"/>
        <v/>
      </c>
      <c r="Q121" s="19" t="str">
        <f t="shared" si="37"/>
        <v/>
      </c>
      <c r="R121" s="19" t="str">
        <f t="shared" si="41"/>
        <v/>
      </c>
      <c r="S121" s="27" t="str">
        <f t="shared" si="42"/>
        <v/>
      </c>
      <c r="T121" s="28" t="str">
        <f t="shared" si="43"/>
        <v/>
      </c>
      <c r="U121" s="28" t="str">
        <f t="shared" si="44"/>
        <v/>
      </c>
      <c r="V121" s="28" t="str">
        <f t="shared" si="45"/>
        <v/>
      </c>
      <c r="W121" s="28" t="str">
        <f t="shared" si="46"/>
        <v/>
      </c>
      <c r="X121" s="29" t="str">
        <f t="shared" si="4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8"/>
        <v/>
      </c>
      <c r="M122" s="19" t="str">
        <f t="shared" si="39"/>
        <v/>
      </c>
      <c r="N122" s="19" t="str">
        <f t="shared" si="40"/>
        <v/>
      </c>
      <c r="O122" s="19" t="str">
        <f t="shared" si="35"/>
        <v/>
      </c>
      <c r="P122" s="19" t="str">
        <f t="shared" si="36"/>
        <v/>
      </c>
      <c r="Q122" s="19" t="str">
        <f t="shared" si="37"/>
        <v/>
      </c>
      <c r="R122" s="19" t="str">
        <f t="shared" si="41"/>
        <v/>
      </c>
      <c r="S122" s="27" t="str">
        <f t="shared" si="42"/>
        <v/>
      </c>
      <c r="T122" s="28" t="str">
        <f t="shared" si="43"/>
        <v/>
      </c>
      <c r="U122" s="28" t="str">
        <f t="shared" si="44"/>
        <v/>
      </c>
      <c r="V122" s="28" t="str">
        <f t="shared" si="45"/>
        <v/>
      </c>
      <c r="W122" s="28" t="str">
        <f t="shared" si="46"/>
        <v/>
      </c>
      <c r="X122" s="29" t="str">
        <f t="shared" si="4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8"/>
        <v/>
      </c>
      <c r="M123" s="19" t="str">
        <f t="shared" si="39"/>
        <v/>
      </c>
      <c r="N123" s="19" t="str">
        <f t="shared" si="40"/>
        <v/>
      </c>
      <c r="O123" s="19" t="str">
        <f t="shared" si="35"/>
        <v/>
      </c>
      <c r="P123" s="19" t="str">
        <f t="shared" si="36"/>
        <v/>
      </c>
      <c r="Q123" s="19" t="str">
        <f t="shared" si="37"/>
        <v/>
      </c>
      <c r="R123" s="19" t="str">
        <f t="shared" si="41"/>
        <v/>
      </c>
      <c r="S123" s="27" t="str">
        <f t="shared" si="42"/>
        <v/>
      </c>
      <c r="T123" s="28" t="str">
        <f t="shared" si="43"/>
        <v/>
      </c>
      <c r="U123" s="28" t="str">
        <f t="shared" si="44"/>
        <v/>
      </c>
      <c r="V123" s="28" t="str">
        <f t="shared" si="45"/>
        <v/>
      </c>
      <c r="W123" s="28" t="str">
        <f t="shared" si="46"/>
        <v/>
      </c>
      <c r="X123" s="29" t="str">
        <f t="shared" si="4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8"/>
        <v/>
      </c>
      <c r="M124" s="19" t="str">
        <f t="shared" si="39"/>
        <v/>
      </c>
      <c r="N124" s="19" t="str">
        <f t="shared" si="40"/>
        <v/>
      </c>
      <c r="O124" s="19" t="str">
        <f t="shared" si="35"/>
        <v/>
      </c>
      <c r="P124" s="19" t="str">
        <f t="shared" si="36"/>
        <v/>
      </c>
      <c r="Q124" s="19" t="str">
        <f t="shared" si="37"/>
        <v/>
      </c>
      <c r="R124" s="19" t="str">
        <f t="shared" si="41"/>
        <v/>
      </c>
      <c r="S124" s="27" t="str">
        <f t="shared" si="42"/>
        <v/>
      </c>
      <c r="T124" s="28" t="str">
        <f t="shared" si="43"/>
        <v/>
      </c>
      <c r="U124" s="28" t="str">
        <f t="shared" si="44"/>
        <v/>
      </c>
      <c r="V124" s="28" t="str">
        <f t="shared" si="45"/>
        <v/>
      </c>
      <c r="W124" s="28" t="str">
        <f t="shared" si="46"/>
        <v/>
      </c>
      <c r="X124" s="29" t="str">
        <f t="shared" si="4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8"/>
        <v/>
      </c>
      <c r="M125" s="19" t="str">
        <f t="shared" si="39"/>
        <v/>
      </c>
      <c r="N125" s="19" t="str">
        <f t="shared" si="40"/>
        <v/>
      </c>
      <c r="O125" s="19" t="str">
        <f t="shared" si="35"/>
        <v/>
      </c>
      <c r="P125" s="19" t="str">
        <f t="shared" si="36"/>
        <v/>
      </c>
      <c r="Q125" s="19" t="str">
        <f t="shared" si="37"/>
        <v/>
      </c>
      <c r="R125" s="19" t="str">
        <f t="shared" si="41"/>
        <v/>
      </c>
      <c r="S125" s="27" t="str">
        <f t="shared" si="42"/>
        <v/>
      </c>
      <c r="T125" s="28" t="str">
        <f t="shared" si="43"/>
        <v/>
      </c>
      <c r="U125" s="28" t="str">
        <f t="shared" si="44"/>
        <v/>
      </c>
      <c r="V125" s="28" t="str">
        <f t="shared" si="45"/>
        <v/>
      </c>
      <c r="W125" s="28" t="str">
        <f t="shared" si="46"/>
        <v/>
      </c>
      <c r="X125" s="29" t="str">
        <f t="shared" si="4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8"/>
        <v/>
      </c>
      <c r="M126" s="19" t="str">
        <f t="shared" si="39"/>
        <v/>
      </c>
      <c r="N126" s="19" t="str">
        <f t="shared" si="40"/>
        <v/>
      </c>
      <c r="O126" s="19" t="str">
        <f t="shared" si="35"/>
        <v/>
      </c>
      <c r="P126" s="19" t="str">
        <f t="shared" si="36"/>
        <v/>
      </c>
      <c r="Q126" s="19" t="str">
        <f t="shared" si="37"/>
        <v/>
      </c>
      <c r="R126" s="19" t="str">
        <f t="shared" si="41"/>
        <v/>
      </c>
      <c r="S126" s="27" t="str">
        <f t="shared" si="42"/>
        <v/>
      </c>
      <c r="T126" s="28" t="str">
        <f t="shared" si="43"/>
        <v/>
      </c>
      <c r="U126" s="28" t="str">
        <f t="shared" si="44"/>
        <v/>
      </c>
      <c r="V126" s="28" t="str">
        <f t="shared" si="45"/>
        <v/>
      </c>
      <c r="W126" s="28" t="str">
        <f t="shared" si="46"/>
        <v/>
      </c>
      <c r="X126" s="29" t="str">
        <f t="shared" si="4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8"/>
        <v/>
      </c>
      <c r="M127" s="19" t="str">
        <f t="shared" si="39"/>
        <v/>
      </c>
      <c r="N127" s="19" t="str">
        <f t="shared" si="40"/>
        <v/>
      </c>
      <c r="O127" s="19" t="str">
        <f t="shared" si="35"/>
        <v/>
      </c>
      <c r="P127" s="19" t="str">
        <f t="shared" si="36"/>
        <v/>
      </c>
      <c r="Q127" s="19" t="str">
        <f t="shared" si="37"/>
        <v/>
      </c>
      <c r="R127" s="19" t="str">
        <f t="shared" si="41"/>
        <v/>
      </c>
      <c r="S127" s="27" t="str">
        <f t="shared" si="42"/>
        <v/>
      </c>
      <c r="T127" s="28" t="str">
        <f t="shared" si="43"/>
        <v/>
      </c>
      <c r="U127" s="28" t="str">
        <f t="shared" si="44"/>
        <v/>
      </c>
      <c r="V127" s="28" t="str">
        <f t="shared" si="45"/>
        <v/>
      </c>
      <c r="W127" s="28" t="str">
        <f t="shared" si="46"/>
        <v/>
      </c>
      <c r="X127" s="29" t="str">
        <f t="shared" si="4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8"/>
        <v/>
      </c>
      <c r="M128" s="19" t="str">
        <f t="shared" si="39"/>
        <v/>
      </c>
      <c r="N128" s="19" t="str">
        <f t="shared" si="40"/>
        <v/>
      </c>
      <c r="O128" s="19" t="str">
        <f t="shared" si="35"/>
        <v/>
      </c>
      <c r="P128" s="19" t="str">
        <f t="shared" si="36"/>
        <v/>
      </c>
      <c r="Q128" s="19" t="str">
        <f t="shared" si="37"/>
        <v/>
      </c>
      <c r="R128" s="19" t="str">
        <f t="shared" si="41"/>
        <v/>
      </c>
      <c r="S128" s="27" t="str">
        <f t="shared" si="42"/>
        <v/>
      </c>
      <c r="T128" s="28" t="str">
        <f t="shared" si="43"/>
        <v/>
      </c>
      <c r="U128" s="28" t="str">
        <f t="shared" si="44"/>
        <v/>
      </c>
      <c r="V128" s="28" t="str">
        <f t="shared" si="45"/>
        <v/>
      </c>
      <c r="W128" s="28" t="str">
        <f t="shared" si="46"/>
        <v/>
      </c>
      <c r="X128" s="29" t="str">
        <f t="shared" si="4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8"/>
        <v/>
      </c>
      <c r="M129" s="19" t="str">
        <f t="shared" si="39"/>
        <v/>
      </c>
      <c r="N129" s="19" t="str">
        <f t="shared" si="40"/>
        <v/>
      </c>
      <c r="O129" s="19" t="str">
        <f t="shared" si="35"/>
        <v/>
      </c>
      <c r="P129" s="19" t="str">
        <f t="shared" si="36"/>
        <v/>
      </c>
      <c r="Q129" s="19" t="str">
        <f t="shared" si="37"/>
        <v/>
      </c>
      <c r="R129" s="19" t="str">
        <f t="shared" si="41"/>
        <v/>
      </c>
      <c r="S129" s="27" t="str">
        <f t="shared" si="42"/>
        <v/>
      </c>
      <c r="T129" s="28" t="str">
        <f t="shared" si="43"/>
        <v/>
      </c>
      <c r="U129" s="28" t="str">
        <f t="shared" si="44"/>
        <v/>
      </c>
      <c r="V129" s="28" t="str">
        <f t="shared" si="45"/>
        <v/>
      </c>
      <c r="W129" s="28" t="str">
        <f t="shared" si="46"/>
        <v/>
      </c>
      <c r="X129" s="29" t="str">
        <f t="shared" si="4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8"/>
        <v/>
      </c>
      <c r="M130" s="19" t="str">
        <f t="shared" si="39"/>
        <v/>
      </c>
      <c r="N130" s="19" t="str">
        <f t="shared" si="40"/>
        <v/>
      </c>
      <c r="O130" s="19" t="str">
        <f t="shared" si="35"/>
        <v/>
      </c>
      <c r="P130" s="19" t="str">
        <f t="shared" si="36"/>
        <v/>
      </c>
      <c r="Q130" s="19" t="str">
        <f t="shared" si="37"/>
        <v/>
      </c>
      <c r="R130" s="19" t="str">
        <f t="shared" si="41"/>
        <v/>
      </c>
      <c r="S130" s="27" t="str">
        <f t="shared" si="42"/>
        <v/>
      </c>
      <c r="T130" s="28" t="str">
        <f t="shared" si="43"/>
        <v/>
      </c>
      <c r="U130" s="28" t="str">
        <f t="shared" si="44"/>
        <v/>
      </c>
      <c r="V130" s="28" t="str">
        <f t="shared" si="45"/>
        <v/>
      </c>
      <c r="W130" s="28" t="str">
        <f t="shared" si="46"/>
        <v/>
      </c>
      <c r="X130" s="29" t="str">
        <f t="shared" si="4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8"/>
        <v/>
      </c>
      <c r="M131" s="19" t="str">
        <f t="shared" si="39"/>
        <v/>
      </c>
      <c r="N131" s="19" t="str">
        <f t="shared" si="40"/>
        <v/>
      </c>
      <c r="O131" s="19" t="str">
        <f t="shared" si="35"/>
        <v/>
      </c>
      <c r="P131" s="19" t="str">
        <f t="shared" si="36"/>
        <v/>
      </c>
      <c r="Q131" s="19" t="str">
        <f t="shared" si="37"/>
        <v/>
      </c>
      <c r="R131" s="19" t="str">
        <f t="shared" si="41"/>
        <v/>
      </c>
      <c r="S131" s="27" t="str">
        <f t="shared" si="42"/>
        <v/>
      </c>
      <c r="T131" s="28" t="str">
        <f t="shared" si="43"/>
        <v/>
      </c>
      <c r="U131" s="28" t="str">
        <f t="shared" si="44"/>
        <v/>
      </c>
      <c r="V131" s="28" t="str">
        <f t="shared" si="45"/>
        <v/>
      </c>
      <c r="W131" s="28" t="str">
        <f t="shared" si="46"/>
        <v/>
      </c>
      <c r="X131" s="29" t="str">
        <f t="shared" si="4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8"/>
        <v/>
      </c>
      <c r="M132" s="19" t="str">
        <f t="shared" si="39"/>
        <v/>
      </c>
      <c r="N132" s="19" t="str">
        <f t="shared" si="40"/>
        <v/>
      </c>
      <c r="O132" s="19" t="str">
        <f t="shared" si="35"/>
        <v/>
      </c>
      <c r="P132" s="19" t="str">
        <f t="shared" si="36"/>
        <v/>
      </c>
      <c r="Q132" s="19" t="str">
        <f t="shared" si="37"/>
        <v/>
      </c>
      <c r="R132" s="19" t="str">
        <f t="shared" si="41"/>
        <v/>
      </c>
      <c r="S132" s="27" t="str">
        <f t="shared" si="42"/>
        <v/>
      </c>
      <c r="T132" s="28" t="str">
        <f t="shared" si="43"/>
        <v/>
      </c>
      <c r="U132" s="28" t="str">
        <f t="shared" si="44"/>
        <v/>
      </c>
      <c r="V132" s="28" t="str">
        <f t="shared" si="45"/>
        <v/>
      </c>
      <c r="W132" s="28" t="str">
        <f t="shared" si="46"/>
        <v/>
      </c>
      <c r="X132" s="29" t="str">
        <f t="shared" si="4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8"/>
        <v/>
      </c>
      <c r="M133" s="19" t="str">
        <f t="shared" si="39"/>
        <v/>
      </c>
      <c r="N133" s="19" t="str">
        <f t="shared" si="40"/>
        <v/>
      </c>
      <c r="O133" s="19" t="str">
        <f t="shared" si="35"/>
        <v/>
      </c>
      <c r="P133" s="19" t="str">
        <f t="shared" si="36"/>
        <v/>
      </c>
      <c r="Q133" s="19" t="str">
        <f t="shared" si="37"/>
        <v/>
      </c>
      <c r="R133" s="19" t="str">
        <f t="shared" si="41"/>
        <v/>
      </c>
      <c r="S133" s="27" t="str">
        <f t="shared" si="42"/>
        <v/>
      </c>
      <c r="T133" s="28" t="str">
        <f t="shared" si="43"/>
        <v/>
      </c>
      <c r="U133" s="28" t="str">
        <f t="shared" si="44"/>
        <v/>
      </c>
      <c r="V133" s="28" t="str">
        <f t="shared" si="45"/>
        <v/>
      </c>
      <c r="W133" s="28" t="str">
        <f t="shared" si="46"/>
        <v/>
      </c>
      <c r="X133" s="29" t="str">
        <f t="shared" si="4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8"/>
        <v/>
      </c>
      <c r="M134" s="19" t="str">
        <f t="shared" si="39"/>
        <v/>
      </c>
      <c r="N134" s="19" t="str">
        <f t="shared" si="40"/>
        <v/>
      </c>
      <c r="O134" s="19" t="str">
        <f t="shared" si="35"/>
        <v/>
      </c>
      <c r="P134" s="19" t="str">
        <f t="shared" si="36"/>
        <v/>
      </c>
      <c r="Q134" s="19" t="str">
        <f t="shared" si="37"/>
        <v/>
      </c>
      <c r="R134" s="19" t="str">
        <f t="shared" si="41"/>
        <v/>
      </c>
      <c r="S134" s="27" t="str">
        <f t="shared" si="42"/>
        <v/>
      </c>
      <c r="T134" s="28" t="str">
        <f t="shared" si="43"/>
        <v/>
      </c>
      <c r="U134" s="28" t="str">
        <f t="shared" si="44"/>
        <v/>
      </c>
      <c r="V134" s="28" t="str">
        <f t="shared" si="45"/>
        <v/>
      </c>
      <c r="W134" s="28" t="str">
        <f t="shared" si="46"/>
        <v/>
      </c>
      <c r="X134" s="29" t="str">
        <f t="shared" si="4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8"/>
        <v/>
      </c>
      <c r="M135" s="19" t="str">
        <f t="shared" si="39"/>
        <v/>
      </c>
      <c r="N135" s="19" t="str">
        <f t="shared" si="40"/>
        <v/>
      </c>
      <c r="O135" s="19" t="str">
        <f t="shared" si="35"/>
        <v/>
      </c>
      <c r="P135" s="19" t="str">
        <f t="shared" si="36"/>
        <v/>
      </c>
      <c r="Q135" s="19" t="str">
        <f t="shared" si="37"/>
        <v/>
      </c>
      <c r="R135" s="19" t="str">
        <f t="shared" si="41"/>
        <v/>
      </c>
      <c r="S135" s="27" t="str">
        <f t="shared" si="42"/>
        <v/>
      </c>
      <c r="T135" s="28" t="str">
        <f t="shared" si="43"/>
        <v/>
      </c>
      <c r="U135" s="28" t="str">
        <f t="shared" si="44"/>
        <v/>
      </c>
      <c r="V135" s="28" t="str">
        <f t="shared" si="45"/>
        <v/>
      </c>
      <c r="W135" s="28" t="str">
        <f t="shared" si="46"/>
        <v/>
      </c>
      <c r="X135" s="29" t="str">
        <f t="shared" si="4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8"/>
        <v/>
      </c>
      <c r="M136" s="19" t="str">
        <f t="shared" si="39"/>
        <v/>
      </c>
      <c r="N136" s="19" t="str">
        <f t="shared" si="40"/>
        <v/>
      </c>
      <c r="O136" s="19" t="str">
        <f t="shared" si="35"/>
        <v/>
      </c>
      <c r="P136" s="19" t="str">
        <f t="shared" si="36"/>
        <v/>
      </c>
      <c r="Q136" s="19" t="str">
        <f t="shared" si="37"/>
        <v/>
      </c>
      <c r="R136" s="19" t="str">
        <f t="shared" si="41"/>
        <v/>
      </c>
      <c r="S136" s="27" t="str">
        <f t="shared" si="42"/>
        <v/>
      </c>
      <c r="T136" s="28" t="str">
        <f t="shared" si="43"/>
        <v/>
      </c>
      <c r="U136" s="28" t="str">
        <f t="shared" si="44"/>
        <v/>
      </c>
      <c r="V136" s="28" t="str">
        <f t="shared" si="45"/>
        <v/>
      </c>
      <c r="W136" s="28" t="str">
        <f t="shared" si="46"/>
        <v/>
      </c>
      <c r="X136" s="29" t="str">
        <f t="shared" si="4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8"/>
        <v/>
      </c>
      <c r="M137" s="19" t="str">
        <f t="shared" si="39"/>
        <v/>
      </c>
      <c r="N137" s="19" t="str">
        <f t="shared" si="40"/>
        <v/>
      </c>
      <c r="O137" s="19" t="str">
        <f t="shared" si="35"/>
        <v/>
      </c>
      <c r="P137" s="19" t="str">
        <f t="shared" si="36"/>
        <v/>
      </c>
      <c r="Q137" s="19" t="str">
        <f t="shared" si="37"/>
        <v/>
      </c>
      <c r="R137" s="19" t="str">
        <f t="shared" si="41"/>
        <v/>
      </c>
      <c r="S137" s="27" t="str">
        <f t="shared" si="42"/>
        <v/>
      </c>
      <c r="T137" s="28" t="str">
        <f t="shared" si="43"/>
        <v/>
      </c>
      <c r="U137" s="28" t="str">
        <f t="shared" si="44"/>
        <v/>
      </c>
      <c r="V137" s="28" t="str">
        <f t="shared" si="45"/>
        <v/>
      </c>
      <c r="W137" s="28" t="str">
        <f t="shared" si="46"/>
        <v/>
      </c>
      <c r="X137" s="29" t="str">
        <f t="shared" si="4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8"/>
        <v/>
      </c>
      <c r="M138" s="19" t="str">
        <f t="shared" si="39"/>
        <v/>
      </c>
      <c r="N138" s="19" t="str">
        <f t="shared" si="40"/>
        <v/>
      </c>
      <c r="O138" s="19" t="str">
        <f t="shared" si="35"/>
        <v/>
      </c>
      <c r="P138" s="19" t="str">
        <f t="shared" si="36"/>
        <v/>
      </c>
      <c r="Q138" s="19" t="str">
        <f t="shared" si="37"/>
        <v/>
      </c>
      <c r="R138" s="19" t="str">
        <f t="shared" si="41"/>
        <v/>
      </c>
      <c r="S138" s="27" t="str">
        <f t="shared" si="42"/>
        <v/>
      </c>
      <c r="T138" s="28" t="str">
        <f t="shared" si="43"/>
        <v/>
      </c>
      <c r="U138" s="28" t="str">
        <f t="shared" si="44"/>
        <v/>
      </c>
      <c r="V138" s="28" t="str">
        <f t="shared" si="45"/>
        <v/>
      </c>
      <c r="W138" s="28" t="str">
        <f t="shared" si="46"/>
        <v/>
      </c>
      <c r="X138" s="29" t="str">
        <f t="shared" si="4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8"/>
        <v/>
      </c>
      <c r="M139" s="19" t="str">
        <f t="shared" si="39"/>
        <v/>
      </c>
      <c r="N139" s="19" t="str">
        <f t="shared" si="40"/>
        <v/>
      </c>
      <c r="O139" s="19" t="str">
        <f t="shared" si="35"/>
        <v/>
      </c>
      <c r="P139" s="19" t="str">
        <f t="shared" si="36"/>
        <v/>
      </c>
      <c r="Q139" s="19" t="str">
        <f t="shared" si="37"/>
        <v/>
      </c>
      <c r="R139" s="19" t="str">
        <f t="shared" si="41"/>
        <v/>
      </c>
      <c r="S139" s="27" t="str">
        <f t="shared" si="42"/>
        <v/>
      </c>
      <c r="T139" s="28" t="str">
        <f t="shared" si="43"/>
        <v/>
      </c>
      <c r="U139" s="28" t="str">
        <f t="shared" si="44"/>
        <v/>
      </c>
      <c r="V139" s="28" t="str">
        <f t="shared" si="45"/>
        <v/>
      </c>
      <c r="W139" s="28" t="str">
        <f t="shared" si="46"/>
        <v/>
      </c>
      <c r="X139" s="29" t="str">
        <f t="shared" si="4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8"/>
        <v/>
      </c>
      <c r="M140" s="19" t="str">
        <f t="shared" si="39"/>
        <v/>
      </c>
      <c r="N140" s="19" t="str">
        <f t="shared" si="40"/>
        <v/>
      </c>
      <c r="O140" s="19" t="str">
        <f t="shared" si="35"/>
        <v/>
      </c>
      <c r="P140" s="19" t="str">
        <f t="shared" si="36"/>
        <v/>
      </c>
      <c r="Q140" s="19" t="str">
        <f t="shared" si="37"/>
        <v/>
      </c>
      <c r="R140" s="19" t="str">
        <f t="shared" si="41"/>
        <v/>
      </c>
      <c r="S140" s="27" t="str">
        <f t="shared" si="42"/>
        <v/>
      </c>
      <c r="T140" s="28" t="str">
        <f t="shared" si="43"/>
        <v/>
      </c>
      <c r="U140" s="28" t="str">
        <f t="shared" si="44"/>
        <v/>
      </c>
      <c r="V140" s="28" t="str">
        <f t="shared" si="45"/>
        <v/>
      </c>
      <c r="W140" s="28" t="str">
        <f t="shared" si="46"/>
        <v/>
      </c>
      <c r="X140" s="29" t="str">
        <f t="shared" si="4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8"/>
        <v/>
      </c>
      <c r="M141" s="19" t="str">
        <f t="shared" si="39"/>
        <v/>
      </c>
      <c r="N141" s="19" t="str">
        <f t="shared" si="40"/>
        <v/>
      </c>
      <c r="O141" s="19" t="str">
        <f t="shared" si="35"/>
        <v/>
      </c>
      <c r="P141" s="19" t="str">
        <f t="shared" si="36"/>
        <v/>
      </c>
      <c r="Q141" s="19" t="str">
        <f t="shared" si="37"/>
        <v/>
      </c>
      <c r="R141" s="19" t="str">
        <f t="shared" si="41"/>
        <v/>
      </c>
      <c r="S141" s="27" t="str">
        <f t="shared" si="42"/>
        <v/>
      </c>
      <c r="T141" s="28" t="str">
        <f t="shared" si="43"/>
        <v/>
      </c>
      <c r="U141" s="28" t="str">
        <f t="shared" si="44"/>
        <v/>
      </c>
      <c r="V141" s="28" t="str">
        <f t="shared" si="45"/>
        <v/>
      </c>
      <c r="W141" s="28" t="str">
        <f t="shared" si="46"/>
        <v/>
      </c>
      <c r="X141" s="29" t="str">
        <f t="shared" si="4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8"/>
        <v/>
      </c>
      <c r="M142" s="19" t="str">
        <f t="shared" si="39"/>
        <v/>
      </c>
      <c r="N142" s="19" t="str">
        <f t="shared" si="40"/>
        <v/>
      </c>
      <c r="O142" s="19" t="str">
        <f t="shared" si="35"/>
        <v/>
      </c>
      <c r="P142" s="19" t="str">
        <f t="shared" si="36"/>
        <v/>
      </c>
      <c r="Q142" s="19" t="str">
        <f t="shared" si="37"/>
        <v/>
      </c>
      <c r="R142" s="19" t="str">
        <f t="shared" si="41"/>
        <v/>
      </c>
      <c r="S142" s="27" t="str">
        <f t="shared" si="42"/>
        <v/>
      </c>
      <c r="T142" s="28" t="str">
        <f t="shared" si="43"/>
        <v/>
      </c>
      <c r="U142" s="28" t="str">
        <f t="shared" si="44"/>
        <v/>
      </c>
      <c r="V142" s="28" t="str">
        <f t="shared" si="45"/>
        <v/>
      </c>
      <c r="W142" s="28" t="str">
        <f t="shared" si="46"/>
        <v/>
      </c>
      <c r="X142" s="29" t="str">
        <f t="shared" si="4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8"/>
        <v/>
      </c>
      <c r="M143" s="19" t="str">
        <f t="shared" si="39"/>
        <v/>
      </c>
      <c r="N143" s="19" t="str">
        <f t="shared" si="40"/>
        <v/>
      </c>
      <c r="O143" s="19" t="str">
        <f t="shared" si="35"/>
        <v/>
      </c>
      <c r="P143" s="19" t="str">
        <f t="shared" si="36"/>
        <v/>
      </c>
      <c r="Q143" s="19" t="str">
        <f t="shared" si="37"/>
        <v/>
      </c>
      <c r="R143" s="19" t="str">
        <f t="shared" si="41"/>
        <v/>
      </c>
      <c r="S143" s="27" t="str">
        <f t="shared" si="42"/>
        <v/>
      </c>
      <c r="T143" s="28" t="str">
        <f t="shared" si="43"/>
        <v/>
      </c>
      <c r="U143" s="28" t="str">
        <f t="shared" si="44"/>
        <v/>
      </c>
      <c r="V143" s="28" t="str">
        <f t="shared" si="45"/>
        <v/>
      </c>
      <c r="W143" s="28" t="str">
        <f t="shared" si="46"/>
        <v/>
      </c>
      <c r="X143" s="29" t="str">
        <f t="shared" si="4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8"/>
        <v/>
      </c>
      <c r="M144" s="19" t="str">
        <f t="shared" si="39"/>
        <v/>
      </c>
      <c r="N144" s="19" t="str">
        <f t="shared" ref="N144:N153" si="48">IF(ISBLANK(E144),"",(E144-E$16)*1000)</f>
        <v/>
      </c>
      <c r="O144" s="19" t="str">
        <f t="shared" si="35"/>
        <v/>
      </c>
      <c r="P144" s="19" t="str">
        <f t="shared" si="36"/>
        <v/>
      </c>
      <c r="Q144" s="19" t="str">
        <f t="shared" si="37"/>
        <v/>
      </c>
      <c r="R144" s="19" t="str">
        <f t="shared" ref="R144:R153" si="49">IF(ISBLANK(I144),"",(I144-I$16)*1000)</f>
        <v/>
      </c>
      <c r="S144" s="27" t="str">
        <f t="shared" si="42"/>
        <v/>
      </c>
      <c r="T144" s="28" t="str">
        <f t="shared" si="43"/>
        <v/>
      </c>
      <c r="U144" s="28" t="str">
        <f t="shared" si="44"/>
        <v/>
      </c>
      <c r="V144" s="28" t="str">
        <f t="shared" si="45"/>
        <v/>
      </c>
      <c r="W144" s="28" t="str">
        <f t="shared" si="46"/>
        <v/>
      </c>
      <c r="X144" s="29" t="str">
        <f t="shared" si="4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8"/>
        <v/>
      </c>
      <c r="M145" s="19" t="str">
        <f t="shared" si="39"/>
        <v/>
      </c>
      <c r="N145" s="19" t="str">
        <f t="shared" si="48"/>
        <v/>
      </c>
      <c r="O145" s="19" t="str">
        <f t="shared" si="35"/>
        <v/>
      </c>
      <c r="P145" s="19" t="str">
        <f t="shared" si="36"/>
        <v/>
      </c>
      <c r="Q145" s="19" t="str">
        <f t="shared" si="37"/>
        <v/>
      </c>
      <c r="R145" s="19" t="str">
        <f t="shared" si="49"/>
        <v/>
      </c>
      <c r="S145" s="27" t="str">
        <f t="shared" ref="S145:S153" si="50">IF(C145="","",((C145-C144)*1000)/($B145-$B144))</f>
        <v/>
      </c>
      <c r="T145" s="28" t="str">
        <f t="shared" ref="T145:T153" si="51">IF(D145="","",((D145-D144)*1000)/($B145-$B144))</f>
        <v/>
      </c>
      <c r="U145" s="28" t="str">
        <f t="shared" ref="U145:U153" si="52">IF(E145="","",((E145-E144)*1000)/($B145-$B144))</f>
        <v/>
      </c>
      <c r="V145" s="28" t="str">
        <f t="shared" ref="V145:V153" si="53">IF(F145="","",((F145-F144)*1000)/($B145-$B144))</f>
        <v/>
      </c>
      <c r="W145" s="28" t="str">
        <f t="shared" ref="W145:W153" si="54">IF(G145="","",((G145-G144)*1000)/($B145-$B144))</f>
        <v/>
      </c>
      <c r="X145" s="29" t="str">
        <f t="shared" ref="X145:X153" si="55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8"/>
        <v/>
      </c>
      <c r="M146" s="19" t="str">
        <f t="shared" si="39"/>
        <v/>
      </c>
      <c r="N146" s="19" t="str">
        <f t="shared" si="48"/>
        <v/>
      </c>
      <c r="O146" s="19" t="str">
        <f t="shared" si="35"/>
        <v/>
      </c>
      <c r="P146" s="19" t="str">
        <f t="shared" si="36"/>
        <v/>
      </c>
      <c r="Q146" s="19" t="str">
        <f t="shared" si="37"/>
        <v/>
      </c>
      <c r="R146" s="19" t="str">
        <f t="shared" si="49"/>
        <v/>
      </c>
      <c r="S146" s="27" t="str">
        <f t="shared" si="50"/>
        <v/>
      </c>
      <c r="T146" s="28" t="str">
        <f t="shared" si="51"/>
        <v/>
      </c>
      <c r="U146" s="28" t="str">
        <f t="shared" si="52"/>
        <v/>
      </c>
      <c r="V146" s="28" t="str">
        <f t="shared" si="53"/>
        <v/>
      </c>
      <c r="W146" s="28" t="str">
        <f t="shared" si="54"/>
        <v/>
      </c>
      <c r="X146" s="29" t="str">
        <f t="shared" si="55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8"/>
        <v/>
      </c>
      <c r="M147" s="19" t="str">
        <f t="shared" si="39"/>
        <v/>
      </c>
      <c r="N147" s="19" t="str">
        <f t="shared" si="48"/>
        <v/>
      </c>
      <c r="O147" s="19" t="str">
        <f t="shared" si="35"/>
        <v/>
      </c>
      <c r="P147" s="19" t="str">
        <f t="shared" si="36"/>
        <v/>
      </c>
      <c r="Q147" s="19" t="str">
        <f t="shared" si="37"/>
        <v/>
      </c>
      <c r="R147" s="19" t="str">
        <f t="shared" si="49"/>
        <v/>
      </c>
      <c r="S147" s="27" t="str">
        <f t="shared" si="50"/>
        <v/>
      </c>
      <c r="T147" s="28" t="str">
        <f t="shared" si="51"/>
        <v/>
      </c>
      <c r="U147" s="28" t="str">
        <f t="shared" si="52"/>
        <v/>
      </c>
      <c r="V147" s="28" t="str">
        <f t="shared" si="53"/>
        <v/>
      </c>
      <c r="W147" s="28" t="str">
        <f t="shared" si="54"/>
        <v/>
      </c>
      <c r="X147" s="29" t="str">
        <f t="shared" si="55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8"/>
        <v/>
      </c>
      <c r="M148" s="19" t="str">
        <f t="shared" si="39"/>
        <v/>
      </c>
      <c r="N148" s="19" t="str">
        <f t="shared" si="48"/>
        <v/>
      </c>
      <c r="O148" s="19" t="str">
        <f t="shared" si="35"/>
        <v/>
      </c>
      <c r="P148" s="19" t="str">
        <f t="shared" si="36"/>
        <v/>
      </c>
      <c r="Q148" s="19" t="str">
        <f t="shared" si="37"/>
        <v/>
      </c>
      <c r="R148" s="19" t="str">
        <f t="shared" si="49"/>
        <v/>
      </c>
      <c r="S148" s="27" t="str">
        <f t="shared" si="50"/>
        <v/>
      </c>
      <c r="T148" s="28" t="str">
        <f t="shared" si="51"/>
        <v/>
      </c>
      <c r="U148" s="28" t="str">
        <f t="shared" si="52"/>
        <v/>
      </c>
      <c r="V148" s="28" t="str">
        <f t="shared" si="53"/>
        <v/>
      </c>
      <c r="W148" s="28" t="str">
        <f t="shared" si="54"/>
        <v/>
      </c>
      <c r="X148" s="29" t="str">
        <f t="shared" si="55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8"/>
        <v/>
      </c>
      <c r="M149" s="19" t="str">
        <f t="shared" si="39"/>
        <v/>
      </c>
      <c r="N149" s="19" t="str">
        <f t="shared" si="48"/>
        <v/>
      </c>
      <c r="O149" s="19" t="str">
        <f t="shared" si="35"/>
        <v/>
      </c>
      <c r="P149" s="19" t="str">
        <f t="shared" si="36"/>
        <v/>
      </c>
      <c r="Q149" s="19" t="str">
        <f t="shared" si="37"/>
        <v/>
      </c>
      <c r="R149" s="19" t="str">
        <f t="shared" si="49"/>
        <v/>
      </c>
      <c r="S149" s="27" t="str">
        <f t="shared" si="50"/>
        <v/>
      </c>
      <c r="T149" s="28" t="str">
        <f t="shared" si="51"/>
        <v/>
      </c>
      <c r="U149" s="28" t="str">
        <f t="shared" si="52"/>
        <v/>
      </c>
      <c r="V149" s="28" t="str">
        <f t="shared" si="53"/>
        <v/>
      </c>
      <c r="W149" s="28" t="str">
        <f t="shared" si="54"/>
        <v/>
      </c>
      <c r="X149" s="29" t="str">
        <f t="shared" si="55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8"/>
        <v/>
      </c>
      <c r="M150" s="19" t="str">
        <f t="shared" si="39"/>
        <v/>
      </c>
      <c r="N150" s="19" t="str">
        <f t="shared" si="48"/>
        <v/>
      </c>
      <c r="O150" s="19" t="str">
        <f t="shared" si="35"/>
        <v/>
      </c>
      <c r="P150" s="19" t="str">
        <f t="shared" si="36"/>
        <v/>
      </c>
      <c r="Q150" s="19" t="str">
        <f t="shared" si="37"/>
        <v/>
      </c>
      <c r="R150" s="19" t="str">
        <f t="shared" si="49"/>
        <v/>
      </c>
      <c r="S150" s="27" t="str">
        <f t="shared" si="50"/>
        <v/>
      </c>
      <c r="T150" s="28" t="str">
        <f t="shared" si="51"/>
        <v/>
      </c>
      <c r="U150" s="28" t="str">
        <f t="shared" si="52"/>
        <v/>
      </c>
      <c r="V150" s="28" t="str">
        <f t="shared" si="53"/>
        <v/>
      </c>
      <c r="W150" s="28" t="str">
        <f t="shared" si="54"/>
        <v/>
      </c>
      <c r="X150" s="29" t="str">
        <f t="shared" si="55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8"/>
        <v/>
      </c>
      <c r="M151" s="19" t="str">
        <f t="shared" si="39"/>
        <v/>
      </c>
      <c r="N151" s="19" t="str">
        <f t="shared" si="48"/>
        <v/>
      </c>
      <c r="O151" s="19" t="str">
        <f t="shared" ref="O151:Q153" si="56">IF(ISBLANK(F151),"",((F151-F$22)*1000)+L$22)</f>
        <v/>
      </c>
      <c r="P151" s="19" t="str">
        <f t="shared" si="56"/>
        <v/>
      </c>
      <c r="Q151" s="19" t="str">
        <f t="shared" si="56"/>
        <v/>
      </c>
      <c r="R151" s="19" t="str">
        <f t="shared" si="49"/>
        <v/>
      </c>
      <c r="S151" s="27" t="str">
        <f t="shared" si="50"/>
        <v/>
      </c>
      <c r="T151" s="28" t="str">
        <f t="shared" si="51"/>
        <v/>
      </c>
      <c r="U151" s="28" t="str">
        <f t="shared" si="52"/>
        <v/>
      </c>
      <c r="V151" s="28" t="str">
        <f t="shared" si="53"/>
        <v/>
      </c>
      <c r="W151" s="28" t="str">
        <f t="shared" si="54"/>
        <v/>
      </c>
      <c r="X151" s="29" t="str">
        <f t="shared" si="55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>IF(ISBLANK(C152),"",((C152-C$23)*1000)+L$22)</f>
        <v/>
      </c>
      <c r="M152" s="19" t="str">
        <f>IF(ISBLANK(D152),"",((D152-D$23)*1000)+M$22)</f>
        <v/>
      </c>
      <c r="N152" s="19" t="str">
        <f t="shared" si="48"/>
        <v/>
      </c>
      <c r="O152" s="19" t="str">
        <f t="shared" si="56"/>
        <v/>
      </c>
      <c r="P152" s="19" t="str">
        <f t="shared" si="56"/>
        <v/>
      </c>
      <c r="Q152" s="19" t="str">
        <f t="shared" si="56"/>
        <v/>
      </c>
      <c r="R152" s="19" t="str">
        <f t="shared" si="49"/>
        <v/>
      </c>
      <c r="S152" s="27" t="str">
        <f t="shared" si="50"/>
        <v/>
      </c>
      <c r="T152" s="28" t="str">
        <f t="shared" si="51"/>
        <v/>
      </c>
      <c r="U152" s="28" t="str">
        <f t="shared" si="52"/>
        <v/>
      </c>
      <c r="V152" s="28" t="str">
        <f t="shared" si="53"/>
        <v/>
      </c>
      <c r="W152" s="28" t="str">
        <f t="shared" si="54"/>
        <v/>
      </c>
      <c r="X152" s="29" t="str">
        <f t="shared" si="55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>IF(ISBLANK(C153),"",((C153-C$23)*1000)+L$22)</f>
        <v/>
      </c>
      <c r="M153" s="19" t="str">
        <f>IF(ISBLANK(D153),"",((D153-D$23)*1000)+M$22)</f>
        <v/>
      </c>
      <c r="N153" s="19" t="str">
        <f t="shared" si="48"/>
        <v/>
      </c>
      <c r="O153" s="19" t="str">
        <f t="shared" si="56"/>
        <v/>
      </c>
      <c r="P153" s="19" t="str">
        <f t="shared" si="56"/>
        <v/>
      </c>
      <c r="Q153" s="19" t="str">
        <f t="shared" si="56"/>
        <v/>
      </c>
      <c r="R153" s="19" t="str">
        <f t="shared" si="49"/>
        <v/>
      </c>
      <c r="S153" s="27" t="str">
        <f t="shared" si="50"/>
        <v/>
      </c>
      <c r="T153" s="28" t="str">
        <f t="shared" si="51"/>
        <v/>
      </c>
      <c r="U153" s="28" t="str">
        <f t="shared" si="52"/>
        <v/>
      </c>
      <c r="V153" s="28" t="str">
        <f t="shared" si="53"/>
        <v/>
      </c>
      <c r="W153" s="28" t="str">
        <f t="shared" si="54"/>
        <v/>
      </c>
      <c r="X153" s="29" t="str">
        <f t="shared" si="55"/>
        <v/>
      </c>
      <c r="Y153" s="24"/>
    </row>
  </sheetData>
  <sheetProtection selectLockedCells="1"/>
  <mergeCells count="38">
    <mergeCell ref="W7:Y7"/>
    <mergeCell ref="J6:Q6"/>
    <mergeCell ref="A1:J1"/>
    <mergeCell ref="E2:Q2"/>
    <mergeCell ref="R2:X4"/>
    <mergeCell ref="B5:D8"/>
    <mergeCell ref="J8:Q8"/>
    <mergeCell ref="R8:V8"/>
    <mergeCell ref="E7:I7"/>
    <mergeCell ref="J5:Q5"/>
    <mergeCell ref="Y2:Y4"/>
    <mergeCell ref="E3:Q3"/>
    <mergeCell ref="E4:Q4"/>
    <mergeCell ref="W6:Y6"/>
    <mergeCell ref="E5:I5"/>
    <mergeCell ref="W5:Y5"/>
    <mergeCell ref="R5:V5"/>
    <mergeCell ref="E6:I6"/>
    <mergeCell ref="R6:V6"/>
    <mergeCell ref="AA9:AI9"/>
    <mergeCell ref="B13:B15"/>
    <mergeCell ref="C13:K13"/>
    <mergeCell ref="L13:R14"/>
    <mergeCell ref="S13:X14"/>
    <mergeCell ref="W8:Y8"/>
    <mergeCell ref="F14:H14"/>
    <mergeCell ref="I14:I15"/>
    <mergeCell ref="J14:K14"/>
    <mergeCell ref="R7:V7"/>
    <mergeCell ref="E8:I8"/>
    <mergeCell ref="J7:Q7"/>
    <mergeCell ref="C14:E14"/>
    <mergeCell ref="Y13:Y15"/>
    <mergeCell ref="B10:J12"/>
    <mergeCell ref="K10:S12"/>
    <mergeCell ref="T10:Y12"/>
    <mergeCell ref="B9:O9"/>
    <mergeCell ref="P9:Y9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6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TZ-26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54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41765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41767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410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668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55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41767</v>
      </c>
      <c r="C16" s="14">
        <v>13.177</v>
      </c>
      <c r="D16" s="15">
        <v>7.8280000000000003</v>
      </c>
      <c r="E16" s="15">
        <v>8.7110000000000003</v>
      </c>
      <c r="F16" s="42"/>
      <c r="G16" s="42"/>
      <c r="H16" s="42"/>
      <c r="I16" s="41">
        <v>103.78400000000001</v>
      </c>
      <c r="J16" s="62">
        <v>689</v>
      </c>
      <c r="K16" s="51">
        <f>IF(ISBLANK(J16),"",(J16-$J$8))</f>
        <v>21</v>
      </c>
      <c r="L16" s="19">
        <f t="shared" ref="L16:Q29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41768</v>
      </c>
      <c r="C17" s="25">
        <v>13.175000000000001</v>
      </c>
      <c r="D17" s="26">
        <v>7.827</v>
      </c>
      <c r="E17" s="26">
        <v>8.7100000000000009</v>
      </c>
      <c r="F17" s="16"/>
      <c r="G17" s="16"/>
      <c r="H17" s="16"/>
      <c r="I17" s="17">
        <v>103.78400000000001</v>
      </c>
      <c r="J17" s="58">
        <v>698</v>
      </c>
      <c r="K17" s="18">
        <f>IF(ISBLANK(J17),"",(J17-$J$8))</f>
        <v>30</v>
      </c>
      <c r="L17" s="19">
        <f t="shared" si="0"/>
        <v>-1.9999999999988916</v>
      </c>
      <c r="M17" s="19">
        <f t="shared" si="0"/>
        <v>-1.000000000000334</v>
      </c>
      <c r="N17" s="19">
        <f t="shared" si="0"/>
        <v>-0.99999999999944578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0</v>
      </c>
      <c r="S17" s="27">
        <f t="shared" ref="S17:X32" si="2">IF(C17="","",((C17-C16)*1000)/($B17-$B16))</f>
        <v>-1.9999999999988916</v>
      </c>
      <c r="T17" s="28">
        <f t="shared" si="2"/>
        <v>-1.000000000000334</v>
      </c>
      <c r="U17" s="28">
        <f t="shared" si="2"/>
        <v>-0.99999999999944578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41771</v>
      </c>
      <c r="C18" s="25">
        <v>13.176</v>
      </c>
      <c r="D18" s="26">
        <v>7.8259999999999996</v>
      </c>
      <c r="E18" s="26">
        <v>8.7100000000000009</v>
      </c>
      <c r="F18" s="16"/>
      <c r="G18" s="16"/>
      <c r="H18" s="16"/>
      <c r="I18" s="17">
        <v>103.78400000000001</v>
      </c>
      <c r="J18" s="58">
        <v>709</v>
      </c>
      <c r="K18" s="18">
        <f t="shared" ref="K18:K24" si="3">IF(ISBLANK(J18),"",(J18-$J$8))</f>
        <v>41</v>
      </c>
      <c r="L18" s="19">
        <f t="shared" si="0"/>
        <v>-0.99999999999944578</v>
      </c>
      <c r="M18" s="19">
        <f t="shared" si="0"/>
        <v>-2.0000000000006679</v>
      </c>
      <c r="N18" s="19">
        <f t="shared" si="0"/>
        <v>-0.99999999999944578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0</v>
      </c>
      <c r="S18" s="27">
        <f t="shared" si="2"/>
        <v>0.33333333333314857</v>
      </c>
      <c r="T18" s="28">
        <f t="shared" si="2"/>
        <v>-0.33333333333344467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41772</v>
      </c>
      <c r="C19" s="25">
        <v>13.176</v>
      </c>
      <c r="D19" s="26">
        <v>7.827</v>
      </c>
      <c r="E19" s="26">
        <v>8.7100000000000009</v>
      </c>
      <c r="F19" s="16"/>
      <c r="G19" s="16"/>
      <c r="H19" s="16"/>
      <c r="I19" s="17">
        <v>103.78400000000001</v>
      </c>
      <c r="J19" s="58">
        <v>722</v>
      </c>
      <c r="K19" s="18">
        <f t="shared" si="3"/>
        <v>54</v>
      </c>
      <c r="L19" s="19">
        <f t="shared" si="0"/>
        <v>-0.99999999999944578</v>
      </c>
      <c r="M19" s="19">
        <f t="shared" si="0"/>
        <v>-1.000000000000334</v>
      </c>
      <c r="N19" s="19">
        <f t="shared" si="0"/>
        <v>-0.99999999999944578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0</v>
      </c>
      <c r="S19" s="27">
        <f t="shared" si="2"/>
        <v>0</v>
      </c>
      <c r="T19" s="28">
        <f t="shared" si="2"/>
        <v>1.000000000000334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41773</v>
      </c>
      <c r="C20" s="25">
        <v>13.176</v>
      </c>
      <c r="D20" s="26">
        <v>7.8259999999999996</v>
      </c>
      <c r="E20" s="26">
        <v>8.7100000000000009</v>
      </c>
      <c r="F20" s="16"/>
      <c r="G20" s="16"/>
      <c r="H20" s="16"/>
      <c r="I20" s="17">
        <v>103.78400000000001</v>
      </c>
      <c r="J20" s="58">
        <v>730</v>
      </c>
      <c r="K20" s="18">
        <f t="shared" si="3"/>
        <v>62</v>
      </c>
      <c r="L20" s="19">
        <f t="shared" si="0"/>
        <v>-0.99999999999944578</v>
      </c>
      <c r="M20" s="19">
        <f t="shared" si="0"/>
        <v>-2.0000000000006679</v>
      </c>
      <c r="N20" s="19">
        <f t="shared" si="0"/>
        <v>-0.99999999999944578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0</v>
      </c>
      <c r="S20" s="27">
        <f t="shared" si="2"/>
        <v>0</v>
      </c>
      <c r="T20" s="28">
        <f t="shared" si="2"/>
        <v>-1.000000000000334</v>
      </c>
      <c r="U20" s="28">
        <f t="shared" si="2"/>
        <v>0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41774</v>
      </c>
      <c r="C21" s="25">
        <v>13.175000000000001</v>
      </c>
      <c r="D21" s="26">
        <v>7.827</v>
      </c>
      <c r="E21" s="26">
        <v>8.7089999999999996</v>
      </c>
      <c r="F21" s="16"/>
      <c r="G21" s="16"/>
      <c r="H21" s="16"/>
      <c r="I21" s="17">
        <v>103.78400000000001</v>
      </c>
      <c r="J21" s="58">
        <v>743</v>
      </c>
      <c r="K21" s="18">
        <f t="shared" si="3"/>
        <v>75</v>
      </c>
      <c r="L21" s="19">
        <f t="shared" si="0"/>
        <v>-1.9999999999988916</v>
      </c>
      <c r="M21" s="19">
        <f t="shared" si="0"/>
        <v>-1.000000000000334</v>
      </c>
      <c r="N21" s="19">
        <f t="shared" si="0"/>
        <v>-2.0000000000006679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0</v>
      </c>
      <c r="S21" s="27">
        <f t="shared" si="2"/>
        <v>-0.99999999999944578</v>
      </c>
      <c r="T21" s="28">
        <f t="shared" si="2"/>
        <v>1.000000000000334</v>
      </c>
      <c r="U21" s="28">
        <f t="shared" si="2"/>
        <v>-1.0000000000012221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41775</v>
      </c>
      <c r="C22" s="25">
        <v>13.176</v>
      </c>
      <c r="D22" s="26">
        <v>7.827</v>
      </c>
      <c r="E22" s="26">
        <v>8.7100000000000009</v>
      </c>
      <c r="F22" s="16"/>
      <c r="G22" s="16"/>
      <c r="H22" s="16"/>
      <c r="I22" s="17">
        <v>103.78400000000001</v>
      </c>
      <c r="J22" s="58">
        <v>750</v>
      </c>
      <c r="K22" s="18">
        <f t="shared" si="3"/>
        <v>82</v>
      </c>
      <c r="L22" s="19">
        <f t="shared" si="0"/>
        <v>-0.99999999999944578</v>
      </c>
      <c r="M22" s="19">
        <f t="shared" si="0"/>
        <v>-1.000000000000334</v>
      </c>
      <c r="N22" s="19">
        <f t="shared" si="0"/>
        <v>-0.99999999999944578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0</v>
      </c>
      <c r="S22" s="27">
        <f t="shared" si="2"/>
        <v>0.99999999999944578</v>
      </c>
      <c r="T22" s="28">
        <f t="shared" si="2"/>
        <v>0</v>
      </c>
      <c r="U22" s="28">
        <f t="shared" si="2"/>
        <v>1.0000000000012221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41778</v>
      </c>
      <c r="C23" s="25">
        <v>13.176</v>
      </c>
      <c r="D23" s="26">
        <v>7.827</v>
      </c>
      <c r="E23" s="26">
        <v>8.7100000000000009</v>
      </c>
      <c r="F23" s="16"/>
      <c r="G23" s="16"/>
      <c r="H23" s="16"/>
      <c r="I23" s="17">
        <v>103.78400000000001</v>
      </c>
      <c r="J23" s="58">
        <v>763</v>
      </c>
      <c r="K23" s="18">
        <f t="shared" si="3"/>
        <v>95</v>
      </c>
      <c r="L23" s="19">
        <f t="shared" si="0"/>
        <v>-0.99999999999944578</v>
      </c>
      <c r="M23" s="19">
        <f t="shared" si="0"/>
        <v>-1.000000000000334</v>
      </c>
      <c r="N23" s="19">
        <f t="shared" si="0"/>
        <v>-0.99999999999944578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0</v>
      </c>
      <c r="S23" s="27">
        <f t="shared" si="2"/>
        <v>0</v>
      </c>
      <c r="T23" s="28">
        <f t="shared" si="2"/>
        <v>0</v>
      </c>
      <c r="U23" s="28">
        <f t="shared" si="2"/>
        <v>0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41779</v>
      </c>
      <c r="C24" s="25">
        <v>13.175000000000001</v>
      </c>
      <c r="D24" s="26">
        <v>7.827</v>
      </c>
      <c r="E24" s="26">
        <v>8.7089999999999996</v>
      </c>
      <c r="F24" s="16"/>
      <c r="G24" s="16"/>
      <c r="H24" s="16"/>
      <c r="I24" s="17">
        <v>103.78400000000001</v>
      </c>
      <c r="J24" s="58">
        <v>774</v>
      </c>
      <c r="K24" s="18">
        <f t="shared" si="3"/>
        <v>106</v>
      </c>
      <c r="L24" s="19">
        <f t="shared" si="0"/>
        <v>-1.9999999999988916</v>
      </c>
      <c r="M24" s="19">
        <f t="shared" si="0"/>
        <v>-1.000000000000334</v>
      </c>
      <c r="N24" s="19">
        <f t="shared" si="0"/>
        <v>-2.0000000000006679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0</v>
      </c>
      <c r="S24" s="27">
        <f t="shared" si="2"/>
        <v>-0.99999999999944578</v>
      </c>
      <c r="T24" s="28">
        <f t="shared" si="2"/>
        <v>0</v>
      </c>
      <c r="U24" s="28">
        <f t="shared" si="2"/>
        <v>-1.0000000000012221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41781</v>
      </c>
      <c r="C25" s="25">
        <v>13.175000000000001</v>
      </c>
      <c r="D25" s="26">
        <v>7.827</v>
      </c>
      <c r="E25" s="26">
        <v>8.7100000000000009</v>
      </c>
      <c r="F25" s="16"/>
      <c r="G25" s="16"/>
      <c r="H25" s="16"/>
      <c r="I25" s="17">
        <v>103.78400000000001</v>
      </c>
      <c r="J25" s="58">
        <v>792</v>
      </c>
      <c r="K25" s="18">
        <f>IF(ISBLANK(J25),"",(J25-$J$8))</f>
        <v>124</v>
      </c>
      <c r="L25" s="19">
        <f t="shared" si="0"/>
        <v>-1.9999999999988916</v>
      </c>
      <c r="M25" s="19">
        <f t="shared" si="0"/>
        <v>-1.000000000000334</v>
      </c>
      <c r="N25" s="19">
        <f t="shared" si="0"/>
        <v>-0.99999999999944578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0</v>
      </c>
      <c r="S25" s="27">
        <f t="shared" si="2"/>
        <v>0</v>
      </c>
      <c r="T25" s="28">
        <f t="shared" si="2"/>
        <v>0</v>
      </c>
      <c r="U25" s="28">
        <f t="shared" si="2"/>
        <v>0.50000000000061107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41822</v>
      </c>
      <c r="C26" s="25">
        <v>13.175000000000001</v>
      </c>
      <c r="D26" s="26">
        <v>7.827</v>
      </c>
      <c r="E26" s="26">
        <v>8.7100000000000009</v>
      </c>
      <c r="F26" s="16"/>
      <c r="G26" s="16"/>
      <c r="H26" s="16"/>
      <c r="I26" s="17">
        <v>103.783</v>
      </c>
      <c r="J26" s="58">
        <v>686</v>
      </c>
      <c r="K26" s="18">
        <f t="shared" ref="K26:K32" si="4">IF(ISBLANK(J26),"",(J26-$J$8))</f>
        <v>18</v>
      </c>
      <c r="L26" s="19">
        <f t="shared" si="0"/>
        <v>-1.9999999999988916</v>
      </c>
      <c r="M26" s="19">
        <f t="shared" si="0"/>
        <v>-1.000000000000334</v>
      </c>
      <c r="N26" s="19">
        <f t="shared" si="0"/>
        <v>-0.99999999999944578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-1.0000000000047748</v>
      </c>
      <c r="S26" s="27">
        <f t="shared" si="2"/>
        <v>0</v>
      </c>
      <c r="T26" s="28">
        <f t="shared" si="2"/>
        <v>0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41823</v>
      </c>
      <c r="C27" s="25">
        <v>13.176</v>
      </c>
      <c r="D27" s="26">
        <v>7.827</v>
      </c>
      <c r="E27" s="26">
        <v>8.7100000000000009</v>
      </c>
      <c r="F27" s="16"/>
      <c r="G27" s="16"/>
      <c r="H27" s="16"/>
      <c r="I27" s="17">
        <v>103.783</v>
      </c>
      <c r="J27" s="58">
        <v>703</v>
      </c>
      <c r="K27" s="18">
        <f t="shared" si="4"/>
        <v>35</v>
      </c>
      <c r="L27" s="19">
        <f t="shared" si="0"/>
        <v>-0.99999999999944578</v>
      </c>
      <c r="M27" s="19">
        <f t="shared" si="0"/>
        <v>-1.000000000000334</v>
      </c>
      <c r="N27" s="19">
        <f t="shared" si="0"/>
        <v>-0.99999999999944578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0.99999999999944578</v>
      </c>
      <c r="T27" s="28">
        <f t="shared" si="2"/>
        <v>0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41824</v>
      </c>
      <c r="C28" s="25">
        <v>13.175000000000001</v>
      </c>
      <c r="D28" s="26">
        <v>7.8280000000000003</v>
      </c>
      <c r="E28" s="26">
        <v>8.7100000000000009</v>
      </c>
      <c r="F28" s="16">
        <v>13.97</v>
      </c>
      <c r="G28" s="16">
        <v>10.069000000000001</v>
      </c>
      <c r="H28" s="16">
        <v>10.847</v>
      </c>
      <c r="I28" s="17">
        <v>103.783</v>
      </c>
      <c r="J28" s="58">
        <v>725</v>
      </c>
      <c r="K28" s="18">
        <f t="shared" si="4"/>
        <v>57</v>
      </c>
      <c r="L28" s="19">
        <f t="shared" si="0"/>
        <v>-1.9999999999988916</v>
      </c>
      <c r="M28" s="19">
        <f t="shared" si="0"/>
        <v>0</v>
      </c>
      <c r="N28" s="19">
        <f t="shared" si="0"/>
        <v>-0.99999999999944578</v>
      </c>
      <c r="O28" s="19">
        <f>IF(ISBLANK(F28),"",((F28-F$28)*1000)+L$28)</f>
        <v>-1.9999999999988916</v>
      </c>
      <c r="P28" s="19">
        <f>IF(ISBLANK(G28),"",((G28-G$28)*1000)+M$28)</f>
        <v>0</v>
      </c>
      <c r="Q28" s="19">
        <f>IF(ISBLANK(H28),"",((H28-H$28)*1000)+N$28)</f>
        <v>-0.99999999999944578</v>
      </c>
      <c r="R28" s="19">
        <f t="shared" si="1"/>
        <v>-1.0000000000047748</v>
      </c>
      <c r="S28" s="27">
        <f t="shared" si="2"/>
        <v>-0.99999999999944578</v>
      </c>
      <c r="T28" s="28">
        <f t="shared" si="2"/>
        <v>1.000000000000334</v>
      </c>
      <c r="U28" s="28">
        <f t="shared" si="2"/>
        <v>0</v>
      </c>
      <c r="V28" s="28"/>
      <c r="W28" s="28"/>
      <c r="X28" s="29"/>
      <c r="Y28" s="24"/>
    </row>
    <row r="29" spans="2:25" ht="15" customHeight="1" x14ac:dyDescent="0.2">
      <c r="B29" s="31">
        <v>41829</v>
      </c>
      <c r="C29" s="25">
        <v>13.175000000000001</v>
      </c>
      <c r="D29" s="26">
        <v>7.827</v>
      </c>
      <c r="E29" s="26">
        <v>8.7100000000000009</v>
      </c>
      <c r="F29" s="16">
        <v>13.968</v>
      </c>
      <c r="G29" s="16">
        <v>10.069000000000001</v>
      </c>
      <c r="H29" s="16">
        <v>10.846</v>
      </c>
      <c r="I29" s="17">
        <v>103.782</v>
      </c>
      <c r="J29" s="58">
        <v>793</v>
      </c>
      <c r="K29" s="18">
        <f t="shared" si="4"/>
        <v>125</v>
      </c>
      <c r="L29" s="19">
        <f t="shared" si="0"/>
        <v>-1.9999999999988916</v>
      </c>
      <c r="M29" s="19">
        <f t="shared" si="0"/>
        <v>-1.000000000000334</v>
      </c>
      <c r="N29" s="19">
        <f t="shared" si="0"/>
        <v>-0.99999999999944578</v>
      </c>
      <c r="O29" s="19">
        <f t="shared" ref="O29:O92" si="5">IF(ISBLANK(F29),"",((F29-F$28)*1000)+L$28)</f>
        <v>-3.9999999999995595</v>
      </c>
      <c r="P29" s="19">
        <f t="shared" ref="P29:P92" si="6">IF(ISBLANK(G29),"",((G29-G$28)*1000)+M$28)</f>
        <v>0</v>
      </c>
      <c r="Q29" s="19">
        <f t="shared" ref="Q29:Q92" si="7">IF(ISBLANK(H29),"",((H29-H$28)*1000)+N$28)</f>
        <v>-1.9999999999988916</v>
      </c>
      <c r="R29" s="19">
        <f t="shared" si="1"/>
        <v>-2.0000000000095497</v>
      </c>
      <c r="S29" s="27">
        <f t="shared" si="2"/>
        <v>0</v>
      </c>
      <c r="T29" s="28">
        <f t="shared" si="2"/>
        <v>-0.20000000000006679</v>
      </c>
      <c r="U29" s="28">
        <f t="shared" si="2"/>
        <v>0</v>
      </c>
      <c r="V29" s="28">
        <f t="shared" si="2"/>
        <v>-0.40000000000013358</v>
      </c>
      <c r="W29" s="28">
        <f t="shared" si="2"/>
        <v>0</v>
      </c>
      <c r="X29" s="29">
        <f t="shared" si="2"/>
        <v>-0.19999999999988916</v>
      </c>
      <c r="Y29" s="24"/>
    </row>
    <row r="30" spans="2:25" ht="15" customHeight="1" x14ac:dyDescent="0.2">
      <c r="B30" s="31">
        <v>41830</v>
      </c>
      <c r="C30" s="82">
        <v>13.393000000000001</v>
      </c>
      <c r="D30" s="45">
        <v>7.8120000000000003</v>
      </c>
      <c r="E30" s="45">
        <v>8.9359999999999999</v>
      </c>
      <c r="F30" s="16">
        <v>13.968999999999999</v>
      </c>
      <c r="G30" s="16">
        <v>10.067</v>
      </c>
      <c r="H30" s="16">
        <v>10.846</v>
      </c>
      <c r="I30" s="17">
        <v>103.783</v>
      </c>
      <c r="J30" s="58">
        <v>808</v>
      </c>
      <c r="K30" s="18">
        <f t="shared" si="4"/>
        <v>140</v>
      </c>
      <c r="L30" s="19">
        <f>IF(ISBLANK(C30),"",((C30-C$30)*1000)+L$29)</f>
        <v>-1.9999999999988916</v>
      </c>
      <c r="M30" s="19">
        <f>IF(ISBLANK(D30),"",((D30-D$30)*1000)+M$29)</f>
        <v>-1.000000000000334</v>
      </c>
      <c r="N30" s="19">
        <f>IF(ISBLANK(E30),"",((E30-E$30)*1000)+N$29)</f>
        <v>-0.99999999999944578</v>
      </c>
      <c r="O30" s="19">
        <f t="shared" si="5"/>
        <v>-3.0000000000001137</v>
      </c>
      <c r="P30" s="19">
        <f t="shared" si="6"/>
        <v>-2.0000000000006679</v>
      </c>
      <c r="Q30" s="19">
        <f t="shared" si="7"/>
        <v>-1.9999999999988916</v>
      </c>
      <c r="R30" s="19">
        <f t="shared" si="1"/>
        <v>-1.0000000000047748</v>
      </c>
      <c r="S30" s="27">
        <f t="shared" si="2"/>
        <v>217.99999999999997</v>
      </c>
      <c r="T30" s="28">
        <f t="shared" si="2"/>
        <v>-14.99999999999968</v>
      </c>
      <c r="U30" s="28">
        <f t="shared" si="2"/>
        <v>225.99999999999909</v>
      </c>
      <c r="V30" s="28">
        <f t="shared" si="2"/>
        <v>0.99999999999944578</v>
      </c>
      <c r="W30" s="28">
        <f t="shared" si="2"/>
        <v>-2.0000000000006679</v>
      </c>
      <c r="X30" s="29">
        <f t="shared" si="2"/>
        <v>0</v>
      </c>
      <c r="Y30" s="49" t="s">
        <v>53</v>
      </c>
    </row>
    <row r="31" spans="2:25" ht="15" customHeight="1" x14ac:dyDescent="0.2">
      <c r="B31" s="31">
        <v>41834</v>
      </c>
      <c r="C31" s="25">
        <v>13.391999999999999</v>
      </c>
      <c r="D31" s="26">
        <v>7.8120000000000003</v>
      </c>
      <c r="E31" s="26">
        <v>8.9359999999999999</v>
      </c>
      <c r="F31" s="16">
        <v>13.968999999999999</v>
      </c>
      <c r="G31" s="16">
        <v>10.067</v>
      </c>
      <c r="H31" s="16">
        <v>10.846</v>
      </c>
      <c r="I31" s="17">
        <v>103.782</v>
      </c>
      <c r="J31" s="58">
        <v>845</v>
      </c>
      <c r="K31" s="18">
        <f t="shared" si="4"/>
        <v>177</v>
      </c>
      <c r="L31" s="19">
        <f t="shared" ref="L31:L94" si="8">IF(ISBLANK(C31),"",((C31-C$30)*1000)+L$29)</f>
        <v>-3.0000000000001137</v>
      </c>
      <c r="M31" s="19">
        <f t="shared" ref="M31:M94" si="9">IF(ISBLANK(D31),"",((D31-D$30)*1000)+M$29)</f>
        <v>-1.000000000000334</v>
      </c>
      <c r="N31" s="19">
        <f t="shared" ref="N31:N94" si="10">IF(ISBLANK(E31),"",((E31-E$30)*1000)+N$29)</f>
        <v>-0.99999999999944578</v>
      </c>
      <c r="O31" s="19">
        <f t="shared" si="5"/>
        <v>-3.0000000000001137</v>
      </c>
      <c r="P31" s="19">
        <f t="shared" si="6"/>
        <v>-2.0000000000006679</v>
      </c>
      <c r="Q31" s="19">
        <f t="shared" si="7"/>
        <v>-1.9999999999988916</v>
      </c>
      <c r="R31" s="19">
        <f t="shared" si="1"/>
        <v>-2.0000000000095497</v>
      </c>
      <c r="S31" s="27">
        <f t="shared" si="2"/>
        <v>-0.25000000000030553</v>
      </c>
      <c r="T31" s="28">
        <f t="shared" si="2"/>
        <v>0</v>
      </c>
      <c r="U31" s="28">
        <f t="shared" si="2"/>
        <v>0</v>
      </c>
      <c r="V31" s="28">
        <f t="shared" si="2"/>
        <v>0</v>
      </c>
      <c r="W31" s="28">
        <f t="shared" si="2"/>
        <v>0</v>
      </c>
      <c r="X31" s="29">
        <f t="shared" si="2"/>
        <v>0</v>
      </c>
      <c r="Y31" s="24"/>
    </row>
    <row r="32" spans="2:25" ht="15" customHeight="1" x14ac:dyDescent="0.2">
      <c r="B32" s="31">
        <v>41835</v>
      </c>
      <c r="C32" s="25">
        <v>13.391</v>
      </c>
      <c r="D32" s="26">
        <v>7.8120000000000003</v>
      </c>
      <c r="E32" s="26">
        <v>8.9350000000000005</v>
      </c>
      <c r="F32" s="16">
        <v>13.968999999999999</v>
      </c>
      <c r="G32" s="16">
        <v>10.067</v>
      </c>
      <c r="H32" s="16">
        <v>10.846</v>
      </c>
      <c r="I32" s="17">
        <v>103.782</v>
      </c>
      <c r="J32" s="58">
        <v>857</v>
      </c>
      <c r="K32" s="18">
        <f t="shared" si="4"/>
        <v>189</v>
      </c>
      <c r="L32" s="19">
        <f t="shared" si="8"/>
        <v>-3.9999999999995595</v>
      </c>
      <c r="M32" s="19">
        <f t="shared" si="9"/>
        <v>-1.000000000000334</v>
      </c>
      <c r="N32" s="19">
        <f t="shared" si="10"/>
        <v>-1.9999999999988916</v>
      </c>
      <c r="O32" s="19">
        <f t="shared" si="5"/>
        <v>-3.0000000000001137</v>
      </c>
      <c r="P32" s="19">
        <f t="shared" si="6"/>
        <v>-2.0000000000006679</v>
      </c>
      <c r="Q32" s="19">
        <f t="shared" si="7"/>
        <v>-1.9999999999988916</v>
      </c>
      <c r="R32" s="19">
        <f t="shared" si="1"/>
        <v>-2.0000000000095497</v>
      </c>
      <c r="S32" s="27">
        <f t="shared" si="2"/>
        <v>-0.99999999999944578</v>
      </c>
      <c r="T32" s="28">
        <f t="shared" si="2"/>
        <v>0</v>
      </c>
      <c r="U32" s="28">
        <f t="shared" si="2"/>
        <v>-0.99999999999944578</v>
      </c>
      <c r="V32" s="28">
        <f t="shared" si="2"/>
        <v>0</v>
      </c>
      <c r="W32" s="28">
        <f t="shared" si="2"/>
        <v>0</v>
      </c>
      <c r="X32" s="29">
        <f t="shared" si="2"/>
        <v>0</v>
      </c>
      <c r="Y32" s="24"/>
    </row>
    <row r="33" spans="2:25" ht="15" customHeight="1" x14ac:dyDescent="0.2">
      <c r="B33" s="31">
        <v>41879</v>
      </c>
      <c r="C33" s="25"/>
      <c r="D33" s="26"/>
      <c r="E33" s="26"/>
      <c r="F33" s="16">
        <v>13.968</v>
      </c>
      <c r="G33" s="16">
        <v>10.067</v>
      </c>
      <c r="H33" s="16">
        <v>10.845000000000001</v>
      </c>
      <c r="I33" s="17">
        <v>103.782</v>
      </c>
      <c r="J33" s="58">
        <v>943</v>
      </c>
      <c r="K33" s="18">
        <f>IF(ISBLANK(J33),"",(J33-$J$8))</f>
        <v>275</v>
      </c>
      <c r="L33" s="19" t="str">
        <f t="shared" si="8"/>
        <v/>
      </c>
      <c r="M33" s="19" t="str">
        <f t="shared" si="9"/>
        <v/>
      </c>
      <c r="N33" s="19" t="str">
        <f t="shared" si="10"/>
        <v/>
      </c>
      <c r="O33" s="19">
        <f t="shared" si="5"/>
        <v>-3.9999999999995595</v>
      </c>
      <c r="P33" s="19">
        <f t="shared" si="6"/>
        <v>-2.0000000000006679</v>
      </c>
      <c r="Q33" s="19">
        <f t="shared" si="7"/>
        <v>-2.9999999999983373</v>
      </c>
      <c r="R33" s="19">
        <f t="shared" si="1"/>
        <v>-2.0000000000095497</v>
      </c>
      <c r="S33" s="27" t="str">
        <f t="shared" ref="S33:X48" si="11">IF(C33="","",((C33-C32)*1000)/($B33-$B32))</f>
        <v/>
      </c>
      <c r="T33" s="28" t="str">
        <f t="shared" si="11"/>
        <v/>
      </c>
      <c r="U33" s="28" t="str">
        <f t="shared" si="11"/>
        <v/>
      </c>
      <c r="V33" s="28">
        <f t="shared" si="11"/>
        <v>-2.272727272726013E-2</v>
      </c>
      <c r="W33" s="28">
        <f t="shared" si="11"/>
        <v>0</v>
      </c>
      <c r="X33" s="29">
        <f t="shared" si="11"/>
        <v>-2.272727272726013E-2</v>
      </c>
      <c r="Y33" s="24"/>
    </row>
    <row r="34" spans="2:25" ht="15" customHeight="1" x14ac:dyDescent="0.2">
      <c r="B34" s="31">
        <v>41913</v>
      </c>
      <c r="C34" s="25"/>
      <c r="D34" s="26"/>
      <c r="E34" s="26"/>
      <c r="F34" s="16">
        <v>13.968</v>
      </c>
      <c r="G34" s="16">
        <v>10.067</v>
      </c>
      <c r="H34" s="16">
        <v>10.845000000000001</v>
      </c>
      <c r="I34" s="17">
        <v>103.782</v>
      </c>
      <c r="J34" s="58">
        <v>943</v>
      </c>
      <c r="K34" s="18">
        <f>IF(ISBLANK(J34),"",(J34-$J$8))</f>
        <v>275</v>
      </c>
      <c r="L34" s="19" t="str">
        <f t="shared" si="8"/>
        <v/>
      </c>
      <c r="M34" s="19" t="str">
        <f t="shared" si="9"/>
        <v/>
      </c>
      <c r="N34" s="19" t="str">
        <f t="shared" si="10"/>
        <v/>
      </c>
      <c r="O34" s="19">
        <f t="shared" si="5"/>
        <v>-3.9999999999995595</v>
      </c>
      <c r="P34" s="19">
        <f t="shared" si="6"/>
        <v>-2.0000000000006679</v>
      </c>
      <c r="Q34" s="19">
        <f t="shared" si="7"/>
        <v>-2.9999999999983373</v>
      </c>
      <c r="R34" s="19">
        <f t="shared" si="1"/>
        <v>-2.0000000000095497</v>
      </c>
      <c r="S34" s="27" t="str">
        <f t="shared" si="11"/>
        <v/>
      </c>
      <c r="T34" s="28" t="str">
        <f t="shared" si="11"/>
        <v/>
      </c>
      <c r="U34" s="28" t="str">
        <f t="shared" si="11"/>
        <v/>
      </c>
      <c r="V34" s="28">
        <f t="shared" si="11"/>
        <v>0</v>
      </c>
      <c r="W34" s="28">
        <f t="shared" si="11"/>
        <v>0</v>
      </c>
      <c r="X34" s="29">
        <f t="shared" si="11"/>
        <v>0</v>
      </c>
      <c r="Y34" s="24"/>
    </row>
    <row r="35" spans="2:25" ht="15" customHeight="1" x14ac:dyDescent="0.2">
      <c r="B35" s="31">
        <v>42032</v>
      </c>
      <c r="C35" s="25"/>
      <c r="D35" s="26"/>
      <c r="E35" s="26"/>
      <c r="F35" s="16">
        <v>13.968999999999999</v>
      </c>
      <c r="G35" s="16">
        <v>10.067</v>
      </c>
      <c r="H35" s="16">
        <v>10.843999999999999</v>
      </c>
      <c r="I35" s="17">
        <v>103.782</v>
      </c>
      <c r="J35" s="58">
        <v>943</v>
      </c>
      <c r="K35" s="18">
        <f>IF(ISBLANK(J35),"",(J35-$J$8))</f>
        <v>275</v>
      </c>
      <c r="L35" s="19" t="str">
        <f t="shared" si="8"/>
        <v/>
      </c>
      <c r="M35" s="19" t="str">
        <f t="shared" si="9"/>
        <v/>
      </c>
      <c r="N35" s="19" t="str">
        <f t="shared" si="10"/>
        <v/>
      </c>
      <c r="O35" s="19">
        <f t="shared" si="5"/>
        <v>-3.0000000000001137</v>
      </c>
      <c r="P35" s="19">
        <f t="shared" si="6"/>
        <v>-2.0000000000006679</v>
      </c>
      <c r="Q35" s="19">
        <f t="shared" si="7"/>
        <v>-3.9999999999995595</v>
      </c>
      <c r="R35" s="19">
        <f t="shared" si="1"/>
        <v>-2.0000000000095497</v>
      </c>
      <c r="S35" s="27" t="str">
        <f t="shared" si="11"/>
        <v/>
      </c>
      <c r="T35" s="28" t="str">
        <f t="shared" si="11"/>
        <v/>
      </c>
      <c r="U35" s="28" t="str">
        <f t="shared" si="11"/>
        <v/>
      </c>
      <c r="V35" s="28">
        <f t="shared" si="11"/>
        <v>8.403361344533157E-3</v>
      </c>
      <c r="W35" s="28">
        <f t="shared" si="11"/>
        <v>0</v>
      </c>
      <c r="X35" s="29">
        <f t="shared" si="11"/>
        <v>-8.4033613445480843E-3</v>
      </c>
      <c r="Y35" s="24"/>
    </row>
    <row r="36" spans="2:25" ht="15" customHeight="1" x14ac:dyDescent="0.2">
      <c r="B36" s="31">
        <v>42121</v>
      </c>
      <c r="C36" s="25"/>
      <c r="D36" s="26"/>
      <c r="E36" s="26"/>
      <c r="F36" s="16">
        <v>13.968</v>
      </c>
      <c r="G36" s="16">
        <v>10.067</v>
      </c>
      <c r="H36" s="16">
        <v>10.845000000000001</v>
      </c>
      <c r="I36" s="17">
        <v>103.782</v>
      </c>
      <c r="J36" s="58">
        <v>943</v>
      </c>
      <c r="K36" s="18">
        <f>IF(ISBLANK(J36),"",(J36-$J$8))</f>
        <v>275</v>
      </c>
      <c r="L36" s="19" t="str">
        <f t="shared" si="8"/>
        <v/>
      </c>
      <c r="M36" s="19" t="str">
        <f t="shared" si="9"/>
        <v/>
      </c>
      <c r="N36" s="19" t="str">
        <f t="shared" si="10"/>
        <v/>
      </c>
      <c r="O36" s="19">
        <f t="shared" si="5"/>
        <v>-3.9999999999995595</v>
      </c>
      <c r="P36" s="19">
        <f t="shared" si="6"/>
        <v>-2.0000000000006679</v>
      </c>
      <c r="Q36" s="19">
        <f t="shared" si="7"/>
        <v>-2.9999999999983373</v>
      </c>
      <c r="R36" s="19">
        <f t="shared" si="1"/>
        <v>-2.0000000000095497</v>
      </c>
      <c r="S36" s="27" t="str">
        <f t="shared" si="11"/>
        <v/>
      </c>
      <c r="T36" s="28" t="str">
        <f t="shared" si="11"/>
        <v/>
      </c>
      <c r="U36" s="28" t="str">
        <f t="shared" si="11"/>
        <v/>
      </c>
      <c r="V36" s="28">
        <f t="shared" si="11"/>
        <v>-1.1235955056173547E-2</v>
      </c>
      <c r="W36" s="28">
        <f t="shared" si="11"/>
        <v>0</v>
      </c>
      <c r="X36" s="29">
        <f t="shared" si="11"/>
        <v>1.1235955056193507E-2</v>
      </c>
      <c r="Y36" s="24"/>
    </row>
    <row r="37" spans="2:25" ht="15" customHeight="1" x14ac:dyDescent="0.2">
      <c r="B37" s="31">
        <v>42222</v>
      </c>
      <c r="C37" s="25"/>
      <c r="D37" s="26"/>
      <c r="E37" s="26"/>
      <c r="F37" s="16">
        <v>13.97</v>
      </c>
      <c r="G37" s="16">
        <v>10.067</v>
      </c>
      <c r="H37" s="16">
        <v>10.845000000000001</v>
      </c>
      <c r="I37" s="17">
        <v>103.78100000000001</v>
      </c>
      <c r="J37" s="58">
        <v>1278</v>
      </c>
      <c r="K37" s="18">
        <f>IF(ISBLANK(J37),"",(J37-$J$8))</f>
        <v>610</v>
      </c>
      <c r="L37" s="19" t="str">
        <f t="shared" si="8"/>
        <v/>
      </c>
      <c r="M37" s="19" t="str">
        <f t="shared" si="9"/>
        <v/>
      </c>
      <c r="N37" s="19" t="str">
        <f t="shared" si="10"/>
        <v/>
      </c>
      <c r="O37" s="19">
        <f t="shared" si="5"/>
        <v>-1.9999999999988916</v>
      </c>
      <c r="P37" s="19">
        <f t="shared" si="6"/>
        <v>-2.0000000000006679</v>
      </c>
      <c r="Q37" s="19">
        <f t="shared" si="7"/>
        <v>-2.9999999999983373</v>
      </c>
      <c r="R37" s="19">
        <f t="shared" si="1"/>
        <v>-3.0000000000001137</v>
      </c>
      <c r="S37" s="27" t="str">
        <f t="shared" si="11"/>
        <v/>
      </c>
      <c r="T37" s="28" t="str">
        <f t="shared" si="11"/>
        <v/>
      </c>
      <c r="U37" s="28" t="str">
        <f t="shared" si="11"/>
        <v/>
      </c>
      <c r="V37" s="28">
        <f t="shared" si="11"/>
        <v>1.9801980198026415E-2</v>
      </c>
      <c r="W37" s="28">
        <f t="shared" si="11"/>
        <v>0</v>
      </c>
      <c r="X37" s="29">
        <f t="shared" si="11"/>
        <v>0</v>
      </c>
      <c r="Y37" s="24"/>
    </row>
    <row r="38" spans="2:25" ht="15" customHeight="1" x14ac:dyDescent="0.2">
      <c r="B38" s="31">
        <v>42326</v>
      </c>
      <c r="C38" s="25"/>
      <c r="D38" s="26"/>
      <c r="E38" s="26"/>
      <c r="F38" s="16">
        <v>13.968999999999999</v>
      </c>
      <c r="G38" s="16">
        <v>10.066000000000001</v>
      </c>
      <c r="H38" s="16">
        <v>10.843999999999999</v>
      </c>
      <c r="I38" s="17">
        <v>103.78100000000001</v>
      </c>
      <c r="J38" s="32">
        <v>2248</v>
      </c>
      <c r="K38" s="18">
        <f t="shared" ref="K38:K40" si="12">IF(ISBLANK(J38),"",(J38-$J$8))</f>
        <v>1580</v>
      </c>
      <c r="L38" s="19" t="str">
        <f t="shared" si="8"/>
        <v/>
      </c>
      <c r="M38" s="19" t="str">
        <f t="shared" si="9"/>
        <v/>
      </c>
      <c r="N38" s="19" t="str">
        <f t="shared" si="10"/>
        <v/>
      </c>
      <c r="O38" s="19">
        <f t="shared" si="5"/>
        <v>-3.0000000000001137</v>
      </c>
      <c r="P38" s="19">
        <f t="shared" si="6"/>
        <v>-3.0000000000001137</v>
      </c>
      <c r="Q38" s="19">
        <f t="shared" si="7"/>
        <v>-3.9999999999995595</v>
      </c>
      <c r="R38" s="19">
        <f t="shared" si="1"/>
        <v>-3.0000000000001137</v>
      </c>
      <c r="S38" s="27" t="str">
        <f t="shared" si="11"/>
        <v/>
      </c>
      <c r="T38" s="28" t="str">
        <f t="shared" si="11"/>
        <v/>
      </c>
      <c r="U38" s="28" t="str">
        <f t="shared" si="11"/>
        <v/>
      </c>
      <c r="V38" s="28">
        <f t="shared" si="11"/>
        <v>-9.6153846153963669E-3</v>
      </c>
      <c r="W38" s="28">
        <f t="shared" si="11"/>
        <v>-9.6153846153792868E-3</v>
      </c>
      <c r="X38" s="29">
        <f t="shared" si="11"/>
        <v>-9.6153846153963669E-3</v>
      </c>
      <c r="Y38" s="24"/>
    </row>
    <row r="39" spans="2:25" ht="15" customHeight="1" x14ac:dyDescent="0.2">
      <c r="B39" s="31">
        <v>42416</v>
      </c>
      <c r="C39" s="25">
        <v>13.391999999999999</v>
      </c>
      <c r="D39" s="26">
        <v>7.8140000000000001</v>
      </c>
      <c r="E39" s="26">
        <v>8.9329999999999998</v>
      </c>
      <c r="F39" s="16">
        <v>13.968999999999999</v>
      </c>
      <c r="G39" s="16">
        <v>10.068</v>
      </c>
      <c r="H39" s="16">
        <v>10.843999999999999</v>
      </c>
      <c r="I39" s="17">
        <v>103.782</v>
      </c>
      <c r="J39" s="58">
        <v>2519</v>
      </c>
      <c r="K39" s="18">
        <f t="shared" si="12"/>
        <v>1851</v>
      </c>
      <c r="L39" s="19"/>
      <c r="M39" s="19"/>
      <c r="N39" s="19"/>
      <c r="O39" s="19">
        <f t="shared" si="5"/>
        <v>-3.0000000000001137</v>
      </c>
      <c r="P39" s="19">
        <f t="shared" si="6"/>
        <v>-1.0000000000012221</v>
      </c>
      <c r="Q39" s="19">
        <f t="shared" si="7"/>
        <v>-3.9999999999995595</v>
      </c>
      <c r="R39" s="19">
        <f t="shared" si="1"/>
        <v>-2.0000000000095497</v>
      </c>
      <c r="S39" s="27"/>
      <c r="T39" s="28"/>
      <c r="U39" s="28"/>
      <c r="V39" s="28">
        <f t="shared" si="11"/>
        <v>0</v>
      </c>
      <c r="W39" s="28">
        <f t="shared" si="11"/>
        <v>2.2222222222209907E-2</v>
      </c>
      <c r="X39" s="29">
        <f t="shared" si="11"/>
        <v>0</v>
      </c>
      <c r="Y39" s="24"/>
    </row>
    <row r="40" spans="2:25" ht="15" customHeight="1" x14ac:dyDescent="0.2">
      <c r="B40" s="31">
        <v>42530</v>
      </c>
      <c r="C40" s="25"/>
      <c r="D40" s="26"/>
      <c r="E40" s="26"/>
      <c r="F40" s="16">
        <v>13.968999999999999</v>
      </c>
      <c r="G40" s="16">
        <v>10.066000000000001</v>
      </c>
      <c r="H40" s="16">
        <v>10.843999999999999</v>
      </c>
      <c r="I40" s="17">
        <v>103.78100000000001</v>
      </c>
      <c r="J40" s="58">
        <v>2608</v>
      </c>
      <c r="K40" s="18">
        <f t="shared" si="12"/>
        <v>1940</v>
      </c>
      <c r="L40" s="19" t="str">
        <f t="shared" si="8"/>
        <v/>
      </c>
      <c r="M40" s="19" t="str">
        <f t="shared" si="9"/>
        <v/>
      </c>
      <c r="N40" s="19" t="str">
        <f t="shared" si="10"/>
        <v/>
      </c>
      <c r="O40" s="19">
        <f t="shared" si="5"/>
        <v>-3.0000000000001137</v>
      </c>
      <c r="P40" s="19">
        <f t="shared" si="6"/>
        <v>-3.0000000000001137</v>
      </c>
      <c r="Q40" s="19">
        <f t="shared" si="7"/>
        <v>-3.9999999999995595</v>
      </c>
      <c r="R40" s="19">
        <f t="shared" si="1"/>
        <v>-3.0000000000001137</v>
      </c>
      <c r="S40" s="27" t="str">
        <f t="shared" si="11"/>
        <v/>
      </c>
      <c r="T40" s="28" t="str">
        <f t="shared" si="11"/>
        <v/>
      </c>
      <c r="U40" s="28" t="str">
        <f t="shared" si="11"/>
        <v/>
      </c>
      <c r="V40" s="28">
        <f t="shared" si="11"/>
        <v>0</v>
      </c>
      <c r="W40" s="28">
        <f t="shared" si="11"/>
        <v>-1.7543859649113085E-2</v>
      </c>
      <c r="X40" s="29">
        <f t="shared" si="11"/>
        <v>0</v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8"/>
        <v/>
      </c>
      <c r="M41" s="19" t="str">
        <f t="shared" si="9"/>
        <v/>
      </c>
      <c r="N41" s="19" t="str">
        <f t="shared" si="10"/>
        <v/>
      </c>
      <c r="O41" s="19" t="str">
        <f t="shared" si="5"/>
        <v/>
      </c>
      <c r="P41" s="19" t="str">
        <f t="shared" si="6"/>
        <v/>
      </c>
      <c r="Q41" s="19" t="str">
        <f t="shared" si="7"/>
        <v/>
      </c>
      <c r="R41" s="19" t="str">
        <f t="shared" si="1"/>
        <v/>
      </c>
      <c r="S41" s="27" t="str">
        <f t="shared" si="11"/>
        <v/>
      </c>
      <c r="T41" s="28" t="str">
        <f t="shared" si="11"/>
        <v/>
      </c>
      <c r="U41" s="28" t="str">
        <f t="shared" si="11"/>
        <v/>
      </c>
      <c r="V41" s="28" t="str">
        <f t="shared" si="11"/>
        <v/>
      </c>
      <c r="W41" s="28" t="str">
        <f t="shared" si="11"/>
        <v/>
      </c>
      <c r="X41" s="29" t="str">
        <f t="shared" si="11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8"/>
        <v/>
      </c>
      <c r="M42" s="19" t="str">
        <f t="shared" si="9"/>
        <v/>
      </c>
      <c r="N42" s="19" t="str">
        <f t="shared" si="10"/>
        <v/>
      </c>
      <c r="O42" s="19" t="str">
        <f t="shared" si="5"/>
        <v/>
      </c>
      <c r="P42" s="19" t="str">
        <f t="shared" si="6"/>
        <v/>
      </c>
      <c r="Q42" s="19" t="str">
        <f t="shared" si="7"/>
        <v/>
      </c>
      <c r="R42" s="19" t="str">
        <f t="shared" si="1"/>
        <v/>
      </c>
      <c r="S42" s="27" t="str">
        <f t="shared" si="11"/>
        <v/>
      </c>
      <c r="T42" s="28" t="str">
        <f t="shared" si="11"/>
        <v/>
      </c>
      <c r="U42" s="28" t="str">
        <f t="shared" si="11"/>
        <v/>
      </c>
      <c r="V42" s="28" t="str">
        <f t="shared" si="11"/>
        <v/>
      </c>
      <c r="W42" s="28" t="str">
        <f t="shared" si="11"/>
        <v/>
      </c>
      <c r="X42" s="29" t="str">
        <f t="shared" si="11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8"/>
        <v/>
      </c>
      <c r="M43" s="19" t="str">
        <f t="shared" si="9"/>
        <v/>
      </c>
      <c r="N43" s="19" t="str">
        <f t="shared" si="10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1"/>
        <v/>
      </c>
      <c r="S43" s="27" t="str">
        <f t="shared" si="11"/>
        <v/>
      </c>
      <c r="T43" s="28" t="str">
        <f t="shared" si="11"/>
        <v/>
      </c>
      <c r="U43" s="28" t="str">
        <f t="shared" si="11"/>
        <v/>
      </c>
      <c r="V43" s="28" t="str">
        <f t="shared" si="11"/>
        <v/>
      </c>
      <c r="W43" s="28" t="str">
        <f t="shared" si="11"/>
        <v/>
      </c>
      <c r="X43" s="29" t="str">
        <f t="shared" si="11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8"/>
        <v/>
      </c>
      <c r="M44" s="19" t="str">
        <f t="shared" si="9"/>
        <v/>
      </c>
      <c r="N44" s="19" t="str">
        <f t="shared" si="10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1"/>
        <v/>
      </c>
      <c r="S44" s="27" t="str">
        <f t="shared" si="11"/>
        <v/>
      </c>
      <c r="T44" s="28" t="str">
        <f t="shared" si="11"/>
        <v/>
      </c>
      <c r="U44" s="28" t="str">
        <f t="shared" si="11"/>
        <v/>
      </c>
      <c r="V44" s="28" t="str">
        <f t="shared" si="11"/>
        <v/>
      </c>
      <c r="W44" s="28" t="str">
        <f t="shared" si="11"/>
        <v/>
      </c>
      <c r="X44" s="29" t="str">
        <f t="shared" si="11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8"/>
        <v/>
      </c>
      <c r="M45" s="19" t="str">
        <f t="shared" si="9"/>
        <v/>
      </c>
      <c r="N45" s="19" t="str">
        <f t="shared" si="10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1"/>
        <v/>
      </c>
      <c r="S45" s="27" t="str">
        <f t="shared" si="11"/>
        <v/>
      </c>
      <c r="T45" s="28" t="str">
        <f t="shared" si="11"/>
        <v/>
      </c>
      <c r="U45" s="28" t="str">
        <f t="shared" si="11"/>
        <v/>
      </c>
      <c r="V45" s="28" t="str">
        <f t="shared" si="11"/>
        <v/>
      </c>
      <c r="W45" s="28" t="str">
        <f t="shared" si="11"/>
        <v/>
      </c>
      <c r="X45" s="29" t="str">
        <f t="shared" si="11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8"/>
        <v/>
      </c>
      <c r="M46" s="19" t="str">
        <f t="shared" si="9"/>
        <v/>
      </c>
      <c r="N46" s="19" t="str">
        <f t="shared" si="10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1"/>
        <v/>
      </c>
      <c r="S46" s="27" t="str">
        <f t="shared" si="11"/>
        <v/>
      </c>
      <c r="T46" s="28" t="str">
        <f t="shared" si="11"/>
        <v/>
      </c>
      <c r="U46" s="28" t="str">
        <f t="shared" si="11"/>
        <v/>
      </c>
      <c r="V46" s="28" t="str">
        <f t="shared" si="11"/>
        <v/>
      </c>
      <c r="W46" s="28" t="str">
        <f t="shared" si="11"/>
        <v/>
      </c>
      <c r="X46" s="29" t="str">
        <f t="shared" si="1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8"/>
        <v/>
      </c>
      <c r="M47" s="19" t="str">
        <f t="shared" si="9"/>
        <v/>
      </c>
      <c r="N47" s="19" t="str">
        <f t="shared" si="10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1"/>
        <v/>
      </c>
      <c r="S47" s="27" t="str">
        <f t="shared" si="11"/>
        <v/>
      </c>
      <c r="T47" s="28" t="str">
        <f t="shared" si="11"/>
        <v/>
      </c>
      <c r="U47" s="28" t="str">
        <f t="shared" si="11"/>
        <v/>
      </c>
      <c r="V47" s="28" t="str">
        <f t="shared" si="11"/>
        <v/>
      </c>
      <c r="W47" s="28" t="str">
        <f t="shared" si="11"/>
        <v/>
      </c>
      <c r="X47" s="29" t="str">
        <f t="shared" si="1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8"/>
        <v/>
      </c>
      <c r="M48" s="19" t="str">
        <f t="shared" si="9"/>
        <v/>
      </c>
      <c r="N48" s="19" t="str">
        <f t="shared" si="10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1"/>
        <v/>
      </c>
      <c r="S48" s="27" t="str">
        <f t="shared" si="11"/>
        <v/>
      </c>
      <c r="T48" s="28" t="str">
        <f t="shared" si="11"/>
        <v/>
      </c>
      <c r="U48" s="28" t="str">
        <f t="shared" si="11"/>
        <v/>
      </c>
      <c r="V48" s="28" t="str">
        <f t="shared" si="11"/>
        <v/>
      </c>
      <c r="W48" s="28" t="str">
        <f t="shared" si="11"/>
        <v/>
      </c>
      <c r="X48" s="29" t="str">
        <f t="shared" si="1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8"/>
        <v/>
      </c>
      <c r="M49" s="19" t="str">
        <f t="shared" si="9"/>
        <v/>
      </c>
      <c r="N49" s="19" t="str">
        <f t="shared" si="10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1"/>
        <v/>
      </c>
      <c r="S49" s="27" t="str">
        <f t="shared" ref="S49:X64" si="13">IF(C49="","",((C49-C48)*1000)/($B49-$B48))</f>
        <v/>
      </c>
      <c r="T49" s="28" t="str">
        <f t="shared" si="13"/>
        <v/>
      </c>
      <c r="U49" s="28" t="str">
        <f t="shared" si="13"/>
        <v/>
      </c>
      <c r="V49" s="28" t="str">
        <f t="shared" si="13"/>
        <v/>
      </c>
      <c r="W49" s="28" t="str">
        <f t="shared" si="13"/>
        <v/>
      </c>
      <c r="X49" s="29" t="str">
        <f t="shared" si="13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8"/>
        <v/>
      </c>
      <c r="M50" s="19" t="str">
        <f t="shared" si="9"/>
        <v/>
      </c>
      <c r="N50" s="19" t="str">
        <f t="shared" si="10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1"/>
        <v/>
      </c>
      <c r="S50" s="27" t="str">
        <f t="shared" si="13"/>
        <v/>
      </c>
      <c r="T50" s="28" t="str">
        <f t="shared" si="13"/>
        <v/>
      </c>
      <c r="U50" s="28" t="str">
        <f t="shared" si="13"/>
        <v/>
      </c>
      <c r="V50" s="28" t="str">
        <f t="shared" si="13"/>
        <v/>
      </c>
      <c r="W50" s="28" t="str">
        <f t="shared" si="13"/>
        <v/>
      </c>
      <c r="X50" s="29" t="str">
        <f t="shared" si="13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8"/>
        <v/>
      </c>
      <c r="M51" s="19" t="str">
        <f t="shared" si="9"/>
        <v/>
      </c>
      <c r="N51" s="19" t="str">
        <f t="shared" si="10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1"/>
        <v/>
      </c>
      <c r="S51" s="27" t="str">
        <f t="shared" si="13"/>
        <v/>
      </c>
      <c r="T51" s="28" t="str">
        <f t="shared" si="13"/>
        <v/>
      </c>
      <c r="U51" s="28" t="str">
        <f t="shared" si="13"/>
        <v/>
      </c>
      <c r="V51" s="28" t="str">
        <f t="shared" si="13"/>
        <v/>
      </c>
      <c r="W51" s="28" t="str">
        <f t="shared" si="13"/>
        <v/>
      </c>
      <c r="X51" s="29" t="str">
        <f t="shared" si="13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8"/>
        <v/>
      </c>
      <c r="M52" s="19" t="str">
        <f t="shared" si="9"/>
        <v/>
      </c>
      <c r="N52" s="19" t="str">
        <f t="shared" si="10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1"/>
        <v/>
      </c>
      <c r="S52" s="27" t="str">
        <f t="shared" si="13"/>
        <v/>
      </c>
      <c r="T52" s="28" t="str">
        <f t="shared" si="13"/>
        <v/>
      </c>
      <c r="U52" s="28" t="str">
        <f t="shared" si="13"/>
        <v/>
      </c>
      <c r="V52" s="28" t="str">
        <f t="shared" si="13"/>
        <v/>
      </c>
      <c r="W52" s="28" t="str">
        <f t="shared" si="13"/>
        <v/>
      </c>
      <c r="X52" s="29" t="str">
        <f t="shared" si="13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8"/>
        <v/>
      </c>
      <c r="M53" s="19" t="str">
        <f t="shared" si="9"/>
        <v/>
      </c>
      <c r="N53" s="19" t="str">
        <f t="shared" si="10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1"/>
        <v/>
      </c>
      <c r="S53" s="27" t="str">
        <f t="shared" si="13"/>
        <v/>
      </c>
      <c r="T53" s="28" t="str">
        <f t="shared" si="13"/>
        <v/>
      </c>
      <c r="U53" s="28" t="str">
        <f t="shared" si="13"/>
        <v/>
      </c>
      <c r="V53" s="28" t="str">
        <f t="shared" si="13"/>
        <v/>
      </c>
      <c r="W53" s="28" t="str">
        <f t="shared" si="13"/>
        <v/>
      </c>
      <c r="X53" s="29" t="str">
        <f t="shared" si="13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8"/>
        <v/>
      </c>
      <c r="M54" s="19" t="str">
        <f t="shared" si="9"/>
        <v/>
      </c>
      <c r="N54" s="19" t="str">
        <f t="shared" si="10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1"/>
        <v/>
      </c>
      <c r="S54" s="27" t="str">
        <f t="shared" si="13"/>
        <v/>
      </c>
      <c r="T54" s="28" t="str">
        <f t="shared" si="13"/>
        <v/>
      </c>
      <c r="U54" s="28" t="str">
        <f t="shared" si="13"/>
        <v/>
      </c>
      <c r="V54" s="28" t="str">
        <f t="shared" si="13"/>
        <v/>
      </c>
      <c r="W54" s="28" t="str">
        <f t="shared" si="13"/>
        <v/>
      </c>
      <c r="X54" s="29" t="str">
        <f t="shared" si="13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8"/>
        <v/>
      </c>
      <c r="M55" s="19" t="str">
        <f t="shared" si="9"/>
        <v/>
      </c>
      <c r="N55" s="19" t="str">
        <f t="shared" si="10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1"/>
        <v/>
      </c>
      <c r="S55" s="27" t="str">
        <f t="shared" si="13"/>
        <v/>
      </c>
      <c r="T55" s="28" t="str">
        <f t="shared" si="13"/>
        <v/>
      </c>
      <c r="U55" s="28" t="str">
        <f t="shared" si="13"/>
        <v/>
      </c>
      <c r="V55" s="28" t="str">
        <f t="shared" si="13"/>
        <v/>
      </c>
      <c r="W55" s="28" t="str">
        <f t="shared" si="13"/>
        <v/>
      </c>
      <c r="X55" s="29" t="str">
        <f t="shared" si="13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8"/>
        <v/>
      </c>
      <c r="M56" s="19" t="str">
        <f t="shared" si="9"/>
        <v/>
      </c>
      <c r="N56" s="19" t="str">
        <f t="shared" si="10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1"/>
        <v/>
      </c>
      <c r="S56" s="27" t="str">
        <f t="shared" si="13"/>
        <v/>
      </c>
      <c r="T56" s="28" t="str">
        <f t="shared" si="13"/>
        <v/>
      </c>
      <c r="U56" s="28" t="str">
        <f t="shared" si="13"/>
        <v/>
      </c>
      <c r="V56" s="28" t="str">
        <f t="shared" si="13"/>
        <v/>
      </c>
      <c r="W56" s="28" t="str">
        <f t="shared" si="13"/>
        <v/>
      </c>
      <c r="X56" s="29" t="str">
        <f t="shared" si="13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8"/>
        <v/>
      </c>
      <c r="M57" s="19" t="str">
        <f t="shared" si="9"/>
        <v/>
      </c>
      <c r="N57" s="19" t="str">
        <f t="shared" si="10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1"/>
        <v/>
      </c>
      <c r="S57" s="27" t="str">
        <f t="shared" si="13"/>
        <v/>
      </c>
      <c r="T57" s="28" t="str">
        <f t="shared" si="13"/>
        <v/>
      </c>
      <c r="U57" s="28" t="str">
        <f t="shared" si="13"/>
        <v/>
      </c>
      <c r="V57" s="28" t="str">
        <f t="shared" si="13"/>
        <v/>
      </c>
      <c r="W57" s="28" t="str">
        <f t="shared" si="13"/>
        <v/>
      </c>
      <c r="X57" s="29" t="str">
        <f t="shared" si="13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8"/>
        <v/>
      </c>
      <c r="M58" s="19" t="str">
        <f t="shared" si="9"/>
        <v/>
      </c>
      <c r="N58" s="19" t="str">
        <f t="shared" si="10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1"/>
        <v/>
      </c>
      <c r="S58" s="27" t="str">
        <f t="shared" si="13"/>
        <v/>
      </c>
      <c r="T58" s="28" t="str">
        <f t="shared" si="13"/>
        <v/>
      </c>
      <c r="U58" s="28" t="str">
        <f t="shared" si="13"/>
        <v/>
      </c>
      <c r="V58" s="28" t="str">
        <f t="shared" si="13"/>
        <v/>
      </c>
      <c r="W58" s="28" t="str">
        <f t="shared" si="13"/>
        <v/>
      </c>
      <c r="X58" s="29" t="str">
        <f t="shared" si="13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8"/>
        <v/>
      </c>
      <c r="M59" s="19" t="str">
        <f t="shared" si="9"/>
        <v/>
      </c>
      <c r="N59" s="19" t="str">
        <f t="shared" si="10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1"/>
        <v/>
      </c>
      <c r="S59" s="27" t="str">
        <f t="shared" si="13"/>
        <v/>
      </c>
      <c r="T59" s="28" t="str">
        <f t="shared" si="13"/>
        <v/>
      </c>
      <c r="U59" s="28" t="str">
        <f t="shared" si="13"/>
        <v/>
      </c>
      <c r="V59" s="28" t="str">
        <f t="shared" si="13"/>
        <v/>
      </c>
      <c r="W59" s="28" t="str">
        <f t="shared" si="13"/>
        <v/>
      </c>
      <c r="X59" s="29" t="str">
        <f t="shared" si="13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8"/>
        <v/>
      </c>
      <c r="M60" s="19" t="str">
        <f t="shared" si="9"/>
        <v/>
      </c>
      <c r="N60" s="19" t="str">
        <f t="shared" si="10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1"/>
        <v/>
      </c>
      <c r="S60" s="27" t="str">
        <f t="shared" si="13"/>
        <v/>
      </c>
      <c r="T60" s="28" t="str">
        <f t="shared" si="13"/>
        <v/>
      </c>
      <c r="U60" s="28" t="str">
        <f t="shared" si="13"/>
        <v/>
      </c>
      <c r="V60" s="28" t="str">
        <f t="shared" si="13"/>
        <v/>
      </c>
      <c r="W60" s="28" t="str">
        <f t="shared" si="13"/>
        <v/>
      </c>
      <c r="X60" s="29" t="str">
        <f t="shared" si="13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8"/>
        <v/>
      </c>
      <c r="M61" s="19" t="str">
        <f t="shared" si="9"/>
        <v/>
      </c>
      <c r="N61" s="19" t="str">
        <f t="shared" si="10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1"/>
        <v/>
      </c>
      <c r="S61" s="27" t="str">
        <f t="shared" si="13"/>
        <v/>
      </c>
      <c r="T61" s="28" t="str">
        <f t="shared" si="13"/>
        <v/>
      </c>
      <c r="U61" s="28" t="str">
        <f t="shared" si="13"/>
        <v/>
      </c>
      <c r="V61" s="28" t="str">
        <f t="shared" si="13"/>
        <v/>
      </c>
      <c r="W61" s="28" t="str">
        <f t="shared" si="13"/>
        <v/>
      </c>
      <c r="X61" s="29" t="str">
        <f t="shared" si="13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8"/>
        <v/>
      </c>
      <c r="M62" s="19" t="str">
        <f t="shared" si="9"/>
        <v/>
      </c>
      <c r="N62" s="19" t="str">
        <f t="shared" si="10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1"/>
        <v/>
      </c>
      <c r="S62" s="27" t="str">
        <f t="shared" si="13"/>
        <v/>
      </c>
      <c r="T62" s="28" t="str">
        <f t="shared" si="13"/>
        <v/>
      </c>
      <c r="U62" s="28" t="str">
        <f t="shared" si="13"/>
        <v/>
      </c>
      <c r="V62" s="28" t="str">
        <f t="shared" si="13"/>
        <v/>
      </c>
      <c r="W62" s="28" t="str">
        <f t="shared" si="13"/>
        <v/>
      </c>
      <c r="X62" s="29" t="str">
        <f t="shared" si="13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8"/>
        <v/>
      </c>
      <c r="M63" s="19" t="str">
        <f t="shared" si="9"/>
        <v/>
      </c>
      <c r="N63" s="19" t="str">
        <f t="shared" si="10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"/>
        <v/>
      </c>
      <c r="S63" s="27" t="str">
        <f t="shared" si="13"/>
        <v/>
      </c>
      <c r="T63" s="28" t="str">
        <f t="shared" si="13"/>
        <v/>
      </c>
      <c r="U63" s="28" t="str">
        <f t="shared" si="13"/>
        <v/>
      </c>
      <c r="V63" s="28" t="str">
        <f t="shared" si="13"/>
        <v/>
      </c>
      <c r="W63" s="28" t="str">
        <f t="shared" si="13"/>
        <v/>
      </c>
      <c r="X63" s="29" t="str">
        <f t="shared" si="13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8"/>
        <v/>
      </c>
      <c r="M64" s="19" t="str">
        <f t="shared" si="9"/>
        <v/>
      </c>
      <c r="N64" s="19" t="str">
        <f t="shared" si="10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"/>
        <v/>
      </c>
      <c r="S64" s="27" t="str">
        <f t="shared" si="13"/>
        <v/>
      </c>
      <c r="T64" s="28" t="str">
        <f t="shared" si="13"/>
        <v/>
      </c>
      <c r="U64" s="28" t="str">
        <f t="shared" si="13"/>
        <v/>
      </c>
      <c r="V64" s="28" t="str">
        <f t="shared" si="13"/>
        <v/>
      </c>
      <c r="W64" s="28" t="str">
        <f t="shared" si="13"/>
        <v/>
      </c>
      <c r="X64" s="29" t="str">
        <f t="shared" si="13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8"/>
        <v/>
      </c>
      <c r="M65" s="19" t="str">
        <f t="shared" si="9"/>
        <v/>
      </c>
      <c r="N65" s="19" t="str">
        <f t="shared" si="10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8"/>
        <v/>
      </c>
      <c r="M66" s="19" t="str">
        <f t="shared" si="9"/>
        <v/>
      </c>
      <c r="N66" s="19" t="str">
        <f t="shared" si="10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8"/>
        <v/>
      </c>
      <c r="M67" s="19" t="str">
        <f t="shared" si="9"/>
        <v/>
      </c>
      <c r="N67" s="19" t="str">
        <f t="shared" si="10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8"/>
        <v/>
      </c>
      <c r="M68" s="19" t="str">
        <f t="shared" si="9"/>
        <v/>
      </c>
      <c r="N68" s="19" t="str">
        <f t="shared" si="10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8"/>
        <v/>
      </c>
      <c r="M69" s="19" t="str">
        <f t="shared" si="9"/>
        <v/>
      </c>
      <c r="N69" s="19" t="str">
        <f t="shared" si="10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8"/>
        <v/>
      </c>
      <c r="M70" s="19" t="str">
        <f t="shared" si="9"/>
        <v/>
      </c>
      <c r="N70" s="19" t="str">
        <f t="shared" si="10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8"/>
        <v/>
      </c>
      <c r="M71" s="19" t="str">
        <f t="shared" si="9"/>
        <v/>
      </c>
      <c r="N71" s="19" t="str">
        <f t="shared" si="10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8"/>
        <v/>
      </c>
      <c r="M72" s="19" t="str">
        <f t="shared" si="9"/>
        <v/>
      </c>
      <c r="N72" s="19" t="str">
        <f t="shared" si="10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8"/>
        <v/>
      </c>
      <c r="M73" s="19" t="str">
        <f t="shared" si="9"/>
        <v/>
      </c>
      <c r="N73" s="19" t="str">
        <f t="shared" si="10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8"/>
        <v/>
      </c>
      <c r="M74" s="19" t="str">
        <f t="shared" si="9"/>
        <v/>
      </c>
      <c r="N74" s="19" t="str">
        <f t="shared" si="10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8"/>
        <v/>
      </c>
      <c r="M75" s="19" t="str">
        <f t="shared" si="9"/>
        <v/>
      </c>
      <c r="N75" s="19" t="str">
        <f t="shared" si="10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8"/>
        <v/>
      </c>
      <c r="M76" s="19" t="str">
        <f t="shared" si="9"/>
        <v/>
      </c>
      <c r="N76" s="19" t="str">
        <f t="shared" si="10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8"/>
        <v/>
      </c>
      <c r="M77" s="19" t="str">
        <f t="shared" si="9"/>
        <v/>
      </c>
      <c r="N77" s="19" t="str">
        <f t="shared" si="10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8"/>
        <v/>
      </c>
      <c r="M78" s="19" t="str">
        <f t="shared" si="9"/>
        <v/>
      </c>
      <c r="N78" s="19" t="str">
        <f t="shared" si="10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8"/>
        <v/>
      </c>
      <c r="M79" s="19" t="str">
        <f t="shared" si="9"/>
        <v/>
      </c>
      <c r="N79" s="19" t="str">
        <f t="shared" si="10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8"/>
        <v/>
      </c>
      <c r="M80" s="19" t="str">
        <f t="shared" si="9"/>
        <v/>
      </c>
      <c r="N80" s="19" t="str">
        <f t="shared" si="10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ref="R80:R111" si="15">IF(ISBLANK(I80),"",(I80-I$16)*1000)</f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8"/>
        <v/>
      </c>
      <c r="M81" s="19" t="str">
        <f t="shared" si="9"/>
        <v/>
      </c>
      <c r="N81" s="19" t="str">
        <f t="shared" si="10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5"/>
        <v/>
      </c>
      <c r="S81" s="27" t="str">
        <f t="shared" ref="S81:X96" si="16">IF(C81="","",((C81-C80)*1000)/($B81-$B80))</f>
        <v/>
      </c>
      <c r="T81" s="28" t="str">
        <f t="shared" si="16"/>
        <v/>
      </c>
      <c r="U81" s="28" t="str">
        <f t="shared" si="16"/>
        <v/>
      </c>
      <c r="V81" s="28" t="str">
        <f t="shared" si="16"/>
        <v/>
      </c>
      <c r="W81" s="28" t="str">
        <f t="shared" si="16"/>
        <v/>
      </c>
      <c r="X81" s="29" t="str">
        <f t="shared" si="16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8"/>
        <v/>
      </c>
      <c r="M82" s="19" t="str">
        <f t="shared" si="9"/>
        <v/>
      </c>
      <c r="N82" s="19" t="str">
        <f t="shared" si="10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5"/>
        <v/>
      </c>
      <c r="S82" s="27" t="str">
        <f t="shared" si="16"/>
        <v/>
      </c>
      <c r="T82" s="28" t="str">
        <f t="shared" si="16"/>
        <v/>
      </c>
      <c r="U82" s="28" t="str">
        <f t="shared" si="16"/>
        <v/>
      </c>
      <c r="V82" s="28" t="str">
        <f t="shared" si="16"/>
        <v/>
      </c>
      <c r="W82" s="28" t="str">
        <f t="shared" si="16"/>
        <v/>
      </c>
      <c r="X82" s="29" t="str">
        <f t="shared" si="16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8"/>
        <v/>
      </c>
      <c r="M83" s="19" t="str">
        <f t="shared" si="9"/>
        <v/>
      </c>
      <c r="N83" s="19" t="str">
        <f t="shared" si="10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5"/>
        <v/>
      </c>
      <c r="S83" s="27" t="str">
        <f t="shared" si="16"/>
        <v/>
      </c>
      <c r="T83" s="28" t="str">
        <f t="shared" si="16"/>
        <v/>
      </c>
      <c r="U83" s="28" t="str">
        <f t="shared" si="16"/>
        <v/>
      </c>
      <c r="V83" s="28" t="str">
        <f t="shared" si="16"/>
        <v/>
      </c>
      <c r="W83" s="28" t="str">
        <f t="shared" si="16"/>
        <v/>
      </c>
      <c r="X83" s="29" t="str">
        <f t="shared" si="16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8"/>
        <v/>
      </c>
      <c r="M84" s="19" t="str">
        <f t="shared" si="9"/>
        <v/>
      </c>
      <c r="N84" s="19" t="str">
        <f t="shared" si="10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5"/>
        <v/>
      </c>
      <c r="S84" s="27" t="str">
        <f t="shared" si="16"/>
        <v/>
      </c>
      <c r="T84" s="28" t="str">
        <f t="shared" si="16"/>
        <v/>
      </c>
      <c r="U84" s="28" t="str">
        <f t="shared" si="16"/>
        <v/>
      </c>
      <c r="V84" s="28" t="str">
        <f t="shared" si="16"/>
        <v/>
      </c>
      <c r="W84" s="28" t="str">
        <f t="shared" si="16"/>
        <v/>
      </c>
      <c r="X84" s="29" t="str">
        <f t="shared" si="16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8"/>
        <v/>
      </c>
      <c r="M85" s="19" t="str">
        <f t="shared" si="9"/>
        <v/>
      </c>
      <c r="N85" s="19" t="str">
        <f t="shared" si="10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5"/>
        <v/>
      </c>
      <c r="S85" s="27" t="str">
        <f t="shared" si="16"/>
        <v/>
      </c>
      <c r="T85" s="28" t="str">
        <f t="shared" si="16"/>
        <v/>
      </c>
      <c r="U85" s="28" t="str">
        <f t="shared" si="16"/>
        <v/>
      </c>
      <c r="V85" s="28" t="str">
        <f t="shared" si="16"/>
        <v/>
      </c>
      <c r="W85" s="28" t="str">
        <f t="shared" si="16"/>
        <v/>
      </c>
      <c r="X85" s="29" t="str">
        <f t="shared" si="16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8"/>
        <v/>
      </c>
      <c r="M86" s="19" t="str">
        <f t="shared" si="9"/>
        <v/>
      </c>
      <c r="N86" s="19" t="str">
        <f t="shared" si="10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5"/>
        <v/>
      </c>
      <c r="S86" s="27" t="str">
        <f t="shared" si="16"/>
        <v/>
      </c>
      <c r="T86" s="28" t="str">
        <f t="shared" si="16"/>
        <v/>
      </c>
      <c r="U86" s="28" t="str">
        <f t="shared" si="16"/>
        <v/>
      </c>
      <c r="V86" s="28" t="str">
        <f t="shared" si="16"/>
        <v/>
      </c>
      <c r="W86" s="28" t="str">
        <f t="shared" si="16"/>
        <v/>
      </c>
      <c r="X86" s="29" t="str">
        <f t="shared" si="16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8"/>
        <v/>
      </c>
      <c r="M87" s="19" t="str">
        <f t="shared" si="9"/>
        <v/>
      </c>
      <c r="N87" s="19" t="str">
        <f t="shared" si="10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5"/>
        <v/>
      </c>
      <c r="S87" s="27" t="str">
        <f t="shared" si="16"/>
        <v/>
      </c>
      <c r="T87" s="28" t="str">
        <f t="shared" si="16"/>
        <v/>
      </c>
      <c r="U87" s="28" t="str">
        <f t="shared" si="16"/>
        <v/>
      </c>
      <c r="V87" s="28" t="str">
        <f t="shared" si="16"/>
        <v/>
      </c>
      <c r="W87" s="28" t="str">
        <f t="shared" si="16"/>
        <v/>
      </c>
      <c r="X87" s="29" t="str">
        <f t="shared" si="16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8"/>
        <v/>
      </c>
      <c r="M88" s="19" t="str">
        <f t="shared" si="9"/>
        <v/>
      </c>
      <c r="N88" s="19" t="str">
        <f t="shared" si="10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5"/>
        <v/>
      </c>
      <c r="S88" s="27" t="str">
        <f t="shared" si="16"/>
        <v/>
      </c>
      <c r="T88" s="28" t="str">
        <f t="shared" si="16"/>
        <v/>
      </c>
      <c r="U88" s="28" t="str">
        <f t="shared" si="16"/>
        <v/>
      </c>
      <c r="V88" s="28" t="str">
        <f t="shared" si="16"/>
        <v/>
      </c>
      <c r="W88" s="28" t="str">
        <f t="shared" si="16"/>
        <v/>
      </c>
      <c r="X88" s="29" t="str">
        <f t="shared" si="16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8"/>
        <v/>
      </c>
      <c r="M89" s="19" t="str">
        <f t="shared" si="9"/>
        <v/>
      </c>
      <c r="N89" s="19" t="str">
        <f t="shared" si="10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5"/>
        <v/>
      </c>
      <c r="S89" s="27" t="str">
        <f t="shared" si="16"/>
        <v/>
      </c>
      <c r="T89" s="28" t="str">
        <f t="shared" si="16"/>
        <v/>
      </c>
      <c r="U89" s="28" t="str">
        <f t="shared" si="16"/>
        <v/>
      </c>
      <c r="V89" s="28" t="str">
        <f t="shared" si="16"/>
        <v/>
      </c>
      <c r="W89" s="28" t="str">
        <f t="shared" si="16"/>
        <v/>
      </c>
      <c r="X89" s="29" t="str">
        <f t="shared" si="16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8"/>
        <v/>
      </c>
      <c r="M90" s="19" t="str">
        <f t="shared" si="9"/>
        <v/>
      </c>
      <c r="N90" s="19" t="str">
        <f t="shared" si="10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5"/>
        <v/>
      </c>
      <c r="S90" s="27" t="str">
        <f t="shared" si="16"/>
        <v/>
      </c>
      <c r="T90" s="28" t="str">
        <f t="shared" si="16"/>
        <v/>
      </c>
      <c r="U90" s="28" t="str">
        <f t="shared" si="16"/>
        <v/>
      </c>
      <c r="V90" s="28" t="str">
        <f t="shared" si="16"/>
        <v/>
      </c>
      <c r="W90" s="28" t="str">
        <f t="shared" si="16"/>
        <v/>
      </c>
      <c r="X90" s="29" t="str">
        <f t="shared" si="16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8"/>
        <v/>
      </c>
      <c r="M91" s="19" t="str">
        <f t="shared" si="9"/>
        <v/>
      </c>
      <c r="N91" s="19" t="str">
        <f t="shared" si="10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5"/>
        <v/>
      </c>
      <c r="S91" s="27" t="str">
        <f t="shared" si="16"/>
        <v/>
      </c>
      <c r="T91" s="28" t="str">
        <f t="shared" si="16"/>
        <v/>
      </c>
      <c r="U91" s="28" t="str">
        <f t="shared" si="16"/>
        <v/>
      </c>
      <c r="V91" s="28" t="str">
        <f t="shared" si="16"/>
        <v/>
      </c>
      <c r="W91" s="28" t="str">
        <f t="shared" si="16"/>
        <v/>
      </c>
      <c r="X91" s="29" t="str">
        <f t="shared" si="16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8"/>
        <v/>
      </c>
      <c r="M92" s="19" t="str">
        <f t="shared" si="9"/>
        <v/>
      </c>
      <c r="N92" s="19" t="str">
        <f t="shared" si="10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5"/>
        <v/>
      </c>
      <c r="S92" s="27" t="str">
        <f t="shared" si="16"/>
        <v/>
      </c>
      <c r="T92" s="28" t="str">
        <f t="shared" si="16"/>
        <v/>
      </c>
      <c r="U92" s="28" t="str">
        <f t="shared" si="16"/>
        <v/>
      </c>
      <c r="V92" s="28" t="str">
        <f t="shared" si="16"/>
        <v/>
      </c>
      <c r="W92" s="28" t="str">
        <f t="shared" si="16"/>
        <v/>
      </c>
      <c r="X92" s="29" t="str">
        <f t="shared" si="16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8"/>
        <v/>
      </c>
      <c r="M93" s="19" t="str">
        <f t="shared" si="9"/>
        <v/>
      </c>
      <c r="N93" s="19" t="str">
        <f t="shared" si="10"/>
        <v/>
      </c>
      <c r="O93" s="19" t="str">
        <f t="shared" ref="O93:O153" si="17">IF(ISBLANK(F93),"",((F93-F$28)*1000)+L$28)</f>
        <v/>
      </c>
      <c r="P93" s="19" t="str">
        <f t="shared" ref="P93:P153" si="18">IF(ISBLANK(G93),"",((G93-G$28)*1000)+M$28)</f>
        <v/>
      </c>
      <c r="Q93" s="19" t="str">
        <f t="shared" ref="Q93:Q153" si="19">IF(ISBLANK(H93),"",((H93-H$28)*1000)+N$28)</f>
        <v/>
      </c>
      <c r="R93" s="19" t="str">
        <f t="shared" si="15"/>
        <v/>
      </c>
      <c r="S93" s="27" t="str">
        <f t="shared" si="16"/>
        <v/>
      </c>
      <c r="T93" s="28" t="str">
        <f t="shared" si="16"/>
        <v/>
      </c>
      <c r="U93" s="28" t="str">
        <f t="shared" si="16"/>
        <v/>
      </c>
      <c r="V93" s="28" t="str">
        <f t="shared" si="16"/>
        <v/>
      </c>
      <c r="W93" s="28" t="str">
        <f t="shared" si="16"/>
        <v/>
      </c>
      <c r="X93" s="29" t="str">
        <f t="shared" si="16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8"/>
        <v/>
      </c>
      <c r="M94" s="19" t="str">
        <f t="shared" si="9"/>
        <v/>
      </c>
      <c r="N94" s="19" t="str">
        <f t="shared" si="10"/>
        <v/>
      </c>
      <c r="O94" s="19" t="str">
        <f t="shared" si="17"/>
        <v/>
      </c>
      <c r="P94" s="19" t="str">
        <f t="shared" si="18"/>
        <v/>
      </c>
      <c r="Q94" s="19" t="str">
        <f t="shared" si="19"/>
        <v/>
      </c>
      <c r="R94" s="19" t="str">
        <f t="shared" si="15"/>
        <v/>
      </c>
      <c r="S94" s="27" t="str">
        <f t="shared" si="16"/>
        <v/>
      </c>
      <c r="T94" s="28" t="str">
        <f t="shared" si="16"/>
        <v/>
      </c>
      <c r="U94" s="28" t="str">
        <f t="shared" si="16"/>
        <v/>
      </c>
      <c r="V94" s="28" t="str">
        <f t="shared" si="16"/>
        <v/>
      </c>
      <c r="W94" s="28" t="str">
        <f t="shared" si="16"/>
        <v/>
      </c>
      <c r="X94" s="29" t="str">
        <f t="shared" si="16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53" si="20">IF(ISBLANK(C95),"",((C95-C$30)*1000)+L$29)</f>
        <v/>
      </c>
      <c r="M95" s="19" t="str">
        <f t="shared" ref="M95:M153" si="21">IF(ISBLANK(D95),"",((D95-D$30)*1000)+M$29)</f>
        <v/>
      </c>
      <c r="N95" s="19" t="str">
        <f t="shared" ref="N95:N153" si="22">IF(ISBLANK(E95),"",((E95-E$30)*1000)+N$29)</f>
        <v/>
      </c>
      <c r="O95" s="19" t="str">
        <f t="shared" si="17"/>
        <v/>
      </c>
      <c r="P95" s="19" t="str">
        <f t="shared" si="18"/>
        <v/>
      </c>
      <c r="Q95" s="19" t="str">
        <f t="shared" si="19"/>
        <v/>
      </c>
      <c r="R95" s="19" t="str">
        <f t="shared" si="15"/>
        <v/>
      </c>
      <c r="S95" s="27" t="str">
        <f t="shared" si="16"/>
        <v/>
      </c>
      <c r="T95" s="28" t="str">
        <f t="shared" si="16"/>
        <v/>
      </c>
      <c r="U95" s="28" t="str">
        <f t="shared" si="16"/>
        <v/>
      </c>
      <c r="V95" s="28" t="str">
        <f t="shared" si="16"/>
        <v/>
      </c>
      <c r="W95" s="28" t="str">
        <f t="shared" si="16"/>
        <v/>
      </c>
      <c r="X95" s="29" t="str">
        <f t="shared" si="16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0"/>
        <v/>
      </c>
      <c r="M96" s="19" t="str">
        <f t="shared" si="21"/>
        <v/>
      </c>
      <c r="N96" s="19" t="str">
        <f t="shared" si="22"/>
        <v/>
      </c>
      <c r="O96" s="19" t="str">
        <f t="shared" si="17"/>
        <v/>
      </c>
      <c r="P96" s="19" t="str">
        <f t="shared" si="18"/>
        <v/>
      </c>
      <c r="Q96" s="19" t="str">
        <f t="shared" si="19"/>
        <v/>
      </c>
      <c r="R96" s="19" t="str">
        <f t="shared" si="15"/>
        <v/>
      </c>
      <c r="S96" s="27" t="str">
        <f t="shared" si="16"/>
        <v/>
      </c>
      <c r="T96" s="28" t="str">
        <f t="shared" si="16"/>
        <v/>
      </c>
      <c r="U96" s="28" t="str">
        <f t="shared" si="16"/>
        <v/>
      </c>
      <c r="V96" s="28" t="str">
        <f t="shared" si="16"/>
        <v/>
      </c>
      <c r="W96" s="28" t="str">
        <f t="shared" si="16"/>
        <v/>
      </c>
      <c r="X96" s="29" t="str">
        <f t="shared" si="16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0"/>
        <v/>
      </c>
      <c r="M97" s="19" t="str">
        <f t="shared" si="21"/>
        <v/>
      </c>
      <c r="N97" s="19" t="str">
        <f t="shared" si="22"/>
        <v/>
      </c>
      <c r="O97" s="19" t="str">
        <f t="shared" si="17"/>
        <v/>
      </c>
      <c r="P97" s="19" t="str">
        <f t="shared" si="18"/>
        <v/>
      </c>
      <c r="Q97" s="19" t="str">
        <f t="shared" si="19"/>
        <v/>
      </c>
      <c r="R97" s="19" t="str">
        <f t="shared" si="15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0"/>
        <v/>
      </c>
      <c r="M98" s="19" t="str">
        <f t="shared" si="21"/>
        <v/>
      </c>
      <c r="N98" s="19" t="str">
        <f t="shared" si="22"/>
        <v/>
      </c>
      <c r="O98" s="19" t="str">
        <f t="shared" si="17"/>
        <v/>
      </c>
      <c r="P98" s="19" t="str">
        <f t="shared" si="18"/>
        <v/>
      </c>
      <c r="Q98" s="19" t="str">
        <f t="shared" si="19"/>
        <v/>
      </c>
      <c r="R98" s="19" t="str">
        <f t="shared" si="15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0"/>
        <v/>
      </c>
      <c r="M99" s="19" t="str">
        <f t="shared" si="21"/>
        <v/>
      </c>
      <c r="N99" s="19" t="str">
        <f t="shared" si="22"/>
        <v/>
      </c>
      <c r="O99" s="19" t="str">
        <f t="shared" si="17"/>
        <v/>
      </c>
      <c r="P99" s="19" t="str">
        <f t="shared" si="18"/>
        <v/>
      </c>
      <c r="Q99" s="19" t="str">
        <f t="shared" si="19"/>
        <v/>
      </c>
      <c r="R99" s="19" t="str">
        <f t="shared" si="15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0"/>
        <v/>
      </c>
      <c r="M100" s="19" t="str">
        <f t="shared" si="21"/>
        <v/>
      </c>
      <c r="N100" s="19" t="str">
        <f t="shared" si="22"/>
        <v/>
      </c>
      <c r="O100" s="19" t="str">
        <f t="shared" si="17"/>
        <v/>
      </c>
      <c r="P100" s="19" t="str">
        <f t="shared" si="18"/>
        <v/>
      </c>
      <c r="Q100" s="19" t="str">
        <f t="shared" si="19"/>
        <v/>
      </c>
      <c r="R100" s="19" t="str">
        <f t="shared" si="15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0"/>
        <v/>
      </c>
      <c r="M101" s="19" t="str">
        <f t="shared" si="21"/>
        <v/>
      </c>
      <c r="N101" s="19" t="str">
        <f t="shared" si="22"/>
        <v/>
      </c>
      <c r="O101" s="19" t="str">
        <f t="shared" si="17"/>
        <v/>
      </c>
      <c r="P101" s="19" t="str">
        <f t="shared" si="18"/>
        <v/>
      </c>
      <c r="Q101" s="19" t="str">
        <f t="shared" si="19"/>
        <v/>
      </c>
      <c r="R101" s="19" t="str">
        <f t="shared" si="15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0"/>
        <v/>
      </c>
      <c r="M102" s="19" t="str">
        <f t="shared" si="21"/>
        <v/>
      </c>
      <c r="N102" s="19" t="str">
        <f t="shared" si="22"/>
        <v/>
      </c>
      <c r="O102" s="19" t="str">
        <f t="shared" si="17"/>
        <v/>
      </c>
      <c r="P102" s="19" t="str">
        <f t="shared" si="18"/>
        <v/>
      </c>
      <c r="Q102" s="19" t="str">
        <f t="shared" si="19"/>
        <v/>
      </c>
      <c r="R102" s="19" t="str">
        <f t="shared" si="15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0"/>
        <v/>
      </c>
      <c r="M103" s="19" t="str">
        <f t="shared" si="21"/>
        <v/>
      </c>
      <c r="N103" s="19" t="str">
        <f t="shared" si="22"/>
        <v/>
      </c>
      <c r="O103" s="19" t="str">
        <f t="shared" si="17"/>
        <v/>
      </c>
      <c r="P103" s="19" t="str">
        <f t="shared" si="18"/>
        <v/>
      </c>
      <c r="Q103" s="19" t="str">
        <f t="shared" si="19"/>
        <v/>
      </c>
      <c r="R103" s="19" t="str">
        <f t="shared" si="15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0"/>
        <v/>
      </c>
      <c r="M104" s="19" t="str">
        <f t="shared" si="21"/>
        <v/>
      </c>
      <c r="N104" s="19" t="str">
        <f t="shared" si="22"/>
        <v/>
      </c>
      <c r="O104" s="19" t="str">
        <f t="shared" si="17"/>
        <v/>
      </c>
      <c r="P104" s="19" t="str">
        <f t="shared" si="18"/>
        <v/>
      </c>
      <c r="Q104" s="19" t="str">
        <f t="shared" si="19"/>
        <v/>
      </c>
      <c r="R104" s="19" t="str">
        <f t="shared" si="15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0"/>
        <v/>
      </c>
      <c r="M105" s="19" t="str">
        <f t="shared" si="21"/>
        <v/>
      </c>
      <c r="N105" s="19" t="str">
        <f t="shared" si="22"/>
        <v/>
      </c>
      <c r="O105" s="19" t="str">
        <f t="shared" si="17"/>
        <v/>
      </c>
      <c r="P105" s="19" t="str">
        <f t="shared" si="18"/>
        <v/>
      </c>
      <c r="Q105" s="19" t="str">
        <f t="shared" si="19"/>
        <v/>
      </c>
      <c r="R105" s="19" t="str">
        <f t="shared" si="15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0"/>
        <v/>
      </c>
      <c r="M106" s="19" t="str">
        <f t="shared" si="21"/>
        <v/>
      </c>
      <c r="N106" s="19" t="str">
        <f t="shared" si="22"/>
        <v/>
      </c>
      <c r="O106" s="19" t="str">
        <f t="shared" si="17"/>
        <v/>
      </c>
      <c r="P106" s="19" t="str">
        <f t="shared" si="18"/>
        <v/>
      </c>
      <c r="Q106" s="19" t="str">
        <f t="shared" si="19"/>
        <v/>
      </c>
      <c r="R106" s="19" t="str">
        <f t="shared" si="15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0"/>
        <v/>
      </c>
      <c r="M107" s="19" t="str">
        <f t="shared" si="21"/>
        <v/>
      </c>
      <c r="N107" s="19" t="str">
        <f t="shared" si="22"/>
        <v/>
      </c>
      <c r="O107" s="19" t="str">
        <f t="shared" si="17"/>
        <v/>
      </c>
      <c r="P107" s="19" t="str">
        <f t="shared" si="18"/>
        <v/>
      </c>
      <c r="Q107" s="19" t="str">
        <f t="shared" si="19"/>
        <v/>
      </c>
      <c r="R107" s="19" t="str">
        <f t="shared" si="15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0"/>
        <v/>
      </c>
      <c r="M108" s="19" t="str">
        <f t="shared" si="21"/>
        <v/>
      </c>
      <c r="N108" s="19" t="str">
        <f t="shared" si="22"/>
        <v/>
      </c>
      <c r="O108" s="19" t="str">
        <f t="shared" si="17"/>
        <v/>
      </c>
      <c r="P108" s="19" t="str">
        <f t="shared" si="18"/>
        <v/>
      </c>
      <c r="Q108" s="19" t="str">
        <f t="shared" si="19"/>
        <v/>
      </c>
      <c r="R108" s="19" t="str">
        <f t="shared" si="15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0"/>
        <v/>
      </c>
      <c r="M109" s="19" t="str">
        <f t="shared" si="21"/>
        <v/>
      </c>
      <c r="N109" s="19" t="str">
        <f t="shared" si="22"/>
        <v/>
      </c>
      <c r="O109" s="19" t="str">
        <f t="shared" si="17"/>
        <v/>
      </c>
      <c r="P109" s="19" t="str">
        <f t="shared" si="18"/>
        <v/>
      </c>
      <c r="Q109" s="19" t="str">
        <f t="shared" si="19"/>
        <v/>
      </c>
      <c r="R109" s="19" t="str">
        <f t="shared" si="15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0"/>
        <v/>
      </c>
      <c r="M110" s="19" t="str">
        <f t="shared" si="21"/>
        <v/>
      </c>
      <c r="N110" s="19" t="str">
        <f t="shared" si="22"/>
        <v/>
      </c>
      <c r="O110" s="19" t="str">
        <f t="shared" si="17"/>
        <v/>
      </c>
      <c r="P110" s="19" t="str">
        <f t="shared" si="18"/>
        <v/>
      </c>
      <c r="Q110" s="19" t="str">
        <f t="shared" si="19"/>
        <v/>
      </c>
      <c r="R110" s="19" t="str">
        <f t="shared" si="15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0"/>
        <v/>
      </c>
      <c r="M111" s="19" t="str">
        <f t="shared" si="21"/>
        <v/>
      </c>
      <c r="N111" s="19" t="str">
        <f t="shared" si="22"/>
        <v/>
      </c>
      <c r="O111" s="19" t="str">
        <f t="shared" si="17"/>
        <v/>
      </c>
      <c r="P111" s="19" t="str">
        <f t="shared" si="18"/>
        <v/>
      </c>
      <c r="Q111" s="19" t="str">
        <f t="shared" si="19"/>
        <v/>
      </c>
      <c r="R111" s="19" t="str">
        <f t="shared" si="15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0"/>
        <v/>
      </c>
      <c r="M112" s="19" t="str">
        <f t="shared" si="21"/>
        <v/>
      </c>
      <c r="N112" s="19" t="str">
        <f t="shared" si="22"/>
        <v/>
      </c>
      <c r="O112" s="19" t="str">
        <f t="shared" si="17"/>
        <v/>
      </c>
      <c r="P112" s="19" t="str">
        <f t="shared" si="18"/>
        <v/>
      </c>
      <c r="Q112" s="19" t="str">
        <f t="shared" si="19"/>
        <v/>
      </c>
      <c r="R112" s="19" t="str">
        <f t="shared" ref="R112:R143" si="24">IF(ISBLANK(I112),"",(I112-I$16)*1000)</f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0"/>
        <v/>
      </c>
      <c r="M113" s="19" t="str">
        <f t="shared" si="21"/>
        <v/>
      </c>
      <c r="N113" s="19" t="str">
        <f t="shared" si="22"/>
        <v/>
      </c>
      <c r="O113" s="19" t="str">
        <f t="shared" si="17"/>
        <v/>
      </c>
      <c r="P113" s="19" t="str">
        <f t="shared" si="18"/>
        <v/>
      </c>
      <c r="Q113" s="19" t="str">
        <f t="shared" si="19"/>
        <v/>
      </c>
      <c r="R113" s="19" t="str">
        <f t="shared" si="24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0"/>
        <v/>
      </c>
      <c r="M114" s="19" t="str">
        <f t="shared" si="21"/>
        <v/>
      </c>
      <c r="N114" s="19" t="str">
        <f t="shared" si="22"/>
        <v/>
      </c>
      <c r="O114" s="19" t="str">
        <f t="shared" si="17"/>
        <v/>
      </c>
      <c r="P114" s="19" t="str">
        <f t="shared" si="18"/>
        <v/>
      </c>
      <c r="Q114" s="19" t="str">
        <f t="shared" si="19"/>
        <v/>
      </c>
      <c r="R114" s="19" t="str">
        <f t="shared" si="24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0"/>
        <v/>
      </c>
      <c r="M115" s="19" t="str">
        <f t="shared" si="21"/>
        <v/>
      </c>
      <c r="N115" s="19" t="str">
        <f t="shared" si="22"/>
        <v/>
      </c>
      <c r="O115" s="19" t="str">
        <f t="shared" si="17"/>
        <v/>
      </c>
      <c r="P115" s="19" t="str">
        <f t="shared" si="18"/>
        <v/>
      </c>
      <c r="Q115" s="19" t="str">
        <f t="shared" si="19"/>
        <v/>
      </c>
      <c r="R115" s="19" t="str">
        <f t="shared" si="24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0"/>
        <v/>
      </c>
      <c r="M116" s="19" t="str">
        <f t="shared" si="21"/>
        <v/>
      </c>
      <c r="N116" s="19" t="str">
        <f t="shared" si="22"/>
        <v/>
      </c>
      <c r="O116" s="19" t="str">
        <f t="shared" si="17"/>
        <v/>
      </c>
      <c r="P116" s="19" t="str">
        <f t="shared" si="18"/>
        <v/>
      </c>
      <c r="Q116" s="19" t="str">
        <f t="shared" si="19"/>
        <v/>
      </c>
      <c r="R116" s="19" t="str">
        <f t="shared" si="24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0"/>
        <v/>
      </c>
      <c r="M117" s="19" t="str">
        <f t="shared" si="21"/>
        <v/>
      </c>
      <c r="N117" s="19" t="str">
        <f t="shared" si="22"/>
        <v/>
      </c>
      <c r="O117" s="19" t="str">
        <f t="shared" si="17"/>
        <v/>
      </c>
      <c r="P117" s="19" t="str">
        <f t="shared" si="18"/>
        <v/>
      </c>
      <c r="Q117" s="19" t="str">
        <f t="shared" si="19"/>
        <v/>
      </c>
      <c r="R117" s="19" t="str">
        <f t="shared" si="24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20"/>
        <v/>
      </c>
      <c r="M118" s="19" t="str">
        <f t="shared" si="21"/>
        <v/>
      </c>
      <c r="N118" s="19" t="str">
        <f t="shared" si="22"/>
        <v/>
      </c>
      <c r="O118" s="19" t="str">
        <f t="shared" si="17"/>
        <v/>
      </c>
      <c r="P118" s="19" t="str">
        <f t="shared" si="18"/>
        <v/>
      </c>
      <c r="Q118" s="19" t="str">
        <f t="shared" si="19"/>
        <v/>
      </c>
      <c r="R118" s="19" t="str">
        <f t="shared" si="24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0"/>
        <v/>
      </c>
      <c r="M119" s="19" t="str">
        <f t="shared" si="21"/>
        <v/>
      </c>
      <c r="N119" s="19" t="str">
        <f t="shared" si="22"/>
        <v/>
      </c>
      <c r="O119" s="19" t="str">
        <f t="shared" si="17"/>
        <v/>
      </c>
      <c r="P119" s="19" t="str">
        <f t="shared" si="18"/>
        <v/>
      </c>
      <c r="Q119" s="19" t="str">
        <f t="shared" si="19"/>
        <v/>
      </c>
      <c r="R119" s="19" t="str">
        <f t="shared" si="24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0"/>
        <v/>
      </c>
      <c r="M120" s="19" t="str">
        <f t="shared" si="21"/>
        <v/>
      </c>
      <c r="N120" s="19" t="str">
        <f t="shared" si="22"/>
        <v/>
      </c>
      <c r="O120" s="19" t="str">
        <f t="shared" si="17"/>
        <v/>
      </c>
      <c r="P120" s="19" t="str">
        <f t="shared" si="18"/>
        <v/>
      </c>
      <c r="Q120" s="19" t="str">
        <f t="shared" si="19"/>
        <v/>
      </c>
      <c r="R120" s="19" t="str">
        <f t="shared" si="24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0"/>
        <v/>
      </c>
      <c r="M121" s="19" t="str">
        <f t="shared" si="21"/>
        <v/>
      </c>
      <c r="N121" s="19" t="str">
        <f t="shared" si="22"/>
        <v/>
      </c>
      <c r="O121" s="19" t="str">
        <f t="shared" si="17"/>
        <v/>
      </c>
      <c r="P121" s="19" t="str">
        <f t="shared" si="18"/>
        <v/>
      </c>
      <c r="Q121" s="19" t="str">
        <f t="shared" si="19"/>
        <v/>
      </c>
      <c r="R121" s="19" t="str">
        <f t="shared" si="24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0"/>
        <v/>
      </c>
      <c r="M122" s="19" t="str">
        <f t="shared" si="21"/>
        <v/>
      </c>
      <c r="N122" s="19" t="str">
        <f t="shared" si="22"/>
        <v/>
      </c>
      <c r="O122" s="19" t="str">
        <f t="shared" si="17"/>
        <v/>
      </c>
      <c r="P122" s="19" t="str">
        <f t="shared" si="18"/>
        <v/>
      </c>
      <c r="Q122" s="19" t="str">
        <f t="shared" si="19"/>
        <v/>
      </c>
      <c r="R122" s="19" t="str">
        <f t="shared" si="24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0"/>
        <v/>
      </c>
      <c r="M123" s="19" t="str">
        <f t="shared" si="21"/>
        <v/>
      </c>
      <c r="N123" s="19" t="str">
        <f t="shared" si="22"/>
        <v/>
      </c>
      <c r="O123" s="19" t="str">
        <f t="shared" si="17"/>
        <v/>
      </c>
      <c r="P123" s="19" t="str">
        <f t="shared" si="18"/>
        <v/>
      </c>
      <c r="Q123" s="19" t="str">
        <f t="shared" si="19"/>
        <v/>
      </c>
      <c r="R123" s="19" t="str">
        <f t="shared" si="24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0"/>
        <v/>
      </c>
      <c r="M124" s="19" t="str">
        <f t="shared" si="21"/>
        <v/>
      </c>
      <c r="N124" s="19" t="str">
        <f t="shared" si="22"/>
        <v/>
      </c>
      <c r="O124" s="19" t="str">
        <f t="shared" si="17"/>
        <v/>
      </c>
      <c r="P124" s="19" t="str">
        <f t="shared" si="18"/>
        <v/>
      </c>
      <c r="Q124" s="19" t="str">
        <f t="shared" si="19"/>
        <v/>
      </c>
      <c r="R124" s="19" t="str">
        <f t="shared" si="24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0"/>
        <v/>
      </c>
      <c r="M125" s="19" t="str">
        <f t="shared" si="21"/>
        <v/>
      </c>
      <c r="N125" s="19" t="str">
        <f t="shared" si="22"/>
        <v/>
      </c>
      <c r="O125" s="19" t="str">
        <f t="shared" si="17"/>
        <v/>
      </c>
      <c r="P125" s="19" t="str">
        <f t="shared" si="18"/>
        <v/>
      </c>
      <c r="Q125" s="19" t="str">
        <f t="shared" si="19"/>
        <v/>
      </c>
      <c r="R125" s="19" t="str">
        <f t="shared" si="24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0"/>
        <v/>
      </c>
      <c r="M126" s="19" t="str">
        <f t="shared" si="21"/>
        <v/>
      </c>
      <c r="N126" s="19" t="str">
        <f t="shared" si="22"/>
        <v/>
      </c>
      <c r="O126" s="19" t="str">
        <f t="shared" si="17"/>
        <v/>
      </c>
      <c r="P126" s="19" t="str">
        <f t="shared" si="18"/>
        <v/>
      </c>
      <c r="Q126" s="19" t="str">
        <f t="shared" si="19"/>
        <v/>
      </c>
      <c r="R126" s="19" t="str">
        <f t="shared" si="24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0"/>
        <v/>
      </c>
      <c r="M127" s="19" t="str">
        <f t="shared" si="21"/>
        <v/>
      </c>
      <c r="N127" s="19" t="str">
        <f t="shared" si="22"/>
        <v/>
      </c>
      <c r="O127" s="19" t="str">
        <f t="shared" si="17"/>
        <v/>
      </c>
      <c r="P127" s="19" t="str">
        <f t="shared" si="18"/>
        <v/>
      </c>
      <c r="Q127" s="19" t="str">
        <f t="shared" si="19"/>
        <v/>
      </c>
      <c r="R127" s="19" t="str">
        <f t="shared" si="24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0"/>
        <v/>
      </c>
      <c r="M128" s="19" t="str">
        <f t="shared" si="21"/>
        <v/>
      </c>
      <c r="N128" s="19" t="str">
        <f t="shared" si="22"/>
        <v/>
      </c>
      <c r="O128" s="19" t="str">
        <f t="shared" si="17"/>
        <v/>
      </c>
      <c r="P128" s="19" t="str">
        <f t="shared" si="18"/>
        <v/>
      </c>
      <c r="Q128" s="19" t="str">
        <f t="shared" si="19"/>
        <v/>
      </c>
      <c r="R128" s="19" t="str">
        <f t="shared" si="24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0"/>
        <v/>
      </c>
      <c r="M129" s="19" t="str">
        <f t="shared" si="21"/>
        <v/>
      </c>
      <c r="N129" s="19" t="str">
        <f t="shared" si="22"/>
        <v/>
      </c>
      <c r="O129" s="19" t="str">
        <f t="shared" si="17"/>
        <v/>
      </c>
      <c r="P129" s="19" t="str">
        <f t="shared" si="18"/>
        <v/>
      </c>
      <c r="Q129" s="19" t="str">
        <f t="shared" si="19"/>
        <v/>
      </c>
      <c r="R129" s="19" t="str">
        <f t="shared" si="24"/>
        <v/>
      </c>
      <c r="S129" s="27" t="str">
        <f t="shared" ref="S129:X144" si="26">IF(C129="","",((C129-C128)*1000)/($B129-$B128))</f>
        <v/>
      </c>
      <c r="T129" s="28" t="str">
        <f t="shared" si="26"/>
        <v/>
      </c>
      <c r="U129" s="28" t="str">
        <f t="shared" si="26"/>
        <v/>
      </c>
      <c r="V129" s="28" t="str">
        <f t="shared" si="26"/>
        <v/>
      </c>
      <c r="W129" s="28" t="str">
        <f t="shared" si="26"/>
        <v/>
      </c>
      <c r="X129" s="29" t="str">
        <f t="shared" si="26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0"/>
        <v/>
      </c>
      <c r="M130" s="19" t="str">
        <f t="shared" si="21"/>
        <v/>
      </c>
      <c r="N130" s="19" t="str">
        <f t="shared" si="22"/>
        <v/>
      </c>
      <c r="O130" s="19" t="str">
        <f t="shared" si="17"/>
        <v/>
      </c>
      <c r="P130" s="19" t="str">
        <f t="shared" si="18"/>
        <v/>
      </c>
      <c r="Q130" s="19" t="str">
        <f t="shared" si="19"/>
        <v/>
      </c>
      <c r="R130" s="19" t="str">
        <f t="shared" si="24"/>
        <v/>
      </c>
      <c r="S130" s="27" t="str">
        <f t="shared" si="26"/>
        <v/>
      </c>
      <c r="T130" s="28" t="str">
        <f t="shared" si="26"/>
        <v/>
      </c>
      <c r="U130" s="28" t="str">
        <f t="shared" si="26"/>
        <v/>
      </c>
      <c r="V130" s="28" t="str">
        <f t="shared" si="26"/>
        <v/>
      </c>
      <c r="W130" s="28" t="str">
        <f t="shared" si="26"/>
        <v/>
      </c>
      <c r="X130" s="29" t="str">
        <f t="shared" si="26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0"/>
        <v/>
      </c>
      <c r="M131" s="19" t="str">
        <f t="shared" si="21"/>
        <v/>
      </c>
      <c r="N131" s="19" t="str">
        <f t="shared" si="22"/>
        <v/>
      </c>
      <c r="O131" s="19" t="str">
        <f t="shared" si="17"/>
        <v/>
      </c>
      <c r="P131" s="19" t="str">
        <f t="shared" si="18"/>
        <v/>
      </c>
      <c r="Q131" s="19" t="str">
        <f t="shared" si="19"/>
        <v/>
      </c>
      <c r="R131" s="19" t="str">
        <f t="shared" si="24"/>
        <v/>
      </c>
      <c r="S131" s="27" t="str">
        <f t="shared" si="26"/>
        <v/>
      </c>
      <c r="T131" s="28" t="str">
        <f t="shared" si="26"/>
        <v/>
      </c>
      <c r="U131" s="28" t="str">
        <f t="shared" si="26"/>
        <v/>
      </c>
      <c r="V131" s="28" t="str">
        <f t="shared" si="26"/>
        <v/>
      </c>
      <c r="W131" s="28" t="str">
        <f t="shared" si="26"/>
        <v/>
      </c>
      <c r="X131" s="29" t="str">
        <f t="shared" si="26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0"/>
        <v/>
      </c>
      <c r="M132" s="19" t="str">
        <f t="shared" si="21"/>
        <v/>
      </c>
      <c r="N132" s="19" t="str">
        <f t="shared" si="22"/>
        <v/>
      </c>
      <c r="O132" s="19" t="str">
        <f t="shared" si="17"/>
        <v/>
      </c>
      <c r="P132" s="19" t="str">
        <f t="shared" si="18"/>
        <v/>
      </c>
      <c r="Q132" s="19" t="str">
        <f t="shared" si="19"/>
        <v/>
      </c>
      <c r="R132" s="19" t="str">
        <f t="shared" si="24"/>
        <v/>
      </c>
      <c r="S132" s="27" t="str">
        <f t="shared" si="26"/>
        <v/>
      </c>
      <c r="T132" s="28" t="str">
        <f t="shared" si="26"/>
        <v/>
      </c>
      <c r="U132" s="28" t="str">
        <f t="shared" si="26"/>
        <v/>
      </c>
      <c r="V132" s="28" t="str">
        <f t="shared" si="26"/>
        <v/>
      </c>
      <c r="W132" s="28" t="str">
        <f t="shared" si="26"/>
        <v/>
      </c>
      <c r="X132" s="29" t="str">
        <f t="shared" si="26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0"/>
        <v/>
      </c>
      <c r="M133" s="19" t="str">
        <f t="shared" si="21"/>
        <v/>
      </c>
      <c r="N133" s="19" t="str">
        <f t="shared" si="22"/>
        <v/>
      </c>
      <c r="O133" s="19" t="str">
        <f t="shared" si="17"/>
        <v/>
      </c>
      <c r="P133" s="19" t="str">
        <f t="shared" si="18"/>
        <v/>
      </c>
      <c r="Q133" s="19" t="str">
        <f t="shared" si="19"/>
        <v/>
      </c>
      <c r="R133" s="19" t="str">
        <f t="shared" si="24"/>
        <v/>
      </c>
      <c r="S133" s="27" t="str">
        <f t="shared" si="26"/>
        <v/>
      </c>
      <c r="T133" s="28" t="str">
        <f t="shared" si="26"/>
        <v/>
      </c>
      <c r="U133" s="28" t="str">
        <f t="shared" si="26"/>
        <v/>
      </c>
      <c r="V133" s="28" t="str">
        <f t="shared" si="26"/>
        <v/>
      </c>
      <c r="W133" s="28" t="str">
        <f t="shared" si="26"/>
        <v/>
      </c>
      <c r="X133" s="29" t="str">
        <f t="shared" si="26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0"/>
        <v/>
      </c>
      <c r="M134" s="19" t="str">
        <f t="shared" si="21"/>
        <v/>
      </c>
      <c r="N134" s="19" t="str">
        <f t="shared" si="22"/>
        <v/>
      </c>
      <c r="O134" s="19" t="str">
        <f t="shared" si="17"/>
        <v/>
      </c>
      <c r="P134" s="19" t="str">
        <f t="shared" si="18"/>
        <v/>
      </c>
      <c r="Q134" s="19" t="str">
        <f t="shared" si="19"/>
        <v/>
      </c>
      <c r="R134" s="19" t="str">
        <f t="shared" si="24"/>
        <v/>
      </c>
      <c r="S134" s="27" t="str">
        <f t="shared" si="26"/>
        <v/>
      </c>
      <c r="T134" s="28" t="str">
        <f t="shared" si="26"/>
        <v/>
      </c>
      <c r="U134" s="28" t="str">
        <f t="shared" si="26"/>
        <v/>
      </c>
      <c r="V134" s="28" t="str">
        <f t="shared" si="26"/>
        <v/>
      </c>
      <c r="W134" s="28" t="str">
        <f t="shared" si="26"/>
        <v/>
      </c>
      <c r="X134" s="29" t="str">
        <f t="shared" si="26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0"/>
        <v/>
      </c>
      <c r="M135" s="19" t="str">
        <f t="shared" si="21"/>
        <v/>
      </c>
      <c r="N135" s="19" t="str">
        <f t="shared" si="22"/>
        <v/>
      </c>
      <c r="O135" s="19" t="str">
        <f t="shared" si="17"/>
        <v/>
      </c>
      <c r="P135" s="19" t="str">
        <f t="shared" si="18"/>
        <v/>
      </c>
      <c r="Q135" s="19" t="str">
        <f t="shared" si="19"/>
        <v/>
      </c>
      <c r="R135" s="19" t="str">
        <f t="shared" si="24"/>
        <v/>
      </c>
      <c r="S135" s="27" t="str">
        <f t="shared" si="26"/>
        <v/>
      </c>
      <c r="T135" s="28" t="str">
        <f t="shared" si="26"/>
        <v/>
      </c>
      <c r="U135" s="28" t="str">
        <f t="shared" si="26"/>
        <v/>
      </c>
      <c r="V135" s="28" t="str">
        <f t="shared" si="26"/>
        <v/>
      </c>
      <c r="W135" s="28" t="str">
        <f t="shared" si="26"/>
        <v/>
      </c>
      <c r="X135" s="29" t="str">
        <f t="shared" si="26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0"/>
        <v/>
      </c>
      <c r="M136" s="19" t="str">
        <f t="shared" si="21"/>
        <v/>
      </c>
      <c r="N136" s="19" t="str">
        <f t="shared" si="22"/>
        <v/>
      </c>
      <c r="O136" s="19" t="str">
        <f t="shared" si="17"/>
        <v/>
      </c>
      <c r="P136" s="19" t="str">
        <f t="shared" si="18"/>
        <v/>
      </c>
      <c r="Q136" s="19" t="str">
        <f t="shared" si="19"/>
        <v/>
      </c>
      <c r="R136" s="19" t="str">
        <f t="shared" si="24"/>
        <v/>
      </c>
      <c r="S136" s="27" t="str">
        <f t="shared" si="26"/>
        <v/>
      </c>
      <c r="T136" s="28" t="str">
        <f t="shared" si="26"/>
        <v/>
      </c>
      <c r="U136" s="28" t="str">
        <f t="shared" si="26"/>
        <v/>
      </c>
      <c r="V136" s="28" t="str">
        <f t="shared" si="26"/>
        <v/>
      </c>
      <c r="W136" s="28" t="str">
        <f t="shared" si="26"/>
        <v/>
      </c>
      <c r="X136" s="29" t="str">
        <f t="shared" si="26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0"/>
        <v/>
      </c>
      <c r="M137" s="19" t="str">
        <f t="shared" si="21"/>
        <v/>
      </c>
      <c r="N137" s="19" t="str">
        <f t="shared" si="22"/>
        <v/>
      </c>
      <c r="O137" s="19" t="str">
        <f t="shared" si="17"/>
        <v/>
      </c>
      <c r="P137" s="19" t="str">
        <f t="shared" si="18"/>
        <v/>
      </c>
      <c r="Q137" s="19" t="str">
        <f t="shared" si="19"/>
        <v/>
      </c>
      <c r="R137" s="19" t="str">
        <f t="shared" si="24"/>
        <v/>
      </c>
      <c r="S137" s="27" t="str">
        <f t="shared" si="26"/>
        <v/>
      </c>
      <c r="T137" s="28" t="str">
        <f t="shared" si="26"/>
        <v/>
      </c>
      <c r="U137" s="28" t="str">
        <f t="shared" si="26"/>
        <v/>
      </c>
      <c r="V137" s="28" t="str">
        <f t="shared" si="26"/>
        <v/>
      </c>
      <c r="W137" s="28" t="str">
        <f t="shared" si="26"/>
        <v/>
      </c>
      <c r="X137" s="29" t="str">
        <f t="shared" si="26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0"/>
        <v/>
      </c>
      <c r="M138" s="19" t="str">
        <f t="shared" si="21"/>
        <v/>
      </c>
      <c r="N138" s="19" t="str">
        <f t="shared" si="22"/>
        <v/>
      </c>
      <c r="O138" s="19" t="str">
        <f t="shared" si="17"/>
        <v/>
      </c>
      <c r="P138" s="19" t="str">
        <f t="shared" si="18"/>
        <v/>
      </c>
      <c r="Q138" s="19" t="str">
        <f t="shared" si="19"/>
        <v/>
      </c>
      <c r="R138" s="19" t="str">
        <f t="shared" si="24"/>
        <v/>
      </c>
      <c r="S138" s="27" t="str">
        <f t="shared" si="26"/>
        <v/>
      </c>
      <c r="T138" s="28" t="str">
        <f t="shared" si="26"/>
        <v/>
      </c>
      <c r="U138" s="28" t="str">
        <f t="shared" si="26"/>
        <v/>
      </c>
      <c r="V138" s="28" t="str">
        <f t="shared" si="26"/>
        <v/>
      </c>
      <c r="W138" s="28" t="str">
        <f t="shared" si="26"/>
        <v/>
      </c>
      <c r="X138" s="29" t="str">
        <f t="shared" si="26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0"/>
        <v/>
      </c>
      <c r="M139" s="19" t="str">
        <f t="shared" si="21"/>
        <v/>
      </c>
      <c r="N139" s="19" t="str">
        <f t="shared" si="22"/>
        <v/>
      </c>
      <c r="O139" s="19" t="str">
        <f t="shared" si="17"/>
        <v/>
      </c>
      <c r="P139" s="19" t="str">
        <f t="shared" si="18"/>
        <v/>
      </c>
      <c r="Q139" s="19" t="str">
        <f t="shared" si="19"/>
        <v/>
      </c>
      <c r="R139" s="19" t="str">
        <f t="shared" si="24"/>
        <v/>
      </c>
      <c r="S139" s="27" t="str">
        <f t="shared" si="26"/>
        <v/>
      </c>
      <c r="T139" s="28" t="str">
        <f t="shared" si="26"/>
        <v/>
      </c>
      <c r="U139" s="28" t="str">
        <f t="shared" si="26"/>
        <v/>
      </c>
      <c r="V139" s="28" t="str">
        <f t="shared" si="26"/>
        <v/>
      </c>
      <c r="W139" s="28" t="str">
        <f t="shared" si="26"/>
        <v/>
      </c>
      <c r="X139" s="29" t="str">
        <f t="shared" si="26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0"/>
        <v/>
      </c>
      <c r="M140" s="19" t="str">
        <f t="shared" si="21"/>
        <v/>
      </c>
      <c r="N140" s="19" t="str">
        <f t="shared" si="22"/>
        <v/>
      </c>
      <c r="O140" s="19" t="str">
        <f t="shared" si="17"/>
        <v/>
      </c>
      <c r="P140" s="19" t="str">
        <f t="shared" si="18"/>
        <v/>
      </c>
      <c r="Q140" s="19" t="str">
        <f t="shared" si="19"/>
        <v/>
      </c>
      <c r="R140" s="19" t="str">
        <f t="shared" si="24"/>
        <v/>
      </c>
      <c r="S140" s="27" t="str">
        <f t="shared" si="26"/>
        <v/>
      </c>
      <c r="T140" s="28" t="str">
        <f t="shared" si="26"/>
        <v/>
      </c>
      <c r="U140" s="28" t="str">
        <f t="shared" si="26"/>
        <v/>
      </c>
      <c r="V140" s="28" t="str">
        <f t="shared" si="26"/>
        <v/>
      </c>
      <c r="W140" s="28" t="str">
        <f t="shared" si="26"/>
        <v/>
      </c>
      <c r="X140" s="29" t="str">
        <f t="shared" si="26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0"/>
        <v/>
      </c>
      <c r="M141" s="19" t="str">
        <f t="shared" si="21"/>
        <v/>
      </c>
      <c r="N141" s="19" t="str">
        <f t="shared" si="22"/>
        <v/>
      </c>
      <c r="O141" s="19" t="str">
        <f t="shared" si="17"/>
        <v/>
      </c>
      <c r="P141" s="19" t="str">
        <f t="shared" si="18"/>
        <v/>
      </c>
      <c r="Q141" s="19" t="str">
        <f t="shared" si="19"/>
        <v/>
      </c>
      <c r="R141" s="19" t="str">
        <f t="shared" si="24"/>
        <v/>
      </c>
      <c r="S141" s="27" t="str">
        <f t="shared" si="26"/>
        <v/>
      </c>
      <c r="T141" s="28" t="str">
        <f t="shared" si="26"/>
        <v/>
      </c>
      <c r="U141" s="28" t="str">
        <f t="shared" si="26"/>
        <v/>
      </c>
      <c r="V141" s="28" t="str">
        <f t="shared" si="26"/>
        <v/>
      </c>
      <c r="W141" s="28" t="str">
        <f t="shared" si="26"/>
        <v/>
      </c>
      <c r="X141" s="29" t="str">
        <f t="shared" si="26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0"/>
        <v/>
      </c>
      <c r="M142" s="19" t="str">
        <f t="shared" si="21"/>
        <v/>
      </c>
      <c r="N142" s="19" t="str">
        <f t="shared" si="22"/>
        <v/>
      </c>
      <c r="O142" s="19" t="str">
        <f t="shared" si="17"/>
        <v/>
      </c>
      <c r="P142" s="19" t="str">
        <f t="shared" si="18"/>
        <v/>
      </c>
      <c r="Q142" s="19" t="str">
        <f t="shared" si="19"/>
        <v/>
      </c>
      <c r="R142" s="19" t="str">
        <f t="shared" si="24"/>
        <v/>
      </c>
      <c r="S142" s="27" t="str">
        <f t="shared" si="26"/>
        <v/>
      </c>
      <c r="T142" s="28" t="str">
        <f t="shared" si="26"/>
        <v/>
      </c>
      <c r="U142" s="28" t="str">
        <f t="shared" si="26"/>
        <v/>
      </c>
      <c r="V142" s="28" t="str">
        <f t="shared" si="26"/>
        <v/>
      </c>
      <c r="W142" s="28" t="str">
        <f t="shared" si="26"/>
        <v/>
      </c>
      <c r="X142" s="29" t="str">
        <f t="shared" si="26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0"/>
        <v/>
      </c>
      <c r="M143" s="19" t="str">
        <f t="shared" si="21"/>
        <v/>
      </c>
      <c r="N143" s="19" t="str">
        <f t="shared" si="22"/>
        <v/>
      </c>
      <c r="O143" s="19" t="str">
        <f t="shared" si="17"/>
        <v/>
      </c>
      <c r="P143" s="19" t="str">
        <f t="shared" si="18"/>
        <v/>
      </c>
      <c r="Q143" s="19" t="str">
        <f t="shared" si="19"/>
        <v/>
      </c>
      <c r="R143" s="19" t="str">
        <f t="shared" si="24"/>
        <v/>
      </c>
      <c r="S143" s="27" t="str">
        <f t="shared" si="26"/>
        <v/>
      </c>
      <c r="T143" s="28" t="str">
        <f t="shared" si="26"/>
        <v/>
      </c>
      <c r="U143" s="28" t="str">
        <f t="shared" si="26"/>
        <v/>
      </c>
      <c r="V143" s="28" t="str">
        <f t="shared" si="26"/>
        <v/>
      </c>
      <c r="W143" s="28" t="str">
        <f t="shared" si="26"/>
        <v/>
      </c>
      <c r="X143" s="29" t="str">
        <f t="shared" si="26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0"/>
        <v/>
      </c>
      <c r="M144" s="19" t="str">
        <f t="shared" si="21"/>
        <v/>
      </c>
      <c r="N144" s="19" t="str">
        <f t="shared" si="22"/>
        <v/>
      </c>
      <c r="O144" s="19" t="str">
        <f t="shared" si="17"/>
        <v/>
      </c>
      <c r="P144" s="19" t="str">
        <f t="shared" si="18"/>
        <v/>
      </c>
      <c r="Q144" s="19" t="str">
        <f t="shared" si="19"/>
        <v/>
      </c>
      <c r="R144" s="19" t="str">
        <f t="shared" ref="R144:R153" si="27">IF(ISBLANK(I144),"",(I144-I$16)*1000)</f>
        <v/>
      </c>
      <c r="S144" s="27" t="str">
        <f t="shared" si="26"/>
        <v/>
      </c>
      <c r="T144" s="28" t="str">
        <f t="shared" si="26"/>
        <v/>
      </c>
      <c r="U144" s="28" t="str">
        <f t="shared" si="26"/>
        <v/>
      </c>
      <c r="V144" s="28" t="str">
        <f t="shared" si="26"/>
        <v/>
      </c>
      <c r="W144" s="28" t="str">
        <f t="shared" si="26"/>
        <v/>
      </c>
      <c r="X144" s="29" t="str">
        <f t="shared" si="26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0"/>
        <v/>
      </c>
      <c r="M145" s="19" t="str">
        <f t="shared" si="21"/>
        <v/>
      </c>
      <c r="N145" s="19" t="str">
        <f t="shared" si="22"/>
        <v/>
      </c>
      <c r="O145" s="19" t="str">
        <f t="shared" si="17"/>
        <v/>
      </c>
      <c r="P145" s="19" t="str">
        <f t="shared" si="18"/>
        <v/>
      </c>
      <c r="Q145" s="19" t="str">
        <f t="shared" si="19"/>
        <v/>
      </c>
      <c r="R145" s="19" t="str">
        <f t="shared" si="27"/>
        <v/>
      </c>
      <c r="S145" s="27" t="str">
        <f t="shared" ref="S145:X153" si="28">IF(C145="","",((C145-C144)*1000)/($B145-$B144))</f>
        <v/>
      </c>
      <c r="T145" s="28" t="str">
        <f t="shared" si="28"/>
        <v/>
      </c>
      <c r="U145" s="28" t="str">
        <f t="shared" si="28"/>
        <v/>
      </c>
      <c r="V145" s="28" t="str">
        <f t="shared" si="28"/>
        <v/>
      </c>
      <c r="W145" s="28" t="str">
        <f t="shared" si="28"/>
        <v/>
      </c>
      <c r="X145" s="29" t="str">
        <f t="shared" si="28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0"/>
        <v/>
      </c>
      <c r="M146" s="19" t="str">
        <f t="shared" si="21"/>
        <v/>
      </c>
      <c r="N146" s="19" t="str">
        <f t="shared" si="22"/>
        <v/>
      </c>
      <c r="O146" s="19" t="str">
        <f t="shared" si="17"/>
        <v/>
      </c>
      <c r="P146" s="19" t="str">
        <f t="shared" si="18"/>
        <v/>
      </c>
      <c r="Q146" s="19" t="str">
        <f t="shared" si="19"/>
        <v/>
      </c>
      <c r="R146" s="19" t="str">
        <f t="shared" si="27"/>
        <v/>
      </c>
      <c r="S146" s="27" t="str">
        <f t="shared" si="28"/>
        <v/>
      </c>
      <c r="T146" s="28" t="str">
        <f t="shared" si="28"/>
        <v/>
      </c>
      <c r="U146" s="28" t="str">
        <f t="shared" si="28"/>
        <v/>
      </c>
      <c r="V146" s="28" t="str">
        <f t="shared" si="28"/>
        <v/>
      </c>
      <c r="W146" s="28" t="str">
        <f t="shared" si="28"/>
        <v/>
      </c>
      <c r="X146" s="29" t="str">
        <f t="shared" si="28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0"/>
        <v/>
      </c>
      <c r="M147" s="19" t="str">
        <f t="shared" si="21"/>
        <v/>
      </c>
      <c r="N147" s="19" t="str">
        <f t="shared" si="22"/>
        <v/>
      </c>
      <c r="O147" s="19" t="str">
        <f t="shared" si="17"/>
        <v/>
      </c>
      <c r="P147" s="19" t="str">
        <f t="shared" si="18"/>
        <v/>
      </c>
      <c r="Q147" s="19" t="str">
        <f t="shared" si="19"/>
        <v/>
      </c>
      <c r="R147" s="19" t="str">
        <f t="shared" si="27"/>
        <v/>
      </c>
      <c r="S147" s="27" t="str">
        <f t="shared" si="28"/>
        <v/>
      </c>
      <c r="T147" s="28" t="str">
        <f t="shared" si="28"/>
        <v/>
      </c>
      <c r="U147" s="28" t="str">
        <f t="shared" si="28"/>
        <v/>
      </c>
      <c r="V147" s="28" t="str">
        <f t="shared" si="28"/>
        <v/>
      </c>
      <c r="W147" s="28" t="str">
        <f t="shared" si="28"/>
        <v/>
      </c>
      <c r="X147" s="29" t="str">
        <f t="shared" si="28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0"/>
        <v/>
      </c>
      <c r="M148" s="19" t="str">
        <f t="shared" si="21"/>
        <v/>
      </c>
      <c r="N148" s="19" t="str">
        <f t="shared" si="22"/>
        <v/>
      </c>
      <c r="O148" s="19" t="str">
        <f t="shared" si="17"/>
        <v/>
      </c>
      <c r="P148" s="19" t="str">
        <f t="shared" si="18"/>
        <v/>
      </c>
      <c r="Q148" s="19" t="str">
        <f t="shared" si="19"/>
        <v/>
      </c>
      <c r="R148" s="19" t="str">
        <f t="shared" si="27"/>
        <v/>
      </c>
      <c r="S148" s="27" t="str">
        <f t="shared" si="28"/>
        <v/>
      </c>
      <c r="T148" s="28" t="str">
        <f t="shared" si="28"/>
        <v/>
      </c>
      <c r="U148" s="28" t="str">
        <f t="shared" si="28"/>
        <v/>
      </c>
      <c r="V148" s="28" t="str">
        <f t="shared" si="28"/>
        <v/>
      </c>
      <c r="W148" s="28" t="str">
        <f t="shared" si="28"/>
        <v/>
      </c>
      <c r="X148" s="29" t="str">
        <f t="shared" si="28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0"/>
        <v/>
      </c>
      <c r="M149" s="19" t="str">
        <f t="shared" si="21"/>
        <v/>
      </c>
      <c r="N149" s="19" t="str">
        <f t="shared" si="22"/>
        <v/>
      </c>
      <c r="O149" s="19" t="str">
        <f t="shared" si="17"/>
        <v/>
      </c>
      <c r="P149" s="19" t="str">
        <f t="shared" si="18"/>
        <v/>
      </c>
      <c r="Q149" s="19" t="str">
        <f t="shared" si="19"/>
        <v/>
      </c>
      <c r="R149" s="19" t="str">
        <f t="shared" si="27"/>
        <v/>
      </c>
      <c r="S149" s="27" t="str">
        <f t="shared" si="28"/>
        <v/>
      </c>
      <c r="T149" s="28" t="str">
        <f t="shared" si="28"/>
        <v/>
      </c>
      <c r="U149" s="28" t="str">
        <f t="shared" si="28"/>
        <v/>
      </c>
      <c r="V149" s="28" t="str">
        <f t="shared" si="28"/>
        <v/>
      </c>
      <c r="W149" s="28" t="str">
        <f t="shared" si="28"/>
        <v/>
      </c>
      <c r="X149" s="29" t="str">
        <f t="shared" si="28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0"/>
        <v/>
      </c>
      <c r="M150" s="19" t="str">
        <f t="shared" si="21"/>
        <v/>
      </c>
      <c r="N150" s="19" t="str">
        <f t="shared" si="22"/>
        <v/>
      </c>
      <c r="O150" s="19" t="str">
        <f t="shared" si="17"/>
        <v/>
      </c>
      <c r="P150" s="19" t="str">
        <f t="shared" si="18"/>
        <v/>
      </c>
      <c r="Q150" s="19" t="str">
        <f t="shared" si="19"/>
        <v/>
      </c>
      <c r="R150" s="19" t="str">
        <f t="shared" si="27"/>
        <v/>
      </c>
      <c r="S150" s="27" t="str">
        <f t="shared" si="28"/>
        <v/>
      </c>
      <c r="T150" s="28" t="str">
        <f t="shared" si="28"/>
        <v/>
      </c>
      <c r="U150" s="28" t="str">
        <f t="shared" si="28"/>
        <v/>
      </c>
      <c r="V150" s="28" t="str">
        <f t="shared" si="28"/>
        <v/>
      </c>
      <c r="W150" s="28" t="str">
        <f t="shared" si="28"/>
        <v/>
      </c>
      <c r="X150" s="29" t="str">
        <f t="shared" si="28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0"/>
        <v/>
      </c>
      <c r="M151" s="19" t="str">
        <f t="shared" si="21"/>
        <v/>
      </c>
      <c r="N151" s="19" t="str">
        <f t="shared" si="22"/>
        <v/>
      </c>
      <c r="O151" s="19" t="str">
        <f t="shared" si="17"/>
        <v/>
      </c>
      <c r="P151" s="19" t="str">
        <f t="shared" si="18"/>
        <v/>
      </c>
      <c r="Q151" s="19" t="str">
        <f t="shared" si="19"/>
        <v/>
      </c>
      <c r="R151" s="19" t="str">
        <f t="shared" si="27"/>
        <v/>
      </c>
      <c r="S151" s="27" t="str">
        <f t="shared" si="28"/>
        <v/>
      </c>
      <c r="T151" s="28" t="str">
        <f t="shared" si="28"/>
        <v/>
      </c>
      <c r="U151" s="28" t="str">
        <f t="shared" si="28"/>
        <v/>
      </c>
      <c r="V151" s="28" t="str">
        <f t="shared" si="28"/>
        <v/>
      </c>
      <c r="W151" s="28" t="str">
        <f t="shared" si="28"/>
        <v/>
      </c>
      <c r="X151" s="29" t="str">
        <f t="shared" si="28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0"/>
        <v/>
      </c>
      <c r="M152" s="19" t="str">
        <f t="shared" si="21"/>
        <v/>
      </c>
      <c r="N152" s="19" t="str">
        <f t="shared" si="22"/>
        <v/>
      </c>
      <c r="O152" s="19" t="str">
        <f t="shared" si="17"/>
        <v/>
      </c>
      <c r="P152" s="19" t="str">
        <f t="shared" si="18"/>
        <v/>
      </c>
      <c r="Q152" s="19" t="str">
        <f t="shared" si="19"/>
        <v/>
      </c>
      <c r="R152" s="19" t="str">
        <f t="shared" si="27"/>
        <v/>
      </c>
      <c r="S152" s="27" t="str">
        <f t="shared" si="28"/>
        <v/>
      </c>
      <c r="T152" s="28" t="str">
        <f t="shared" si="28"/>
        <v/>
      </c>
      <c r="U152" s="28" t="str">
        <f t="shared" si="28"/>
        <v/>
      </c>
      <c r="V152" s="28" t="str">
        <f t="shared" si="28"/>
        <v/>
      </c>
      <c r="W152" s="28" t="str">
        <f t="shared" si="28"/>
        <v/>
      </c>
      <c r="X152" s="29" t="str">
        <f t="shared" si="28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0"/>
        <v/>
      </c>
      <c r="M153" s="19" t="str">
        <f t="shared" si="21"/>
        <v/>
      </c>
      <c r="N153" s="19" t="str">
        <f t="shared" si="22"/>
        <v/>
      </c>
      <c r="O153" s="19" t="str">
        <f t="shared" si="17"/>
        <v/>
      </c>
      <c r="P153" s="19" t="str">
        <f t="shared" si="18"/>
        <v/>
      </c>
      <c r="Q153" s="19" t="str">
        <f t="shared" si="19"/>
        <v/>
      </c>
      <c r="R153" s="19" t="str">
        <f t="shared" si="27"/>
        <v/>
      </c>
      <c r="S153" s="27" t="str">
        <f t="shared" si="28"/>
        <v/>
      </c>
      <c r="T153" s="28" t="str">
        <f t="shared" si="28"/>
        <v/>
      </c>
      <c r="U153" s="28" t="str">
        <f t="shared" si="28"/>
        <v/>
      </c>
      <c r="V153" s="28" t="str">
        <f t="shared" si="28"/>
        <v/>
      </c>
      <c r="W153" s="28" t="str">
        <f t="shared" si="28"/>
        <v/>
      </c>
      <c r="X153" s="29" t="str">
        <f t="shared" si="28"/>
        <v/>
      </c>
      <c r="Y153" s="24"/>
    </row>
  </sheetData>
  <sheetProtection selectLockedCells="1"/>
  <mergeCells count="38">
    <mergeCell ref="J14:K14"/>
    <mergeCell ref="W5:Y5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R8:V8"/>
    <mergeCell ref="B5:D8"/>
    <mergeCell ref="E5:I5"/>
    <mergeCell ref="J5:Q5"/>
    <mergeCell ref="R5:V5"/>
    <mergeCell ref="E6:I6"/>
    <mergeCell ref="J6:Q6"/>
    <mergeCell ref="AA9:AI9"/>
    <mergeCell ref="R6:V6"/>
    <mergeCell ref="W6:Y6"/>
    <mergeCell ref="E7:I7"/>
    <mergeCell ref="J7:Q7"/>
    <mergeCell ref="R7:V7"/>
    <mergeCell ref="W7:Y7"/>
    <mergeCell ref="B10:J12"/>
    <mergeCell ref="K10:S12"/>
    <mergeCell ref="T10:Y12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0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3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TZ-28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 t="s">
        <v>54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41772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41774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471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729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55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41774</v>
      </c>
      <c r="C16" s="14">
        <v>12.981999999999999</v>
      </c>
      <c r="D16" s="15">
        <v>8.4309999999999992</v>
      </c>
      <c r="E16" s="15">
        <v>7.7450000000000001</v>
      </c>
      <c r="F16" s="42"/>
      <c r="G16" s="42"/>
      <c r="H16" s="42"/>
      <c r="I16" s="41">
        <v>104.111</v>
      </c>
      <c r="J16" s="62">
        <v>743</v>
      </c>
      <c r="K16" s="55">
        <f>IF(ISBLANK(J16),"",(J16-$J$8))</f>
        <v>14</v>
      </c>
      <c r="L16" s="19">
        <f t="shared" ref="L16:Q47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41775</v>
      </c>
      <c r="C17" s="25">
        <v>12.98</v>
      </c>
      <c r="D17" s="26">
        <v>8.43</v>
      </c>
      <c r="E17" s="26">
        <v>7.7450000000000001</v>
      </c>
      <c r="F17" s="16"/>
      <c r="G17" s="16"/>
      <c r="H17" s="16"/>
      <c r="I17" s="17">
        <v>104.11</v>
      </c>
      <c r="J17" s="58">
        <v>750</v>
      </c>
      <c r="K17" s="18">
        <f>IF(ISBLANK(J17),"",(J17-$J$8))</f>
        <v>21</v>
      </c>
      <c r="L17" s="19">
        <f t="shared" si="0"/>
        <v>-1.9999999999988916</v>
      </c>
      <c r="M17" s="19">
        <f t="shared" si="0"/>
        <v>-0.99999999999944578</v>
      </c>
      <c r="N17" s="19">
        <f t="shared" si="0"/>
        <v>0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2">IF(C17="","",((C17-C16)*1000)/($B17-$B16))</f>
        <v>-1.9999999999988916</v>
      </c>
      <c r="T17" s="28">
        <f t="shared" si="2"/>
        <v>-0.99999999999944578</v>
      </c>
      <c r="U17" s="28">
        <f t="shared" si="2"/>
        <v>0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41778</v>
      </c>
      <c r="C18" s="25">
        <v>12.98</v>
      </c>
      <c r="D18" s="26">
        <v>8.43</v>
      </c>
      <c r="E18" s="26">
        <v>7.7450000000000001</v>
      </c>
      <c r="F18" s="16"/>
      <c r="G18" s="16"/>
      <c r="H18" s="16"/>
      <c r="I18" s="17">
        <v>104.11</v>
      </c>
      <c r="J18" s="58">
        <v>763</v>
      </c>
      <c r="K18" s="18">
        <f t="shared" ref="K18:K29" si="3">IF(ISBLANK(J18),"",(J18-$J$8))</f>
        <v>34</v>
      </c>
      <c r="L18" s="19">
        <f t="shared" si="0"/>
        <v>-1.9999999999988916</v>
      </c>
      <c r="M18" s="19">
        <f t="shared" si="0"/>
        <v>-0.99999999999944578</v>
      </c>
      <c r="N18" s="19">
        <f t="shared" si="0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2"/>
        <v>0</v>
      </c>
      <c r="T18" s="28">
        <f t="shared" si="2"/>
        <v>0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41779</v>
      </c>
      <c r="C19" s="25">
        <v>12.98</v>
      </c>
      <c r="D19" s="26">
        <v>8.43</v>
      </c>
      <c r="E19" s="26">
        <v>7.7450000000000001</v>
      </c>
      <c r="F19" s="16"/>
      <c r="G19" s="16"/>
      <c r="H19" s="16"/>
      <c r="I19" s="17">
        <v>104.11</v>
      </c>
      <c r="J19" s="58">
        <v>774</v>
      </c>
      <c r="K19" s="18">
        <f t="shared" si="3"/>
        <v>45</v>
      </c>
      <c r="L19" s="19">
        <f t="shared" si="0"/>
        <v>-1.9999999999988916</v>
      </c>
      <c r="M19" s="19">
        <f t="shared" si="0"/>
        <v>-0.99999999999944578</v>
      </c>
      <c r="N19" s="19">
        <f t="shared" si="0"/>
        <v>0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41780</v>
      </c>
      <c r="C20" s="25">
        <v>12.98</v>
      </c>
      <c r="D20" s="26">
        <v>8.4309999999999992</v>
      </c>
      <c r="E20" s="26">
        <v>7.7439999999999998</v>
      </c>
      <c r="F20" s="16"/>
      <c r="G20" s="16"/>
      <c r="H20" s="16"/>
      <c r="I20" s="17">
        <v>104.11</v>
      </c>
      <c r="J20" s="58">
        <v>782</v>
      </c>
      <c r="K20" s="18">
        <f t="shared" si="3"/>
        <v>53</v>
      </c>
      <c r="L20" s="19">
        <f t="shared" si="0"/>
        <v>-1.9999999999988916</v>
      </c>
      <c r="M20" s="19">
        <f t="shared" si="0"/>
        <v>0</v>
      </c>
      <c r="N20" s="19">
        <f t="shared" si="0"/>
        <v>-1.000000000000334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-1.0000000000047748</v>
      </c>
      <c r="S20" s="27">
        <f t="shared" si="2"/>
        <v>0</v>
      </c>
      <c r="T20" s="28">
        <f t="shared" si="2"/>
        <v>0.99999999999944578</v>
      </c>
      <c r="U20" s="28">
        <f t="shared" si="2"/>
        <v>-1.000000000000334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41781</v>
      </c>
      <c r="C21" s="25">
        <v>12.98</v>
      </c>
      <c r="D21" s="26">
        <v>8.4309999999999992</v>
      </c>
      <c r="E21" s="26">
        <v>7.7430000000000003</v>
      </c>
      <c r="F21" s="16"/>
      <c r="G21" s="16"/>
      <c r="H21" s="16"/>
      <c r="I21" s="17">
        <v>104.111</v>
      </c>
      <c r="J21" s="58">
        <v>792</v>
      </c>
      <c r="K21" s="18">
        <f t="shared" si="3"/>
        <v>63</v>
      </c>
      <c r="L21" s="19">
        <f t="shared" si="0"/>
        <v>-1.9999999999988916</v>
      </c>
      <c r="M21" s="19">
        <f t="shared" si="0"/>
        <v>0</v>
      </c>
      <c r="N21" s="19">
        <f t="shared" si="0"/>
        <v>-1.9999999999997797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0</v>
      </c>
      <c r="S21" s="27">
        <f t="shared" si="2"/>
        <v>0</v>
      </c>
      <c r="T21" s="28">
        <f t="shared" si="2"/>
        <v>0</v>
      </c>
      <c r="U21" s="28">
        <f t="shared" si="2"/>
        <v>-0.99999999999944578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41782</v>
      </c>
      <c r="C22" s="25">
        <v>12.978999999999999</v>
      </c>
      <c r="D22" s="26">
        <v>8.43</v>
      </c>
      <c r="E22" s="26">
        <v>7.7439999999999998</v>
      </c>
      <c r="F22" s="16"/>
      <c r="G22" s="16"/>
      <c r="H22" s="16"/>
      <c r="I22" s="17">
        <v>104.111</v>
      </c>
      <c r="J22" s="58">
        <v>801</v>
      </c>
      <c r="K22" s="18">
        <f t="shared" si="3"/>
        <v>72</v>
      </c>
      <c r="L22" s="19">
        <f t="shared" si="0"/>
        <v>-3.0000000000001137</v>
      </c>
      <c r="M22" s="19">
        <f t="shared" si="0"/>
        <v>-0.99999999999944578</v>
      </c>
      <c r="N22" s="19">
        <f t="shared" si="0"/>
        <v>-1.000000000000334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0</v>
      </c>
      <c r="S22" s="27">
        <f t="shared" si="2"/>
        <v>-1.0000000000012221</v>
      </c>
      <c r="T22" s="28">
        <f t="shared" si="2"/>
        <v>-0.99999999999944578</v>
      </c>
      <c r="U22" s="28">
        <f t="shared" si="2"/>
        <v>0.99999999999944578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41785</v>
      </c>
      <c r="C23" s="25">
        <v>12.978999999999999</v>
      </c>
      <c r="D23" s="26">
        <v>8.43</v>
      </c>
      <c r="E23" s="26">
        <v>7.7439999999999998</v>
      </c>
      <c r="F23" s="16"/>
      <c r="G23" s="16"/>
      <c r="H23" s="16"/>
      <c r="I23" s="17">
        <v>104.111</v>
      </c>
      <c r="J23" s="58">
        <v>813</v>
      </c>
      <c r="K23" s="18">
        <f t="shared" si="3"/>
        <v>84</v>
      </c>
      <c r="L23" s="19">
        <f t="shared" si="0"/>
        <v>-3.0000000000001137</v>
      </c>
      <c r="M23" s="19">
        <f t="shared" si="0"/>
        <v>-0.99999999999944578</v>
      </c>
      <c r="N23" s="19">
        <f t="shared" si="0"/>
        <v>-1.000000000000334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0</v>
      </c>
      <c r="S23" s="27">
        <f t="shared" si="2"/>
        <v>0</v>
      </c>
      <c r="T23" s="28">
        <f t="shared" si="2"/>
        <v>0</v>
      </c>
      <c r="U23" s="28">
        <f t="shared" si="2"/>
        <v>0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41786</v>
      </c>
      <c r="C24" s="25">
        <v>12.978999999999999</v>
      </c>
      <c r="D24" s="26">
        <v>8.43</v>
      </c>
      <c r="E24" s="26">
        <v>7.7430000000000003</v>
      </c>
      <c r="F24" s="16"/>
      <c r="G24" s="16"/>
      <c r="H24" s="16"/>
      <c r="I24" s="17">
        <v>104.11</v>
      </c>
      <c r="J24" s="58">
        <v>821</v>
      </c>
      <c r="K24" s="18">
        <f t="shared" si="3"/>
        <v>92</v>
      </c>
      <c r="L24" s="19">
        <f t="shared" si="0"/>
        <v>-3.0000000000001137</v>
      </c>
      <c r="M24" s="19">
        <f t="shared" si="0"/>
        <v>-0.99999999999944578</v>
      </c>
      <c r="N24" s="19">
        <f t="shared" si="0"/>
        <v>-1.9999999999997797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-1.0000000000047748</v>
      </c>
      <c r="S24" s="27">
        <f t="shared" si="2"/>
        <v>0</v>
      </c>
      <c r="T24" s="28">
        <f t="shared" si="2"/>
        <v>0</v>
      </c>
      <c r="U24" s="28">
        <f t="shared" si="2"/>
        <v>-0.99999999999944578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41787</v>
      </c>
      <c r="C25" s="25">
        <v>12.98</v>
      </c>
      <c r="D25" s="26">
        <v>8.4309999999999992</v>
      </c>
      <c r="E25" s="26">
        <v>7.7430000000000003</v>
      </c>
      <c r="F25" s="16"/>
      <c r="G25" s="16"/>
      <c r="H25" s="16"/>
      <c r="I25" s="17">
        <v>104.11</v>
      </c>
      <c r="J25" s="58">
        <v>837</v>
      </c>
      <c r="K25" s="18">
        <f t="shared" si="3"/>
        <v>108</v>
      </c>
      <c r="L25" s="19">
        <f t="shared" si="0"/>
        <v>-1.9999999999988916</v>
      </c>
      <c r="M25" s="19">
        <f t="shared" si="0"/>
        <v>0</v>
      </c>
      <c r="N25" s="19">
        <f t="shared" si="0"/>
        <v>-1.9999999999997797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-1.0000000000047748</v>
      </c>
      <c r="S25" s="27">
        <f t="shared" si="2"/>
        <v>1.0000000000012221</v>
      </c>
      <c r="T25" s="28">
        <f t="shared" si="2"/>
        <v>0.99999999999944578</v>
      </c>
      <c r="U25" s="28">
        <f t="shared" si="2"/>
        <v>0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41788</v>
      </c>
      <c r="C26" s="25">
        <v>12.98</v>
      </c>
      <c r="D26" s="26">
        <v>8.4290000000000003</v>
      </c>
      <c r="E26" s="26">
        <v>7.7439999999999998</v>
      </c>
      <c r="F26" s="16"/>
      <c r="G26" s="16"/>
      <c r="H26" s="16"/>
      <c r="I26" s="17">
        <v>104.11</v>
      </c>
      <c r="J26" s="58">
        <v>844</v>
      </c>
      <c r="K26" s="18">
        <f t="shared" si="3"/>
        <v>115</v>
      </c>
      <c r="L26" s="19">
        <f t="shared" si="0"/>
        <v>-1.9999999999988916</v>
      </c>
      <c r="M26" s="19">
        <f t="shared" si="0"/>
        <v>-1.9999999999988916</v>
      </c>
      <c r="N26" s="19">
        <f t="shared" si="0"/>
        <v>-1.000000000000334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-1.0000000000047748</v>
      </c>
      <c r="S26" s="27">
        <f t="shared" si="2"/>
        <v>0</v>
      </c>
      <c r="T26" s="28">
        <f t="shared" si="2"/>
        <v>-1.9999999999988916</v>
      </c>
      <c r="U26" s="28">
        <f t="shared" si="2"/>
        <v>0.99999999999944578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41789</v>
      </c>
      <c r="C27" s="25">
        <v>12.978999999999999</v>
      </c>
      <c r="D27" s="26">
        <v>8.43</v>
      </c>
      <c r="E27" s="26">
        <v>7.7439999999999998</v>
      </c>
      <c r="F27" s="16"/>
      <c r="G27" s="16"/>
      <c r="H27" s="16"/>
      <c r="I27" s="17">
        <v>104.11</v>
      </c>
      <c r="J27" s="58">
        <v>851</v>
      </c>
      <c r="K27" s="18">
        <f t="shared" si="3"/>
        <v>122</v>
      </c>
      <c r="L27" s="19">
        <f t="shared" si="0"/>
        <v>-3.0000000000001137</v>
      </c>
      <c r="M27" s="19">
        <f t="shared" si="0"/>
        <v>-0.99999999999944578</v>
      </c>
      <c r="N27" s="19">
        <f t="shared" si="0"/>
        <v>-1.000000000000334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-1.0000000000012221</v>
      </c>
      <c r="T27" s="28">
        <f t="shared" si="2"/>
        <v>0.99999999999944578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41792</v>
      </c>
      <c r="C28" s="25">
        <v>12.98</v>
      </c>
      <c r="D28" s="26">
        <v>8.43</v>
      </c>
      <c r="E28" s="26">
        <v>7.7430000000000003</v>
      </c>
      <c r="F28" s="16"/>
      <c r="G28" s="16"/>
      <c r="H28" s="16"/>
      <c r="I28" s="17">
        <v>104.11</v>
      </c>
      <c r="J28" s="58">
        <v>865</v>
      </c>
      <c r="K28" s="18">
        <f t="shared" si="3"/>
        <v>136</v>
      </c>
      <c r="L28" s="19">
        <f t="shared" si="0"/>
        <v>-1.9999999999988916</v>
      </c>
      <c r="M28" s="19">
        <f t="shared" si="0"/>
        <v>-0.99999999999944578</v>
      </c>
      <c r="N28" s="19">
        <f t="shared" si="0"/>
        <v>-1.9999999999997797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-1.0000000000047748</v>
      </c>
      <c r="S28" s="27">
        <f t="shared" si="2"/>
        <v>0.33333333333374071</v>
      </c>
      <c r="T28" s="28">
        <f t="shared" si="2"/>
        <v>0</v>
      </c>
      <c r="U28" s="28">
        <f t="shared" si="2"/>
        <v>-0.33333333333314857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41793</v>
      </c>
      <c r="C29" s="25">
        <v>12.98</v>
      </c>
      <c r="D29" s="26">
        <v>8.43</v>
      </c>
      <c r="E29" s="26">
        <v>7.7430000000000003</v>
      </c>
      <c r="F29" s="16"/>
      <c r="G29" s="16"/>
      <c r="H29" s="16"/>
      <c r="I29" s="17">
        <v>104.11</v>
      </c>
      <c r="J29" s="58">
        <v>874</v>
      </c>
      <c r="K29" s="18">
        <f t="shared" si="3"/>
        <v>145</v>
      </c>
      <c r="L29" s="19">
        <f t="shared" si="0"/>
        <v>-1.9999999999988916</v>
      </c>
      <c r="M29" s="19">
        <f t="shared" si="0"/>
        <v>-0.99999999999944578</v>
      </c>
      <c r="N29" s="19">
        <f t="shared" si="0"/>
        <v>-1.9999999999997797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-1.0000000000047748</v>
      </c>
      <c r="S29" s="27">
        <f t="shared" si="2"/>
        <v>0</v>
      </c>
      <c r="T29" s="28">
        <f t="shared" si="2"/>
        <v>0</v>
      </c>
      <c r="U29" s="28">
        <f t="shared" si="2"/>
        <v>0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41800</v>
      </c>
      <c r="C30" s="25">
        <v>12.978</v>
      </c>
      <c r="D30" s="26">
        <v>8.43</v>
      </c>
      <c r="E30" s="26">
        <v>7.742</v>
      </c>
      <c r="F30" s="16"/>
      <c r="G30" s="16"/>
      <c r="H30" s="16"/>
      <c r="I30" s="17">
        <v>104.10899999999999</v>
      </c>
      <c r="J30" s="58">
        <v>929</v>
      </c>
      <c r="K30" s="18">
        <f t="shared" ref="K30:K36" si="4">IF(ISBLANK(J30),"",(J30-$J$8))</f>
        <v>200</v>
      </c>
      <c r="L30" s="19">
        <f t="shared" si="0"/>
        <v>-3.9999999999995595</v>
      </c>
      <c r="M30" s="19">
        <f t="shared" si="0"/>
        <v>-0.99999999999944578</v>
      </c>
      <c r="N30" s="19">
        <f t="shared" si="0"/>
        <v>-3.0000000000001137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-2.0000000000095497</v>
      </c>
      <c r="S30" s="27">
        <f t="shared" si="2"/>
        <v>-0.28571428571438112</v>
      </c>
      <c r="T30" s="28">
        <f t="shared" si="2"/>
        <v>0</v>
      </c>
      <c r="U30" s="28">
        <f t="shared" si="2"/>
        <v>-0.14285714285719056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41829</v>
      </c>
      <c r="C31" s="64">
        <v>12.978</v>
      </c>
      <c r="D31" s="65">
        <v>8.43</v>
      </c>
      <c r="E31" s="26">
        <v>7.742</v>
      </c>
      <c r="F31" s="16">
        <v>13.657</v>
      </c>
      <c r="G31" s="16">
        <v>10.128</v>
      </c>
      <c r="H31" s="16">
        <v>10.231999999999999</v>
      </c>
      <c r="I31" s="17">
        <v>104.1</v>
      </c>
      <c r="J31" s="58">
        <v>793</v>
      </c>
      <c r="K31" s="18">
        <f t="shared" si="4"/>
        <v>64</v>
      </c>
      <c r="L31" s="19">
        <f t="shared" si="0"/>
        <v>-3.9999999999995595</v>
      </c>
      <c r="M31" s="19">
        <f t="shared" si="0"/>
        <v>-0.99999999999944578</v>
      </c>
      <c r="N31" s="19">
        <f t="shared" si="0"/>
        <v>-3.0000000000001137</v>
      </c>
      <c r="O31" s="19">
        <f>IF(ISBLANK(F31),"",((F31-F$31)*1000)+L$31)</f>
        <v>-3.9999999999995595</v>
      </c>
      <c r="P31" s="19">
        <f>IF(ISBLANK(G31),"",((G31-G$31)*1000)+M$31)</f>
        <v>-0.99999999999944578</v>
      </c>
      <c r="Q31" s="19">
        <f>IF(ISBLANK(H31),"",((H31-H$31)*1000)+N$31)</f>
        <v>-3.0000000000001137</v>
      </c>
      <c r="R31" s="19">
        <f t="shared" si="1"/>
        <v>-11.000000000009891</v>
      </c>
      <c r="S31" s="27">
        <f t="shared" si="2"/>
        <v>0</v>
      </c>
      <c r="T31" s="28">
        <f t="shared" si="2"/>
        <v>0</v>
      </c>
      <c r="U31" s="28">
        <f t="shared" si="2"/>
        <v>0</v>
      </c>
      <c r="V31" s="28"/>
      <c r="W31" s="28"/>
      <c r="X31" s="29"/>
      <c r="Y31" s="24"/>
    </row>
    <row r="32" spans="2:25" ht="15" customHeight="1" x14ac:dyDescent="0.2">
      <c r="B32" s="31">
        <v>41830</v>
      </c>
      <c r="C32" s="64">
        <v>12.978</v>
      </c>
      <c r="D32" s="65">
        <v>8.43</v>
      </c>
      <c r="E32" s="65">
        <v>7.742</v>
      </c>
      <c r="F32" s="16">
        <v>13.656000000000001</v>
      </c>
      <c r="G32" s="16">
        <v>10.127000000000001</v>
      </c>
      <c r="H32" s="16">
        <v>10.23</v>
      </c>
      <c r="I32" s="66">
        <v>104.1</v>
      </c>
      <c r="J32" s="58">
        <v>808</v>
      </c>
      <c r="K32" s="18">
        <f t="shared" si="4"/>
        <v>79</v>
      </c>
      <c r="L32" s="19">
        <f t="shared" si="0"/>
        <v>-3.9999999999995595</v>
      </c>
      <c r="M32" s="19">
        <f t="shared" si="0"/>
        <v>-0.99999999999944578</v>
      </c>
      <c r="N32" s="19">
        <f t="shared" si="0"/>
        <v>-3.0000000000001137</v>
      </c>
      <c r="O32" s="19">
        <f t="shared" ref="O32:O95" si="5">IF(ISBLANK(F32),"",((F32-F$31)*1000)+L$31)</f>
        <v>-4.9999999999990052</v>
      </c>
      <c r="P32" s="19">
        <f t="shared" ref="P32:P95" si="6">IF(ISBLANK(G32),"",((G32-G$31)*1000)+M$31)</f>
        <v>-1.9999999999988916</v>
      </c>
      <c r="Q32" s="19">
        <f t="shared" ref="Q32:Q95" si="7">IF(ISBLANK(H32),"",((H32-H$31)*1000)+N$31)</f>
        <v>-4.9999999999990052</v>
      </c>
      <c r="R32" s="19">
        <f t="shared" si="1"/>
        <v>-11.000000000009891</v>
      </c>
      <c r="S32" s="27">
        <f t="shared" si="2"/>
        <v>0</v>
      </c>
      <c r="T32" s="28">
        <f t="shared" si="2"/>
        <v>0</v>
      </c>
      <c r="U32" s="28">
        <f t="shared" si="2"/>
        <v>0</v>
      </c>
      <c r="V32" s="28">
        <f t="shared" si="2"/>
        <v>-0.99999999999944578</v>
      </c>
      <c r="W32" s="28">
        <f t="shared" si="2"/>
        <v>-0.99999999999944578</v>
      </c>
      <c r="X32" s="29">
        <f t="shared" si="2"/>
        <v>-1.9999999999988916</v>
      </c>
      <c r="Y32" s="24"/>
    </row>
    <row r="33" spans="2:25" ht="15" customHeight="1" x14ac:dyDescent="0.2">
      <c r="B33" s="31">
        <v>41834</v>
      </c>
      <c r="C33" s="64">
        <v>12.978</v>
      </c>
      <c r="D33" s="45">
        <v>7.7430000000000003</v>
      </c>
      <c r="E33" s="65">
        <v>7.742</v>
      </c>
      <c r="F33" s="16">
        <v>13.657</v>
      </c>
      <c r="G33" s="16">
        <v>10.127000000000001</v>
      </c>
      <c r="H33" s="16">
        <v>10.23</v>
      </c>
      <c r="I33" s="17">
        <v>104.098</v>
      </c>
      <c r="J33" s="58">
        <v>845</v>
      </c>
      <c r="K33" s="18">
        <f t="shared" si="4"/>
        <v>116</v>
      </c>
      <c r="L33" s="19">
        <f t="shared" si="0"/>
        <v>-3.9999999999995595</v>
      </c>
      <c r="M33" s="19">
        <f>IF(ISBLANK(D33),"",((D33-D$33)*1000)+M$32)</f>
        <v>-0.99999999999944578</v>
      </c>
      <c r="N33" s="19">
        <f t="shared" si="0"/>
        <v>-3.0000000000001137</v>
      </c>
      <c r="O33" s="19">
        <f t="shared" si="5"/>
        <v>-3.9999999999995595</v>
      </c>
      <c r="P33" s="19">
        <f t="shared" si="6"/>
        <v>-1.9999999999988916</v>
      </c>
      <c r="Q33" s="19">
        <f t="shared" si="7"/>
        <v>-4.9999999999990052</v>
      </c>
      <c r="R33" s="19">
        <f t="shared" si="1"/>
        <v>-13.00000000000523</v>
      </c>
      <c r="S33" s="27">
        <f t="shared" ref="S33:X48" si="8">IF(C33="","",((C33-C32)*1000)/($B33-$B32))</f>
        <v>0</v>
      </c>
      <c r="T33" s="28">
        <f t="shared" si="8"/>
        <v>-171.74999999999986</v>
      </c>
      <c r="U33" s="28">
        <f t="shared" si="8"/>
        <v>0</v>
      </c>
      <c r="V33" s="28">
        <f t="shared" si="8"/>
        <v>0.24999999999986144</v>
      </c>
      <c r="W33" s="28">
        <f t="shared" si="8"/>
        <v>0</v>
      </c>
      <c r="X33" s="29">
        <f t="shared" si="8"/>
        <v>0</v>
      </c>
      <c r="Y33" s="24"/>
    </row>
    <row r="34" spans="2:25" ht="15" customHeight="1" x14ac:dyDescent="0.2">
      <c r="B34" s="31">
        <v>41835</v>
      </c>
      <c r="C34" s="64">
        <v>12.978</v>
      </c>
      <c r="D34" s="26">
        <v>7.742</v>
      </c>
      <c r="E34" s="65">
        <v>7.742</v>
      </c>
      <c r="F34" s="16">
        <v>13.656000000000001</v>
      </c>
      <c r="G34" s="16">
        <v>10.125999999999999</v>
      </c>
      <c r="H34" s="16">
        <v>10.23</v>
      </c>
      <c r="I34" s="17">
        <v>104.098</v>
      </c>
      <c r="J34" s="58">
        <v>857</v>
      </c>
      <c r="K34" s="18">
        <f t="shared" si="4"/>
        <v>128</v>
      </c>
      <c r="L34" s="19">
        <f t="shared" si="0"/>
        <v>-3.9999999999995595</v>
      </c>
      <c r="M34" s="19">
        <f t="shared" ref="M34:M97" si="9">IF(ISBLANK(D34),"",((D34-D$33)*1000)+M$32)</f>
        <v>-1.9999999999997797</v>
      </c>
      <c r="N34" s="19">
        <f t="shared" si="0"/>
        <v>-3.0000000000001137</v>
      </c>
      <c r="O34" s="19">
        <f t="shared" si="5"/>
        <v>-4.9999999999990052</v>
      </c>
      <c r="P34" s="19">
        <f t="shared" si="6"/>
        <v>-3.0000000000001137</v>
      </c>
      <c r="Q34" s="19">
        <f t="shared" si="7"/>
        <v>-4.9999999999990052</v>
      </c>
      <c r="R34" s="19">
        <f t="shared" si="1"/>
        <v>-13.00000000000523</v>
      </c>
      <c r="S34" s="27">
        <f t="shared" si="8"/>
        <v>0</v>
      </c>
      <c r="T34" s="28">
        <f t="shared" si="8"/>
        <v>-1.000000000000334</v>
      </c>
      <c r="U34" s="28">
        <f t="shared" si="8"/>
        <v>0</v>
      </c>
      <c r="V34" s="28">
        <f t="shared" si="8"/>
        <v>-0.99999999999944578</v>
      </c>
      <c r="W34" s="28">
        <f t="shared" si="8"/>
        <v>-1.0000000000012221</v>
      </c>
      <c r="X34" s="29">
        <f t="shared" si="8"/>
        <v>0</v>
      </c>
      <c r="Y34" s="24"/>
    </row>
    <row r="35" spans="2:25" ht="15" customHeight="1" x14ac:dyDescent="0.2">
      <c r="B35" s="31">
        <v>41879</v>
      </c>
      <c r="C35" s="64"/>
      <c r="D35" s="26"/>
      <c r="E35" s="65"/>
      <c r="F35" s="16">
        <v>13.657</v>
      </c>
      <c r="G35" s="16">
        <v>10.125999999999999</v>
      </c>
      <c r="H35" s="16">
        <v>10.23</v>
      </c>
      <c r="I35" s="17">
        <v>104.098</v>
      </c>
      <c r="J35" s="58">
        <v>943</v>
      </c>
      <c r="K35" s="18">
        <f t="shared" si="4"/>
        <v>214</v>
      </c>
      <c r="L35" s="19" t="str">
        <f t="shared" si="0"/>
        <v/>
      </c>
      <c r="M35" s="19" t="str">
        <f t="shared" si="9"/>
        <v/>
      </c>
      <c r="N35" s="19" t="str">
        <f t="shared" si="0"/>
        <v/>
      </c>
      <c r="O35" s="19">
        <f t="shared" si="5"/>
        <v>-3.9999999999995595</v>
      </c>
      <c r="P35" s="19">
        <f t="shared" si="6"/>
        <v>-3.0000000000001137</v>
      </c>
      <c r="Q35" s="19">
        <f t="shared" si="7"/>
        <v>-4.9999999999990052</v>
      </c>
      <c r="R35" s="19">
        <f t="shared" si="1"/>
        <v>-13.00000000000523</v>
      </c>
      <c r="S35" s="27" t="str">
        <f t="shared" si="8"/>
        <v/>
      </c>
      <c r="T35" s="28" t="str">
        <f t="shared" si="8"/>
        <v/>
      </c>
      <c r="U35" s="28" t="str">
        <f t="shared" si="8"/>
        <v/>
      </c>
      <c r="V35" s="28">
        <f t="shared" si="8"/>
        <v>2.272727272726013E-2</v>
      </c>
      <c r="W35" s="28">
        <f t="shared" si="8"/>
        <v>0</v>
      </c>
      <c r="X35" s="29">
        <f t="shared" si="8"/>
        <v>0</v>
      </c>
      <c r="Y35" s="24"/>
    </row>
    <row r="36" spans="2:25" ht="15" customHeight="1" x14ac:dyDescent="0.2">
      <c r="B36" s="31">
        <v>41913</v>
      </c>
      <c r="C36" s="64"/>
      <c r="D36" s="26"/>
      <c r="E36" s="65"/>
      <c r="F36" s="16">
        <v>13.657</v>
      </c>
      <c r="G36" s="16">
        <v>10.125</v>
      </c>
      <c r="H36" s="16">
        <v>10.231</v>
      </c>
      <c r="I36" s="17">
        <v>104.098</v>
      </c>
      <c r="J36" s="58">
        <v>943</v>
      </c>
      <c r="K36" s="18">
        <f t="shared" si="4"/>
        <v>214</v>
      </c>
      <c r="L36" s="19" t="str">
        <f t="shared" si="0"/>
        <v/>
      </c>
      <c r="M36" s="19" t="str">
        <f t="shared" si="9"/>
        <v/>
      </c>
      <c r="N36" s="19" t="str">
        <f t="shared" si="0"/>
        <v/>
      </c>
      <c r="O36" s="19">
        <f t="shared" si="5"/>
        <v>-3.9999999999995595</v>
      </c>
      <c r="P36" s="19">
        <f t="shared" si="6"/>
        <v>-3.9999999999995595</v>
      </c>
      <c r="Q36" s="19">
        <f t="shared" si="7"/>
        <v>-3.9999999999995595</v>
      </c>
      <c r="R36" s="19">
        <f t="shared" si="1"/>
        <v>-13.00000000000523</v>
      </c>
      <c r="S36" s="27" t="str">
        <f t="shared" si="8"/>
        <v/>
      </c>
      <c r="T36" s="28" t="str">
        <f t="shared" si="8"/>
        <v/>
      </c>
      <c r="U36" s="28" t="str">
        <f t="shared" si="8"/>
        <v/>
      </c>
      <c r="V36" s="28">
        <f t="shared" si="8"/>
        <v>0</v>
      </c>
      <c r="W36" s="28">
        <f t="shared" si="8"/>
        <v>-2.9411764705866053E-2</v>
      </c>
      <c r="X36" s="29">
        <f t="shared" si="8"/>
        <v>2.9411764705866053E-2</v>
      </c>
      <c r="Y36" s="24"/>
    </row>
    <row r="37" spans="2:25" ht="15" customHeight="1" x14ac:dyDescent="0.2">
      <c r="B37" s="31">
        <v>42032</v>
      </c>
      <c r="C37" s="64"/>
      <c r="D37" s="26"/>
      <c r="E37" s="65"/>
      <c r="F37" s="16">
        <v>13.656000000000001</v>
      </c>
      <c r="G37" s="16">
        <v>10.124000000000001</v>
      </c>
      <c r="H37" s="16">
        <v>10.231</v>
      </c>
      <c r="I37" s="17">
        <v>104.098</v>
      </c>
      <c r="J37" s="58">
        <v>943</v>
      </c>
      <c r="K37" s="18">
        <f>IF(ISBLANK(J37),"",(J37-$J$8))</f>
        <v>214</v>
      </c>
      <c r="L37" s="19" t="str">
        <f t="shared" si="0"/>
        <v/>
      </c>
      <c r="M37" s="19" t="str">
        <f t="shared" si="9"/>
        <v/>
      </c>
      <c r="N37" s="19" t="str">
        <f t="shared" si="0"/>
        <v/>
      </c>
      <c r="O37" s="19">
        <f t="shared" si="5"/>
        <v>-4.9999999999990052</v>
      </c>
      <c r="P37" s="19">
        <f t="shared" si="6"/>
        <v>-4.9999999999990052</v>
      </c>
      <c r="Q37" s="19">
        <f t="shared" si="7"/>
        <v>-3.9999999999995595</v>
      </c>
      <c r="R37" s="19">
        <f t="shared" si="1"/>
        <v>-13.00000000000523</v>
      </c>
      <c r="S37" s="27" t="str">
        <f t="shared" si="8"/>
        <v/>
      </c>
      <c r="T37" s="28" t="str">
        <f t="shared" si="8"/>
        <v/>
      </c>
      <c r="U37" s="28" t="str">
        <f t="shared" si="8"/>
        <v/>
      </c>
      <c r="V37" s="28">
        <f t="shared" si="8"/>
        <v>-8.403361344533157E-3</v>
      </c>
      <c r="W37" s="28">
        <f t="shared" si="8"/>
        <v>-8.403361344533157E-3</v>
      </c>
      <c r="X37" s="29">
        <f t="shared" si="8"/>
        <v>0</v>
      </c>
      <c r="Y37" s="24"/>
    </row>
    <row r="38" spans="2:25" ht="15" customHeight="1" x14ac:dyDescent="0.2">
      <c r="B38" s="31">
        <v>42121</v>
      </c>
      <c r="C38" s="25"/>
      <c r="D38" s="26"/>
      <c r="E38" s="26"/>
      <c r="F38" s="16">
        <v>13.656000000000001</v>
      </c>
      <c r="G38" s="16">
        <v>10.125</v>
      </c>
      <c r="H38" s="16">
        <v>10.23</v>
      </c>
      <c r="I38" s="17">
        <v>104.09699999999999</v>
      </c>
      <c r="J38" s="58">
        <v>943</v>
      </c>
      <c r="K38" s="18">
        <f>IF(ISBLANK(J38),"",(J38-$J$8))</f>
        <v>214</v>
      </c>
      <c r="L38" s="19" t="str">
        <f t="shared" si="0"/>
        <v/>
      </c>
      <c r="M38" s="19" t="str">
        <f t="shared" si="9"/>
        <v/>
      </c>
      <c r="N38" s="19" t="str">
        <f t="shared" si="0"/>
        <v/>
      </c>
      <c r="O38" s="19">
        <f t="shared" si="5"/>
        <v>-4.9999999999990052</v>
      </c>
      <c r="P38" s="19">
        <f t="shared" si="6"/>
        <v>-3.9999999999995595</v>
      </c>
      <c r="Q38" s="19">
        <f t="shared" si="7"/>
        <v>-4.9999999999990052</v>
      </c>
      <c r="R38" s="19">
        <f t="shared" si="1"/>
        <v>-14.000000000010004</v>
      </c>
      <c r="S38" s="27" t="str">
        <f t="shared" si="8"/>
        <v/>
      </c>
      <c r="T38" s="28" t="str">
        <f t="shared" si="8"/>
        <v/>
      </c>
      <c r="U38" s="28" t="str">
        <f t="shared" si="8"/>
        <v/>
      </c>
      <c r="V38" s="28">
        <f t="shared" si="8"/>
        <v>0</v>
      </c>
      <c r="W38" s="28">
        <f t="shared" si="8"/>
        <v>1.1235955056173547E-2</v>
      </c>
      <c r="X38" s="29">
        <f t="shared" si="8"/>
        <v>-1.1235955056173547E-2</v>
      </c>
      <c r="Y38" s="24"/>
    </row>
    <row r="39" spans="2:25" ht="15" customHeight="1" x14ac:dyDescent="0.2">
      <c r="B39" s="31">
        <v>42223</v>
      </c>
      <c r="C39" s="64"/>
      <c r="D39" s="26"/>
      <c r="E39" s="65"/>
      <c r="F39" s="16">
        <v>13.656000000000001</v>
      </c>
      <c r="G39" s="16">
        <v>10.125</v>
      </c>
      <c r="H39" s="16">
        <v>10.23</v>
      </c>
      <c r="I39" s="17">
        <v>104.098</v>
      </c>
      <c r="J39" s="32">
        <v>1304</v>
      </c>
      <c r="K39" s="18">
        <f t="shared" ref="K39:K102" si="10">IF(ISBLANK(J39),"",(J39-$J$8))</f>
        <v>575</v>
      </c>
      <c r="L39" s="19" t="str">
        <f t="shared" si="0"/>
        <v/>
      </c>
      <c r="M39" s="19" t="str">
        <f t="shared" si="9"/>
        <v/>
      </c>
      <c r="N39" s="19" t="str">
        <f t="shared" si="0"/>
        <v/>
      </c>
      <c r="O39" s="19">
        <f t="shared" si="5"/>
        <v>-4.9999999999990052</v>
      </c>
      <c r="P39" s="19">
        <f t="shared" si="6"/>
        <v>-3.9999999999995595</v>
      </c>
      <c r="Q39" s="19">
        <f t="shared" si="7"/>
        <v>-4.9999999999990052</v>
      </c>
      <c r="R39" s="19">
        <f t="shared" si="1"/>
        <v>-13.00000000000523</v>
      </c>
      <c r="S39" s="27" t="str">
        <f t="shared" si="8"/>
        <v/>
      </c>
      <c r="T39" s="28" t="str">
        <f t="shared" si="8"/>
        <v/>
      </c>
      <c r="U39" s="28" t="str">
        <f t="shared" si="8"/>
        <v/>
      </c>
      <c r="V39" s="28">
        <f t="shared" si="8"/>
        <v>0</v>
      </c>
      <c r="W39" s="28">
        <f t="shared" si="8"/>
        <v>0</v>
      </c>
      <c r="X39" s="29">
        <f t="shared" si="8"/>
        <v>0</v>
      </c>
      <c r="Y39" s="24"/>
    </row>
    <row r="40" spans="2:25" ht="15" customHeight="1" x14ac:dyDescent="0.2">
      <c r="B40" s="31">
        <v>42326</v>
      </c>
      <c r="C40" s="25"/>
      <c r="D40" s="26"/>
      <c r="E40" s="26"/>
      <c r="F40" s="16">
        <v>13.657</v>
      </c>
      <c r="G40" s="16">
        <v>10.125</v>
      </c>
      <c r="H40" s="16">
        <v>10.231999999999999</v>
      </c>
      <c r="I40" s="17">
        <v>104.098</v>
      </c>
      <c r="J40" s="32">
        <v>2248</v>
      </c>
      <c r="K40" s="18">
        <f t="shared" si="10"/>
        <v>1519</v>
      </c>
      <c r="L40" s="19" t="str">
        <f t="shared" si="0"/>
        <v/>
      </c>
      <c r="M40" s="19" t="str">
        <f t="shared" si="9"/>
        <v/>
      </c>
      <c r="N40" s="19" t="str">
        <f t="shared" si="0"/>
        <v/>
      </c>
      <c r="O40" s="19">
        <f t="shared" si="5"/>
        <v>-3.9999999999995595</v>
      </c>
      <c r="P40" s="19">
        <f t="shared" si="6"/>
        <v>-3.9999999999995595</v>
      </c>
      <c r="Q40" s="19">
        <f t="shared" si="7"/>
        <v>-3.0000000000001137</v>
      </c>
      <c r="R40" s="19">
        <f t="shared" si="1"/>
        <v>-13.00000000000523</v>
      </c>
      <c r="S40" s="27" t="str">
        <f t="shared" si="8"/>
        <v/>
      </c>
      <c r="T40" s="28" t="str">
        <f t="shared" si="8"/>
        <v/>
      </c>
      <c r="U40" s="28" t="str">
        <f t="shared" si="8"/>
        <v/>
      </c>
      <c r="V40" s="28">
        <f t="shared" si="8"/>
        <v>9.7087378640722897E-3</v>
      </c>
      <c r="W40" s="28">
        <f t="shared" si="8"/>
        <v>0</v>
      </c>
      <c r="X40" s="29">
        <f t="shared" si="8"/>
        <v>1.9417475728144579E-2</v>
      </c>
      <c r="Y40" s="24"/>
    </row>
    <row r="41" spans="2:25" ht="15" customHeight="1" x14ac:dyDescent="0.2">
      <c r="B41" s="31">
        <v>42416</v>
      </c>
      <c r="C41" s="64">
        <v>12.978</v>
      </c>
      <c r="D41" s="26">
        <v>7.7450000000000001</v>
      </c>
      <c r="E41" s="65">
        <v>7.742</v>
      </c>
      <c r="F41" s="16">
        <v>13.657</v>
      </c>
      <c r="G41" s="16">
        <v>10.125</v>
      </c>
      <c r="H41" s="16">
        <v>10.23</v>
      </c>
      <c r="I41" s="17">
        <v>104.09699999999999</v>
      </c>
      <c r="J41" s="58">
        <v>2519</v>
      </c>
      <c r="K41" s="18">
        <f t="shared" si="10"/>
        <v>1790</v>
      </c>
      <c r="L41" s="19"/>
      <c r="M41" s="19"/>
      <c r="N41" s="19"/>
      <c r="O41" s="19">
        <f t="shared" si="5"/>
        <v>-3.9999999999995595</v>
      </c>
      <c r="P41" s="19">
        <f t="shared" si="6"/>
        <v>-3.9999999999995595</v>
      </c>
      <c r="Q41" s="19">
        <f t="shared" si="7"/>
        <v>-4.9999999999990052</v>
      </c>
      <c r="R41" s="19">
        <f t="shared" si="1"/>
        <v>-14.000000000010004</v>
      </c>
      <c r="S41" s="27"/>
      <c r="T41" s="28"/>
      <c r="U41" s="28"/>
      <c r="V41" s="28">
        <f t="shared" si="8"/>
        <v>0</v>
      </c>
      <c r="W41" s="28">
        <f t="shared" si="8"/>
        <v>0</v>
      </c>
      <c r="X41" s="29">
        <f t="shared" si="8"/>
        <v>-2.2222222222209907E-2</v>
      </c>
      <c r="Y41" s="24"/>
    </row>
    <row r="42" spans="2:25" ht="15" customHeight="1" x14ac:dyDescent="0.2">
      <c r="B42" s="31">
        <v>42530</v>
      </c>
      <c r="C42" s="64"/>
      <c r="D42" s="26"/>
      <c r="E42" s="65"/>
      <c r="F42" s="16">
        <v>13.656000000000001</v>
      </c>
      <c r="G42" s="16">
        <v>10.125</v>
      </c>
      <c r="H42" s="16">
        <v>10.228</v>
      </c>
      <c r="I42" s="17">
        <v>104.096</v>
      </c>
      <c r="J42" s="58">
        <v>2608</v>
      </c>
      <c r="K42" s="18">
        <f t="shared" si="10"/>
        <v>1879</v>
      </c>
      <c r="L42" s="19" t="str">
        <f t="shared" si="0"/>
        <v/>
      </c>
      <c r="M42" s="19" t="str">
        <f t="shared" si="9"/>
        <v/>
      </c>
      <c r="N42" s="19" t="str">
        <f t="shared" si="0"/>
        <v/>
      </c>
      <c r="O42" s="19">
        <f t="shared" si="5"/>
        <v>-4.9999999999990052</v>
      </c>
      <c r="P42" s="19">
        <f t="shared" si="6"/>
        <v>-3.9999999999995595</v>
      </c>
      <c r="Q42" s="19">
        <f t="shared" si="7"/>
        <v>-6.9999999999996732</v>
      </c>
      <c r="R42" s="19">
        <f t="shared" si="1"/>
        <v>-15.000000000000568</v>
      </c>
      <c r="S42" s="27" t="str">
        <f t="shared" si="8"/>
        <v/>
      </c>
      <c r="T42" s="28" t="str">
        <f t="shared" si="8"/>
        <v/>
      </c>
      <c r="U42" s="28" t="str">
        <f t="shared" si="8"/>
        <v/>
      </c>
      <c r="V42" s="28">
        <f t="shared" si="8"/>
        <v>-8.7719298245565423E-3</v>
      </c>
      <c r="W42" s="28">
        <f t="shared" si="8"/>
        <v>0</v>
      </c>
      <c r="X42" s="29">
        <f t="shared" si="8"/>
        <v>-1.7543859649128666E-2</v>
      </c>
      <c r="Y42" s="24"/>
    </row>
    <row r="43" spans="2:25" ht="15" customHeight="1" x14ac:dyDescent="0.2">
      <c r="B43" s="31"/>
      <c r="C43" s="64"/>
      <c r="D43" s="26"/>
      <c r="E43" s="65"/>
      <c r="F43" s="16"/>
      <c r="G43" s="16"/>
      <c r="H43" s="16"/>
      <c r="I43" s="17"/>
      <c r="J43" s="58"/>
      <c r="K43" s="18" t="str">
        <f t="shared" si="10"/>
        <v/>
      </c>
      <c r="L43" s="19" t="str">
        <f t="shared" si="0"/>
        <v/>
      </c>
      <c r="M43" s="19" t="str">
        <f t="shared" si="9"/>
        <v/>
      </c>
      <c r="N43" s="19" t="str">
        <f t="shared" si="0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1"/>
        <v/>
      </c>
      <c r="S43" s="27" t="str">
        <f t="shared" si="8"/>
        <v/>
      </c>
      <c r="T43" s="28" t="str">
        <f t="shared" si="8"/>
        <v/>
      </c>
      <c r="U43" s="28" t="str">
        <f t="shared" si="8"/>
        <v/>
      </c>
      <c r="V43" s="28" t="str">
        <f t="shared" si="8"/>
        <v/>
      </c>
      <c r="W43" s="28" t="str">
        <f t="shared" si="8"/>
        <v/>
      </c>
      <c r="X43" s="29" t="str">
        <f t="shared" si="8"/>
        <v/>
      </c>
      <c r="Y43" s="24"/>
    </row>
    <row r="44" spans="2:25" ht="15" customHeight="1" x14ac:dyDescent="0.2">
      <c r="B44" s="31"/>
      <c r="C44" s="64"/>
      <c r="D44" s="26"/>
      <c r="E44" s="65"/>
      <c r="F44" s="16"/>
      <c r="G44" s="16"/>
      <c r="H44" s="16"/>
      <c r="I44" s="17"/>
      <c r="J44" s="58"/>
      <c r="K44" s="18" t="str">
        <f t="shared" si="10"/>
        <v/>
      </c>
      <c r="L44" s="19" t="str">
        <f t="shared" si="0"/>
        <v/>
      </c>
      <c r="M44" s="19" t="str">
        <f t="shared" si="9"/>
        <v/>
      </c>
      <c r="N44" s="19" t="str">
        <f t="shared" si="0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1"/>
        <v/>
      </c>
      <c r="S44" s="27" t="str">
        <f t="shared" si="8"/>
        <v/>
      </c>
      <c r="T44" s="28" t="str">
        <f t="shared" si="8"/>
        <v/>
      </c>
      <c r="U44" s="28" t="str">
        <f t="shared" si="8"/>
        <v/>
      </c>
      <c r="V44" s="28" t="str">
        <f t="shared" si="8"/>
        <v/>
      </c>
      <c r="W44" s="28" t="str">
        <f t="shared" si="8"/>
        <v/>
      </c>
      <c r="X44" s="29" t="str">
        <f t="shared" si="8"/>
        <v/>
      </c>
      <c r="Y44" s="24"/>
    </row>
    <row r="45" spans="2:25" ht="15" customHeight="1" x14ac:dyDescent="0.2">
      <c r="B45" s="31"/>
      <c r="C45" s="64"/>
      <c r="D45" s="26"/>
      <c r="E45" s="65"/>
      <c r="F45" s="16"/>
      <c r="G45" s="16"/>
      <c r="H45" s="16"/>
      <c r="I45" s="17"/>
      <c r="J45" s="58"/>
      <c r="K45" s="18" t="str">
        <f t="shared" si="10"/>
        <v/>
      </c>
      <c r="L45" s="19" t="str">
        <f t="shared" si="0"/>
        <v/>
      </c>
      <c r="M45" s="19" t="str">
        <f t="shared" si="9"/>
        <v/>
      </c>
      <c r="N45" s="19" t="str">
        <f t="shared" si="0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1"/>
        <v/>
      </c>
      <c r="S45" s="27" t="str">
        <f t="shared" si="8"/>
        <v/>
      </c>
      <c r="T45" s="28" t="str">
        <f t="shared" si="8"/>
        <v/>
      </c>
      <c r="U45" s="28" t="str">
        <f t="shared" si="8"/>
        <v/>
      </c>
      <c r="V45" s="28" t="str">
        <f t="shared" si="8"/>
        <v/>
      </c>
      <c r="W45" s="28" t="str">
        <f t="shared" si="8"/>
        <v/>
      </c>
      <c r="X45" s="29" t="str">
        <f t="shared" si="8"/>
        <v/>
      </c>
      <c r="Y45" s="24"/>
    </row>
    <row r="46" spans="2:25" ht="15" customHeight="1" x14ac:dyDescent="0.2">
      <c r="B46" s="31"/>
      <c r="C46" s="64"/>
      <c r="D46" s="26"/>
      <c r="E46" s="65"/>
      <c r="F46" s="16"/>
      <c r="G46" s="16"/>
      <c r="H46" s="16"/>
      <c r="I46" s="17"/>
      <c r="J46" s="58"/>
      <c r="K46" s="18" t="str">
        <f t="shared" si="10"/>
        <v/>
      </c>
      <c r="L46" s="19" t="str">
        <f t="shared" si="0"/>
        <v/>
      </c>
      <c r="M46" s="19" t="str">
        <f t="shared" si="9"/>
        <v/>
      </c>
      <c r="N46" s="19" t="str">
        <f t="shared" si="0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1"/>
        <v/>
      </c>
      <c r="S46" s="27" t="str">
        <f t="shared" si="8"/>
        <v/>
      </c>
      <c r="T46" s="28" t="str">
        <f t="shared" si="8"/>
        <v/>
      </c>
      <c r="U46" s="28" t="str">
        <f t="shared" si="8"/>
        <v/>
      </c>
      <c r="V46" s="28" t="str">
        <f t="shared" si="8"/>
        <v/>
      </c>
      <c r="W46" s="28" t="str">
        <f t="shared" si="8"/>
        <v/>
      </c>
      <c r="X46" s="29" t="str">
        <f t="shared" si="8"/>
        <v/>
      </c>
      <c r="Y46" s="24"/>
    </row>
    <row r="47" spans="2:25" ht="15" customHeight="1" x14ac:dyDescent="0.2">
      <c r="B47" s="31"/>
      <c r="C47" s="64"/>
      <c r="D47" s="26"/>
      <c r="E47" s="65"/>
      <c r="F47" s="16"/>
      <c r="G47" s="16"/>
      <c r="H47" s="16"/>
      <c r="I47" s="17"/>
      <c r="J47" s="58"/>
      <c r="K47" s="18" t="str">
        <f t="shared" si="10"/>
        <v/>
      </c>
      <c r="L47" s="19" t="str">
        <f t="shared" si="0"/>
        <v/>
      </c>
      <c r="M47" s="19" t="str">
        <f t="shared" si="9"/>
        <v/>
      </c>
      <c r="N47" s="19" t="str">
        <f t="shared" si="0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1"/>
        <v/>
      </c>
      <c r="S47" s="27" t="str">
        <f t="shared" si="8"/>
        <v/>
      </c>
      <c r="T47" s="28" t="str">
        <f t="shared" si="8"/>
        <v/>
      </c>
      <c r="U47" s="28" t="str">
        <f t="shared" si="8"/>
        <v/>
      </c>
      <c r="V47" s="28" t="str">
        <f t="shared" si="8"/>
        <v/>
      </c>
      <c r="W47" s="28" t="str">
        <f t="shared" si="8"/>
        <v/>
      </c>
      <c r="X47" s="29" t="str">
        <f t="shared" si="8"/>
        <v/>
      </c>
      <c r="Y47" s="24"/>
    </row>
    <row r="48" spans="2:25" ht="15" customHeight="1" x14ac:dyDescent="0.2">
      <c r="B48" s="31"/>
      <c r="C48" s="64"/>
      <c r="D48" s="26"/>
      <c r="E48" s="65"/>
      <c r="F48" s="16"/>
      <c r="G48" s="16"/>
      <c r="H48" s="16"/>
      <c r="I48" s="17"/>
      <c r="J48" s="58"/>
      <c r="K48" s="18" t="str">
        <f t="shared" si="10"/>
        <v/>
      </c>
      <c r="L48" s="19" t="str">
        <f t="shared" ref="L48:N79" si="11">IF(ISBLANK(C48),"",(C48-C$16)*1000)</f>
        <v/>
      </c>
      <c r="M48" s="19" t="str">
        <f t="shared" si="9"/>
        <v/>
      </c>
      <c r="N48" s="19" t="str">
        <f t="shared" si="11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1"/>
        <v/>
      </c>
      <c r="S48" s="27" t="str">
        <f t="shared" si="8"/>
        <v/>
      </c>
      <c r="T48" s="28" t="str">
        <f t="shared" si="8"/>
        <v/>
      </c>
      <c r="U48" s="28" t="str">
        <f t="shared" si="8"/>
        <v/>
      </c>
      <c r="V48" s="28" t="str">
        <f t="shared" si="8"/>
        <v/>
      </c>
      <c r="W48" s="28" t="str">
        <f t="shared" si="8"/>
        <v/>
      </c>
      <c r="X48" s="29" t="str">
        <f t="shared" si="8"/>
        <v/>
      </c>
      <c r="Y48" s="24"/>
    </row>
    <row r="49" spans="2:25" ht="15" customHeight="1" x14ac:dyDescent="0.2">
      <c r="B49" s="31"/>
      <c r="C49" s="64"/>
      <c r="D49" s="26"/>
      <c r="E49" s="65"/>
      <c r="F49" s="16"/>
      <c r="G49" s="16"/>
      <c r="H49" s="16"/>
      <c r="I49" s="17"/>
      <c r="J49" s="58"/>
      <c r="K49" s="18" t="str">
        <f t="shared" si="10"/>
        <v/>
      </c>
      <c r="L49" s="19" t="str">
        <f t="shared" si="11"/>
        <v/>
      </c>
      <c r="M49" s="19" t="str">
        <f t="shared" si="9"/>
        <v/>
      </c>
      <c r="N49" s="19" t="str">
        <f t="shared" si="11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1"/>
        <v/>
      </c>
      <c r="S49" s="27" t="str">
        <f t="shared" ref="S49:X64" si="12">IF(C49="","",((C49-C48)*1000)/($B49-$B48))</f>
        <v/>
      </c>
      <c r="T49" s="28" t="str">
        <f t="shared" si="12"/>
        <v/>
      </c>
      <c r="U49" s="28" t="str">
        <f t="shared" si="12"/>
        <v/>
      </c>
      <c r="V49" s="28" t="str">
        <f t="shared" si="12"/>
        <v/>
      </c>
      <c r="W49" s="28" t="str">
        <f t="shared" si="12"/>
        <v/>
      </c>
      <c r="X49" s="29" t="str">
        <f t="shared" si="12"/>
        <v/>
      </c>
      <c r="Y49" s="24"/>
    </row>
    <row r="50" spans="2:25" ht="15" customHeight="1" x14ac:dyDescent="0.2">
      <c r="B50" s="31"/>
      <c r="C50" s="64"/>
      <c r="D50" s="26"/>
      <c r="E50" s="65"/>
      <c r="F50" s="16"/>
      <c r="G50" s="16"/>
      <c r="H50" s="16"/>
      <c r="I50" s="17"/>
      <c r="J50" s="58"/>
      <c r="K50" s="18" t="str">
        <f t="shared" si="10"/>
        <v/>
      </c>
      <c r="L50" s="19" t="str">
        <f t="shared" si="11"/>
        <v/>
      </c>
      <c r="M50" s="19" t="str">
        <f t="shared" si="9"/>
        <v/>
      </c>
      <c r="N50" s="19" t="str">
        <f t="shared" si="11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1"/>
        <v/>
      </c>
      <c r="S50" s="27" t="str">
        <f t="shared" si="12"/>
        <v/>
      </c>
      <c r="T50" s="28" t="str">
        <f t="shared" si="12"/>
        <v/>
      </c>
      <c r="U50" s="28" t="str">
        <f t="shared" si="12"/>
        <v/>
      </c>
      <c r="V50" s="28" t="str">
        <f t="shared" si="12"/>
        <v/>
      </c>
      <c r="W50" s="28" t="str">
        <f t="shared" si="12"/>
        <v/>
      </c>
      <c r="X50" s="29" t="str">
        <f t="shared" si="12"/>
        <v/>
      </c>
      <c r="Y50" s="24"/>
    </row>
    <row r="51" spans="2:25" ht="15" customHeight="1" x14ac:dyDescent="0.2">
      <c r="B51" s="31"/>
      <c r="C51" s="64"/>
      <c r="D51" s="26"/>
      <c r="E51" s="65"/>
      <c r="F51" s="16"/>
      <c r="G51" s="16"/>
      <c r="H51" s="16"/>
      <c r="I51" s="17"/>
      <c r="J51" s="58"/>
      <c r="K51" s="18" t="str">
        <f t="shared" si="10"/>
        <v/>
      </c>
      <c r="L51" s="19" t="str">
        <f t="shared" si="11"/>
        <v/>
      </c>
      <c r="M51" s="19" t="str">
        <f t="shared" si="9"/>
        <v/>
      </c>
      <c r="N51" s="19" t="str">
        <f t="shared" si="11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1"/>
        <v/>
      </c>
      <c r="S51" s="27" t="str">
        <f t="shared" si="12"/>
        <v/>
      </c>
      <c r="T51" s="28" t="str">
        <f t="shared" si="12"/>
        <v/>
      </c>
      <c r="U51" s="28" t="str">
        <f t="shared" si="12"/>
        <v/>
      </c>
      <c r="V51" s="28" t="str">
        <f t="shared" si="12"/>
        <v/>
      </c>
      <c r="W51" s="28" t="str">
        <f t="shared" si="12"/>
        <v/>
      </c>
      <c r="X51" s="29" t="str">
        <f t="shared" si="12"/>
        <v/>
      </c>
      <c r="Y51" s="24"/>
    </row>
    <row r="52" spans="2:25" ht="15" customHeight="1" x14ac:dyDescent="0.2">
      <c r="B52" s="31"/>
      <c r="C52" s="64"/>
      <c r="D52" s="26"/>
      <c r="E52" s="65"/>
      <c r="F52" s="16"/>
      <c r="G52" s="16"/>
      <c r="H52" s="16"/>
      <c r="I52" s="17"/>
      <c r="J52" s="58"/>
      <c r="K52" s="18" t="str">
        <f t="shared" si="10"/>
        <v/>
      </c>
      <c r="L52" s="19" t="str">
        <f t="shared" si="11"/>
        <v/>
      </c>
      <c r="M52" s="19" t="str">
        <f t="shared" si="9"/>
        <v/>
      </c>
      <c r="N52" s="19" t="str">
        <f t="shared" si="11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1"/>
        <v/>
      </c>
      <c r="S52" s="27" t="str">
        <f t="shared" si="12"/>
        <v/>
      </c>
      <c r="T52" s="28" t="str">
        <f t="shared" si="12"/>
        <v/>
      </c>
      <c r="U52" s="28" t="str">
        <f t="shared" si="12"/>
        <v/>
      </c>
      <c r="V52" s="28" t="str">
        <f t="shared" si="12"/>
        <v/>
      </c>
      <c r="W52" s="28" t="str">
        <f t="shared" si="12"/>
        <v/>
      </c>
      <c r="X52" s="29" t="str">
        <f t="shared" si="12"/>
        <v/>
      </c>
      <c r="Y52" s="24"/>
    </row>
    <row r="53" spans="2:25" ht="15" customHeight="1" x14ac:dyDescent="0.2">
      <c r="B53" s="31"/>
      <c r="C53" s="64"/>
      <c r="D53" s="26"/>
      <c r="E53" s="65"/>
      <c r="F53" s="16"/>
      <c r="G53" s="16"/>
      <c r="H53" s="16"/>
      <c r="I53" s="17"/>
      <c r="J53" s="58"/>
      <c r="K53" s="18" t="str">
        <f t="shared" si="10"/>
        <v/>
      </c>
      <c r="L53" s="19" t="str">
        <f t="shared" si="11"/>
        <v/>
      </c>
      <c r="M53" s="19" t="str">
        <f t="shared" si="9"/>
        <v/>
      </c>
      <c r="N53" s="19" t="str">
        <f t="shared" si="11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1"/>
        <v/>
      </c>
      <c r="S53" s="27" t="str">
        <f t="shared" si="12"/>
        <v/>
      </c>
      <c r="T53" s="28" t="str">
        <f t="shared" si="12"/>
        <v/>
      </c>
      <c r="U53" s="28" t="str">
        <f t="shared" si="12"/>
        <v/>
      </c>
      <c r="V53" s="28" t="str">
        <f t="shared" si="12"/>
        <v/>
      </c>
      <c r="W53" s="28" t="str">
        <f t="shared" si="12"/>
        <v/>
      </c>
      <c r="X53" s="29" t="str">
        <f t="shared" si="12"/>
        <v/>
      </c>
      <c r="Y53" s="24"/>
    </row>
    <row r="54" spans="2:25" ht="15" customHeight="1" x14ac:dyDescent="0.2">
      <c r="B54" s="31"/>
      <c r="C54" s="64"/>
      <c r="D54" s="26"/>
      <c r="E54" s="65"/>
      <c r="F54" s="16"/>
      <c r="G54" s="16"/>
      <c r="H54" s="16"/>
      <c r="I54" s="17"/>
      <c r="J54" s="58"/>
      <c r="K54" s="18" t="str">
        <f t="shared" si="10"/>
        <v/>
      </c>
      <c r="L54" s="19" t="str">
        <f t="shared" si="11"/>
        <v/>
      </c>
      <c r="M54" s="19" t="str">
        <f t="shared" si="9"/>
        <v/>
      </c>
      <c r="N54" s="19" t="str">
        <f t="shared" si="11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1"/>
        <v/>
      </c>
      <c r="S54" s="27" t="str">
        <f t="shared" si="12"/>
        <v/>
      </c>
      <c r="T54" s="28" t="str">
        <f t="shared" si="12"/>
        <v/>
      </c>
      <c r="U54" s="28" t="str">
        <f t="shared" si="12"/>
        <v/>
      </c>
      <c r="V54" s="28" t="str">
        <f t="shared" si="12"/>
        <v/>
      </c>
      <c r="W54" s="28" t="str">
        <f t="shared" si="12"/>
        <v/>
      </c>
      <c r="X54" s="29" t="str">
        <f t="shared" si="12"/>
        <v/>
      </c>
      <c r="Y54" s="24"/>
    </row>
    <row r="55" spans="2:25" ht="15" customHeight="1" x14ac:dyDescent="0.2">
      <c r="B55" s="31"/>
      <c r="C55" s="64"/>
      <c r="D55" s="26"/>
      <c r="E55" s="65"/>
      <c r="F55" s="16"/>
      <c r="G55" s="16"/>
      <c r="H55" s="16"/>
      <c r="I55" s="17"/>
      <c r="J55" s="58"/>
      <c r="K55" s="18" t="str">
        <f t="shared" si="10"/>
        <v/>
      </c>
      <c r="L55" s="19" t="str">
        <f t="shared" si="11"/>
        <v/>
      </c>
      <c r="M55" s="19" t="str">
        <f t="shared" si="9"/>
        <v/>
      </c>
      <c r="N55" s="19" t="str">
        <f t="shared" si="11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1"/>
        <v/>
      </c>
      <c r="S55" s="27" t="str">
        <f t="shared" si="12"/>
        <v/>
      </c>
      <c r="T55" s="28" t="str">
        <f t="shared" si="12"/>
        <v/>
      </c>
      <c r="U55" s="28" t="str">
        <f t="shared" si="12"/>
        <v/>
      </c>
      <c r="V55" s="28" t="str">
        <f t="shared" si="12"/>
        <v/>
      </c>
      <c r="W55" s="28" t="str">
        <f t="shared" si="12"/>
        <v/>
      </c>
      <c r="X55" s="29" t="str">
        <f t="shared" si="12"/>
        <v/>
      </c>
      <c r="Y55" s="24"/>
    </row>
    <row r="56" spans="2:25" ht="15" customHeight="1" x14ac:dyDescent="0.2">
      <c r="B56" s="31"/>
      <c r="C56" s="64"/>
      <c r="D56" s="26"/>
      <c r="E56" s="65"/>
      <c r="F56" s="16"/>
      <c r="G56" s="16"/>
      <c r="H56" s="16"/>
      <c r="I56" s="17"/>
      <c r="J56" s="58"/>
      <c r="K56" s="18" t="str">
        <f t="shared" si="10"/>
        <v/>
      </c>
      <c r="L56" s="19" t="str">
        <f t="shared" si="11"/>
        <v/>
      </c>
      <c r="M56" s="19" t="str">
        <f t="shared" si="9"/>
        <v/>
      </c>
      <c r="N56" s="19" t="str">
        <f t="shared" si="11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1"/>
        <v/>
      </c>
      <c r="S56" s="27" t="str">
        <f t="shared" si="12"/>
        <v/>
      </c>
      <c r="T56" s="28" t="str">
        <f t="shared" si="12"/>
        <v/>
      </c>
      <c r="U56" s="28" t="str">
        <f t="shared" si="12"/>
        <v/>
      </c>
      <c r="V56" s="28" t="str">
        <f t="shared" si="12"/>
        <v/>
      </c>
      <c r="W56" s="28" t="str">
        <f t="shared" si="12"/>
        <v/>
      </c>
      <c r="X56" s="29" t="str">
        <f t="shared" si="12"/>
        <v/>
      </c>
      <c r="Y56" s="24"/>
    </row>
    <row r="57" spans="2:25" ht="15" customHeight="1" x14ac:dyDescent="0.2">
      <c r="B57" s="31"/>
      <c r="C57" s="64"/>
      <c r="D57" s="26"/>
      <c r="E57" s="65"/>
      <c r="F57" s="16"/>
      <c r="G57" s="16"/>
      <c r="H57" s="16"/>
      <c r="I57" s="17"/>
      <c r="J57" s="58"/>
      <c r="K57" s="18" t="str">
        <f t="shared" si="10"/>
        <v/>
      </c>
      <c r="L57" s="19" t="str">
        <f t="shared" si="11"/>
        <v/>
      </c>
      <c r="M57" s="19" t="str">
        <f t="shared" si="9"/>
        <v/>
      </c>
      <c r="N57" s="19" t="str">
        <f t="shared" si="11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1"/>
        <v/>
      </c>
      <c r="S57" s="27" t="str">
        <f t="shared" si="12"/>
        <v/>
      </c>
      <c r="T57" s="28" t="str">
        <f t="shared" si="12"/>
        <v/>
      </c>
      <c r="U57" s="28" t="str">
        <f t="shared" si="12"/>
        <v/>
      </c>
      <c r="V57" s="28" t="str">
        <f t="shared" si="12"/>
        <v/>
      </c>
      <c r="W57" s="28" t="str">
        <f t="shared" si="12"/>
        <v/>
      </c>
      <c r="X57" s="29" t="str">
        <f t="shared" si="12"/>
        <v/>
      </c>
      <c r="Y57" s="24"/>
    </row>
    <row r="58" spans="2:25" ht="15" customHeight="1" x14ac:dyDescent="0.2">
      <c r="B58" s="31"/>
      <c r="C58" s="64"/>
      <c r="D58" s="26"/>
      <c r="E58" s="65"/>
      <c r="F58" s="16"/>
      <c r="G58" s="16"/>
      <c r="H58" s="16"/>
      <c r="I58" s="17"/>
      <c r="J58" s="58"/>
      <c r="K58" s="18" t="str">
        <f t="shared" si="10"/>
        <v/>
      </c>
      <c r="L58" s="19" t="str">
        <f t="shared" si="11"/>
        <v/>
      </c>
      <c r="M58" s="19" t="str">
        <f t="shared" si="9"/>
        <v/>
      </c>
      <c r="N58" s="19" t="str">
        <f t="shared" si="11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1"/>
        <v/>
      </c>
      <c r="S58" s="27" t="str">
        <f t="shared" si="12"/>
        <v/>
      </c>
      <c r="T58" s="28" t="str">
        <f t="shared" si="12"/>
        <v/>
      </c>
      <c r="U58" s="28" t="str">
        <f t="shared" si="12"/>
        <v/>
      </c>
      <c r="V58" s="28" t="str">
        <f t="shared" si="12"/>
        <v/>
      </c>
      <c r="W58" s="28" t="str">
        <f t="shared" si="12"/>
        <v/>
      </c>
      <c r="X58" s="29" t="str">
        <f t="shared" si="12"/>
        <v/>
      </c>
      <c r="Y58" s="24"/>
    </row>
    <row r="59" spans="2:25" ht="15" customHeight="1" x14ac:dyDescent="0.2">
      <c r="B59" s="31"/>
      <c r="C59" s="64"/>
      <c r="D59" s="26"/>
      <c r="E59" s="65"/>
      <c r="F59" s="16"/>
      <c r="G59" s="16"/>
      <c r="H59" s="16"/>
      <c r="I59" s="17"/>
      <c r="J59" s="58"/>
      <c r="K59" s="18" t="str">
        <f t="shared" si="10"/>
        <v/>
      </c>
      <c r="L59" s="19" t="str">
        <f t="shared" si="11"/>
        <v/>
      </c>
      <c r="M59" s="19" t="str">
        <f t="shared" si="9"/>
        <v/>
      </c>
      <c r="N59" s="19" t="str">
        <f t="shared" si="11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1"/>
        <v/>
      </c>
      <c r="S59" s="27" t="str">
        <f t="shared" si="12"/>
        <v/>
      </c>
      <c r="T59" s="28" t="str">
        <f t="shared" si="12"/>
        <v/>
      </c>
      <c r="U59" s="28" t="str">
        <f t="shared" si="12"/>
        <v/>
      </c>
      <c r="V59" s="28" t="str">
        <f t="shared" si="12"/>
        <v/>
      </c>
      <c r="W59" s="28" t="str">
        <f t="shared" si="12"/>
        <v/>
      </c>
      <c r="X59" s="29" t="str">
        <f t="shared" si="12"/>
        <v/>
      </c>
      <c r="Y59" s="24"/>
    </row>
    <row r="60" spans="2:25" ht="15" customHeight="1" x14ac:dyDescent="0.2">
      <c r="B60" s="31"/>
      <c r="C60" s="64"/>
      <c r="D60" s="26"/>
      <c r="E60" s="65"/>
      <c r="F60" s="16"/>
      <c r="G60" s="16"/>
      <c r="H60" s="16"/>
      <c r="I60" s="17"/>
      <c r="J60" s="58"/>
      <c r="K60" s="18" t="str">
        <f t="shared" si="10"/>
        <v/>
      </c>
      <c r="L60" s="19" t="str">
        <f t="shared" si="11"/>
        <v/>
      </c>
      <c r="M60" s="19" t="str">
        <f t="shared" si="9"/>
        <v/>
      </c>
      <c r="N60" s="19" t="str">
        <f t="shared" si="11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1"/>
        <v/>
      </c>
      <c r="S60" s="27" t="str">
        <f t="shared" si="12"/>
        <v/>
      </c>
      <c r="T60" s="28" t="str">
        <f t="shared" si="12"/>
        <v/>
      </c>
      <c r="U60" s="28" t="str">
        <f t="shared" si="12"/>
        <v/>
      </c>
      <c r="V60" s="28" t="str">
        <f t="shared" si="12"/>
        <v/>
      </c>
      <c r="W60" s="28" t="str">
        <f t="shared" si="12"/>
        <v/>
      </c>
      <c r="X60" s="29" t="str">
        <f t="shared" si="12"/>
        <v/>
      </c>
      <c r="Y60" s="24"/>
    </row>
    <row r="61" spans="2:25" ht="15" customHeight="1" x14ac:dyDescent="0.2">
      <c r="B61" s="31"/>
      <c r="C61" s="64"/>
      <c r="D61" s="26"/>
      <c r="E61" s="65"/>
      <c r="F61" s="16"/>
      <c r="G61" s="16"/>
      <c r="H61" s="16"/>
      <c r="I61" s="17"/>
      <c r="J61" s="58"/>
      <c r="K61" s="18" t="str">
        <f t="shared" si="10"/>
        <v/>
      </c>
      <c r="L61" s="19" t="str">
        <f t="shared" si="11"/>
        <v/>
      </c>
      <c r="M61" s="19" t="str">
        <f t="shared" si="9"/>
        <v/>
      </c>
      <c r="N61" s="19" t="str">
        <f t="shared" si="11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1"/>
        <v/>
      </c>
      <c r="S61" s="27" t="str">
        <f t="shared" si="12"/>
        <v/>
      </c>
      <c r="T61" s="28" t="str">
        <f t="shared" si="12"/>
        <v/>
      </c>
      <c r="U61" s="28" t="str">
        <f t="shared" si="12"/>
        <v/>
      </c>
      <c r="V61" s="28" t="str">
        <f t="shared" si="12"/>
        <v/>
      </c>
      <c r="W61" s="28" t="str">
        <f t="shared" si="12"/>
        <v/>
      </c>
      <c r="X61" s="29" t="str">
        <f t="shared" si="12"/>
        <v/>
      </c>
      <c r="Y61" s="24"/>
    </row>
    <row r="62" spans="2:25" ht="15" customHeight="1" x14ac:dyDescent="0.2">
      <c r="B62" s="31"/>
      <c r="C62" s="64"/>
      <c r="D62" s="26"/>
      <c r="E62" s="65"/>
      <c r="F62" s="16"/>
      <c r="G62" s="16"/>
      <c r="H62" s="16"/>
      <c r="I62" s="17"/>
      <c r="J62" s="58"/>
      <c r="K62" s="18" t="str">
        <f t="shared" si="10"/>
        <v/>
      </c>
      <c r="L62" s="19" t="str">
        <f t="shared" si="11"/>
        <v/>
      </c>
      <c r="M62" s="19" t="str">
        <f t="shared" si="9"/>
        <v/>
      </c>
      <c r="N62" s="19" t="str">
        <f t="shared" si="11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1"/>
        <v/>
      </c>
      <c r="S62" s="27" t="str">
        <f t="shared" si="12"/>
        <v/>
      </c>
      <c r="T62" s="28" t="str">
        <f t="shared" si="12"/>
        <v/>
      </c>
      <c r="U62" s="28" t="str">
        <f t="shared" si="12"/>
        <v/>
      </c>
      <c r="V62" s="28" t="str">
        <f t="shared" si="12"/>
        <v/>
      </c>
      <c r="W62" s="28" t="str">
        <f t="shared" si="12"/>
        <v/>
      </c>
      <c r="X62" s="29" t="str">
        <f t="shared" si="12"/>
        <v/>
      </c>
      <c r="Y62" s="24"/>
    </row>
    <row r="63" spans="2:25" ht="15" customHeight="1" x14ac:dyDescent="0.2">
      <c r="B63" s="31"/>
      <c r="C63" s="64"/>
      <c r="D63" s="26"/>
      <c r="E63" s="65"/>
      <c r="F63" s="16"/>
      <c r="G63" s="16"/>
      <c r="H63" s="16"/>
      <c r="I63" s="17"/>
      <c r="J63" s="58"/>
      <c r="K63" s="18" t="str">
        <f t="shared" si="10"/>
        <v/>
      </c>
      <c r="L63" s="19" t="str">
        <f t="shared" si="11"/>
        <v/>
      </c>
      <c r="M63" s="19" t="str">
        <f t="shared" si="9"/>
        <v/>
      </c>
      <c r="N63" s="19" t="str">
        <f t="shared" si="11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"/>
        <v/>
      </c>
      <c r="S63" s="27" t="str">
        <f t="shared" si="12"/>
        <v/>
      </c>
      <c r="T63" s="28" t="str">
        <f t="shared" si="12"/>
        <v/>
      </c>
      <c r="U63" s="28" t="str">
        <f t="shared" si="12"/>
        <v/>
      </c>
      <c r="V63" s="28" t="str">
        <f t="shared" si="12"/>
        <v/>
      </c>
      <c r="W63" s="28" t="str">
        <f t="shared" si="12"/>
        <v/>
      </c>
      <c r="X63" s="29" t="str">
        <f t="shared" si="12"/>
        <v/>
      </c>
      <c r="Y63" s="24"/>
    </row>
    <row r="64" spans="2:25" ht="15" customHeight="1" x14ac:dyDescent="0.2">
      <c r="B64" s="31"/>
      <c r="C64" s="64"/>
      <c r="D64" s="26"/>
      <c r="E64" s="65"/>
      <c r="F64" s="16"/>
      <c r="G64" s="16"/>
      <c r="H64" s="16"/>
      <c r="I64" s="17"/>
      <c r="J64" s="58"/>
      <c r="K64" s="18" t="str">
        <f t="shared" si="10"/>
        <v/>
      </c>
      <c r="L64" s="19" t="str">
        <f t="shared" si="11"/>
        <v/>
      </c>
      <c r="M64" s="19" t="str">
        <f t="shared" si="9"/>
        <v/>
      </c>
      <c r="N64" s="19" t="str">
        <f t="shared" si="11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"/>
        <v/>
      </c>
      <c r="S64" s="27" t="str">
        <f t="shared" si="12"/>
        <v/>
      </c>
      <c r="T64" s="28" t="str">
        <f t="shared" si="12"/>
        <v/>
      </c>
      <c r="U64" s="28" t="str">
        <f t="shared" si="12"/>
        <v/>
      </c>
      <c r="V64" s="28" t="str">
        <f t="shared" si="12"/>
        <v/>
      </c>
      <c r="W64" s="28" t="str">
        <f t="shared" si="12"/>
        <v/>
      </c>
      <c r="X64" s="29" t="str">
        <f t="shared" si="12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0"/>
        <v/>
      </c>
      <c r="L65" s="19" t="str">
        <f t="shared" si="11"/>
        <v/>
      </c>
      <c r="M65" s="19" t="str">
        <f t="shared" si="9"/>
        <v/>
      </c>
      <c r="N65" s="19" t="str">
        <f t="shared" si="11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"/>
        <v/>
      </c>
      <c r="S65" s="27" t="str">
        <f t="shared" ref="S65:X80" si="13">IF(C65="","",((C65-C64)*1000)/($B65-$B64))</f>
        <v/>
      </c>
      <c r="T65" s="28" t="str">
        <f t="shared" si="13"/>
        <v/>
      </c>
      <c r="U65" s="28" t="str">
        <f t="shared" si="13"/>
        <v/>
      </c>
      <c r="V65" s="28" t="str">
        <f t="shared" si="13"/>
        <v/>
      </c>
      <c r="W65" s="28" t="str">
        <f t="shared" si="13"/>
        <v/>
      </c>
      <c r="X65" s="29" t="str">
        <f t="shared" si="13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0"/>
        <v/>
      </c>
      <c r="L66" s="19" t="str">
        <f t="shared" si="11"/>
        <v/>
      </c>
      <c r="M66" s="19" t="str">
        <f t="shared" si="9"/>
        <v/>
      </c>
      <c r="N66" s="19" t="str">
        <f t="shared" si="11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"/>
        <v/>
      </c>
      <c r="S66" s="27" t="str">
        <f t="shared" si="13"/>
        <v/>
      </c>
      <c r="T66" s="28" t="str">
        <f t="shared" si="13"/>
        <v/>
      </c>
      <c r="U66" s="28" t="str">
        <f t="shared" si="13"/>
        <v/>
      </c>
      <c r="V66" s="28" t="str">
        <f t="shared" si="13"/>
        <v/>
      </c>
      <c r="W66" s="28" t="str">
        <f t="shared" si="13"/>
        <v/>
      </c>
      <c r="X66" s="29" t="str">
        <f t="shared" si="13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0"/>
        <v/>
      </c>
      <c r="L67" s="19" t="str">
        <f t="shared" si="11"/>
        <v/>
      </c>
      <c r="M67" s="19" t="str">
        <f t="shared" si="9"/>
        <v/>
      </c>
      <c r="N67" s="19" t="str">
        <f t="shared" si="11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"/>
        <v/>
      </c>
      <c r="S67" s="27" t="str">
        <f t="shared" si="13"/>
        <v/>
      </c>
      <c r="T67" s="28" t="str">
        <f t="shared" si="13"/>
        <v/>
      </c>
      <c r="U67" s="28" t="str">
        <f t="shared" si="13"/>
        <v/>
      </c>
      <c r="V67" s="28" t="str">
        <f t="shared" si="13"/>
        <v/>
      </c>
      <c r="W67" s="28" t="str">
        <f t="shared" si="13"/>
        <v/>
      </c>
      <c r="X67" s="29" t="str">
        <f t="shared" si="13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0"/>
        <v/>
      </c>
      <c r="L68" s="19" t="str">
        <f t="shared" si="11"/>
        <v/>
      </c>
      <c r="M68" s="19" t="str">
        <f t="shared" si="9"/>
        <v/>
      </c>
      <c r="N68" s="19" t="str">
        <f t="shared" si="11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"/>
        <v/>
      </c>
      <c r="S68" s="27" t="str">
        <f t="shared" si="13"/>
        <v/>
      </c>
      <c r="T68" s="28" t="str">
        <f t="shared" si="13"/>
        <v/>
      </c>
      <c r="U68" s="28" t="str">
        <f t="shared" si="13"/>
        <v/>
      </c>
      <c r="V68" s="28" t="str">
        <f t="shared" si="13"/>
        <v/>
      </c>
      <c r="W68" s="28" t="str">
        <f t="shared" si="13"/>
        <v/>
      </c>
      <c r="X68" s="29" t="str">
        <f t="shared" si="13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0"/>
        <v/>
      </c>
      <c r="L69" s="19" t="str">
        <f t="shared" si="11"/>
        <v/>
      </c>
      <c r="M69" s="19" t="str">
        <f t="shared" si="9"/>
        <v/>
      </c>
      <c r="N69" s="19" t="str">
        <f t="shared" si="11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"/>
        <v/>
      </c>
      <c r="S69" s="27" t="str">
        <f t="shared" si="13"/>
        <v/>
      </c>
      <c r="T69" s="28" t="str">
        <f t="shared" si="13"/>
        <v/>
      </c>
      <c r="U69" s="28" t="str">
        <f t="shared" si="13"/>
        <v/>
      </c>
      <c r="V69" s="28" t="str">
        <f t="shared" si="13"/>
        <v/>
      </c>
      <c r="W69" s="28" t="str">
        <f t="shared" si="13"/>
        <v/>
      </c>
      <c r="X69" s="29" t="str">
        <f t="shared" si="13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0"/>
        <v/>
      </c>
      <c r="L70" s="19" t="str">
        <f t="shared" si="11"/>
        <v/>
      </c>
      <c r="M70" s="19" t="str">
        <f t="shared" si="9"/>
        <v/>
      </c>
      <c r="N70" s="19" t="str">
        <f t="shared" si="11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"/>
        <v/>
      </c>
      <c r="S70" s="27" t="str">
        <f t="shared" si="13"/>
        <v/>
      </c>
      <c r="T70" s="28" t="str">
        <f t="shared" si="13"/>
        <v/>
      </c>
      <c r="U70" s="28" t="str">
        <f t="shared" si="13"/>
        <v/>
      </c>
      <c r="V70" s="28" t="str">
        <f t="shared" si="13"/>
        <v/>
      </c>
      <c r="W70" s="28" t="str">
        <f t="shared" si="13"/>
        <v/>
      </c>
      <c r="X70" s="29" t="str">
        <f t="shared" si="13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0"/>
        <v/>
      </c>
      <c r="L71" s="19" t="str">
        <f t="shared" si="11"/>
        <v/>
      </c>
      <c r="M71" s="19" t="str">
        <f t="shared" si="9"/>
        <v/>
      </c>
      <c r="N71" s="19" t="str">
        <f t="shared" si="11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"/>
        <v/>
      </c>
      <c r="S71" s="27" t="str">
        <f t="shared" si="13"/>
        <v/>
      </c>
      <c r="T71" s="28" t="str">
        <f t="shared" si="13"/>
        <v/>
      </c>
      <c r="U71" s="28" t="str">
        <f t="shared" si="13"/>
        <v/>
      </c>
      <c r="V71" s="28" t="str">
        <f t="shared" si="13"/>
        <v/>
      </c>
      <c r="W71" s="28" t="str">
        <f t="shared" si="13"/>
        <v/>
      </c>
      <c r="X71" s="29" t="str">
        <f t="shared" si="13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0"/>
        <v/>
      </c>
      <c r="L72" s="19" t="str">
        <f t="shared" si="11"/>
        <v/>
      </c>
      <c r="M72" s="19" t="str">
        <f t="shared" si="9"/>
        <v/>
      </c>
      <c r="N72" s="19" t="str">
        <f t="shared" si="11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"/>
        <v/>
      </c>
      <c r="S72" s="27" t="str">
        <f t="shared" si="13"/>
        <v/>
      </c>
      <c r="T72" s="28" t="str">
        <f t="shared" si="13"/>
        <v/>
      </c>
      <c r="U72" s="28" t="str">
        <f t="shared" si="13"/>
        <v/>
      </c>
      <c r="V72" s="28" t="str">
        <f t="shared" si="13"/>
        <v/>
      </c>
      <c r="W72" s="28" t="str">
        <f t="shared" si="13"/>
        <v/>
      </c>
      <c r="X72" s="29" t="str">
        <f t="shared" si="13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0"/>
        <v/>
      </c>
      <c r="L73" s="19" t="str">
        <f t="shared" si="11"/>
        <v/>
      </c>
      <c r="M73" s="19" t="str">
        <f t="shared" si="9"/>
        <v/>
      </c>
      <c r="N73" s="19" t="str">
        <f t="shared" si="11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"/>
        <v/>
      </c>
      <c r="S73" s="27" t="str">
        <f t="shared" si="13"/>
        <v/>
      </c>
      <c r="T73" s="28" t="str">
        <f t="shared" si="13"/>
        <v/>
      </c>
      <c r="U73" s="28" t="str">
        <f t="shared" si="13"/>
        <v/>
      </c>
      <c r="V73" s="28" t="str">
        <f t="shared" si="13"/>
        <v/>
      </c>
      <c r="W73" s="28" t="str">
        <f t="shared" si="13"/>
        <v/>
      </c>
      <c r="X73" s="29" t="str">
        <f t="shared" si="13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0"/>
        <v/>
      </c>
      <c r="L74" s="19" t="str">
        <f t="shared" si="11"/>
        <v/>
      </c>
      <c r="M74" s="19" t="str">
        <f t="shared" si="9"/>
        <v/>
      </c>
      <c r="N74" s="19" t="str">
        <f t="shared" si="11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"/>
        <v/>
      </c>
      <c r="S74" s="27" t="str">
        <f t="shared" si="13"/>
        <v/>
      </c>
      <c r="T74" s="28" t="str">
        <f t="shared" si="13"/>
        <v/>
      </c>
      <c r="U74" s="28" t="str">
        <f t="shared" si="13"/>
        <v/>
      </c>
      <c r="V74" s="28" t="str">
        <f t="shared" si="13"/>
        <v/>
      </c>
      <c r="W74" s="28" t="str">
        <f t="shared" si="13"/>
        <v/>
      </c>
      <c r="X74" s="29" t="str">
        <f t="shared" si="13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0"/>
        <v/>
      </c>
      <c r="L75" s="19" t="str">
        <f t="shared" si="11"/>
        <v/>
      </c>
      <c r="M75" s="19" t="str">
        <f t="shared" si="9"/>
        <v/>
      </c>
      <c r="N75" s="19" t="str">
        <f t="shared" si="11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"/>
        <v/>
      </c>
      <c r="S75" s="27" t="str">
        <f t="shared" si="13"/>
        <v/>
      </c>
      <c r="T75" s="28" t="str">
        <f t="shared" si="13"/>
        <v/>
      </c>
      <c r="U75" s="28" t="str">
        <f t="shared" si="13"/>
        <v/>
      </c>
      <c r="V75" s="28" t="str">
        <f t="shared" si="13"/>
        <v/>
      </c>
      <c r="W75" s="28" t="str">
        <f t="shared" si="13"/>
        <v/>
      </c>
      <c r="X75" s="29" t="str">
        <f t="shared" si="13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0"/>
        <v/>
      </c>
      <c r="L76" s="19" t="str">
        <f t="shared" si="11"/>
        <v/>
      </c>
      <c r="M76" s="19" t="str">
        <f t="shared" si="9"/>
        <v/>
      </c>
      <c r="N76" s="19" t="str">
        <f t="shared" si="11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"/>
        <v/>
      </c>
      <c r="S76" s="27" t="str">
        <f t="shared" si="13"/>
        <v/>
      </c>
      <c r="T76" s="28" t="str">
        <f t="shared" si="13"/>
        <v/>
      </c>
      <c r="U76" s="28" t="str">
        <f t="shared" si="13"/>
        <v/>
      </c>
      <c r="V76" s="28" t="str">
        <f t="shared" si="13"/>
        <v/>
      </c>
      <c r="W76" s="28" t="str">
        <f t="shared" si="13"/>
        <v/>
      </c>
      <c r="X76" s="29" t="str">
        <f t="shared" si="13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0"/>
        <v/>
      </c>
      <c r="L77" s="19" t="str">
        <f t="shared" si="11"/>
        <v/>
      </c>
      <c r="M77" s="19" t="str">
        <f t="shared" si="9"/>
        <v/>
      </c>
      <c r="N77" s="19" t="str">
        <f t="shared" si="11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"/>
        <v/>
      </c>
      <c r="S77" s="27" t="str">
        <f t="shared" si="13"/>
        <v/>
      </c>
      <c r="T77" s="28" t="str">
        <f t="shared" si="13"/>
        <v/>
      </c>
      <c r="U77" s="28" t="str">
        <f t="shared" si="13"/>
        <v/>
      </c>
      <c r="V77" s="28" t="str">
        <f t="shared" si="13"/>
        <v/>
      </c>
      <c r="W77" s="28" t="str">
        <f t="shared" si="13"/>
        <v/>
      </c>
      <c r="X77" s="29" t="str">
        <f t="shared" si="13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0"/>
        <v/>
      </c>
      <c r="L78" s="19" t="str">
        <f t="shared" si="11"/>
        <v/>
      </c>
      <c r="M78" s="19" t="str">
        <f t="shared" si="9"/>
        <v/>
      </c>
      <c r="N78" s="19" t="str">
        <f t="shared" si="11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"/>
        <v/>
      </c>
      <c r="S78" s="27" t="str">
        <f t="shared" si="13"/>
        <v/>
      </c>
      <c r="T78" s="28" t="str">
        <f t="shared" si="13"/>
        <v/>
      </c>
      <c r="U78" s="28" t="str">
        <f t="shared" si="13"/>
        <v/>
      </c>
      <c r="V78" s="28" t="str">
        <f t="shared" si="13"/>
        <v/>
      </c>
      <c r="W78" s="28" t="str">
        <f t="shared" si="13"/>
        <v/>
      </c>
      <c r="X78" s="29" t="str">
        <f t="shared" si="13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0"/>
        <v/>
      </c>
      <c r="L79" s="19" t="str">
        <f t="shared" si="11"/>
        <v/>
      </c>
      <c r="M79" s="19" t="str">
        <f t="shared" si="9"/>
        <v/>
      </c>
      <c r="N79" s="19" t="str">
        <f t="shared" si="11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"/>
        <v/>
      </c>
      <c r="S79" s="27" t="str">
        <f t="shared" si="13"/>
        <v/>
      </c>
      <c r="T79" s="28" t="str">
        <f t="shared" si="13"/>
        <v/>
      </c>
      <c r="U79" s="28" t="str">
        <f t="shared" si="13"/>
        <v/>
      </c>
      <c r="V79" s="28" t="str">
        <f t="shared" si="13"/>
        <v/>
      </c>
      <c r="W79" s="28" t="str">
        <f t="shared" si="13"/>
        <v/>
      </c>
      <c r="X79" s="29" t="str">
        <f t="shared" si="13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0"/>
        <v/>
      </c>
      <c r="L80" s="19" t="str">
        <f t="shared" ref="L80:L111" si="14">IF(ISBLANK(C80),"",(C80-C$16)*1000)</f>
        <v/>
      </c>
      <c r="M80" s="19" t="str">
        <f t="shared" si="9"/>
        <v/>
      </c>
      <c r="N80" s="19" t="str">
        <f t="shared" ref="N80:N111" si="15">IF(ISBLANK(E80),"",(E80-E$16)*1000)</f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ref="R80:R111" si="16">IF(ISBLANK(I80),"",(I80-I$16)*1000)</f>
        <v/>
      </c>
      <c r="S80" s="27" t="str">
        <f t="shared" si="13"/>
        <v/>
      </c>
      <c r="T80" s="28" t="str">
        <f t="shared" si="13"/>
        <v/>
      </c>
      <c r="U80" s="28" t="str">
        <f t="shared" si="13"/>
        <v/>
      </c>
      <c r="V80" s="28" t="str">
        <f t="shared" si="13"/>
        <v/>
      </c>
      <c r="W80" s="28" t="str">
        <f t="shared" si="13"/>
        <v/>
      </c>
      <c r="X80" s="29" t="str">
        <f t="shared" si="13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0"/>
        <v/>
      </c>
      <c r="L81" s="19" t="str">
        <f t="shared" si="14"/>
        <v/>
      </c>
      <c r="M81" s="19" t="str">
        <f t="shared" si="9"/>
        <v/>
      </c>
      <c r="N81" s="19" t="str">
        <f t="shared" si="15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6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0"/>
        <v/>
      </c>
      <c r="L82" s="19" t="str">
        <f t="shared" si="14"/>
        <v/>
      </c>
      <c r="M82" s="19" t="str">
        <f t="shared" si="9"/>
        <v/>
      </c>
      <c r="N82" s="19" t="str">
        <f t="shared" si="15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6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0"/>
        <v/>
      </c>
      <c r="L83" s="19" t="str">
        <f t="shared" si="14"/>
        <v/>
      </c>
      <c r="M83" s="19" t="str">
        <f t="shared" si="9"/>
        <v/>
      </c>
      <c r="N83" s="19" t="str">
        <f t="shared" si="15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6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0"/>
        <v/>
      </c>
      <c r="L84" s="19" t="str">
        <f t="shared" si="14"/>
        <v/>
      </c>
      <c r="M84" s="19" t="str">
        <f t="shared" si="9"/>
        <v/>
      </c>
      <c r="N84" s="19" t="str">
        <f t="shared" si="15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6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0"/>
        <v/>
      </c>
      <c r="L85" s="19" t="str">
        <f t="shared" si="14"/>
        <v/>
      </c>
      <c r="M85" s="19" t="str">
        <f t="shared" si="9"/>
        <v/>
      </c>
      <c r="N85" s="19" t="str">
        <f t="shared" si="15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6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0"/>
        <v/>
      </c>
      <c r="L86" s="19" t="str">
        <f t="shared" si="14"/>
        <v/>
      </c>
      <c r="M86" s="19" t="str">
        <f t="shared" si="9"/>
        <v/>
      </c>
      <c r="N86" s="19" t="str">
        <f t="shared" si="15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6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10"/>
        <v/>
      </c>
      <c r="L87" s="19" t="str">
        <f t="shared" si="14"/>
        <v/>
      </c>
      <c r="M87" s="19" t="str">
        <f t="shared" si="9"/>
        <v/>
      </c>
      <c r="N87" s="19" t="str">
        <f t="shared" si="15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6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0"/>
        <v/>
      </c>
      <c r="L88" s="19" t="str">
        <f t="shared" si="14"/>
        <v/>
      </c>
      <c r="M88" s="19" t="str">
        <f t="shared" si="9"/>
        <v/>
      </c>
      <c r="N88" s="19" t="str">
        <f t="shared" si="15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6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0"/>
        <v/>
      </c>
      <c r="L89" s="19" t="str">
        <f t="shared" si="14"/>
        <v/>
      </c>
      <c r="M89" s="19" t="str">
        <f t="shared" si="9"/>
        <v/>
      </c>
      <c r="N89" s="19" t="str">
        <f t="shared" si="15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6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0"/>
        <v/>
      </c>
      <c r="L90" s="19" t="str">
        <f t="shared" si="14"/>
        <v/>
      </c>
      <c r="M90" s="19" t="str">
        <f t="shared" si="9"/>
        <v/>
      </c>
      <c r="N90" s="19" t="str">
        <f t="shared" si="15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6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0"/>
        <v/>
      </c>
      <c r="L91" s="19" t="str">
        <f t="shared" si="14"/>
        <v/>
      </c>
      <c r="M91" s="19" t="str">
        <f t="shared" si="9"/>
        <v/>
      </c>
      <c r="N91" s="19" t="str">
        <f t="shared" si="15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6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0"/>
        <v/>
      </c>
      <c r="L92" s="19" t="str">
        <f t="shared" si="14"/>
        <v/>
      </c>
      <c r="M92" s="19" t="str">
        <f t="shared" si="9"/>
        <v/>
      </c>
      <c r="N92" s="19" t="str">
        <f t="shared" si="15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6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0"/>
        <v/>
      </c>
      <c r="L93" s="19" t="str">
        <f t="shared" si="14"/>
        <v/>
      </c>
      <c r="M93" s="19" t="str">
        <f t="shared" si="9"/>
        <v/>
      </c>
      <c r="N93" s="19" t="str">
        <f t="shared" si="15"/>
        <v/>
      </c>
      <c r="O93" s="19" t="str">
        <f t="shared" si="5"/>
        <v/>
      </c>
      <c r="P93" s="19" t="str">
        <f t="shared" si="6"/>
        <v/>
      </c>
      <c r="Q93" s="19" t="str">
        <f t="shared" si="7"/>
        <v/>
      </c>
      <c r="R93" s="19" t="str">
        <f t="shared" si="16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0"/>
        <v/>
      </c>
      <c r="L94" s="19" t="str">
        <f t="shared" si="14"/>
        <v/>
      </c>
      <c r="M94" s="19" t="str">
        <f t="shared" si="9"/>
        <v/>
      </c>
      <c r="N94" s="19" t="str">
        <f t="shared" si="15"/>
        <v/>
      </c>
      <c r="O94" s="19" t="str">
        <f t="shared" si="5"/>
        <v/>
      </c>
      <c r="P94" s="19" t="str">
        <f t="shared" si="6"/>
        <v/>
      </c>
      <c r="Q94" s="19" t="str">
        <f t="shared" si="7"/>
        <v/>
      </c>
      <c r="R94" s="19" t="str">
        <f t="shared" si="16"/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0"/>
        <v/>
      </c>
      <c r="L95" s="19" t="str">
        <f t="shared" si="14"/>
        <v/>
      </c>
      <c r="M95" s="19" t="str">
        <f t="shared" si="9"/>
        <v/>
      </c>
      <c r="N95" s="19" t="str">
        <f t="shared" si="15"/>
        <v/>
      </c>
      <c r="O95" s="19" t="str">
        <f t="shared" si="5"/>
        <v/>
      </c>
      <c r="P95" s="19" t="str">
        <f t="shared" si="6"/>
        <v/>
      </c>
      <c r="Q95" s="19" t="str">
        <f t="shared" si="7"/>
        <v/>
      </c>
      <c r="R95" s="19" t="str">
        <f t="shared" si="16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0"/>
        <v/>
      </c>
      <c r="L96" s="19" t="str">
        <f t="shared" si="14"/>
        <v/>
      </c>
      <c r="M96" s="19" t="str">
        <f t="shared" si="9"/>
        <v/>
      </c>
      <c r="N96" s="19" t="str">
        <f t="shared" si="15"/>
        <v/>
      </c>
      <c r="O96" s="19" t="str">
        <f t="shared" ref="O96:O153" si="18">IF(ISBLANK(F96),"",((F96-F$31)*1000)+L$31)</f>
        <v/>
      </c>
      <c r="P96" s="19" t="str">
        <f t="shared" ref="P96:P153" si="19">IF(ISBLANK(G96),"",((G96-G$31)*1000)+M$31)</f>
        <v/>
      </c>
      <c r="Q96" s="19" t="str">
        <f t="shared" ref="Q96:Q153" si="20">IF(ISBLANK(H96),"",((H96-H$31)*1000)+N$31)</f>
        <v/>
      </c>
      <c r="R96" s="19" t="str">
        <f t="shared" si="16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0"/>
        <v/>
      </c>
      <c r="L97" s="19" t="str">
        <f t="shared" si="14"/>
        <v/>
      </c>
      <c r="M97" s="19" t="str">
        <f t="shared" si="9"/>
        <v/>
      </c>
      <c r="N97" s="19" t="str">
        <f t="shared" si="15"/>
        <v/>
      </c>
      <c r="O97" s="19" t="str">
        <f t="shared" si="18"/>
        <v/>
      </c>
      <c r="P97" s="19" t="str">
        <f t="shared" si="19"/>
        <v/>
      </c>
      <c r="Q97" s="19" t="str">
        <f t="shared" si="20"/>
        <v/>
      </c>
      <c r="R97" s="19" t="str">
        <f t="shared" si="16"/>
        <v/>
      </c>
      <c r="S97" s="27" t="str">
        <f t="shared" ref="S97:X112" si="21">IF(C97="","",((C97-C96)*1000)/($B97-$B96))</f>
        <v/>
      </c>
      <c r="T97" s="28" t="str">
        <f t="shared" si="21"/>
        <v/>
      </c>
      <c r="U97" s="28" t="str">
        <f t="shared" si="21"/>
        <v/>
      </c>
      <c r="V97" s="28" t="str">
        <f t="shared" si="21"/>
        <v/>
      </c>
      <c r="W97" s="28" t="str">
        <f t="shared" si="21"/>
        <v/>
      </c>
      <c r="X97" s="29" t="str">
        <f t="shared" si="21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0"/>
        <v/>
      </c>
      <c r="L98" s="19" t="str">
        <f t="shared" si="14"/>
        <v/>
      </c>
      <c r="M98" s="19" t="str">
        <f t="shared" ref="M98:M153" si="22">IF(ISBLANK(D98),"",((D98-D$33)*1000)+M$32)</f>
        <v/>
      </c>
      <c r="N98" s="19" t="str">
        <f t="shared" si="15"/>
        <v/>
      </c>
      <c r="O98" s="19" t="str">
        <f t="shared" si="18"/>
        <v/>
      </c>
      <c r="P98" s="19" t="str">
        <f t="shared" si="19"/>
        <v/>
      </c>
      <c r="Q98" s="19" t="str">
        <f t="shared" si="20"/>
        <v/>
      </c>
      <c r="R98" s="19" t="str">
        <f t="shared" si="16"/>
        <v/>
      </c>
      <c r="S98" s="27" t="str">
        <f t="shared" si="21"/>
        <v/>
      </c>
      <c r="T98" s="28" t="str">
        <f t="shared" si="21"/>
        <v/>
      </c>
      <c r="U98" s="28" t="str">
        <f t="shared" si="21"/>
        <v/>
      </c>
      <c r="V98" s="28" t="str">
        <f t="shared" si="21"/>
        <v/>
      </c>
      <c r="W98" s="28" t="str">
        <f t="shared" si="21"/>
        <v/>
      </c>
      <c r="X98" s="29" t="str">
        <f t="shared" si="21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0"/>
        <v/>
      </c>
      <c r="L99" s="19" t="str">
        <f t="shared" si="14"/>
        <v/>
      </c>
      <c r="M99" s="19" t="str">
        <f t="shared" si="22"/>
        <v/>
      </c>
      <c r="N99" s="19" t="str">
        <f t="shared" si="15"/>
        <v/>
      </c>
      <c r="O99" s="19" t="str">
        <f t="shared" si="18"/>
        <v/>
      </c>
      <c r="P99" s="19" t="str">
        <f t="shared" si="19"/>
        <v/>
      </c>
      <c r="Q99" s="19" t="str">
        <f t="shared" si="20"/>
        <v/>
      </c>
      <c r="R99" s="19" t="str">
        <f t="shared" si="16"/>
        <v/>
      </c>
      <c r="S99" s="27" t="str">
        <f t="shared" si="21"/>
        <v/>
      </c>
      <c r="T99" s="28" t="str">
        <f t="shared" si="21"/>
        <v/>
      </c>
      <c r="U99" s="28" t="str">
        <f t="shared" si="21"/>
        <v/>
      </c>
      <c r="V99" s="28" t="str">
        <f t="shared" si="21"/>
        <v/>
      </c>
      <c r="W99" s="28" t="str">
        <f t="shared" si="21"/>
        <v/>
      </c>
      <c r="X99" s="29" t="str">
        <f t="shared" si="21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0"/>
        <v/>
      </c>
      <c r="L100" s="19" t="str">
        <f t="shared" si="14"/>
        <v/>
      </c>
      <c r="M100" s="19" t="str">
        <f t="shared" si="22"/>
        <v/>
      </c>
      <c r="N100" s="19" t="str">
        <f t="shared" si="15"/>
        <v/>
      </c>
      <c r="O100" s="19" t="str">
        <f t="shared" si="18"/>
        <v/>
      </c>
      <c r="P100" s="19" t="str">
        <f t="shared" si="19"/>
        <v/>
      </c>
      <c r="Q100" s="19" t="str">
        <f t="shared" si="20"/>
        <v/>
      </c>
      <c r="R100" s="19" t="str">
        <f t="shared" si="16"/>
        <v/>
      </c>
      <c r="S100" s="27" t="str">
        <f t="shared" si="21"/>
        <v/>
      </c>
      <c r="T100" s="28" t="str">
        <f t="shared" si="21"/>
        <v/>
      </c>
      <c r="U100" s="28" t="str">
        <f t="shared" si="21"/>
        <v/>
      </c>
      <c r="V100" s="28" t="str">
        <f t="shared" si="21"/>
        <v/>
      </c>
      <c r="W100" s="28" t="str">
        <f t="shared" si="21"/>
        <v/>
      </c>
      <c r="X100" s="29" t="str">
        <f t="shared" si="21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0"/>
        <v/>
      </c>
      <c r="L101" s="19" t="str">
        <f t="shared" si="14"/>
        <v/>
      </c>
      <c r="M101" s="19" t="str">
        <f t="shared" si="22"/>
        <v/>
      </c>
      <c r="N101" s="19" t="str">
        <f t="shared" si="15"/>
        <v/>
      </c>
      <c r="O101" s="19" t="str">
        <f t="shared" si="18"/>
        <v/>
      </c>
      <c r="P101" s="19" t="str">
        <f t="shared" si="19"/>
        <v/>
      </c>
      <c r="Q101" s="19" t="str">
        <f t="shared" si="20"/>
        <v/>
      </c>
      <c r="R101" s="19" t="str">
        <f t="shared" si="16"/>
        <v/>
      </c>
      <c r="S101" s="27" t="str">
        <f t="shared" si="21"/>
        <v/>
      </c>
      <c r="T101" s="28" t="str">
        <f t="shared" si="21"/>
        <v/>
      </c>
      <c r="U101" s="28" t="str">
        <f t="shared" si="21"/>
        <v/>
      </c>
      <c r="V101" s="28" t="str">
        <f t="shared" si="21"/>
        <v/>
      </c>
      <c r="W101" s="28" t="str">
        <f t="shared" si="21"/>
        <v/>
      </c>
      <c r="X101" s="29" t="str">
        <f t="shared" si="21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0"/>
        <v/>
      </c>
      <c r="L102" s="19" t="str">
        <f t="shared" si="14"/>
        <v/>
      </c>
      <c r="M102" s="19" t="str">
        <f t="shared" si="22"/>
        <v/>
      </c>
      <c r="N102" s="19" t="str">
        <f t="shared" si="15"/>
        <v/>
      </c>
      <c r="O102" s="19" t="str">
        <f t="shared" si="18"/>
        <v/>
      </c>
      <c r="P102" s="19" t="str">
        <f t="shared" si="19"/>
        <v/>
      </c>
      <c r="Q102" s="19" t="str">
        <f t="shared" si="20"/>
        <v/>
      </c>
      <c r="R102" s="19" t="str">
        <f t="shared" si="16"/>
        <v/>
      </c>
      <c r="S102" s="27" t="str">
        <f t="shared" si="21"/>
        <v/>
      </c>
      <c r="T102" s="28" t="str">
        <f t="shared" si="21"/>
        <v/>
      </c>
      <c r="U102" s="28" t="str">
        <f t="shared" si="21"/>
        <v/>
      </c>
      <c r="V102" s="28" t="str">
        <f t="shared" si="21"/>
        <v/>
      </c>
      <c r="W102" s="28" t="str">
        <f t="shared" si="21"/>
        <v/>
      </c>
      <c r="X102" s="29" t="str">
        <f t="shared" si="21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ref="K103:K153" si="23">IF(ISBLANK(J103),"",(J103-$J$8))</f>
        <v/>
      </c>
      <c r="L103" s="19" t="str">
        <f t="shared" si="14"/>
        <v/>
      </c>
      <c r="M103" s="19" t="str">
        <f t="shared" si="22"/>
        <v/>
      </c>
      <c r="N103" s="19" t="str">
        <f t="shared" si="15"/>
        <v/>
      </c>
      <c r="O103" s="19" t="str">
        <f t="shared" si="18"/>
        <v/>
      </c>
      <c r="P103" s="19" t="str">
        <f t="shared" si="19"/>
        <v/>
      </c>
      <c r="Q103" s="19" t="str">
        <f t="shared" si="20"/>
        <v/>
      </c>
      <c r="R103" s="19" t="str">
        <f t="shared" si="16"/>
        <v/>
      </c>
      <c r="S103" s="27" t="str">
        <f t="shared" si="21"/>
        <v/>
      </c>
      <c r="T103" s="28" t="str">
        <f t="shared" si="21"/>
        <v/>
      </c>
      <c r="U103" s="28" t="str">
        <f t="shared" si="21"/>
        <v/>
      </c>
      <c r="V103" s="28" t="str">
        <f t="shared" si="21"/>
        <v/>
      </c>
      <c r="W103" s="28" t="str">
        <f t="shared" si="21"/>
        <v/>
      </c>
      <c r="X103" s="29" t="str">
        <f t="shared" si="21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23"/>
        <v/>
      </c>
      <c r="L104" s="19" t="str">
        <f t="shared" si="14"/>
        <v/>
      </c>
      <c r="M104" s="19" t="str">
        <f t="shared" si="22"/>
        <v/>
      </c>
      <c r="N104" s="19" t="str">
        <f t="shared" si="15"/>
        <v/>
      </c>
      <c r="O104" s="19" t="str">
        <f t="shared" si="18"/>
        <v/>
      </c>
      <c r="P104" s="19" t="str">
        <f t="shared" si="19"/>
        <v/>
      </c>
      <c r="Q104" s="19" t="str">
        <f t="shared" si="20"/>
        <v/>
      </c>
      <c r="R104" s="19" t="str">
        <f t="shared" si="16"/>
        <v/>
      </c>
      <c r="S104" s="27" t="str">
        <f t="shared" si="21"/>
        <v/>
      </c>
      <c r="T104" s="28" t="str">
        <f t="shared" si="21"/>
        <v/>
      </c>
      <c r="U104" s="28" t="str">
        <f t="shared" si="21"/>
        <v/>
      </c>
      <c r="V104" s="28" t="str">
        <f t="shared" si="21"/>
        <v/>
      </c>
      <c r="W104" s="28" t="str">
        <f t="shared" si="21"/>
        <v/>
      </c>
      <c r="X104" s="29" t="str">
        <f t="shared" si="21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23"/>
        <v/>
      </c>
      <c r="L105" s="19" t="str">
        <f t="shared" si="14"/>
        <v/>
      </c>
      <c r="M105" s="19" t="str">
        <f t="shared" si="22"/>
        <v/>
      </c>
      <c r="N105" s="19" t="str">
        <f t="shared" si="15"/>
        <v/>
      </c>
      <c r="O105" s="19" t="str">
        <f t="shared" si="18"/>
        <v/>
      </c>
      <c r="P105" s="19" t="str">
        <f t="shared" si="19"/>
        <v/>
      </c>
      <c r="Q105" s="19" t="str">
        <f t="shared" si="20"/>
        <v/>
      </c>
      <c r="R105" s="19" t="str">
        <f t="shared" si="16"/>
        <v/>
      </c>
      <c r="S105" s="27" t="str">
        <f t="shared" si="21"/>
        <v/>
      </c>
      <c r="T105" s="28" t="str">
        <f t="shared" si="21"/>
        <v/>
      </c>
      <c r="U105" s="28" t="str">
        <f t="shared" si="21"/>
        <v/>
      </c>
      <c r="V105" s="28" t="str">
        <f t="shared" si="21"/>
        <v/>
      </c>
      <c r="W105" s="28" t="str">
        <f t="shared" si="21"/>
        <v/>
      </c>
      <c r="X105" s="29" t="str">
        <f t="shared" si="21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23"/>
        <v/>
      </c>
      <c r="L106" s="19" t="str">
        <f t="shared" si="14"/>
        <v/>
      </c>
      <c r="M106" s="19" t="str">
        <f t="shared" si="22"/>
        <v/>
      </c>
      <c r="N106" s="19" t="str">
        <f t="shared" si="15"/>
        <v/>
      </c>
      <c r="O106" s="19" t="str">
        <f t="shared" si="18"/>
        <v/>
      </c>
      <c r="P106" s="19" t="str">
        <f t="shared" si="19"/>
        <v/>
      </c>
      <c r="Q106" s="19" t="str">
        <f t="shared" si="20"/>
        <v/>
      </c>
      <c r="R106" s="19" t="str">
        <f t="shared" si="16"/>
        <v/>
      </c>
      <c r="S106" s="27" t="str">
        <f t="shared" si="21"/>
        <v/>
      </c>
      <c r="T106" s="28" t="str">
        <f t="shared" si="21"/>
        <v/>
      </c>
      <c r="U106" s="28" t="str">
        <f t="shared" si="21"/>
        <v/>
      </c>
      <c r="V106" s="28" t="str">
        <f t="shared" si="21"/>
        <v/>
      </c>
      <c r="W106" s="28" t="str">
        <f t="shared" si="21"/>
        <v/>
      </c>
      <c r="X106" s="29" t="str">
        <f t="shared" si="21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23"/>
        <v/>
      </c>
      <c r="L107" s="19" t="str">
        <f t="shared" si="14"/>
        <v/>
      </c>
      <c r="M107" s="19" t="str">
        <f t="shared" si="22"/>
        <v/>
      </c>
      <c r="N107" s="19" t="str">
        <f t="shared" si="15"/>
        <v/>
      </c>
      <c r="O107" s="19" t="str">
        <f t="shared" si="18"/>
        <v/>
      </c>
      <c r="P107" s="19" t="str">
        <f t="shared" si="19"/>
        <v/>
      </c>
      <c r="Q107" s="19" t="str">
        <f t="shared" si="20"/>
        <v/>
      </c>
      <c r="R107" s="19" t="str">
        <f t="shared" si="16"/>
        <v/>
      </c>
      <c r="S107" s="27" t="str">
        <f t="shared" si="21"/>
        <v/>
      </c>
      <c r="T107" s="28" t="str">
        <f t="shared" si="21"/>
        <v/>
      </c>
      <c r="U107" s="28" t="str">
        <f t="shared" si="21"/>
        <v/>
      </c>
      <c r="V107" s="28" t="str">
        <f t="shared" si="21"/>
        <v/>
      </c>
      <c r="W107" s="28" t="str">
        <f t="shared" si="21"/>
        <v/>
      </c>
      <c r="X107" s="29" t="str">
        <f t="shared" si="21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23"/>
        <v/>
      </c>
      <c r="L108" s="19" t="str">
        <f t="shared" si="14"/>
        <v/>
      </c>
      <c r="M108" s="19" t="str">
        <f t="shared" si="22"/>
        <v/>
      </c>
      <c r="N108" s="19" t="str">
        <f t="shared" si="15"/>
        <v/>
      </c>
      <c r="O108" s="19" t="str">
        <f t="shared" si="18"/>
        <v/>
      </c>
      <c r="P108" s="19" t="str">
        <f t="shared" si="19"/>
        <v/>
      </c>
      <c r="Q108" s="19" t="str">
        <f t="shared" si="20"/>
        <v/>
      </c>
      <c r="R108" s="19" t="str">
        <f t="shared" si="16"/>
        <v/>
      </c>
      <c r="S108" s="27" t="str">
        <f t="shared" si="21"/>
        <v/>
      </c>
      <c r="T108" s="28" t="str">
        <f t="shared" si="21"/>
        <v/>
      </c>
      <c r="U108" s="28" t="str">
        <f t="shared" si="21"/>
        <v/>
      </c>
      <c r="V108" s="28" t="str">
        <f t="shared" si="21"/>
        <v/>
      </c>
      <c r="W108" s="28" t="str">
        <f t="shared" si="21"/>
        <v/>
      </c>
      <c r="X108" s="29" t="str">
        <f t="shared" si="21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23"/>
        <v/>
      </c>
      <c r="L109" s="19" t="str">
        <f t="shared" si="14"/>
        <v/>
      </c>
      <c r="M109" s="19" t="str">
        <f t="shared" si="22"/>
        <v/>
      </c>
      <c r="N109" s="19" t="str">
        <f t="shared" si="15"/>
        <v/>
      </c>
      <c r="O109" s="19" t="str">
        <f t="shared" si="18"/>
        <v/>
      </c>
      <c r="P109" s="19" t="str">
        <f t="shared" si="19"/>
        <v/>
      </c>
      <c r="Q109" s="19" t="str">
        <f t="shared" si="20"/>
        <v/>
      </c>
      <c r="R109" s="19" t="str">
        <f t="shared" si="16"/>
        <v/>
      </c>
      <c r="S109" s="27" t="str">
        <f t="shared" si="21"/>
        <v/>
      </c>
      <c r="T109" s="28" t="str">
        <f t="shared" si="21"/>
        <v/>
      </c>
      <c r="U109" s="28" t="str">
        <f t="shared" si="21"/>
        <v/>
      </c>
      <c r="V109" s="28" t="str">
        <f t="shared" si="21"/>
        <v/>
      </c>
      <c r="W109" s="28" t="str">
        <f t="shared" si="21"/>
        <v/>
      </c>
      <c r="X109" s="29" t="str">
        <f t="shared" si="21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23"/>
        <v/>
      </c>
      <c r="L110" s="19" t="str">
        <f t="shared" si="14"/>
        <v/>
      </c>
      <c r="M110" s="19" t="str">
        <f t="shared" si="22"/>
        <v/>
      </c>
      <c r="N110" s="19" t="str">
        <f t="shared" si="15"/>
        <v/>
      </c>
      <c r="O110" s="19" t="str">
        <f t="shared" si="18"/>
        <v/>
      </c>
      <c r="P110" s="19" t="str">
        <f t="shared" si="19"/>
        <v/>
      </c>
      <c r="Q110" s="19" t="str">
        <f t="shared" si="20"/>
        <v/>
      </c>
      <c r="R110" s="19" t="str">
        <f t="shared" si="16"/>
        <v/>
      </c>
      <c r="S110" s="27" t="str">
        <f t="shared" si="21"/>
        <v/>
      </c>
      <c r="T110" s="28" t="str">
        <f t="shared" si="21"/>
        <v/>
      </c>
      <c r="U110" s="28" t="str">
        <f t="shared" si="21"/>
        <v/>
      </c>
      <c r="V110" s="28" t="str">
        <f t="shared" si="21"/>
        <v/>
      </c>
      <c r="W110" s="28" t="str">
        <f t="shared" si="21"/>
        <v/>
      </c>
      <c r="X110" s="29" t="str">
        <f t="shared" si="21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23"/>
        <v/>
      </c>
      <c r="L111" s="19" t="str">
        <f t="shared" si="14"/>
        <v/>
      </c>
      <c r="M111" s="19" t="str">
        <f t="shared" si="22"/>
        <v/>
      </c>
      <c r="N111" s="19" t="str">
        <f t="shared" si="15"/>
        <v/>
      </c>
      <c r="O111" s="19" t="str">
        <f t="shared" si="18"/>
        <v/>
      </c>
      <c r="P111" s="19" t="str">
        <f t="shared" si="19"/>
        <v/>
      </c>
      <c r="Q111" s="19" t="str">
        <f t="shared" si="20"/>
        <v/>
      </c>
      <c r="R111" s="19" t="str">
        <f t="shared" si="16"/>
        <v/>
      </c>
      <c r="S111" s="27" t="str">
        <f t="shared" si="21"/>
        <v/>
      </c>
      <c r="T111" s="28" t="str">
        <f t="shared" si="21"/>
        <v/>
      </c>
      <c r="U111" s="28" t="str">
        <f t="shared" si="21"/>
        <v/>
      </c>
      <c r="V111" s="28" t="str">
        <f t="shared" si="21"/>
        <v/>
      </c>
      <c r="W111" s="28" t="str">
        <f t="shared" si="21"/>
        <v/>
      </c>
      <c r="X111" s="29" t="str">
        <f t="shared" si="21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23"/>
        <v/>
      </c>
      <c r="L112" s="19" t="str">
        <f t="shared" ref="L112:L143" si="24">IF(ISBLANK(C112),"",(C112-C$16)*1000)</f>
        <v/>
      </c>
      <c r="M112" s="19" t="str">
        <f t="shared" si="22"/>
        <v/>
      </c>
      <c r="N112" s="19" t="str">
        <f t="shared" ref="N112:N143" si="25">IF(ISBLANK(E112),"",(E112-E$16)*1000)</f>
        <v/>
      </c>
      <c r="O112" s="19" t="str">
        <f t="shared" si="18"/>
        <v/>
      </c>
      <c r="P112" s="19" t="str">
        <f t="shared" si="19"/>
        <v/>
      </c>
      <c r="Q112" s="19" t="str">
        <f t="shared" si="20"/>
        <v/>
      </c>
      <c r="R112" s="19" t="str">
        <f t="shared" ref="R112:R143" si="26">IF(ISBLANK(I112),"",(I112-I$16)*1000)</f>
        <v/>
      </c>
      <c r="S112" s="27" t="str">
        <f t="shared" si="21"/>
        <v/>
      </c>
      <c r="T112" s="28" t="str">
        <f t="shared" si="21"/>
        <v/>
      </c>
      <c r="U112" s="28" t="str">
        <f t="shared" si="21"/>
        <v/>
      </c>
      <c r="V112" s="28" t="str">
        <f t="shared" si="21"/>
        <v/>
      </c>
      <c r="W112" s="28" t="str">
        <f t="shared" si="21"/>
        <v/>
      </c>
      <c r="X112" s="29" t="str">
        <f t="shared" si="21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23"/>
        <v/>
      </c>
      <c r="L113" s="19" t="str">
        <f t="shared" si="24"/>
        <v/>
      </c>
      <c r="M113" s="19" t="str">
        <f t="shared" si="22"/>
        <v/>
      </c>
      <c r="N113" s="19" t="str">
        <f t="shared" si="25"/>
        <v/>
      </c>
      <c r="O113" s="19" t="str">
        <f t="shared" si="18"/>
        <v/>
      </c>
      <c r="P113" s="19" t="str">
        <f t="shared" si="19"/>
        <v/>
      </c>
      <c r="Q113" s="19" t="str">
        <f t="shared" si="20"/>
        <v/>
      </c>
      <c r="R113" s="19" t="str">
        <f t="shared" si="26"/>
        <v/>
      </c>
      <c r="S113" s="27" t="str">
        <f t="shared" ref="S113:X128" si="27">IF(C113="","",((C113-C112)*1000)/($B113-$B112))</f>
        <v/>
      </c>
      <c r="T113" s="28" t="str">
        <f t="shared" si="27"/>
        <v/>
      </c>
      <c r="U113" s="28" t="str">
        <f t="shared" si="27"/>
        <v/>
      </c>
      <c r="V113" s="28" t="str">
        <f t="shared" si="27"/>
        <v/>
      </c>
      <c r="W113" s="28" t="str">
        <f t="shared" si="27"/>
        <v/>
      </c>
      <c r="X113" s="29" t="str">
        <f t="shared" si="2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23"/>
        <v/>
      </c>
      <c r="L114" s="19" t="str">
        <f t="shared" si="24"/>
        <v/>
      </c>
      <c r="M114" s="19" t="str">
        <f t="shared" si="22"/>
        <v/>
      </c>
      <c r="N114" s="19" t="str">
        <f t="shared" si="25"/>
        <v/>
      </c>
      <c r="O114" s="19" t="str">
        <f t="shared" si="18"/>
        <v/>
      </c>
      <c r="P114" s="19" t="str">
        <f t="shared" si="19"/>
        <v/>
      </c>
      <c r="Q114" s="19" t="str">
        <f t="shared" si="20"/>
        <v/>
      </c>
      <c r="R114" s="19" t="str">
        <f t="shared" si="26"/>
        <v/>
      </c>
      <c r="S114" s="27" t="str">
        <f t="shared" si="27"/>
        <v/>
      </c>
      <c r="T114" s="28" t="str">
        <f t="shared" si="27"/>
        <v/>
      </c>
      <c r="U114" s="28" t="str">
        <f t="shared" si="27"/>
        <v/>
      </c>
      <c r="V114" s="28" t="str">
        <f t="shared" si="27"/>
        <v/>
      </c>
      <c r="W114" s="28" t="str">
        <f t="shared" si="27"/>
        <v/>
      </c>
      <c r="X114" s="29" t="str">
        <f t="shared" si="2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23"/>
        <v/>
      </c>
      <c r="L115" s="19" t="str">
        <f t="shared" si="24"/>
        <v/>
      </c>
      <c r="M115" s="19" t="str">
        <f t="shared" si="22"/>
        <v/>
      </c>
      <c r="N115" s="19" t="str">
        <f t="shared" si="25"/>
        <v/>
      </c>
      <c r="O115" s="19" t="str">
        <f t="shared" si="18"/>
        <v/>
      </c>
      <c r="P115" s="19" t="str">
        <f t="shared" si="19"/>
        <v/>
      </c>
      <c r="Q115" s="19" t="str">
        <f t="shared" si="20"/>
        <v/>
      </c>
      <c r="R115" s="19" t="str">
        <f t="shared" si="26"/>
        <v/>
      </c>
      <c r="S115" s="27" t="str">
        <f t="shared" si="27"/>
        <v/>
      </c>
      <c r="T115" s="28" t="str">
        <f t="shared" si="27"/>
        <v/>
      </c>
      <c r="U115" s="28" t="str">
        <f t="shared" si="27"/>
        <v/>
      </c>
      <c r="V115" s="28" t="str">
        <f t="shared" si="27"/>
        <v/>
      </c>
      <c r="W115" s="28" t="str">
        <f t="shared" si="27"/>
        <v/>
      </c>
      <c r="X115" s="29" t="str">
        <f t="shared" si="2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23"/>
        <v/>
      </c>
      <c r="L116" s="19" t="str">
        <f t="shared" si="24"/>
        <v/>
      </c>
      <c r="M116" s="19" t="str">
        <f t="shared" si="22"/>
        <v/>
      </c>
      <c r="N116" s="19" t="str">
        <f t="shared" si="25"/>
        <v/>
      </c>
      <c r="O116" s="19" t="str">
        <f t="shared" si="18"/>
        <v/>
      </c>
      <c r="P116" s="19" t="str">
        <f t="shared" si="19"/>
        <v/>
      </c>
      <c r="Q116" s="19" t="str">
        <f t="shared" si="20"/>
        <v/>
      </c>
      <c r="R116" s="19" t="str">
        <f t="shared" si="26"/>
        <v/>
      </c>
      <c r="S116" s="27" t="str">
        <f t="shared" si="27"/>
        <v/>
      </c>
      <c r="T116" s="28" t="str">
        <f t="shared" si="27"/>
        <v/>
      </c>
      <c r="U116" s="28" t="str">
        <f t="shared" si="27"/>
        <v/>
      </c>
      <c r="V116" s="28" t="str">
        <f t="shared" si="27"/>
        <v/>
      </c>
      <c r="W116" s="28" t="str">
        <f t="shared" si="27"/>
        <v/>
      </c>
      <c r="X116" s="29" t="str">
        <f t="shared" si="2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23"/>
        <v/>
      </c>
      <c r="L117" s="19" t="str">
        <f t="shared" si="24"/>
        <v/>
      </c>
      <c r="M117" s="19" t="str">
        <f t="shared" si="22"/>
        <v/>
      </c>
      <c r="N117" s="19" t="str">
        <f t="shared" si="25"/>
        <v/>
      </c>
      <c r="O117" s="19" t="str">
        <f t="shared" si="18"/>
        <v/>
      </c>
      <c r="P117" s="19" t="str">
        <f t="shared" si="19"/>
        <v/>
      </c>
      <c r="Q117" s="19" t="str">
        <f t="shared" si="20"/>
        <v/>
      </c>
      <c r="R117" s="19" t="str">
        <f t="shared" si="26"/>
        <v/>
      </c>
      <c r="S117" s="27" t="str">
        <f t="shared" si="27"/>
        <v/>
      </c>
      <c r="T117" s="28" t="str">
        <f t="shared" si="27"/>
        <v/>
      </c>
      <c r="U117" s="28" t="str">
        <f t="shared" si="27"/>
        <v/>
      </c>
      <c r="V117" s="28" t="str">
        <f t="shared" si="27"/>
        <v/>
      </c>
      <c r="W117" s="28" t="str">
        <f t="shared" si="27"/>
        <v/>
      </c>
      <c r="X117" s="29" t="str">
        <f t="shared" si="2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23"/>
        <v/>
      </c>
      <c r="L118" s="19" t="str">
        <f t="shared" si="24"/>
        <v/>
      </c>
      <c r="M118" s="19" t="str">
        <f t="shared" si="22"/>
        <v/>
      </c>
      <c r="N118" s="19" t="str">
        <f t="shared" si="25"/>
        <v/>
      </c>
      <c r="O118" s="19" t="str">
        <f t="shared" si="18"/>
        <v/>
      </c>
      <c r="P118" s="19" t="str">
        <f t="shared" si="19"/>
        <v/>
      </c>
      <c r="Q118" s="19" t="str">
        <f t="shared" si="20"/>
        <v/>
      </c>
      <c r="R118" s="19" t="str">
        <f t="shared" si="26"/>
        <v/>
      </c>
      <c r="S118" s="27" t="str">
        <f t="shared" si="27"/>
        <v/>
      </c>
      <c r="T118" s="28" t="str">
        <f t="shared" si="27"/>
        <v/>
      </c>
      <c r="U118" s="28" t="str">
        <f t="shared" si="27"/>
        <v/>
      </c>
      <c r="V118" s="28" t="str">
        <f t="shared" si="27"/>
        <v/>
      </c>
      <c r="W118" s="28" t="str">
        <f t="shared" si="27"/>
        <v/>
      </c>
      <c r="X118" s="29" t="str">
        <f t="shared" si="2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23"/>
        <v/>
      </c>
      <c r="L119" s="19" t="str">
        <f t="shared" si="24"/>
        <v/>
      </c>
      <c r="M119" s="19" t="str">
        <f t="shared" si="22"/>
        <v/>
      </c>
      <c r="N119" s="19" t="str">
        <f t="shared" si="25"/>
        <v/>
      </c>
      <c r="O119" s="19" t="str">
        <f t="shared" si="18"/>
        <v/>
      </c>
      <c r="P119" s="19" t="str">
        <f t="shared" si="19"/>
        <v/>
      </c>
      <c r="Q119" s="19" t="str">
        <f t="shared" si="20"/>
        <v/>
      </c>
      <c r="R119" s="19" t="str">
        <f t="shared" si="26"/>
        <v/>
      </c>
      <c r="S119" s="27" t="str">
        <f t="shared" si="27"/>
        <v/>
      </c>
      <c r="T119" s="28" t="str">
        <f t="shared" si="27"/>
        <v/>
      </c>
      <c r="U119" s="28" t="str">
        <f t="shared" si="27"/>
        <v/>
      </c>
      <c r="V119" s="28" t="str">
        <f t="shared" si="27"/>
        <v/>
      </c>
      <c r="W119" s="28" t="str">
        <f t="shared" si="27"/>
        <v/>
      </c>
      <c r="X119" s="29" t="str">
        <f t="shared" si="2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23"/>
        <v/>
      </c>
      <c r="L120" s="19" t="str">
        <f t="shared" si="24"/>
        <v/>
      </c>
      <c r="M120" s="19" t="str">
        <f t="shared" si="22"/>
        <v/>
      </c>
      <c r="N120" s="19" t="str">
        <f t="shared" si="25"/>
        <v/>
      </c>
      <c r="O120" s="19" t="str">
        <f t="shared" si="18"/>
        <v/>
      </c>
      <c r="P120" s="19" t="str">
        <f t="shared" si="19"/>
        <v/>
      </c>
      <c r="Q120" s="19" t="str">
        <f t="shared" si="20"/>
        <v/>
      </c>
      <c r="R120" s="19" t="str">
        <f t="shared" si="26"/>
        <v/>
      </c>
      <c r="S120" s="27" t="str">
        <f t="shared" si="27"/>
        <v/>
      </c>
      <c r="T120" s="28" t="str">
        <f t="shared" si="27"/>
        <v/>
      </c>
      <c r="U120" s="28" t="str">
        <f t="shared" si="27"/>
        <v/>
      </c>
      <c r="V120" s="28" t="str">
        <f t="shared" si="27"/>
        <v/>
      </c>
      <c r="W120" s="28" t="str">
        <f t="shared" si="27"/>
        <v/>
      </c>
      <c r="X120" s="29" t="str">
        <f t="shared" si="2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23"/>
        <v/>
      </c>
      <c r="L121" s="19" t="str">
        <f t="shared" si="24"/>
        <v/>
      </c>
      <c r="M121" s="19" t="str">
        <f t="shared" si="22"/>
        <v/>
      </c>
      <c r="N121" s="19" t="str">
        <f t="shared" si="25"/>
        <v/>
      </c>
      <c r="O121" s="19" t="str">
        <f t="shared" si="18"/>
        <v/>
      </c>
      <c r="P121" s="19" t="str">
        <f t="shared" si="19"/>
        <v/>
      </c>
      <c r="Q121" s="19" t="str">
        <f t="shared" si="20"/>
        <v/>
      </c>
      <c r="R121" s="19" t="str">
        <f t="shared" si="26"/>
        <v/>
      </c>
      <c r="S121" s="27" t="str">
        <f t="shared" si="27"/>
        <v/>
      </c>
      <c r="T121" s="28" t="str">
        <f t="shared" si="27"/>
        <v/>
      </c>
      <c r="U121" s="28" t="str">
        <f t="shared" si="27"/>
        <v/>
      </c>
      <c r="V121" s="28" t="str">
        <f t="shared" si="27"/>
        <v/>
      </c>
      <c r="W121" s="28" t="str">
        <f t="shared" si="27"/>
        <v/>
      </c>
      <c r="X121" s="29" t="str">
        <f t="shared" si="2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23"/>
        <v/>
      </c>
      <c r="L122" s="19" t="str">
        <f t="shared" si="24"/>
        <v/>
      </c>
      <c r="M122" s="19" t="str">
        <f t="shared" si="22"/>
        <v/>
      </c>
      <c r="N122" s="19" t="str">
        <f t="shared" si="25"/>
        <v/>
      </c>
      <c r="O122" s="19" t="str">
        <f t="shared" si="18"/>
        <v/>
      </c>
      <c r="P122" s="19" t="str">
        <f t="shared" si="19"/>
        <v/>
      </c>
      <c r="Q122" s="19" t="str">
        <f t="shared" si="20"/>
        <v/>
      </c>
      <c r="R122" s="19" t="str">
        <f t="shared" si="26"/>
        <v/>
      </c>
      <c r="S122" s="27" t="str">
        <f t="shared" si="27"/>
        <v/>
      </c>
      <c r="T122" s="28" t="str">
        <f t="shared" si="27"/>
        <v/>
      </c>
      <c r="U122" s="28" t="str">
        <f t="shared" si="27"/>
        <v/>
      </c>
      <c r="V122" s="28" t="str">
        <f t="shared" si="27"/>
        <v/>
      </c>
      <c r="W122" s="28" t="str">
        <f t="shared" si="27"/>
        <v/>
      </c>
      <c r="X122" s="29" t="str">
        <f t="shared" si="2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23"/>
        <v/>
      </c>
      <c r="L123" s="19" t="str">
        <f t="shared" si="24"/>
        <v/>
      </c>
      <c r="M123" s="19" t="str">
        <f t="shared" si="22"/>
        <v/>
      </c>
      <c r="N123" s="19" t="str">
        <f t="shared" si="25"/>
        <v/>
      </c>
      <c r="O123" s="19" t="str">
        <f t="shared" si="18"/>
        <v/>
      </c>
      <c r="P123" s="19" t="str">
        <f t="shared" si="19"/>
        <v/>
      </c>
      <c r="Q123" s="19" t="str">
        <f t="shared" si="20"/>
        <v/>
      </c>
      <c r="R123" s="19" t="str">
        <f t="shared" si="26"/>
        <v/>
      </c>
      <c r="S123" s="27" t="str">
        <f t="shared" si="27"/>
        <v/>
      </c>
      <c r="T123" s="28" t="str">
        <f t="shared" si="27"/>
        <v/>
      </c>
      <c r="U123" s="28" t="str">
        <f t="shared" si="27"/>
        <v/>
      </c>
      <c r="V123" s="28" t="str">
        <f t="shared" si="27"/>
        <v/>
      </c>
      <c r="W123" s="28" t="str">
        <f t="shared" si="27"/>
        <v/>
      </c>
      <c r="X123" s="29" t="str">
        <f t="shared" si="2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23"/>
        <v/>
      </c>
      <c r="L124" s="19" t="str">
        <f t="shared" si="24"/>
        <v/>
      </c>
      <c r="M124" s="19" t="str">
        <f t="shared" si="22"/>
        <v/>
      </c>
      <c r="N124" s="19" t="str">
        <f t="shared" si="25"/>
        <v/>
      </c>
      <c r="O124" s="19" t="str">
        <f t="shared" si="18"/>
        <v/>
      </c>
      <c r="P124" s="19" t="str">
        <f t="shared" si="19"/>
        <v/>
      </c>
      <c r="Q124" s="19" t="str">
        <f t="shared" si="20"/>
        <v/>
      </c>
      <c r="R124" s="19" t="str">
        <f t="shared" si="26"/>
        <v/>
      </c>
      <c r="S124" s="27" t="str">
        <f t="shared" si="27"/>
        <v/>
      </c>
      <c r="T124" s="28" t="str">
        <f t="shared" si="27"/>
        <v/>
      </c>
      <c r="U124" s="28" t="str">
        <f t="shared" si="27"/>
        <v/>
      </c>
      <c r="V124" s="28" t="str">
        <f t="shared" si="27"/>
        <v/>
      </c>
      <c r="W124" s="28" t="str">
        <f t="shared" si="27"/>
        <v/>
      </c>
      <c r="X124" s="29" t="str">
        <f t="shared" si="2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23"/>
        <v/>
      </c>
      <c r="L125" s="19" t="str">
        <f t="shared" si="24"/>
        <v/>
      </c>
      <c r="M125" s="19" t="str">
        <f t="shared" si="22"/>
        <v/>
      </c>
      <c r="N125" s="19" t="str">
        <f t="shared" si="25"/>
        <v/>
      </c>
      <c r="O125" s="19" t="str">
        <f t="shared" si="18"/>
        <v/>
      </c>
      <c r="P125" s="19" t="str">
        <f t="shared" si="19"/>
        <v/>
      </c>
      <c r="Q125" s="19" t="str">
        <f t="shared" si="20"/>
        <v/>
      </c>
      <c r="R125" s="19" t="str">
        <f t="shared" si="26"/>
        <v/>
      </c>
      <c r="S125" s="27" t="str">
        <f t="shared" si="27"/>
        <v/>
      </c>
      <c r="T125" s="28" t="str">
        <f t="shared" si="27"/>
        <v/>
      </c>
      <c r="U125" s="28" t="str">
        <f t="shared" si="27"/>
        <v/>
      </c>
      <c r="V125" s="28" t="str">
        <f t="shared" si="27"/>
        <v/>
      </c>
      <c r="W125" s="28" t="str">
        <f t="shared" si="27"/>
        <v/>
      </c>
      <c r="X125" s="29" t="str">
        <f t="shared" si="2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23"/>
        <v/>
      </c>
      <c r="L126" s="19" t="str">
        <f t="shared" si="24"/>
        <v/>
      </c>
      <c r="M126" s="19" t="str">
        <f t="shared" si="22"/>
        <v/>
      </c>
      <c r="N126" s="19" t="str">
        <f t="shared" si="25"/>
        <v/>
      </c>
      <c r="O126" s="19" t="str">
        <f t="shared" si="18"/>
        <v/>
      </c>
      <c r="P126" s="19" t="str">
        <f t="shared" si="19"/>
        <v/>
      </c>
      <c r="Q126" s="19" t="str">
        <f t="shared" si="20"/>
        <v/>
      </c>
      <c r="R126" s="19" t="str">
        <f t="shared" si="26"/>
        <v/>
      </c>
      <c r="S126" s="27" t="str">
        <f t="shared" si="27"/>
        <v/>
      </c>
      <c r="T126" s="28" t="str">
        <f t="shared" si="27"/>
        <v/>
      </c>
      <c r="U126" s="28" t="str">
        <f t="shared" si="27"/>
        <v/>
      </c>
      <c r="V126" s="28" t="str">
        <f t="shared" si="27"/>
        <v/>
      </c>
      <c r="W126" s="28" t="str">
        <f t="shared" si="27"/>
        <v/>
      </c>
      <c r="X126" s="29" t="str">
        <f t="shared" si="2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23"/>
        <v/>
      </c>
      <c r="L127" s="19" t="str">
        <f t="shared" si="24"/>
        <v/>
      </c>
      <c r="M127" s="19" t="str">
        <f t="shared" si="22"/>
        <v/>
      </c>
      <c r="N127" s="19" t="str">
        <f t="shared" si="25"/>
        <v/>
      </c>
      <c r="O127" s="19" t="str">
        <f t="shared" si="18"/>
        <v/>
      </c>
      <c r="P127" s="19" t="str">
        <f t="shared" si="19"/>
        <v/>
      </c>
      <c r="Q127" s="19" t="str">
        <f t="shared" si="20"/>
        <v/>
      </c>
      <c r="R127" s="19" t="str">
        <f t="shared" si="26"/>
        <v/>
      </c>
      <c r="S127" s="27" t="str">
        <f t="shared" si="27"/>
        <v/>
      </c>
      <c r="T127" s="28" t="str">
        <f t="shared" si="27"/>
        <v/>
      </c>
      <c r="U127" s="28" t="str">
        <f t="shared" si="27"/>
        <v/>
      </c>
      <c r="V127" s="28" t="str">
        <f t="shared" si="27"/>
        <v/>
      </c>
      <c r="W127" s="28" t="str">
        <f t="shared" si="27"/>
        <v/>
      </c>
      <c r="X127" s="29" t="str">
        <f t="shared" si="2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23"/>
        <v/>
      </c>
      <c r="L128" s="19" t="str">
        <f t="shared" si="24"/>
        <v/>
      </c>
      <c r="M128" s="19" t="str">
        <f t="shared" si="22"/>
        <v/>
      </c>
      <c r="N128" s="19" t="str">
        <f t="shared" si="25"/>
        <v/>
      </c>
      <c r="O128" s="19" t="str">
        <f t="shared" si="18"/>
        <v/>
      </c>
      <c r="P128" s="19" t="str">
        <f t="shared" si="19"/>
        <v/>
      </c>
      <c r="Q128" s="19" t="str">
        <f t="shared" si="20"/>
        <v/>
      </c>
      <c r="R128" s="19" t="str">
        <f t="shared" si="26"/>
        <v/>
      </c>
      <c r="S128" s="27" t="str">
        <f t="shared" si="27"/>
        <v/>
      </c>
      <c r="T128" s="28" t="str">
        <f t="shared" si="27"/>
        <v/>
      </c>
      <c r="U128" s="28" t="str">
        <f t="shared" si="27"/>
        <v/>
      </c>
      <c r="V128" s="28" t="str">
        <f t="shared" si="27"/>
        <v/>
      </c>
      <c r="W128" s="28" t="str">
        <f t="shared" si="27"/>
        <v/>
      </c>
      <c r="X128" s="29" t="str">
        <f t="shared" si="2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23"/>
        <v/>
      </c>
      <c r="L129" s="19" t="str">
        <f t="shared" si="24"/>
        <v/>
      </c>
      <c r="M129" s="19" t="str">
        <f t="shared" si="22"/>
        <v/>
      </c>
      <c r="N129" s="19" t="str">
        <f t="shared" si="25"/>
        <v/>
      </c>
      <c r="O129" s="19" t="str">
        <f t="shared" si="18"/>
        <v/>
      </c>
      <c r="P129" s="19" t="str">
        <f t="shared" si="19"/>
        <v/>
      </c>
      <c r="Q129" s="19" t="str">
        <f t="shared" si="20"/>
        <v/>
      </c>
      <c r="R129" s="19" t="str">
        <f t="shared" si="26"/>
        <v/>
      </c>
      <c r="S129" s="27" t="str">
        <f t="shared" ref="S129:X144" si="28">IF(C129="","",((C129-C128)*1000)/($B129-$B128))</f>
        <v/>
      </c>
      <c r="T129" s="28" t="str">
        <f t="shared" si="28"/>
        <v/>
      </c>
      <c r="U129" s="28" t="str">
        <f t="shared" si="28"/>
        <v/>
      </c>
      <c r="V129" s="28" t="str">
        <f t="shared" si="28"/>
        <v/>
      </c>
      <c r="W129" s="28" t="str">
        <f t="shared" si="28"/>
        <v/>
      </c>
      <c r="X129" s="29" t="str">
        <f t="shared" si="2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23"/>
        <v/>
      </c>
      <c r="L130" s="19" t="str">
        <f t="shared" si="24"/>
        <v/>
      </c>
      <c r="M130" s="19" t="str">
        <f t="shared" si="22"/>
        <v/>
      </c>
      <c r="N130" s="19" t="str">
        <f t="shared" si="25"/>
        <v/>
      </c>
      <c r="O130" s="19" t="str">
        <f t="shared" si="18"/>
        <v/>
      </c>
      <c r="P130" s="19" t="str">
        <f t="shared" si="19"/>
        <v/>
      </c>
      <c r="Q130" s="19" t="str">
        <f t="shared" si="20"/>
        <v/>
      </c>
      <c r="R130" s="19" t="str">
        <f t="shared" si="26"/>
        <v/>
      </c>
      <c r="S130" s="27" t="str">
        <f t="shared" si="28"/>
        <v/>
      </c>
      <c r="T130" s="28" t="str">
        <f t="shared" si="28"/>
        <v/>
      </c>
      <c r="U130" s="28" t="str">
        <f t="shared" si="28"/>
        <v/>
      </c>
      <c r="V130" s="28" t="str">
        <f t="shared" si="28"/>
        <v/>
      </c>
      <c r="W130" s="28" t="str">
        <f t="shared" si="28"/>
        <v/>
      </c>
      <c r="X130" s="29" t="str">
        <f t="shared" si="2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23"/>
        <v/>
      </c>
      <c r="L131" s="19" t="str">
        <f t="shared" si="24"/>
        <v/>
      </c>
      <c r="M131" s="19" t="str">
        <f t="shared" si="22"/>
        <v/>
      </c>
      <c r="N131" s="19" t="str">
        <f t="shared" si="25"/>
        <v/>
      </c>
      <c r="O131" s="19" t="str">
        <f t="shared" si="18"/>
        <v/>
      </c>
      <c r="P131" s="19" t="str">
        <f t="shared" si="19"/>
        <v/>
      </c>
      <c r="Q131" s="19" t="str">
        <f t="shared" si="20"/>
        <v/>
      </c>
      <c r="R131" s="19" t="str">
        <f t="shared" si="26"/>
        <v/>
      </c>
      <c r="S131" s="27" t="str">
        <f t="shared" si="28"/>
        <v/>
      </c>
      <c r="T131" s="28" t="str">
        <f t="shared" si="28"/>
        <v/>
      </c>
      <c r="U131" s="28" t="str">
        <f t="shared" si="28"/>
        <v/>
      </c>
      <c r="V131" s="28" t="str">
        <f t="shared" si="28"/>
        <v/>
      </c>
      <c r="W131" s="28" t="str">
        <f t="shared" si="28"/>
        <v/>
      </c>
      <c r="X131" s="29" t="str">
        <f t="shared" si="2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23"/>
        <v/>
      </c>
      <c r="L132" s="19" t="str">
        <f t="shared" si="24"/>
        <v/>
      </c>
      <c r="M132" s="19" t="str">
        <f t="shared" si="22"/>
        <v/>
      </c>
      <c r="N132" s="19" t="str">
        <f t="shared" si="25"/>
        <v/>
      </c>
      <c r="O132" s="19" t="str">
        <f t="shared" si="18"/>
        <v/>
      </c>
      <c r="P132" s="19" t="str">
        <f t="shared" si="19"/>
        <v/>
      </c>
      <c r="Q132" s="19" t="str">
        <f t="shared" si="20"/>
        <v/>
      </c>
      <c r="R132" s="19" t="str">
        <f t="shared" si="26"/>
        <v/>
      </c>
      <c r="S132" s="27" t="str">
        <f t="shared" si="28"/>
        <v/>
      </c>
      <c r="T132" s="28" t="str">
        <f t="shared" si="28"/>
        <v/>
      </c>
      <c r="U132" s="28" t="str">
        <f t="shared" si="28"/>
        <v/>
      </c>
      <c r="V132" s="28" t="str">
        <f t="shared" si="28"/>
        <v/>
      </c>
      <c r="W132" s="28" t="str">
        <f t="shared" si="28"/>
        <v/>
      </c>
      <c r="X132" s="29" t="str">
        <f t="shared" si="2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23"/>
        <v/>
      </c>
      <c r="L133" s="19" t="str">
        <f t="shared" si="24"/>
        <v/>
      </c>
      <c r="M133" s="19" t="str">
        <f t="shared" si="22"/>
        <v/>
      </c>
      <c r="N133" s="19" t="str">
        <f t="shared" si="25"/>
        <v/>
      </c>
      <c r="O133" s="19" t="str">
        <f t="shared" si="18"/>
        <v/>
      </c>
      <c r="P133" s="19" t="str">
        <f t="shared" si="19"/>
        <v/>
      </c>
      <c r="Q133" s="19" t="str">
        <f t="shared" si="20"/>
        <v/>
      </c>
      <c r="R133" s="19" t="str">
        <f t="shared" si="26"/>
        <v/>
      </c>
      <c r="S133" s="27" t="str">
        <f t="shared" si="28"/>
        <v/>
      </c>
      <c r="T133" s="28" t="str">
        <f t="shared" si="28"/>
        <v/>
      </c>
      <c r="U133" s="28" t="str">
        <f t="shared" si="28"/>
        <v/>
      </c>
      <c r="V133" s="28" t="str">
        <f t="shared" si="28"/>
        <v/>
      </c>
      <c r="W133" s="28" t="str">
        <f t="shared" si="28"/>
        <v/>
      </c>
      <c r="X133" s="29" t="str">
        <f t="shared" si="2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23"/>
        <v/>
      </c>
      <c r="L134" s="19" t="str">
        <f t="shared" si="24"/>
        <v/>
      </c>
      <c r="M134" s="19" t="str">
        <f t="shared" si="22"/>
        <v/>
      </c>
      <c r="N134" s="19" t="str">
        <f t="shared" si="25"/>
        <v/>
      </c>
      <c r="O134" s="19" t="str">
        <f t="shared" si="18"/>
        <v/>
      </c>
      <c r="P134" s="19" t="str">
        <f t="shared" si="19"/>
        <v/>
      </c>
      <c r="Q134" s="19" t="str">
        <f t="shared" si="20"/>
        <v/>
      </c>
      <c r="R134" s="19" t="str">
        <f t="shared" si="26"/>
        <v/>
      </c>
      <c r="S134" s="27" t="str">
        <f t="shared" si="28"/>
        <v/>
      </c>
      <c r="T134" s="28" t="str">
        <f t="shared" si="28"/>
        <v/>
      </c>
      <c r="U134" s="28" t="str">
        <f t="shared" si="28"/>
        <v/>
      </c>
      <c r="V134" s="28" t="str">
        <f t="shared" si="28"/>
        <v/>
      </c>
      <c r="W134" s="28" t="str">
        <f t="shared" si="28"/>
        <v/>
      </c>
      <c r="X134" s="29" t="str">
        <f t="shared" si="2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23"/>
        <v/>
      </c>
      <c r="L135" s="19" t="str">
        <f t="shared" si="24"/>
        <v/>
      </c>
      <c r="M135" s="19" t="str">
        <f t="shared" si="22"/>
        <v/>
      </c>
      <c r="N135" s="19" t="str">
        <f t="shared" si="25"/>
        <v/>
      </c>
      <c r="O135" s="19" t="str">
        <f t="shared" si="18"/>
        <v/>
      </c>
      <c r="P135" s="19" t="str">
        <f t="shared" si="19"/>
        <v/>
      </c>
      <c r="Q135" s="19" t="str">
        <f t="shared" si="20"/>
        <v/>
      </c>
      <c r="R135" s="19" t="str">
        <f t="shared" si="26"/>
        <v/>
      </c>
      <c r="S135" s="27" t="str">
        <f t="shared" si="28"/>
        <v/>
      </c>
      <c r="T135" s="28" t="str">
        <f t="shared" si="28"/>
        <v/>
      </c>
      <c r="U135" s="28" t="str">
        <f t="shared" si="28"/>
        <v/>
      </c>
      <c r="V135" s="28" t="str">
        <f t="shared" si="28"/>
        <v/>
      </c>
      <c r="W135" s="28" t="str">
        <f t="shared" si="28"/>
        <v/>
      </c>
      <c r="X135" s="29" t="str">
        <f t="shared" si="2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23"/>
        <v/>
      </c>
      <c r="L136" s="19" t="str">
        <f t="shared" si="24"/>
        <v/>
      </c>
      <c r="M136" s="19" t="str">
        <f t="shared" si="22"/>
        <v/>
      </c>
      <c r="N136" s="19" t="str">
        <f t="shared" si="25"/>
        <v/>
      </c>
      <c r="O136" s="19" t="str">
        <f t="shared" si="18"/>
        <v/>
      </c>
      <c r="P136" s="19" t="str">
        <f t="shared" si="19"/>
        <v/>
      </c>
      <c r="Q136" s="19" t="str">
        <f t="shared" si="20"/>
        <v/>
      </c>
      <c r="R136" s="19" t="str">
        <f t="shared" si="26"/>
        <v/>
      </c>
      <c r="S136" s="27" t="str">
        <f t="shared" si="28"/>
        <v/>
      </c>
      <c r="T136" s="28" t="str">
        <f t="shared" si="28"/>
        <v/>
      </c>
      <c r="U136" s="28" t="str">
        <f t="shared" si="28"/>
        <v/>
      </c>
      <c r="V136" s="28" t="str">
        <f t="shared" si="28"/>
        <v/>
      </c>
      <c r="W136" s="28" t="str">
        <f t="shared" si="28"/>
        <v/>
      </c>
      <c r="X136" s="29" t="str">
        <f t="shared" si="2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23"/>
        <v/>
      </c>
      <c r="L137" s="19" t="str">
        <f t="shared" si="24"/>
        <v/>
      </c>
      <c r="M137" s="19" t="str">
        <f t="shared" si="22"/>
        <v/>
      </c>
      <c r="N137" s="19" t="str">
        <f t="shared" si="25"/>
        <v/>
      </c>
      <c r="O137" s="19" t="str">
        <f t="shared" si="18"/>
        <v/>
      </c>
      <c r="P137" s="19" t="str">
        <f t="shared" si="19"/>
        <v/>
      </c>
      <c r="Q137" s="19" t="str">
        <f t="shared" si="20"/>
        <v/>
      </c>
      <c r="R137" s="19" t="str">
        <f t="shared" si="26"/>
        <v/>
      </c>
      <c r="S137" s="27" t="str">
        <f t="shared" si="28"/>
        <v/>
      </c>
      <c r="T137" s="28" t="str">
        <f t="shared" si="28"/>
        <v/>
      </c>
      <c r="U137" s="28" t="str">
        <f t="shared" si="28"/>
        <v/>
      </c>
      <c r="V137" s="28" t="str">
        <f t="shared" si="28"/>
        <v/>
      </c>
      <c r="W137" s="28" t="str">
        <f t="shared" si="28"/>
        <v/>
      </c>
      <c r="X137" s="29" t="str">
        <f t="shared" si="2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23"/>
        <v/>
      </c>
      <c r="L138" s="19" t="str">
        <f t="shared" si="24"/>
        <v/>
      </c>
      <c r="M138" s="19" t="str">
        <f t="shared" si="22"/>
        <v/>
      </c>
      <c r="N138" s="19" t="str">
        <f t="shared" si="25"/>
        <v/>
      </c>
      <c r="O138" s="19" t="str">
        <f t="shared" si="18"/>
        <v/>
      </c>
      <c r="P138" s="19" t="str">
        <f t="shared" si="19"/>
        <v/>
      </c>
      <c r="Q138" s="19" t="str">
        <f t="shared" si="20"/>
        <v/>
      </c>
      <c r="R138" s="19" t="str">
        <f t="shared" si="26"/>
        <v/>
      </c>
      <c r="S138" s="27" t="str">
        <f t="shared" si="28"/>
        <v/>
      </c>
      <c r="T138" s="28" t="str">
        <f t="shared" si="28"/>
        <v/>
      </c>
      <c r="U138" s="28" t="str">
        <f t="shared" si="28"/>
        <v/>
      </c>
      <c r="V138" s="28" t="str">
        <f t="shared" si="28"/>
        <v/>
      </c>
      <c r="W138" s="28" t="str">
        <f t="shared" si="28"/>
        <v/>
      </c>
      <c r="X138" s="29" t="str">
        <f t="shared" si="2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23"/>
        <v/>
      </c>
      <c r="L139" s="19" t="str">
        <f t="shared" si="24"/>
        <v/>
      </c>
      <c r="M139" s="19" t="str">
        <f t="shared" si="22"/>
        <v/>
      </c>
      <c r="N139" s="19" t="str">
        <f t="shared" si="25"/>
        <v/>
      </c>
      <c r="O139" s="19" t="str">
        <f t="shared" si="18"/>
        <v/>
      </c>
      <c r="P139" s="19" t="str">
        <f t="shared" si="19"/>
        <v/>
      </c>
      <c r="Q139" s="19" t="str">
        <f t="shared" si="20"/>
        <v/>
      </c>
      <c r="R139" s="19" t="str">
        <f t="shared" si="26"/>
        <v/>
      </c>
      <c r="S139" s="27" t="str">
        <f t="shared" si="28"/>
        <v/>
      </c>
      <c r="T139" s="28" t="str">
        <f t="shared" si="28"/>
        <v/>
      </c>
      <c r="U139" s="28" t="str">
        <f t="shared" si="28"/>
        <v/>
      </c>
      <c r="V139" s="28" t="str">
        <f t="shared" si="28"/>
        <v/>
      </c>
      <c r="W139" s="28" t="str">
        <f t="shared" si="28"/>
        <v/>
      </c>
      <c r="X139" s="29" t="str">
        <f t="shared" si="2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23"/>
        <v/>
      </c>
      <c r="L140" s="19" t="str">
        <f t="shared" si="24"/>
        <v/>
      </c>
      <c r="M140" s="19" t="str">
        <f t="shared" si="22"/>
        <v/>
      </c>
      <c r="N140" s="19" t="str">
        <f t="shared" si="25"/>
        <v/>
      </c>
      <c r="O140" s="19" t="str">
        <f t="shared" si="18"/>
        <v/>
      </c>
      <c r="P140" s="19" t="str">
        <f t="shared" si="19"/>
        <v/>
      </c>
      <c r="Q140" s="19" t="str">
        <f t="shared" si="20"/>
        <v/>
      </c>
      <c r="R140" s="19" t="str">
        <f t="shared" si="26"/>
        <v/>
      </c>
      <c r="S140" s="27" t="str">
        <f t="shared" si="28"/>
        <v/>
      </c>
      <c r="T140" s="28" t="str">
        <f t="shared" si="28"/>
        <v/>
      </c>
      <c r="U140" s="28" t="str">
        <f t="shared" si="28"/>
        <v/>
      </c>
      <c r="V140" s="28" t="str">
        <f t="shared" si="28"/>
        <v/>
      </c>
      <c r="W140" s="28" t="str">
        <f t="shared" si="28"/>
        <v/>
      </c>
      <c r="X140" s="29" t="str">
        <f t="shared" si="2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23"/>
        <v/>
      </c>
      <c r="L141" s="19" t="str">
        <f t="shared" si="24"/>
        <v/>
      </c>
      <c r="M141" s="19" t="str">
        <f t="shared" si="22"/>
        <v/>
      </c>
      <c r="N141" s="19" t="str">
        <f t="shared" si="25"/>
        <v/>
      </c>
      <c r="O141" s="19" t="str">
        <f t="shared" si="18"/>
        <v/>
      </c>
      <c r="P141" s="19" t="str">
        <f t="shared" si="19"/>
        <v/>
      </c>
      <c r="Q141" s="19" t="str">
        <f t="shared" si="20"/>
        <v/>
      </c>
      <c r="R141" s="19" t="str">
        <f t="shared" si="26"/>
        <v/>
      </c>
      <c r="S141" s="27" t="str">
        <f t="shared" si="28"/>
        <v/>
      </c>
      <c r="T141" s="28" t="str">
        <f t="shared" si="28"/>
        <v/>
      </c>
      <c r="U141" s="28" t="str">
        <f t="shared" si="28"/>
        <v/>
      </c>
      <c r="V141" s="28" t="str">
        <f t="shared" si="28"/>
        <v/>
      </c>
      <c r="W141" s="28" t="str">
        <f t="shared" si="28"/>
        <v/>
      </c>
      <c r="X141" s="29" t="str">
        <f t="shared" si="2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23"/>
        <v/>
      </c>
      <c r="L142" s="19" t="str">
        <f t="shared" si="24"/>
        <v/>
      </c>
      <c r="M142" s="19" t="str">
        <f t="shared" si="22"/>
        <v/>
      </c>
      <c r="N142" s="19" t="str">
        <f t="shared" si="25"/>
        <v/>
      </c>
      <c r="O142" s="19" t="str">
        <f t="shared" si="18"/>
        <v/>
      </c>
      <c r="P142" s="19" t="str">
        <f t="shared" si="19"/>
        <v/>
      </c>
      <c r="Q142" s="19" t="str">
        <f t="shared" si="20"/>
        <v/>
      </c>
      <c r="R142" s="19" t="str">
        <f t="shared" si="26"/>
        <v/>
      </c>
      <c r="S142" s="27" t="str">
        <f t="shared" si="28"/>
        <v/>
      </c>
      <c r="T142" s="28" t="str">
        <f t="shared" si="28"/>
        <v/>
      </c>
      <c r="U142" s="28" t="str">
        <f t="shared" si="28"/>
        <v/>
      </c>
      <c r="V142" s="28" t="str">
        <f t="shared" si="28"/>
        <v/>
      </c>
      <c r="W142" s="28" t="str">
        <f t="shared" si="28"/>
        <v/>
      </c>
      <c r="X142" s="29" t="str">
        <f t="shared" si="2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23"/>
        <v/>
      </c>
      <c r="L143" s="19" t="str">
        <f t="shared" si="24"/>
        <v/>
      </c>
      <c r="M143" s="19" t="str">
        <f t="shared" si="22"/>
        <v/>
      </c>
      <c r="N143" s="19" t="str">
        <f t="shared" si="25"/>
        <v/>
      </c>
      <c r="O143" s="19" t="str">
        <f t="shared" si="18"/>
        <v/>
      </c>
      <c r="P143" s="19" t="str">
        <f t="shared" si="19"/>
        <v/>
      </c>
      <c r="Q143" s="19" t="str">
        <f t="shared" si="20"/>
        <v/>
      </c>
      <c r="R143" s="19" t="str">
        <f t="shared" si="26"/>
        <v/>
      </c>
      <c r="S143" s="27" t="str">
        <f t="shared" si="28"/>
        <v/>
      </c>
      <c r="T143" s="28" t="str">
        <f t="shared" si="28"/>
        <v/>
      </c>
      <c r="U143" s="28" t="str">
        <f t="shared" si="28"/>
        <v/>
      </c>
      <c r="V143" s="28" t="str">
        <f t="shared" si="28"/>
        <v/>
      </c>
      <c r="W143" s="28" t="str">
        <f t="shared" si="28"/>
        <v/>
      </c>
      <c r="X143" s="29" t="str">
        <f t="shared" si="2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23"/>
        <v/>
      </c>
      <c r="L144" s="19" t="str">
        <f t="shared" ref="L144:L153" si="29">IF(ISBLANK(C144),"",(C144-C$16)*1000)</f>
        <v/>
      </c>
      <c r="M144" s="19" t="str">
        <f t="shared" si="22"/>
        <v/>
      </c>
      <c r="N144" s="19" t="str">
        <f t="shared" ref="N144:N153" si="30">IF(ISBLANK(E144),"",(E144-E$16)*1000)</f>
        <v/>
      </c>
      <c r="O144" s="19" t="str">
        <f t="shared" si="18"/>
        <v/>
      </c>
      <c r="P144" s="19" t="str">
        <f t="shared" si="19"/>
        <v/>
      </c>
      <c r="Q144" s="19" t="str">
        <f t="shared" si="20"/>
        <v/>
      </c>
      <c r="R144" s="19" t="str">
        <f t="shared" ref="R144:R153" si="31">IF(ISBLANK(I144),"",(I144-I$16)*1000)</f>
        <v/>
      </c>
      <c r="S144" s="27" t="str">
        <f t="shared" si="28"/>
        <v/>
      </c>
      <c r="T144" s="28" t="str">
        <f t="shared" si="28"/>
        <v/>
      </c>
      <c r="U144" s="28" t="str">
        <f t="shared" si="28"/>
        <v/>
      </c>
      <c r="V144" s="28" t="str">
        <f t="shared" si="28"/>
        <v/>
      </c>
      <c r="W144" s="28" t="str">
        <f t="shared" si="28"/>
        <v/>
      </c>
      <c r="X144" s="29" t="str">
        <f t="shared" si="2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23"/>
        <v/>
      </c>
      <c r="L145" s="19" t="str">
        <f t="shared" si="29"/>
        <v/>
      </c>
      <c r="M145" s="19" t="str">
        <f t="shared" si="22"/>
        <v/>
      </c>
      <c r="N145" s="19" t="str">
        <f t="shared" si="30"/>
        <v/>
      </c>
      <c r="O145" s="19" t="str">
        <f t="shared" si="18"/>
        <v/>
      </c>
      <c r="P145" s="19" t="str">
        <f t="shared" si="19"/>
        <v/>
      </c>
      <c r="Q145" s="19" t="str">
        <f t="shared" si="20"/>
        <v/>
      </c>
      <c r="R145" s="19" t="str">
        <f t="shared" si="31"/>
        <v/>
      </c>
      <c r="S145" s="27" t="str">
        <f t="shared" ref="S145:X153" si="32">IF(C145="","",((C145-C144)*1000)/($B145-$B144))</f>
        <v/>
      </c>
      <c r="T145" s="28" t="str">
        <f t="shared" si="32"/>
        <v/>
      </c>
      <c r="U145" s="28" t="str">
        <f t="shared" si="32"/>
        <v/>
      </c>
      <c r="V145" s="28" t="str">
        <f t="shared" si="32"/>
        <v/>
      </c>
      <c r="W145" s="28" t="str">
        <f t="shared" si="32"/>
        <v/>
      </c>
      <c r="X145" s="29" t="str">
        <f t="shared" si="32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23"/>
        <v/>
      </c>
      <c r="L146" s="19" t="str">
        <f t="shared" si="29"/>
        <v/>
      </c>
      <c r="M146" s="19" t="str">
        <f t="shared" si="22"/>
        <v/>
      </c>
      <c r="N146" s="19" t="str">
        <f t="shared" si="30"/>
        <v/>
      </c>
      <c r="O146" s="19" t="str">
        <f t="shared" si="18"/>
        <v/>
      </c>
      <c r="P146" s="19" t="str">
        <f t="shared" si="19"/>
        <v/>
      </c>
      <c r="Q146" s="19" t="str">
        <f t="shared" si="20"/>
        <v/>
      </c>
      <c r="R146" s="19" t="str">
        <f t="shared" si="31"/>
        <v/>
      </c>
      <c r="S146" s="27" t="str">
        <f t="shared" si="32"/>
        <v/>
      </c>
      <c r="T146" s="28" t="str">
        <f t="shared" si="32"/>
        <v/>
      </c>
      <c r="U146" s="28" t="str">
        <f t="shared" si="32"/>
        <v/>
      </c>
      <c r="V146" s="28" t="str">
        <f t="shared" si="32"/>
        <v/>
      </c>
      <c r="W146" s="28" t="str">
        <f t="shared" si="32"/>
        <v/>
      </c>
      <c r="X146" s="29" t="str">
        <f t="shared" si="32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23"/>
        <v/>
      </c>
      <c r="L147" s="19" t="str">
        <f t="shared" si="29"/>
        <v/>
      </c>
      <c r="M147" s="19" t="str">
        <f t="shared" si="22"/>
        <v/>
      </c>
      <c r="N147" s="19" t="str">
        <f t="shared" si="30"/>
        <v/>
      </c>
      <c r="O147" s="19" t="str">
        <f t="shared" si="18"/>
        <v/>
      </c>
      <c r="P147" s="19" t="str">
        <f t="shared" si="19"/>
        <v/>
      </c>
      <c r="Q147" s="19" t="str">
        <f t="shared" si="20"/>
        <v/>
      </c>
      <c r="R147" s="19" t="str">
        <f t="shared" si="31"/>
        <v/>
      </c>
      <c r="S147" s="27" t="str">
        <f t="shared" si="32"/>
        <v/>
      </c>
      <c r="T147" s="28" t="str">
        <f t="shared" si="32"/>
        <v/>
      </c>
      <c r="U147" s="28" t="str">
        <f t="shared" si="32"/>
        <v/>
      </c>
      <c r="V147" s="28" t="str">
        <f t="shared" si="32"/>
        <v/>
      </c>
      <c r="W147" s="28" t="str">
        <f t="shared" si="32"/>
        <v/>
      </c>
      <c r="X147" s="29" t="str">
        <f t="shared" si="32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23"/>
        <v/>
      </c>
      <c r="L148" s="19" t="str">
        <f t="shared" si="29"/>
        <v/>
      </c>
      <c r="M148" s="19" t="str">
        <f t="shared" si="22"/>
        <v/>
      </c>
      <c r="N148" s="19" t="str">
        <f t="shared" si="30"/>
        <v/>
      </c>
      <c r="O148" s="19" t="str">
        <f t="shared" si="18"/>
        <v/>
      </c>
      <c r="P148" s="19" t="str">
        <f t="shared" si="19"/>
        <v/>
      </c>
      <c r="Q148" s="19" t="str">
        <f t="shared" si="20"/>
        <v/>
      </c>
      <c r="R148" s="19" t="str">
        <f t="shared" si="31"/>
        <v/>
      </c>
      <c r="S148" s="27" t="str">
        <f t="shared" si="32"/>
        <v/>
      </c>
      <c r="T148" s="28" t="str">
        <f t="shared" si="32"/>
        <v/>
      </c>
      <c r="U148" s="28" t="str">
        <f t="shared" si="32"/>
        <v/>
      </c>
      <c r="V148" s="28" t="str">
        <f t="shared" si="32"/>
        <v/>
      </c>
      <c r="W148" s="28" t="str">
        <f t="shared" si="32"/>
        <v/>
      </c>
      <c r="X148" s="29" t="str">
        <f t="shared" si="32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23"/>
        <v/>
      </c>
      <c r="L149" s="19" t="str">
        <f t="shared" si="29"/>
        <v/>
      </c>
      <c r="M149" s="19" t="str">
        <f t="shared" si="22"/>
        <v/>
      </c>
      <c r="N149" s="19" t="str">
        <f t="shared" si="30"/>
        <v/>
      </c>
      <c r="O149" s="19" t="str">
        <f t="shared" si="18"/>
        <v/>
      </c>
      <c r="P149" s="19" t="str">
        <f t="shared" si="19"/>
        <v/>
      </c>
      <c r="Q149" s="19" t="str">
        <f t="shared" si="20"/>
        <v/>
      </c>
      <c r="R149" s="19" t="str">
        <f t="shared" si="31"/>
        <v/>
      </c>
      <c r="S149" s="27" t="str">
        <f t="shared" si="32"/>
        <v/>
      </c>
      <c r="T149" s="28" t="str">
        <f t="shared" si="32"/>
        <v/>
      </c>
      <c r="U149" s="28" t="str">
        <f t="shared" si="32"/>
        <v/>
      </c>
      <c r="V149" s="28" t="str">
        <f t="shared" si="32"/>
        <v/>
      </c>
      <c r="W149" s="28" t="str">
        <f t="shared" si="32"/>
        <v/>
      </c>
      <c r="X149" s="29" t="str">
        <f t="shared" si="32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23"/>
        <v/>
      </c>
      <c r="L150" s="19" t="str">
        <f t="shared" si="29"/>
        <v/>
      </c>
      <c r="M150" s="19" t="str">
        <f t="shared" si="22"/>
        <v/>
      </c>
      <c r="N150" s="19" t="str">
        <f t="shared" si="30"/>
        <v/>
      </c>
      <c r="O150" s="19" t="str">
        <f t="shared" si="18"/>
        <v/>
      </c>
      <c r="P150" s="19" t="str">
        <f t="shared" si="19"/>
        <v/>
      </c>
      <c r="Q150" s="19" t="str">
        <f t="shared" si="20"/>
        <v/>
      </c>
      <c r="R150" s="19" t="str">
        <f t="shared" si="31"/>
        <v/>
      </c>
      <c r="S150" s="27" t="str">
        <f t="shared" si="32"/>
        <v/>
      </c>
      <c r="T150" s="28" t="str">
        <f t="shared" si="32"/>
        <v/>
      </c>
      <c r="U150" s="28" t="str">
        <f t="shared" si="32"/>
        <v/>
      </c>
      <c r="V150" s="28" t="str">
        <f t="shared" si="32"/>
        <v/>
      </c>
      <c r="W150" s="28" t="str">
        <f t="shared" si="32"/>
        <v/>
      </c>
      <c r="X150" s="29" t="str">
        <f t="shared" si="32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23"/>
        <v/>
      </c>
      <c r="L151" s="19" t="str">
        <f t="shared" si="29"/>
        <v/>
      </c>
      <c r="M151" s="19" t="str">
        <f t="shared" si="22"/>
        <v/>
      </c>
      <c r="N151" s="19" t="str">
        <f t="shared" si="30"/>
        <v/>
      </c>
      <c r="O151" s="19" t="str">
        <f t="shared" si="18"/>
        <v/>
      </c>
      <c r="P151" s="19" t="str">
        <f t="shared" si="19"/>
        <v/>
      </c>
      <c r="Q151" s="19" t="str">
        <f t="shared" si="20"/>
        <v/>
      </c>
      <c r="R151" s="19" t="str">
        <f t="shared" si="31"/>
        <v/>
      </c>
      <c r="S151" s="27" t="str">
        <f t="shared" si="32"/>
        <v/>
      </c>
      <c r="T151" s="28" t="str">
        <f t="shared" si="32"/>
        <v/>
      </c>
      <c r="U151" s="28" t="str">
        <f t="shared" si="32"/>
        <v/>
      </c>
      <c r="V151" s="28" t="str">
        <f t="shared" si="32"/>
        <v/>
      </c>
      <c r="W151" s="28" t="str">
        <f t="shared" si="32"/>
        <v/>
      </c>
      <c r="X151" s="29" t="str">
        <f t="shared" si="32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23"/>
        <v/>
      </c>
      <c r="L152" s="19" t="str">
        <f t="shared" si="29"/>
        <v/>
      </c>
      <c r="M152" s="19" t="str">
        <f t="shared" si="22"/>
        <v/>
      </c>
      <c r="N152" s="19" t="str">
        <f t="shared" si="30"/>
        <v/>
      </c>
      <c r="O152" s="19" t="str">
        <f t="shared" si="18"/>
        <v/>
      </c>
      <c r="P152" s="19" t="str">
        <f t="shared" si="19"/>
        <v/>
      </c>
      <c r="Q152" s="19" t="str">
        <f t="shared" si="20"/>
        <v/>
      </c>
      <c r="R152" s="19" t="str">
        <f t="shared" si="31"/>
        <v/>
      </c>
      <c r="S152" s="27" t="str">
        <f t="shared" si="32"/>
        <v/>
      </c>
      <c r="T152" s="28" t="str">
        <f t="shared" si="32"/>
        <v/>
      </c>
      <c r="U152" s="28" t="str">
        <f t="shared" si="32"/>
        <v/>
      </c>
      <c r="V152" s="28" t="str">
        <f t="shared" si="32"/>
        <v/>
      </c>
      <c r="W152" s="28" t="str">
        <f t="shared" si="32"/>
        <v/>
      </c>
      <c r="X152" s="29" t="str">
        <f t="shared" si="32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23"/>
        <v/>
      </c>
      <c r="L153" s="19" t="str">
        <f t="shared" si="29"/>
        <v/>
      </c>
      <c r="M153" s="19" t="str">
        <f t="shared" si="22"/>
        <v/>
      </c>
      <c r="N153" s="19" t="str">
        <f t="shared" si="30"/>
        <v/>
      </c>
      <c r="O153" s="19" t="str">
        <f t="shared" si="18"/>
        <v/>
      </c>
      <c r="P153" s="19" t="str">
        <f t="shared" si="19"/>
        <v/>
      </c>
      <c r="Q153" s="19" t="str">
        <f t="shared" si="20"/>
        <v/>
      </c>
      <c r="R153" s="19" t="str">
        <f t="shared" si="31"/>
        <v/>
      </c>
      <c r="S153" s="27" t="str">
        <f t="shared" si="32"/>
        <v/>
      </c>
      <c r="T153" s="28" t="str">
        <f t="shared" si="32"/>
        <v/>
      </c>
      <c r="U153" s="28" t="str">
        <f t="shared" si="32"/>
        <v/>
      </c>
      <c r="V153" s="28" t="str">
        <f t="shared" si="32"/>
        <v/>
      </c>
      <c r="W153" s="28" t="str">
        <f t="shared" si="32"/>
        <v/>
      </c>
      <c r="X153" s="29" t="str">
        <f t="shared" si="32"/>
        <v/>
      </c>
      <c r="Y153" s="24"/>
    </row>
  </sheetData>
  <sheetProtection selectLockedCells="1"/>
  <mergeCells count="38">
    <mergeCell ref="J14:K14"/>
    <mergeCell ref="W5:Y5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R8:V8"/>
    <mergeCell ref="B5:D8"/>
    <mergeCell ref="E5:I5"/>
    <mergeCell ref="J5:Q5"/>
    <mergeCell ref="R5:V5"/>
    <mergeCell ref="E6:I6"/>
    <mergeCell ref="J6:Q6"/>
    <mergeCell ref="AA9:AI9"/>
    <mergeCell ref="R6:V6"/>
    <mergeCell ref="W6:Y6"/>
    <mergeCell ref="E7:I7"/>
    <mergeCell ref="J7:Q7"/>
    <mergeCell ref="R7:V7"/>
    <mergeCell ref="W7:Y7"/>
    <mergeCell ref="B10:J12"/>
    <mergeCell ref="K10:S12"/>
    <mergeCell ref="T10:Y12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2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0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TZ-30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/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/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/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/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800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/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4">
        <v>41785</v>
      </c>
      <c r="C16" s="35">
        <v>13.331</v>
      </c>
      <c r="D16" s="36">
        <v>7.1840000000000002</v>
      </c>
      <c r="E16" s="36">
        <v>9.3170000000000002</v>
      </c>
      <c r="F16" s="37"/>
      <c r="G16" s="37"/>
      <c r="H16" s="37"/>
      <c r="I16" s="41">
        <v>104.676</v>
      </c>
      <c r="J16" s="68">
        <v>813</v>
      </c>
      <c r="K16" s="55">
        <f>IF(ISBLANK(J16),"",(J16-$J$8))</f>
        <v>13</v>
      </c>
      <c r="L16" s="19">
        <f t="shared" ref="L16:L25" si="0">IF(ISBLANK(C16),"",(C16-C$16)*1000)</f>
        <v>0</v>
      </c>
      <c r="M16" s="19">
        <f t="shared" ref="M16:M25" si="1">IF(ISBLANK(D16),"",(D16-D$16)*1000)</f>
        <v>0</v>
      </c>
      <c r="N16" s="19">
        <f t="shared" ref="N16:N25" si="2">IF(ISBLANK(E16),"",(E16-E$16)*1000)</f>
        <v>0</v>
      </c>
      <c r="O16" s="20"/>
      <c r="P16" s="20"/>
      <c r="Q16" s="20"/>
      <c r="R16" s="21">
        <f t="shared" ref="R16:R79" si="3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41786</v>
      </c>
      <c r="C17" s="25">
        <v>13.329000000000001</v>
      </c>
      <c r="D17" s="26">
        <v>7.1829999999999998</v>
      </c>
      <c r="E17" s="26">
        <v>9.3160000000000007</v>
      </c>
      <c r="F17" s="16"/>
      <c r="G17" s="16"/>
      <c r="H17" s="16"/>
      <c r="I17" s="17">
        <v>104.676</v>
      </c>
      <c r="J17" s="58">
        <v>821</v>
      </c>
      <c r="K17" s="18">
        <f t="shared" ref="K17:K22" si="4">IF(ISBLANK(J17),"",(J17-$J$8))</f>
        <v>21</v>
      </c>
      <c r="L17" s="19">
        <f t="shared" si="0"/>
        <v>-1.9999999999988916</v>
      </c>
      <c r="M17" s="19">
        <f t="shared" si="1"/>
        <v>-1.000000000000334</v>
      </c>
      <c r="N17" s="19">
        <f t="shared" si="2"/>
        <v>-0.99999999999944578</v>
      </c>
      <c r="O17" s="19" t="str">
        <f t="shared" ref="O17:O25" si="5">IF(ISBLANK(F17),"",(F17-F$16)*1000)</f>
        <v/>
      </c>
      <c r="P17" s="19" t="str">
        <f t="shared" ref="P17:P25" si="6">IF(ISBLANK(G17),"",(G17-G$16)*1000)</f>
        <v/>
      </c>
      <c r="Q17" s="19" t="str">
        <f t="shared" ref="Q17:Q25" si="7">IF(ISBLANK(H17),"",(H17-H$16)*1000)</f>
        <v/>
      </c>
      <c r="R17" s="19">
        <f t="shared" si="3"/>
        <v>0</v>
      </c>
      <c r="S17" s="27">
        <f t="shared" ref="S17:X32" si="8">IF(C17="","",((C17-C16)*1000)/($B17-$B16))</f>
        <v>-1.9999999999988916</v>
      </c>
      <c r="T17" s="28">
        <f t="shared" si="8"/>
        <v>-1.000000000000334</v>
      </c>
      <c r="U17" s="28">
        <f t="shared" si="8"/>
        <v>-0.99999999999944578</v>
      </c>
      <c r="V17" s="28" t="str">
        <f t="shared" si="8"/>
        <v/>
      </c>
      <c r="W17" s="28" t="str">
        <f t="shared" si="8"/>
        <v/>
      </c>
      <c r="X17" s="29" t="str">
        <f t="shared" si="8"/>
        <v/>
      </c>
      <c r="Y17" s="24"/>
    </row>
    <row r="18" spans="2:25" ht="15" customHeight="1" x14ac:dyDescent="0.2">
      <c r="B18" s="31">
        <v>41787</v>
      </c>
      <c r="C18" s="25">
        <v>13.327999999999999</v>
      </c>
      <c r="D18" s="26">
        <v>7.1840000000000002</v>
      </c>
      <c r="E18" s="26">
        <v>9.3160000000000007</v>
      </c>
      <c r="F18" s="16"/>
      <c r="G18" s="16"/>
      <c r="H18" s="16"/>
      <c r="I18" s="17">
        <v>104.675</v>
      </c>
      <c r="J18" s="58">
        <v>837</v>
      </c>
      <c r="K18" s="18">
        <f t="shared" si="4"/>
        <v>37</v>
      </c>
      <c r="L18" s="19">
        <f t="shared" si="0"/>
        <v>-3.0000000000001137</v>
      </c>
      <c r="M18" s="19">
        <f t="shared" si="1"/>
        <v>0</v>
      </c>
      <c r="N18" s="19">
        <f t="shared" si="2"/>
        <v>-0.99999999999944578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3"/>
        <v>-1.0000000000047748</v>
      </c>
      <c r="S18" s="27">
        <f t="shared" si="8"/>
        <v>-1.0000000000012221</v>
      </c>
      <c r="T18" s="28">
        <f t="shared" si="8"/>
        <v>1.000000000000334</v>
      </c>
      <c r="U18" s="28">
        <f t="shared" si="8"/>
        <v>0</v>
      </c>
      <c r="V18" s="28" t="str">
        <f t="shared" si="8"/>
        <v/>
      </c>
      <c r="W18" s="28" t="str">
        <f t="shared" si="8"/>
        <v/>
      </c>
      <c r="X18" s="29" t="str">
        <f t="shared" si="8"/>
        <v/>
      </c>
      <c r="Y18" s="24"/>
    </row>
    <row r="19" spans="2:25" ht="15" customHeight="1" x14ac:dyDescent="0.2">
      <c r="B19" s="31">
        <v>41788</v>
      </c>
      <c r="C19" s="25">
        <v>13.33</v>
      </c>
      <c r="D19" s="26">
        <v>7.1829999999999998</v>
      </c>
      <c r="E19" s="26">
        <v>9.3160000000000007</v>
      </c>
      <c r="F19" s="16"/>
      <c r="G19" s="16"/>
      <c r="H19" s="16"/>
      <c r="I19" s="17">
        <v>104.675</v>
      </c>
      <c r="J19" s="58">
        <v>844</v>
      </c>
      <c r="K19" s="18">
        <f t="shared" si="4"/>
        <v>44</v>
      </c>
      <c r="L19" s="19">
        <f t="shared" si="0"/>
        <v>-0.99999999999944578</v>
      </c>
      <c r="M19" s="19">
        <f t="shared" si="1"/>
        <v>-1.000000000000334</v>
      </c>
      <c r="N19" s="19">
        <f t="shared" si="2"/>
        <v>-0.99999999999944578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3"/>
        <v>-1.0000000000047748</v>
      </c>
      <c r="S19" s="27">
        <f t="shared" si="8"/>
        <v>2.0000000000006679</v>
      </c>
      <c r="T19" s="28">
        <f t="shared" si="8"/>
        <v>-1.000000000000334</v>
      </c>
      <c r="U19" s="28">
        <f t="shared" si="8"/>
        <v>0</v>
      </c>
      <c r="V19" s="28" t="str">
        <f t="shared" si="8"/>
        <v/>
      </c>
      <c r="W19" s="28" t="str">
        <f t="shared" si="8"/>
        <v/>
      </c>
      <c r="X19" s="29" t="str">
        <f t="shared" si="8"/>
        <v/>
      </c>
      <c r="Y19" s="24"/>
    </row>
    <row r="20" spans="2:25" ht="15" customHeight="1" x14ac:dyDescent="0.2">
      <c r="B20" s="31">
        <v>41789</v>
      </c>
      <c r="C20" s="25">
        <v>13.33</v>
      </c>
      <c r="D20" s="26">
        <v>7.1829999999999998</v>
      </c>
      <c r="E20" s="26">
        <v>9.3160000000000007</v>
      </c>
      <c r="F20" s="16"/>
      <c r="G20" s="16"/>
      <c r="H20" s="16"/>
      <c r="I20" s="17">
        <v>104.675</v>
      </c>
      <c r="J20" s="58">
        <v>851</v>
      </c>
      <c r="K20" s="18">
        <f t="shared" si="4"/>
        <v>51</v>
      </c>
      <c r="L20" s="19">
        <f t="shared" si="0"/>
        <v>-0.99999999999944578</v>
      </c>
      <c r="M20" s="19">
        <f t="shared" si="1"/>
        <v>-1.000000000000334</v>
      </c>
      <c r="N20" s="19">
        <f t="shared" si="2"/>
        <v>-0.99999999999944578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3"/>
        <v>-1.0000000000047748</v>
      </c>
      <c r="S20" s="27">
        <f t="shared" si="8"/>
        <v>0</v>
      </c>
      <c r="T20" s="28">
        <f t="shared" si="8"/>
        <v>0</v>
      </c>
      <c r="U20" s="28">
        <f t="shared" si="8"/>
        <v>0</v>
      </c>
      <c r="V20" s="28" t="str">
        <f t="shared" si="8"/>
        <v/>
      </c>
      <c r="W20" s="28" t="str">
        <f t="shared" si="8"/>
        <v/>
      </c>
      <c r="X20" s="29" t="str">
        <f t="shared" si="8"/>
        <v/>
      </c>
      <c r="Y20" s="24"/>
    </row>
    <row r="21" spans="2:25" ht="15" customHeight="1" x14ac:dyDescent="0.2">
      <c r="B21" s="31">
        <v>41792</v>
      </c>
      <c r="C21" s="25">
        <v>13.329000000000001</v>
      </c>
      <c r="D21" s="26">
        <v>7.1820000000000004</v>
      </c>
      <c r="E21" s="26">
        <v>9.3170000000000002</v>
      </c>
      <c r="F21" s="16"/>
      <c r="G21" s="16"/>
      <c r="H21" s="16"/>
      <c r="I21" s="17">
        <v>104.67400000000001</v>
      </c>
      <c r="J21" s="58">
        <v>865</v>
      </c>
      <c r="K21" s="18">
        <f t="shared" si="4"/>
        <v>65</v>
      </c>
      <c r="L21" s="19">
        <f t="shared" si="0"/>
        <v>-1.9999999999988916</v>
      </c>
      <c r="M21" s="19">
        <f t="shared" si="1"/>
        <v>-1.9999999999997797</v>
      </c>
      <c r="N21" s="19">
        <f t="shared" si="2"/>
        <v>0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3"/>
        <v>-1.9999999999953388</v>
      </c>
      <c r="S21" s="27">
        <f t="shared" si="8"/>
        <v>-0.33333333333314857</v>
      </c>
      <c r="T21" s="28">
        <f t="shared" si="8"/>
        <v>-0.33333333333314857</v>
      </c>
      <c r="U21" s="28">
        <f t="shared" si="8"/>
        <v>0.33333333333314857</v>
      </c>
      <c r="V21" s="28" t="str">
        <f t="shared" si="8"/>
        <v/>
      </c>
      <c r="W21" s="28" t="str">
        <f t="shared" si="8"/>
        <v/>
      </c>
      <c r="X21" s="29" t="str">
        <f t="shared" si="8"/>
        <v/>
      </c>
      <c r="Y21" s="24"/>
    </row>
    <row r="22" spans="2:25" ht="15" customHeight="1" x14ac:dyDescent="0.2">
      <c r="B22" s="31">
        <v>41793</v>
      </c>
      <c r="C22" s="25">
        <v>13.329000000000001</v>
      </c>
      <c r="D22" s="26">
        <v>7.1829999999999998</v>
      </c>
      <c r="E22" s="26">
        <v>9.3170000000000002</v>
      </c>
      <c r="F22" s="16"/>
      <c r="G22" s="16"/>
      <c r="H22" s="16"/>
      <c r="I22" s="17">
        <v>104.67400000000001</v>
      </c>
      <c r="J22" s="58">
        <v>874</v>
      </c>
      <c r="K22" s="18">
        <f t="shared" si="4"/>
        <v>74</v>
      </c>
      <c r="L22" s="19">
        <f t="shared" si="0"/>
        <v>-1.9999999999988916</v>
      </c>
      <c r="M22" s="19">
        <f t="shared" si="1"/>
        <v>-1.000000000000334</v>
      </c>
      <c r="N22" s="19">
        <f t="shared" si="2"/>
        <v>0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3"/>
        <v>-1.9999999999953388</v>
      </c>
      <c r="S22" s="27">
        <f t="shared" si="8"/>
        <v>0</v>
      </c>
      <c r="T22" s="28">
        <f t="shared" si="8"/>
        <v>0.99999999999944578</v>
      </c>
      <c r="U22" s="28">
        <f t="shared" si="8"/>
        <v>0</v>
      </c>
      <c r="V22" s="28" t="str">
        <f t="shared" si="8"/>
        <v/>
      </c>
      <c r="W22" s="28" t="str">
        <f t="shared" si="8"/>
        <v/>
      </c>
      <c r="X22" s="29" t="str">
        <f t="shared" si="8"/>
        <v/>
      </c>
      <c r="Y22" s="24"/>
    </row>
    <row r="23" spans="2:25" ht="15" customHeight="1" x14ac:dyDescent="0.2">
      <c r="B23" s="31">
        <v>41800</v>
      </c>
      <c r="C23" s="25">
        <v>13.327</v>
      </c>
      <c r="D23" s="26">
        <v>7.1829999999999998</v>
      </c>
      <c r="E23" s="26">
        <v>9.3160000000000007</v>
      </c>
      <c r="F23" s="16"/>
      <c r="G23" s="16"/>
      <c r="H23" s="16"/>
      <c r="I23" s="17">
        <v>104.67400000000001</v>
      </c>
      <c r="J23" s="58">
        <v>929</v>
      </c>
      <c r="K23" s="18">
        <f>IF(ISBLANK(J23),"",(J23-$J$8))</f>
        <v>129</v>
      </c>
      <c r="L23" s="19">
        <f t="shared" si="0"/>
        <v>-3.9999999999995595</v>
      </c>
      <c r="M23" s="19">
        <f t="shared" si="1"/>
        <v>-1.000000000000334</v>
      </c>
      <c r="N23" s="19">
        <f t="shared" si="2"/>
        <v>-0.99999999999944578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3"/>
        <v>-1.9999999999953388</v>
      </c>
      <c r="S23" s="27">
        <f t="shared" si="8"/>
        <v>-0.28571428571438112</v>
      </c>
      <c r="T23" s="28">
        <f t="shared" si="8"/>
        <v>0</v>
      </c>
      <c r="U23" s="28">
        <f t="shared" si="8"/>
        <v>-0.14285714285706369</v>
      </c>
      <c r="V23" s="28" t="str">
        <f t="shared" si="8"/>
        <v/>
      </c>
      <c r="W23" s="28" t="str">
        <f t="shared" si="8"/>
        <v/>
      </c>
      <c r="X23" s="29" t="str">
        <f t="shared" si="8"/>
        <v/>
      </c>
      <c r="Y23" s="24"/>
    </row>
    <row r="24" spans="2:25" ht="15" customHeight="1" x14ac:dyDescent="0.2">
      <c r="B24" s="31">
        <v>41829</v>
      </c>
      <c r="C24" s="25">
        <v>13.327999999999999</v>
      </c>
      <c r="D24" s="26">
        <v>7.1829999999999998</v>
      </c>
      <c r="E24" s="26">
        <v>9.3140000000000001</v>
      </c>
      <c r="F24" s="16"/>
      <c r="G24" s="16"/>
      <c r="H24" s="16"/>
      <c r="I24" s="17">
        <v>104.67400000000001</v>
      </c>
      <c r="J24" s="58">
        <v>793</v>
      </c>
      <c r="K24" s="18">
        <f t="shared" ref="K24:K31" si="9">IF(ISBLANK(J24),"",(J24-$J$8))</f>
        <v>-7</v>
      </c>
      <c r="L24" s="19">
        <f t="shared" si="0"/>
        <v>-3.0000000000001137</v>
      </c>
      <c r="M24" s="19">
        <f t="shared" si="1"/>
        <v>-1.000000000000334</v>
      </c>
      <c r="N24" s="19">
        <f t="shared" si="2"/>
        <v>-3.0000000000001137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3"/>
        <v>-1.9999999999953388</v>
      </c>
      <c r="S24" s="27">
        <f t="shared" si="8"/>
        <v>3.4482758620670545E-2</v>
      </c>
      <c r="T24" s="28">
        <f t="shared" si="8"/>
        <v>0</v>
      </c>
      <c r="U24" s="28">
        <f t="shared" si="8"/>
        <v>-6.8965517241402347E-2</v>
      </c>
      <c r="V24" s="28" t="str">
        <f t="shared" si="8"/>
        <v/>
      </c>
      <c r="W24" s="28" t="str">
        <f t="shared" si="8"/>
        <v/>
      </c>
      <c r="X24" s="29" t="str">
        <f t="shared" si="8"/>
        <v/>
      </c>
      <c r="Y24" s="24"/>
    </row>
    <row r="25" spans="2:25" ht="15" customHeight="1" x14ac:dyDescent="0.2">
      <c r="B25" s="31">
        <v>41830</v>
      </c>
      <c r="C25" s="64">
        <v>13.327999999999999</v>
      </c>
      <c r="D25" s="26">
        <v>7.1820000000000004</v>
      </c>
      <c r="E25" s="65">
        <v>9.3140000000000001</v>
      </c>
      <c r="F25" s="16"/>
      <c r="G25" s="16"/>
      <c r="H25" s="16"/>
      <c r="I25" s="17">
        <v>104.672</v>
      </c>
      <c r="J25" s="58">
        <v>808</v>
      </c>
      <c r="K25" s="18">
        <f t="shared" si="9"/>
        <v>8</v>
      </c>
      <c r="L25" s="19">
        <f t="shared" si="0"/>
        <v>-3.0000000000001137</v>
      </c>
      <c r="M25" s="19">
        <f t="shared" si="1"/>
        <v>-1.9999999999997797</v>
      </c>
      <c r="N25" s="19">
        <f t="shared" si="2"/>
        <v>-3.0000000000001137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3"/>
        <v>-4.0000000000048885</v>
      </c>
      <c r="S25" s="27">
        <f t="shared" si="8"/>
        <v>0</v>
      </c>
      <c r="T25" s="28">
        <f t="shared" si="8"/>
        <v>-0.99999999999944578</v>
      </c>
      <c r="U25" s="28">
        <f t="shared" si="8"/>
        <v>0</v>
      </c>
      <c r="V25" s="28" t="str">
        <f t="shared" si="8"/>
        <v/>
      </c>
      <c r="W25" s="28" t="str">
        <f t="shared" si="8"/>
        <v/>
      </c>
      <c r="X25" s="29" t="str">
        <f t="shared" si="8"/>
        <v/>
      </c>
      <c r="Y25" s="24"/>
    </row>
    <row r="26" spans="2:25" ht="15" customHeight="1" x14ac:dyDescent="0.2">
      <c r="B26" s="31">
        <v>41834</v>
      </c>
      <c r="C26" s="64">
        <v>13.327999999999999</v>
      </c>
      <c r="D26" s="65">
        <v>7.1829999999999998</v>
      </c>
      <c r="E26" s="45">
        <v>9.0239999999999991</v>
      </c>
      <c r="F26" s="16">
        <v>13.714</v>
      </c>
      <c r="G26" s="16">
        <v>9.3689999999999998</v>
      </c>
      <c r="H26" s="16">
        <v>10.88</v>
      </c>
      <c r="I26" s="17">
        <v>104.67100000000001</v>
      </c>
      <c r="J26" s="58">
        <v>845</v>
      </c>
      <c r="K26" s="18">
        <f t="shared" si="9"/>
        <v>45</v>
      </c>
      <c r="L26" s="19">
        <f>IF(ISBLANK(C26),"",(C26-C$16)*1000)</f>
        <v>-3.0000000000001137</v>
      </c>
      <c r="M26" s="19">
        <f>IF(ISBLANK(D26),"",(D26-D$16)*1000)</f>
        <v>-1.000000000000334</v>
      </c>
      <c r="N26" s="19">
        <f>IF(ISBLANK(E26),"",((E26-E$26)*1000)+N$25)</f>
        <v>-3.0000000000001137</v>
      </c>
      <c r="O26" s="19">
        <f>IF(ISBLANK(F26),"",((F26-F$26)*1000)+L$26)</f>
        <v>-3.0000000000001137</v>
      </c>
      <c r="P26" s="19">
        <f>IF(ISBLANK(G26),"",((G26-G$26)*1000)+M$26)</f>
        <v>-1.000000000000334</v>
      </c>
      <c r="Q26" s="19">
        <f>IF(ISBLANK(H26),"",((H26-H$26)*1000)+N$26)</f>
        <v>-3.0000000000001137</v>
      </c>
      <c r="R26" s="19">
        <f t="shared" si="3"/>
        <v>-4.9999999999954525</v>
      </c>
      <c r="S26" s="27">
        <f t="shared" si="8"/>
        <v>0</v>
      </c>
      <c r="T26" s="28">
        <f t="shared" si="8"/>
        <v>0.24999999999986144</v>
      </c>
      <c r="U26" s="28">
        <f t="shared" si="8"/>
        <v>-72.500000000000227</v>
      </c>
      <c r="V26" s="28"/>
      <c r="W26" s="28"/>
      <c r="X26" s="29"/>
      <c r="Y26" s="49" t="s">
        <v>53</v>
      </c>
    </row>
    <row r="27" spans="2:25" ht="15" customHeight="1" x14ac:dyDescent="0.2">
      <c r="B27" s="31">
        <v>41835</v>
      </c>
      <c r="C27" s="64">
        <v>13.327999999999999</v>
      </c>
      <c r="D27" s="65">
        <v>7.1829999999999998</v>
      </c>
      <c r="E27" s="26">
        <v>9.0229999999999997</v>
      </c>
      <c r="F27" s="16">
        <v>13.712999999999999</v>
      </c>
      <c r="G27" s="16">
        <v>9.3689999999999998</v>
      </c>
      <c r="H27" s="16">
        <v>10.88</v>
      </c>
      <c r="I27" s="17">
        <v>104.672</v>
      </c>
      <c r="J27" s="58">
        <v>857</v>
      </c>
      <c r="K27" s="18">
        <f t="shared" si="9"/>
        <v>57</v>
      </c>
      <c r="L27" s="19">
        <f>IF(ISBLANK(C27),"",(C27-C$16)*1000)</f>
        <v>-3.0000000000001137</v>
      </c>
      <c r="M27" s="19">
        <f>IF(ISBLANK(D27),"",(D27-D$16)*1000)</f>
        <v>-1.000000000000334</v>
      </c>
      <c r="N27" s="19">
        <f t="shared" ref="N27:N90" si="10">IF(ISBLANK(E27),"",((E27-E$26)*1000)+N$25)</f>
        <v>-3.9999999999995595</v>
      </c>
      <c r="O27" s="19">
        <f t="shared" ref="O27:O90" si="11">IF(ISBLANK(F27),"",((F27-F$26)*1000)+L$26)</f>
        <v>-4.0000000000013358</v>
      </c>
      <c r="P27" s="19">
        <f t="shared" ref="P27:P90" si="12">IF(ISBLANK(G27),"",((G27-G$26)*1000)+M$26)</f>
        <v>-1.000000000000334</v>
      </c>
      <c r="Q27" s="19">
        <f t="shared" ref="Q27:Q90" si="13">IF(ISBLANK(H27),"",((H27-H$26)*1000)+N$26)</f>
        <v>-3.0000000000001137</v>
      </c>
      <c r="R27" s="19">
        <f t="shared" si="3"/>
        <v>-4.0000000000048885</v>
      </c>
      <c r="S27" s="27">
        <f t="shared" si="8"/>
        <v>0</v>
      </c>
      <c r="T27" s="28">
        <f t="shared" si="8"/>
        <v>0</v>
      </c>
      <c r="U27" s="28">
        <f t="shared" si="8"/>
        <v>-0.99999999999944578</v>
      </c>
      <c r="V27" s="28">
        <f t="shared" si="8"/>
        <v>-1.0000000000012221</v>
      </c>
      <c r="W27" s="28">
        <f t="shared" si="8"/>
        <v>0</v>
      </c>
      <c r="X27" s="29">
        <f t="shared" si="8"/>
        <v>0</v>
      </c>
      <c r="Y27" s="24"/>
    </row>
    <row r="28" spans="2:25" ht="15" customHeight="1" x14ac:dyDescent="0.2">
      <c r="B28" s="31">
        <v>41842</v>
      </c>
      <c r="C28" s="82">
        <v>13.164</v>
      </c>
      <c r="D28" s="26">
        <v>7.1829999999999998</v>
      </c>
      <c r="E28" s="26">
        <v>9.0229999999999997</v>
      </c>
      <c r="F28" s="16">
        <v>13.712999999999999</v>
      </c>
      <c r="G28" s="16">
        <v>9.3680000000000003</v>
      </c>
      <c r="H28" s="16">
        <v>10.88</v>
      </c>
      <c r="I28" s="17">
        <v>104.67100000000001</v>
      </c>
      <c r="J28" s="58">
        <v>857</v>
      </c>
      <c r="K28" s="18">
        <f t="shared" si="9"/>
        <v>57</v>
      </c>
      <c r="L28" s="19">
        <f>IF(ISBLANK(C28),"",((C28-C$28)*1000)+L$27)</f>
        <v>-3.0000000000001137</v>
      </c>
      <c r="M28" s="19">
        <f t="shared" ref="M28:M47" si="14">IF(ISBLANK(D28),"",(D28-D$16)*1000)</f>
        <v>-1.000000000000334</v>
      </c>
      <c r="N28" s="19">
        <f t="shared" si="10"/>
        <v>-3.9999999999995595</v>
      </c>
      <c r="O28" s="19">
        <f t="shared" si="11"/>
        <v>-4.0000000000013358</v>
      </c>
      <c r="P28" s="19">
        <f t="shared" si="12"/>
        <v>-1.9999999999997797</v>
      </c>
      <c r="Q28" s="19">
        <f t="shared" si="13"/>
        <v>-3.0000000000001137</v>
      </c>
      <c r="R28" s="19">
        <f t="shared" si="3"/>
        <v>-4.9999999999954525</v>
      </c>
      <c r="S28" s="27">
        <f t="shared" si="8"/>
        <v>-23.428571428571388</v>
      </c>
      <c r="T28" s="28">
        <f t="shared" si="8"/>
        <v>0</v>
      </c>
      <c r="U28" s="28">
        <f t="shared" si="8"/>
        <v>0</v>
      </c>
      <c r="V28" s="28">
        <f t="shared" si="8"/>
        <v>0</v>
      </c>
      <c r="W28" s="28">
        <f t="shared" si="8"/>
        <v>-0.14285714285706369</v>
      </c>
      <c r="X28" s="29">
        <f t="shared" si="8"/>
        <v>0</v>
      </c>
      <c r="Y28" s="49" t="s">
        <v>56</v>
      </c>
    </row>
    <row r="29" spans="2:25" ht="15" customHeight="1" x14ac:dyDescent="0.2">
      <c r="B29" s="31">
        <v>41849</v>
      </c>
      <c r="C29" s="25">
        <v>13.164</v>
      </c>
      <c r="D29" s="26">
        <v>7.1820000000000004</v>
      </c>
      <c r="E29" s="26">
        <v>9.0239999999999991</v>
      </c>
      <c r="F29" s="16">
        <v>13.712</v>
      </c>
      <c r="G29" s="16">
        <v>9.3680000000000003</v>
      </c>
      <c r="H29" s="16">
        <v>10.88</v>
      </c>
      <c r="I29" s="17">
        <v>104.672</v>
      </c>
      <c r="J29" s="58">
        <v>857</v>
      </c>
      <c r="K29" s="18">
        <f t="shared" si="9"/>
        <v>57</v>
      </c>
      <c r="L29" s="19">
        <f t="shared" ref="L29:L92" si="15">IF(ISBLANK(C29),"",((C29-C$28)*1000)+L$27)</f>
        <v>-3.0000000000001137</v>
      </c>
      <c r="M29" s="19">
        <f t="shared" si="14"/>
        <v>-1.9999999999997797</v>
      </c>
      <c r="N29" s="19">
        <f t="shared" si="10"/>
        <v>-3.0000000000001137</v>
      </c>
      <c r="O29" s="19">
        <f t="shared" si="11"/>
        <v>-5.0000000000007816</v>
      </c>
      <c r="P29" s="19">
        <f t="shared" si="12"/>
        <v>-1.9999999999997797</v>
      </c>
      <c r="Q29" s="19">
        <f t="shared" si="13"/>
        <v>-3.0000000000001137</v>
      </c>
      <c r="R29" s="19">
        <f t="shared" si="3"/>
        <v>-4.0000000000048885</v>
      </c>
      <c r="S29" s="27">
        <f t="shared" si="8"/>
        <v>0</v>
      </c>
      <c r="T29" s="28">
        <f t="shared" si="8"/>
        <v>-0.14285714285706369</v>
      </c>
      <c r="U29" s="28">
        <f t="shared" si="8"/>
        <v>0.14285714285706369</v>
      </c>
      <c r="V29" s="28">
        <f t="shared" si="8"/>
        <v>-0.14285714285706369</v>
      </c>
      <c r="W29" s="28">
        <f t="shared" si="8"/>
        <v>0</v>
      </c>
      <c r="X29" s="29">
        <f t="shared" si="8"/>
        <v>0</v>
      </c>
      <c r="Y29" s="24"/>
    </row>
    <row r="30" spans="2:25" ht="15" customHeight="1" x14ac:dyDescent="0.2">
      <c r="B30" s="31">
        <v>41857</v>
      </c>
      <c r="C30" s="25">
        <v>13.164</v>
      </c>
      <c r="D30" s="26">
        <v>7.1829999999999998</v>
      </c>
      <c r="E30" s="26">
        <v>9.0239999999999991</v>
      </c>
      <c r="F30" s="16">
        <v>13.712999999999999</v>
      </c>
      <c r="G30" s="16">
        <v>9.3680000000000003</v>
      </c>
      <c r="H30" s="16">
        <v>10.88</v>
      </c>
      <c r="I30" s="17">
        <v>104.672</v>
      </c>
      <c r="J30" s="58">
        <v>857</v>
      </c>
      <c r="K30" s="18">
        <f t="shared" si="9"/>
        <v>57</v>
      </c>
      <c r="L30" s="19">
        <f t="shared" si="15"/>
        <v>-3.0000000000001137</v>
      </c>
      <c r="M30" s="19">
        <f t="shared" si="14"/>
        <v>-1.000000000000334</v>
      </c>
      <c r="N30" s="19">
        <f t="shared" si="10"/>
        <v>-3.0000000000001137</v>
      </c>
      <c r="O30" s="19">
        <f t="shared" si="11"/>
        <v>-4.0000000000013358</v>
      </c>
      <c r="P30" s="19">
        <f t="shared" si="12"/>
        <v>-1.9999999999997797</v>
      </c>
      <c r="Q30" s="19">
        <f t="shared" si="13"/>
        <v>-3.0000000000001137</v>
      </c>
      <c r="R30" s="19">
        <f t="shared" si="3"/>
        <v>-4.0000000000048885</v>
      </c>
      <c r="S30" s="27">
        <f t="shared" si="8"/>
        <v>0</v>
      </c>
      <c r="T30" s="28">
        <f t="shared" si="8"/>
        <v>0.12499999999993072</v>
      </c>
      <c r="U30" s="28">
        <f t="shared" si="8"/>
        <v>0</v>
      </c>
      <c r="V30" s="28">
        <f t="shared" si="8"/>
        <v>0.12499999999993072</v>
      </c>
      <c r="W30" s="28">
        <f t="shared" si="8"/>
        <v>0</v>
      </c>
      <c r="X30" s="29">
        <f t="shared" si="8"/>
        <v>0</v>
      </c>
      <c r="Y30" s="24"/>
    </row>
    <row r="31" spans="2:25" ht="15" customHeight="1" x14ac:dyDescent="0.2">
      <c r="B31" s="31">
        <v>41871</v>
      </c>
      <c r="C31" s="25">
        <v>13.164</v>
      </c>
      <c r="D31" s="26">
        <v>7.1829999999999998</v>
      </c>
      <c r="E31" s="26">
        <v>9.0229999999999997</v>
      </c>
      <c r="F31" s="16">
        <v>13.712</v>
      </c>
      <c r="G31" s="16">
        <v>9.3680000000000003</v>
      </c>
      <c r="H31" s="16">
        <v>10.88</v>
      </c>
      <c r="I31" s="17">
        <v>104.672</v>
      </c>
      <c r="J31" s="58">
        <v>857</v>
      </c>
      <c r="K31" s="18">
        <f t="shared" si="9"/>
        <v>57</v>
      </c>
      <c r="L31" s="19">
        <f t="shared" si="15"/>
        <v>-3.0000000000001137</v>
      </c>
      <c r="M31" s="19">
        <f t="shared" si="14"/>
        <v>-1.000000000000334</v>
      </c>
      <c r="N31" s="19">
        <f t="shared" si="10"/>
        <v>-3.9999999999995595</v>
      </c>
      <c r="O31" s="19">
        <f t="shared" si="11"/>
        <v>-5.0000000000007816</v>
      </c>
      <c r="P31" s="19">
        <f t="shared" si="12"/>
        <v>-1.9999999999997797</v>
      </c>
      <c r="Q31" s="19">
        <f t="shared" si="13"/>
        <v>-3.0000000000001137</v>
      </c>
      <c r="R31" s="19">
        <f t="shared" si="3"/>
        <v>-4.0000000000048885</v>
      </c>
      <c r="S31" s="27">
        <f t="shared" si="8"/>
        <v>0</v>
      </c>
      <c r="T31" s="28">
        <f t="shared" si="8"/>
        <v>0</v>
      </c>
      <c r="U31" s="28">
        <f t="shared" si="8"/>
        <v>-7.1428571428531845E-2</v>
      </c>
      <c r="V31" s="28">
        <f t="shared" si="8"/>
        <v>-7.1428571428531845E-2</v>
      </c>
      <c r="W31" s="28">
        <f t="shared" si="8"/>
        <v>0</v>
      </c>
      <c r="X31" s="29">
        <f t="shared" si="8"/>
        <v>0</v>
      </c>
      <c r="Y31" s="24"/>
    </row>
    <row r="32" spans="2:25" ht="15" customHeight="1" x14ac:dyDescent="0.2">
      <c r="B32" s="31">
        <v>41879</v>
      </c>
      <c r="C32" s="77">
        <v>13.164</v>
      </c>
      <c r="D32" s="76">
        <v>7.1829999999999998</v>
      </c>
      <c r="E32" s="76">
        <v>9.0229999999999997</v>
      </c>
      <c r="F32" s="16">
        <v>13.712999999999999</v>
      </c>
      <c r="G32" s="16">
        <v>9.3680000000000003</v>
      </c>
      <c r="H32" s="16">
        <v>10.88</v>
      </c>
      <c r="I32" s="17">
        <v>104.672</v>
      </c>
      <c r="J32" s="58">
        <v>943</v>
      </c>
      <c r="K32" s="18">
        <f>IF(ISBLANK(J32),"",(J32-$J$8))</f>
        <v>143</v>
      </c>
      <c r="L32" s="19">
        <f t="shared" si="15"/>
        <v>-3.0000000000001137</v>
      </c>
      <c r="M32" s="19">
        <f t="shared" si="14"/>
        <v>-1.000000000000334</v>
      </c>
      <c r="N32" s="19">
        <f t="shared" si="10"/>
        <v>-3.9999999999995595</v>
      </c>
      <c r="O32" s="19">
        <f t="shared" si="11"/>
        <v>-4.0000000000013358</v>
      </c>
      <c r="P32" s="19">
        <f t="shared" si="12"/>
        <v>-1.9999999999997797</v>
      </c>
      <c r="Q32" s="19">
        <f t="shared" si="13"/>
        <v>-3.0000000000001137</v>
      </c>
      <c r="R32" s="19">
        <f t="shared" si="3"/>
        <v>-4.0000000000048885</v>
      </c>
      <c r="S32" s="27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0.12499999999993072</v>
      </c>
      <c r="W32" s="28">
        <f t="shared" si="8"/>
        <v>0</v>
      </c>
      <c r="X32" s="29">
        <f t="shared" si="8"/>
        <v>0</v>
      </c>
      <c r="Y32" s="24"/>
    </row>
    <row r="33" spans="2:25" ht="15" customHeight="1" x14ac:dyDescent="0.2">
      <c r="B33" s="31">
        <v>41913</v>
      </c>
      <c r="C33" s="77">
        <v>13.164</v>
      </c>
      <c r="D33" s="76">
        <v>7.1829999999999998</v>
      </c>
      <c r="E33" s="76">
        <v>9.0229999999999997</v>
      </c>
      <c r="F33" s="16">
        <v>13.714</v>
      </c>
      <c r="G33" s="16">
        <v>9.3689999999999998</v>
      </c>
      <c r="H33" s="16">
        <v>10.88</v>
      </c>
      <c r="I33" s="17">
        <v>104.67100000000001</v>
      </c>
      <c r="J33" s="58">
        <v>943</v>
      </c>
      <c r="K33" s="18">
        <f>IF(ISBLANK(J33),"",(J33-$J$8))</f>
        <v>143</v>
      </c>
      <c r="L33" s="19">
        <f t="shared" si="15"/>
        <v>-3.0000000000001137</v>
      </c>
      <c r="M33" s="19">
        <f t="shared" si="14"/>
        <v>-1.000000000000334</v>
      </c>
      <c r="N33" s="19">
        <f t="shared" si="10"/>
        <v>-3.9999999999995595</v>
      </c>
      <c r="O33" s="19">
        <f t="shared" si="11"/>
        <v>-3.0000000000001137</v>
      </c>
      <c r="P33" s="19">
        <f t="shared" si="12"/>
        <v>-1.000000000000334</v>
      </c>
      <c r="Q33" s="19">
        <f t="shared" si="13"/>
        <v>-3.0000000000001137</v>
      </c>
      <c r="R33" s="19">
        <f t="shared" si="3"/>
        <v>-4.9999999999954525</v>
      </c>
      <c r="S33" s="27">
        <f t="shared" ref="S33:X48" si="16">IF(C33="","",((C33-C32)*1000)/($B33-$B32))</f>
        <v>0</v>
      </c>
      <c r="T33" s="28">
        <f t="shared" si="16"/>
        <v>0</v>
      </c>
      <c r="U33" s="28">
        <f t="shared" si="16"/>
        <v>0</v>
      </c>
      <c r="V33" s="28">
        <f t="shared" si="16"/>
        <v>2.9411764705918299E-2</v>
      </c>
      <c r="W33" s="28">
        <f t="shared" si="16"/>
        <v>2.9411764705866053E-2</v>
      </c>
      <c r="X33" s="29">
        <f t="shared" si="16"/>
        <v>0</v>
      </c>
      <c r="Y33" s="24"/>
    </row>
    <row r="34" spans="2:25" ht="15" customHeight="1" x14ac:dyDescent="0.2">
      <c r="B34" s="31">
        <v>42032</v>
      </c>
      <c r="C34" s="25">
        <v>13.162000000000001</v>
      </c>
      <c r="D34" s="26">
        <v>7.18</v>
      </c>
      <c r="E34" s="26">
        <v>9.0229999999999997</v>
      </c>
      <c r="F34" s="16">
        <v>13.714</v>
      </c>
      <c r="G34" s="16">
        <v>9.3680000000000003</v>
      </c>
      <c r="H34" s="16">
        <v>10.88</v>
      </c>
      <c r="I34" s="17">
        <v>104.67</v>
      </c>
      <c r="J34" s="58">
        <v>943</v>
      </c>
      <c r="K34" s="18">
        <f>IF(ISBLANK(J34),"",(J34-$J$8))</f>
        <v>143</v>
      </c>
      <c r="L34" s="19">
        <f t="shared" si="15"/>
        <v>-4.9999999999990052</v>
      </c>
      <c r="M34" s="19">
        <f t="shared" si="14"/>
        <v>-4.0000000000004476</v>
      </c>
      <c r="N34" s="19">
        <f t="shared" si="10"/>
        <v>-3.9999999999995595</v>
      </c>
      <c r="O34" s="19">
        <f t="shared" si="11"/>
        <v>-3.0000000000001137</v>
      </c>
      <c r="P34" s="19">
        <f t="shared" si="12"/>
        <v>-1.9999999999997797</v>
      </c>
      <c r="Q34" s="19">
        <f t="shared" si="13"/>
        <v>-3.0000000000001137</v>
      </c>
      <c r="R34" s="19">
        <f t="shared" si="3"/>
        <v>-6.0000000000002274</v>
      </c>
      <c r="S34" s="27">
        <f>IF(C34="","",((C34-C33)*1000)/($B34-$B33))</f>
        <v>-1.6806722689066314E-2</v>
      </c>
      <c r="T34" s="28">
        <f>IF(D34="","",((D34-D33)*1000)/($B34-$B33))</f>
        <v>-2.52100840336144E-2</v>
      </c>
      <c r="U34" s="28">
        <f>IF(E34="","",((E34-E33)*1000)/($B34-$B33))</f>
        <v>0</v>
      </c>
      <c r="V34" s="28">
        <f t="shared" si="16"/>
        <v>0</v>
      </c>
      <c r="W34" s="28">
        <f t="shared" si="16"/>
        <v>-8.403361344533157E-3</v>
      </c>
      <c r="X34" s="29">
        <f t="shared" si="16"/>
        <v>0</v>
      </c>
      <c r="Y34" s="24"/>
    </row>
    <row r="35" spans="2:25" ht="15" customHeight="1" x14ac:dyDescent="0.2">
      <c r="B35" s="31">
        <v>42121</v>
      </c>
      <c r="C35" s="25"/>
      <c r="D35" s="26"/>
      <c r="E35" s="26"/>
      <c r="F35" s="16">
        <v>13.714</v>
      </c>
      <c r="G35" s="16">
        <v>9.3680000000000003</v>
      </c>
      <c r="H35" s="16">
        <v>10.88</v>
      </c>
      <c r="I35" s="17">
        <v>104.67100000000001</v>
      </c>
      <c r="J35" s="58">
        <v>943</v>
      </c>
      <c r="K35" s="18">
        <f>IF(ISBLANK(J35),"",(J35-$J$8))</f>
        <v>143</v>
      </c>
      <c r="L35" s="19" t="str">
        <f t="shared" si="15"/>
        <v/>
      </c>
      <c r="M35" s="19" t="str">
        <f t="shared" si="14"/>
        <v/>
      </c>
      <c r="N35" s="19" t="str">
        <f t="shared" si="10"/>
        <v/>
      </c>
      <c r="O35" s="19">
        <f t="shared" si="11"/>
        <v>-3.0000000000001137</v>
      </c>
      <c r="P35" s="19">
        <f t="shared" si="12"/>
        <v>-1.9999999999997797</v>
      </c>
      <c r="Q35" s="19">
        <f t="shared" si="13"/>
        <v>-3.0000000000001137</v>
      </c>
      <c r="R35" s="19">
        <f t="shared" si="3"/>
        <v>-4.9999999999954525</v>
      </c>
      <c r="S35" s="27" t="str">
        <f t="shared" si="16"/>
        <v/>
      </c>
      <c r="T35" s="28" t="str">
        <f t="shared" si="16"/>
        <v/>
      </c>
      <c r="U35" s="28" t="str">
        <f t="shared" si="16"/>
        <v/>
      </c>
      <c r="V35" s="28">
        <f t="shared" si="16"/>
        <v>0</v>
      </c>
      <c r="W35" s="28">
        <f t="shared" si="16"/>
        <v>0</v>
      </c>
      <c r="X35" s="29">
        <f t="shared" si="16"/>
        <v>0</v>
      </c>
      <c r="Y35" s="24"/>
    </row>
    <row r="36" spans="2:25" ht="15" customHeight="1" x14ac:dyDescent="0.2">
      <c r="B36" s="31">
        <v>42223</v>
      </c>
      <c r="C36" s="25"/>
      <c r="D36" s="26"/>
      <c r="E36" s="26"/>
      <c r="F36" s="16">
        <v>13.712999999999999</v>
      </c>
      <c r="G36" s="16">
        <v>9.3670000000000009</v>
      </c>
      <c r="H36" s="16">
        <v>10.88</v>
      </c>
      <c r="I36" s="17">
        <v>104.67</v>
      </c>
      <c r="J36" s="32">
        <v>1304</v>
      </c>
      <c r="K36" s="18">
        <f t="shared" ref="K36:K99" si="17">IF(ISBLANK(J36),"",(J36-$J$8))</f>
        <v>504</v>
      </c>
      <c r="L36" s="19" t="str">
        <f t="shared" si="15"/>
        <v/>
      </c>
      <c r="M36" s="19" t="str">
        <f t="shared" si="14"/>
        <v/>
      </c>
      <c r="N36" s="19" t="str">
        <f t="shared" si="10"/>
        <v/>
      </c>
      <c r="O36" s="19">
        <f t="shared" si="11"/>
        <v>-4.0000000000013358</v>
      </c>
      <c r="P36" s="19">
        <f t="shared" si="12"/>
        <v>-2.9999999999992255</v>
      </c>
      <c r="Q36" s="19">
        <f t="shared" si="13"/>
        <v>-3.0000000000001137</v>
      </c>
      <c r="R36" s="19">
        <f t="shared" si="3"/>
        <v>-6.0000000000002274</v>
      </c>
      <c r="S36" s="27" t="str">
        <f t="shared" si="16"/>
        <v/>
      </c>
      <c r="T36" s="28" t="str">
        <f t="shared" si="16"/>
        <v/>
      </c>
      <c r="U36" s="28" t="str">
        <f t="shared" si="16"/>
        <v/>
      </c>
      <c r="V36" s="28">
        <f t="shared" si="16"/>
        <v>-9.8039215686394326E-3</v>
      </c>
      <c r="W36" s="28">
        <f t="shared" si="16"/>
        <v>-9.8039215686220177E-3</v>
      </c>
      <c r="X36" s="29">
        <f t="shared" si="16"/>
        <v>0</v>
      </c>
      <c r="Y36" s="24"/>
    </row>
    <row r="37" spans="2:25" ht="15" customHeight="1" x14ac:dyDescent="0.2">
      <c r="B37" s="31">
        <v>42327</v>
      </c>
      <c r="C37" s="25">
        <v>13.163</v>
      </c>
      <c r="D37" s="26">
        <v>7.1820000000000004</v>
      </c>
      <c r="E37" s="26">
        <v>9.0229999999999997</v>
      </c>
      <c r="F37" s="78">
        <v>13.712999999999999</v>
      </c>
      <c r="G37" s="16">
        <v>9.3670000000000009</v>
      </c>
      <c r="H37" s="78">
        <v>10.88</v>
      </c>
      <c r="I37" s="17">
        <v>104.67</v>
      </c>
      <c r="J37" s="32">
        <v>2251</v>
      </c>
      <c r="K37" s="18">
        <f t="shared" si="17"/>
        <v>1451</v>
      </c>
      <c r="L37" s="19">
        <f t="shared" si="15"/>
        <v>-3.9999999999995595</v>
      </c>
      <c r="M37" s="19">
        <f t="shared" si="14"/>
        <v>-1.9999999999997797</v>
      </c>
      <c r="N37" s="19">
        <f t="shared" si="10"/>
        <v>-3.9999999999995595</v>
      </c>
      <c r="O37" s="19">
        <f t="shared" si="11"/>
        <v>-4.0000000000013358</v>
      </c>
      <c r="P37" s="19">
        <f t="shared" si="12"/>
        <v>-2.9999999999992255</v>
      </c>
      <c r="Q37" s="19">
        <f t="shared" si="13"/>
        <v>-3.0000000000001137</v>
      </c>
      <c r="R37" s="19">
        <f t="shared" si="3"/>
        <v>-6.0000000000002274</v>
      </c>
      <c r="S37" s="27"/>
      <c r="T37" s="28"/>
      <c r="U37" s="28"/>
      <c r="V37" s="28">
        <f t="shared" si="16"/>
        <v>0</v>
      </c>
      <c r="W37" s="28">
        <f t="shared" si="16"/>
        <v>0</v>
      </c>
      <c r="X37" s="29">
        <f t="shared" si="16"/>
        <v>0</v>
      </c>
      <c r="Y37" s="24"/>
    </row>
    <row r="38" spans="2:25" ht="15" customHeight="1" x14ac:dyDescent="0.2">
      <c r="B38" s="31">
        <v>42424</v>
      </c>
      <c r="C38" s="73"/>
      <c r="D38" s="26"/>
      <c r="E38" s="71"/>
      <c r="F38" s="78">
        <v>13.712999999999999</v>
      </c>
      <c r="G38" s="16">
        <v>9.3670000000000009</v>
      </c>
      <c r="H38" s="78">
        <v>10.88</v>
      </c>
      <c r="I38" s="17">
        <v>104.67</v>
      </c>
      <c r="J38" s="32">
        <v>2540.5</v>
      </c>
      <c r="K38" s="18">
        <f t="shared" si="17"/>
        <v>1740.5</v>
      </c>
      <c r="L38" s="19" t="str">
        <f t="shared" si="15"/>
        <v/>
      </c>
      <c r="M38" s="19" t="str">
        <f t="shared" si="14"/>
        <v/>
      </c>
      <c r="N38" s="19" t="str">
        <f t="shared" si="10"/>
        <v/>
      </c>
      <c r="O38" s="19">
        <f t="shared" si="11"/>
        <v>-4.0000000000013358</v>
      </c>
      <c r="P38" s="19">
        <f t="shared" si="12"/>
        <v>-2.9999999999992255</v>
      </c>
      <c r="Q38" s="19">
        <f t="shared" si="13"/>
        <v>-3.0000000000001137</v>
      </c>
      <c r="R38" s="19">
        <f t="shared" si="3"/>
        <v>-6.0000000000002274</v>
      </c>
      <c r="S38" s="27" t="str">
        <f t="shared" si="16"/>
        <v/>
      </c>
      <c r="T38" s="28" t="str">
        <f t="shared" si="16"/>
        <v/>
      </c>
      <c r="U38" s="28" t="str">
        <f t="shared" si="16"/>
        <v/>
      </c>
      <c r="V38" s="28">
        <f t="shared" si="16"/>
        <v>0</v>
      </c>
      <c r="W38" s="28">
        <f t="shared" si="16"/>
        <v>0</v>
      </c>
      <c r="X38" s="29">
        <f t="shared" si="16"/>
        <v>0</v>
      </c>
      <c r="Y38" s="24"/>
    </row>
    <row r="39" spans="2:25" ht="15" customHeight="1" x14ac:dyDescent="0.2">
      <c r="B39" s="31">
        <v>42530</v>
      </c>
      <c r="C39" s="26"/>
      <c r="D39" s="26"/>
      <c r="E39" s="26"/>
      <c r="F39" s="78">
        <v>13.712999999999999</v>
      </c>
      <c r="G39" s="16">
        <v>9.3670000000000009</v>
      </c>
      <c r="H39" s="78">
        <v>10.88</v>
      </c>
      <c r="I39" s="17">
        <v>104.669</v>
      </c>
      <c r="J39" s="58">
        <v>2608</v>
      </c>
      <c r="K39" s="18">
        <f t="shared" si="17"/>
        <v>1808</v>
      </c>
      <c r="L39" s="19" t="str">
        <f t="shared" si="15"/>
        <v/>
      </c>
      <c r="M39" s="19" t="str">
        <f t="shared" si="14"/>
        <v/>
      </c>
      <c r="N39" s="19" t="str">
        <f t="shared" si="10"/>
        <v/>
      </c>
      <c r="O39" s="19">
        <f t="shared" si="11"/>
        <v>-4.0000000000013358</v>
      </c>
      <c r="P39" s="19">
        <f t="shared" si="12"/>
        <v>-2.9999999999992255</v>
      </c>
      <c r="Q39" s="19">
        <f t="shared" si="13"/>
        <v>-3.0000000000001137</v>
      </c>
      <c r="R39" s="19">
        <f t="shared" si="3"/>
        <v>-7.0000000000050022</v>
      </c>
      <c r="S39" s="27" t="str">
        <f t="shared" si="16"/>
        <v/>
      </c>
      <c r="T39" s="28" t="str">
        <f t="shared" si="16"/>
        <v/>
      </c>
      <c r="U39" s="28" t="str">
        <f t="shared" si="16"/>
        <v/>
      </c>
      <c r="V39" s="28">
        <f t="shared" si="16"/>
        <v>0</v>
      </c>
      <c r="W39" s="28">
        <f t="shared" si="16"/>
        <v>0</v>
      </c>
      <c r="X39" s="29">
        <f t="shared" si="16"/>
        <v>0</v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18" t="str">
        <f t="shared" si="17"/>
        <v/>
      </c>
      <c r="L40" s="19" t="str">
        <f t="shared" si="15"/>
        <v/>
      </c>
      <c r="M40" s="19" t="str">
        <f t="shared" si="14"/>
        <v/>
      </c>
      <c r="N40" s="19" t="str">
        <f t="shared" si="10"/>
        <v/>
      </c>
      <c r="O40" s="19" t="str">
        <f t="shared" si="11"/>
        <v/>
      </c>
      <c r="P40" s="19" t="str">
        <f t="shared" si="12"/>
        <v/>
      </c>
      <c r="Q40" s="19" t="str">
        <f t="shared" si="13"/>
        <v/>
      </c>
      <c r="R40" s="19" t="str">
        <f t="shared" si="3"/>
        <v/>
      </c>
      <c r="S40" s="27" t="str">
        <f t="shared" si="16"/>
        <v/>
      </c>
      <c r="T40" s="28" t="str">
        <f t="shared" si="16"/>
        <v/>
      </c>
      <c r="U40" s="28" t="str">
        <f t="shared" si="16"/>
        <v/>
      </c>
      <c r="V40" s="28" t="str">
        <f t="shared" si="16"/>
        <v/>
      </c>
      <c r="W40" s="28" t="str">
        <f t="shared" si="16"/>
        <v/>
      </c>
      <c r="X40" s="29" t="str">
        <f t="shared" si="16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 t="str">
        <f t="shared" si="17"/>
        <v/>
      </c>
      <c r="L41" s="19" t="str">
        <f t="shared" si="15"/>
        <v/>
      </c>
      <c r="M41" s="19" t="str">
        <f t="shared" si="14"/>
        <v/>
      </c>
      <c r="N41" s="19" t="str">
        <f t="shared" si="10"/>
        <v/>
      </c>
      <c r="O41" s="19" t="str">
        <f t="shared" si="11"/>
        <v/>
      </c>
      <c r="P41" s="19" t="str">
        <f t="shared" si="12"/>
        <v/>
      </c>
      <c r="Q41" s="19" t="str">
        <f t="shared" si="13"/>
        <v/>
      </c>
      <c r="R41" s="19" t="str">
        <f t="shared" si="3"/>
        <v/>
      </c>
      <c r="S41" s="27" t="str">
        <f t="shared" si="16"/>
        <v/>
      </c>
      <c r="T41" s="28" t="str">
        <f t="shared" si="16"/>
        <v/>
      </c>
      <c r="U41" s="28" t="str">
        <f t="shared" si="16"/>
        <v/>
      </c>
      <c r="V41" s="28" t="str">
        <f t="shared" si="16"/>
        <v/>
      </c>
      <c r="W41" s="28" t="str">
        <f t="shared" si="16"/>
        <v/>
      </c>
      <c r="X41" s="29" t="str">
        <f t="shared" si="16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 t="str">
        <f t="shared" si="17"/>
        <v/>
      </c>
      <c r="L42" s="19" t="str">
        <f t="shared" si="15"/>
        <v/>
      </c>
      <c r="M42" s="19" t="str">
        <f t="shared" si="14"/>
        <v/>
      </c>
      <c r="N42" s="19" t="str">
        <f t="shared" si="10"/>
        <v/>
      </c>
      <c r="O42" s="19" t="str">
        <f t="shared" si="11"/>
        <v/>
      </c>
      <c r="P42" s="19" t="str">
        <f t="shared" si="12"/>
        <v/>
      </c>
      <c r="Q42" s="19" t="str">
        <f t="shared" si="13"/>
        <v/>
      </c>
      <c r="R42" s="19" t="str">
        <f t="shared" si="3"/>
        <v/>
      </c>
      <c r="S42" s="27" t="str">
        <f t="shared" si="16"/>
        <v/>
      </c>
      <c r="T42" s="28" t="str">
        <f t="shared" si="16"/>
        <v/>
      </c>
      <c r="U42" s="28" t="str">
        <f t="shared" si="16"/>
        <v/>
      </c>
      <c r="V42" s="28" t="str">
        <f t="shared" si="16"/>
        <v/>
      </c>
      <c r="W42" s="28" t="str">
        <f t="shared" si="16"/>
        <v/>
      </c>
      <c r="X42" s="29" t="str">
        <f t="shared" si="16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 t="str">
        <f t="shared" si="17"/>
        <v/>
      </c>
      <c r="L43" s="19" t="str">
        <f t="shared" si="15"/>
        <v/>
      </c>
      <c r="M43" s="19" t="str">
        <f t="shared" si="14"/>
        <v/>
      </c>
      <c r="N43" s="19" t="str">
        <f t="shared" si="10"/>
        <v/>
      </c>
      <c r="O43" s="19" t="str">
        <f t="shared" si="11"/>
        <v/>
      </c>
      <c r="P43" s="19" t="str">
        <f t="shared" si="12"/>
        <v/>
      </c>
      <c r="Q43" s="19" t="str">
        <f t="shared" si="13"/>
        <v/>
      </c>
      <c r="R43" s="19" t="str">
        <f t="shared" si="3"/>
        <v/>
      </c>
      <c r="S43" s="27" t="str">
        <f t="shared" si="16"/>
        <v/>
      </c>
      <c r="T43" s="28" t="str">
        <f t="shared" si="16"/>
        <v/>
      </c>
      <c r="U43" s="28" t="str">
        <f t="shared" si="16"/>
        <v/>
      </c>
      <c r="V43" s="28" t="str">
        <f t="shared" si="16"/>
        <v/>
      </c>
      <c r="W43" s="28" t="str">
        <f t="shared" si="16"/>
        <v/>
      </c>
      <c r="X43" s="29" t="str">
        <f t="shared" si="16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18" t="str">
        <f t="shared" si="17"/>
        <v/>
      </c>
      <c r="L44" s="19" t="str">
        <f t="shared" si="15"/>
        <v/>
      </c>
      <c r="M44" s="19" t="str">
        <f t="shared" si="14"/>
        <v/>
      </c>
      <c r="N44" s="19" t="str">
        <f t="shared" si="10"/>
        <v/>
      </c>
      <c r="O44" s="19" t="str">
        <f t="shared" si="11"/>
        <v/>
      </c>
      <c r="P44" s="19" t="str">
        <f t="shared" si="12"/>
        <v/>
      </c>
      <c r="Q44" s="19" t="str">
        <f t="shared" si="13"/>
        <v/>
      </c>
      <c r="R44" s="19" t="str">
        <f t="shared" si="3"/>
        <v/>
      </c>
      <c r="S44" s="27" t="str">
        <f t="shared" si="16"/>
        <v/>
      </c>
      <c r="T44" s="28" t="str">
        <f t="shared" si="16"/>
        <v/>
      </c>
      <c r="U44" s="28" t="str">
        <f t="shared" si="16"/>
        <v/>
      </c>
      <c r="V44" s="28" t="str">
        <f t="shared" si="16"/>
        <v/>
      </c>
      <c r="W44" s="28" t="str">
        <f t="shared" si="16"/>
        <v/>
      </c>
      <c r="X44" s="29" t="str">
        <f t="shared" si="16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18" t="str">
        <f t="shared" si="17"/>
        <v/>
      </c>
      <c r="L45" s="19" t="str">
        <f t="shared" si="15"/>
        <v/>
      </c>
      <c r="M45" s="19" t="str">
        <f t="shared" si="14"/>
        <v/>
      </c>
      <c r="N45" s="19" t="str">
        <f t="shared" si="10"/>
        <v/>
      </c>
      <c r="O45" s="19" t="str">
        <f t="shared" si="11"/>
        <v/>
      </c>
      <c r="P45" s="19" t="str">
        <f t="shared" si="12"/>
        <v/>
      </c>
      <c r="Q45" s="19" t="str">
        <f t="shared" si="13"/>
        <v/>
      </c>
      <c r="R45" s="19" t="str">
        <f t="shared" si="3"/>
        <v/>
      </c>
      <c r="S45" s="27" t="str">
        <f t="shared" si="16"/>
        <v/>
      </c>
      <c r="T45" s="28" t="str">
        <f t="shared" si="16"/>
        <v/>
      </c>
      <c r="U45" s="28" t="str">
        <f t="shared" si="16"/>
        <v/>
      </c>
      <c r="V45" s="28" t="str">
        <f t="shared" si="16"/>
        <v/>
      </c>
      <c r="W45" s="28" t="str">
        <f t="shared" si="16"/>
        <v/>
      </c>
      <c r="X45" s="29" t="str">
        <f t="shared" si="16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18" t="str">
        <f t="shared" si="17"/>
        <v/>
      </c>
      <c r="L46" s="19" t="str">
        <f t="shared" si="15"/>
        <v/>
      </c>
      <c r="M46" s="19" t="str">
        <f t="shared" si="14"/>
        <v/>
      </c>
      <c r="N46" s="19" t="str">
        <f t="shared" si="10"/>
        <v/>
      </c>
      <c r="O46" s="19" t="str">
        <f t="shared" si="11"/>
        <v/>
      </c>
      <c r="P46" s="19" t="str">
        <f t="shared" si="12"/>
        <v/>
      </c>
      <c r="Q46" s="19" t="str">
        <f t="shared" si="13"/>
        <v/>
      </c>
      <c r="R46" s="19" t="str">
        <f t="shared" si="3"/>
        <v/>
      </c>
      <c r="S46" s="27" t="str">
        <f t="shared" si="16"/>
        <v/>
      </c>
      <c r="T46" s="28" t="str">
        <f t="shared" si="16"/>
        <v/>
      </c>
      <c r="U46" s="28" t="str">
        <f t="shared" si="16"/>
        <v/>
      </c>
      <c r="V46" s="28" t="str">
        <f t="shared" si="16"/>
        <v/>
      </c>
      <c r="W46" s="28" t="str">
        <f t="shared" si="16"/>
        <v/>
      </c>
      <c r="X46" s="29" t="str">
        <f t="shared" si="16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 t="str">
        <f t="shared" si="17"/>
        <v/>
      </c>
      <c r="L47" s="19" t="str">
        <f t="shared" si="15"/>
        <v/>
      </c>
      <c r="M47" s="19" t="str">
        <f t="shared" si="14"/>
        <v/>
      </c>
      <c r="N47" s="19" t="str">
        <f t="shared" si="10"/>
        <v/>
      </c>
      <c r="O47" s="19" t="str">
        <f t="shared" si="11"/>
        <v/>
      </c>
      <c r="P47" s="19" t="str">
        <f t="shared" si="12"/>
        <v/>
      </c>
      <c r="Q47" s="19" t="str">
        <f t="shared" si="13"/>
        <v/>
      </c>
      <c r="R47" s="19" t="str">
        <f t="shared" si="3"/>
        <v/>
      </c>
      <c r="S47" s="27" t="str">
        <f t="shared" si="16"/>
        <v/>
      </c>
      <c r="T47" s="28" t="str">
        <f t="shared" si="16"/>
        <v/>
      </c>
      <c r="U47" s="28" t="str">
        <f t="shared" si="16"/>
        <v/>
      </c>
      <c r="V47" s="28" t="str">
        <f t="shared" si="16"/>
        <v/>
      </c>
      <c r="W47" s="28" t="str">
        <f t="shared" si="16"/>
        <v/>
      </c>
      <c r="X47" s="29" t="str">
        <f t="shared" si="16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 t="str">
        <f t="shared" si="17"/>
        <v/>
      </c>
      <c r="L48" s="19" t="str">
        <f t="shared" si="15"/>
        <v/>
      </c>
      <c r="M48" s="19" t="str">
        <f t="shared" ref="M48:M79" si="18">IF(ISBLANK(D48),"",(D48-D$16)*1000)</f>
        <v/>
      </c>
      <c r="N48" s="19" t="str">
        <f t="shared" si="10"/>
        <v/>
      </c>
      <c r="O48" s="19" t="str">
        <f t="shared" si="11"/>
        <v/>
      </c>
      <c r="P48" s="19" t="str">
        <f t="shared" si="12"/>
        <v/>
      </c>
      <c r="Q48" s="19" t="str">
        <f t="shared" si="13"/>
        <v/>
      </c>
      <c r="R48" s="19" t="str">
        <f t="shared" si="3"/>
        <v/>
      </c>
      <c r="S48" s="27" t="str">
        <f t="shared" si="16"/>
        <v/>
      </c>
      <c r="T48" s="28" t="str">
        <f t="shared" si="16"/>
        <v/>
      </c>
      <c r="U48" s="28" t="str">
        <f t="shared" si="16"/>
        <v/>
      </c>
      <c r="V48" s="28" t="str">
        <f t="shared" si="16"/>
        <v/>
      </c>
      <c r="W48" s="28" t="str">
        <f t="shared" si="16"/>
        <v/>
      </c>
      <c r="X48" s="29" t="str">
        <f t="shared" si="16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 t="str">
        <f t="shared" si="17"/>
        <v/>
      </c>
      <c r="L49" s="19" t="str">
        <f t="shared" si="15"/>
        <v/>
      </c>
      <c r="M49" s="19" t="str">
        <f t="shared" si="18"/>
        <v/>
      </c>
      <c r="N49" s="19" t="str">
        <f t="shared" si="10"/>
        <v/>
      </c>
      <c r="O49" s="19" t="str">
        <f t="shared" si="11"/>
        <v/>
      </c>
      <c r="P49" s="19" t="str">
        <f t="shared" si="12"/>
        <v/>
      </c>
      <c r="Q49" s="19" t="str">
        <f t="shared" si="13"/>
        <v/>
      </c>
      <c r="R49" s="19" t="str">
        <f t="shared" si="3"/>
        <v/>
      </c>
      <c r="S49" s="27" t="str">
        <f t="shared" ref="S49:X64" si="19">IF(C49="","",((C49-C48)*1000)/($B49-$B48))</f>
        <v/>
      </c>
      <c r="T49" s="28" t="str">
        <f t="shared" si="19"/>
        <v/>
      </c>
      <c r="U49" s="28" t="str">
        <f t="shared" si="19"/>
        <v/>
      </c>
      <c r="V49" s="28" t="str">
        <f t="shared" si="19"/>
        <v/>
      </c>
      <c r="W49" s="28" t="str">
        <f t="shared" si="19"/>
        <v/>
      </c>
      <c r="X49" s="29" t="str">
        <f t="shared" si="19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 t="str">
        <f t="shared" si="17"/>
        <v/>
      </c>
      <c r="L50" s="19" t="str">
        <f t="shared" si="15"/>
        <v/>
      </c>
      <c r="M50" s="19" t="str">
        <f t="shared" si="18"/>
        <v/>
      </c>
      <c r="N50" s="19" t="str">
        <f t="shared" si="10"/>
        <v/>
      </c>
      <c r="O50" s="19" t="str">
        <f t="shared" si="11"/>
        <v/>
      </c>
      <c r="P50" s="19" t="str">
        <f t="shared" si="12"/>
        <v/>
      </c>
      <c r="Q50" s="19" t="str">
        <f t="shared" si="13"/>
        <v/>
      </c>
      <c r="R50" s="19" t="str">
        <f t="shared" si="3"/>
        <v/>
      </c>
      <c r="S50" s="27" t="str">
        <f t="shared" si="19"/>
        <v/>
      </c>
      <c r="T50" s="28" t="str">
        <f t="shared" si="19"/>
        <v/>
      </c>
      <c r="U50" s="28" t="str">
        <f t="shared" si="19"/>
        <v/>
      </c>
      <c r="V50" s="28" t="str">
        <f t="shared" si="19"/>
        <v/>
      </c>
      <c r="W50" s="28" t="str">
        <f t="shared" si="19"/>
        <v/>
      </c>
      <c r="X50" s="29" t="str">
        <f t="shared" si="19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 t="str">
        <f t="shared" si="17"/>
        <v/>
      </c>
      <c r="L51" s="19" t="str">
        <f t="shared" si="15"/>
        <v/>
      </c>
      <c r="M51" s="19" t="str">
        <f t="shared" si="18"/>
        <v/>
      </c>
      <c r="N51" s="19" t="str">
        <f t="shared" si="10"/>
        <v/>
      </c>
      <c r="O51" s="19" t="str">
        <f t="shared" si="11"/>
        <v/>
      </c>
      <c r="P51" s="19" t="str">
        <f t="shared" si="12"/>
        <v/>
      </c>
      <c r="Q51" s="19" t="str">
        <f t="shared" si="13"/>
        <v/>
      </c>
      <c r="R51" s="19" t="str">
        <f t="shared" si="3"/>
        <v/>
      </c>
      <c r="S51" s="27" t="str">
        <f t="shared" si="19"/>
        <v/>
      </c>
      <c r="T51" s="28" t="str">
        <f t="shared" si="19"/>
        <v/>
      </c>
      <c r="U51" s="28" t="str">
        <f t="shared" si="19"/>
        <v/>
      </c>
      <c r="V51" s="28" t="str">
        <f t="shared" si="19"/>
        <v/>
      </c>
      <c r="W51" s="28" t="str">
        <f t="shared" si="19"/>
        <v/>
      </c>
      <c r="X51" s="29" t="str">
        <f t="shared" si="19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 t="str">
        <f t="shared" si="17"/>
        <v/>
      </c>
      <c r="L52" s="19" t="str">
        <f t="shared" si="15"/>
        <v/>
      </c>
      <c r="M52" s="19" t="str">
        <f t="shared" si="18"/>
        <v/>
      </c>
      <c r="N52" s="19" t="str">
        <f t="shared" si="10"/>
        <v/>
      </c>
      <c r="O52" s="19" t="str">
        <f t="shared" si="11"/>
        <v/>
      </c>
      <c r="P52" s="19" t="str">
        <f t="shared" si="12"/>
        <v/>
      </c>
      <c r="Q52" s="19" t="str">
        <f t="shared" si="13"/>
        <v/>
      </c>
      <c r="R52" s="19" t="str">
        <f t="shared" si="3"/>
        <v/>
      </c>
      <c r="S52" s="27" t="str">
        <f t="shared" si="19"/>
        <v/>
      </c>
      <c r="T52" s="28" t="str">
        <f t="shared" si="19"/>
        <v/>
      </c>
      <c r="U52" s="28" t="str">
        <f t="shared" si="19"/>
        <v/>
      </c>
      <c r="V52" s="28" t="str">
        <f t="shared" si="19"/>
        <v/>
      </c>
      <c r="W52" s="28" t="str">
        <f t="shared" si="19"/>
        <v/>
      </c>
      <c r="X52" s="29" t="str">
        <f t="shared" si="19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 t="str">
        <f t="shared" si="17"/>
        <v/>
      </c>
      <c r="L53" s="19" t="str">
        <f t="shared" si="15"/>
        <v/>
      </c>
      <c r="M53" s="19" t="str">
        <f t="shared" si="18"/>
        <v/>
      </c>
      <c r="N53" s="19" t="str">
        <f t="shared" si="10"/>
        <v/>
      </c>
      <c r="O53" s="19" t="str">
        <f t="shared" si="11"/>
        <v/>
      </c>
      <c r="P53" s="19" t="str">
        <f t="shared" si="12"/>
        <v/>
      </c>
      <c r="Q53" s="19" t="str">
        <f t="shared" si="13"/>
        <v/>
      </c>
      <c r="R53" s="19" t="str">
        <f t="shared" si="3"/>
        <v/>
      </c>
      <c r="S53" s="27" t="str">
        <f t="shared" si="19"/>
        <v/>
      </c>
      <c r="T53" s="28" t="str">
        <f t="shared" si="19"/>
        <v/>
      </c>
      <c r="U53" s="28" t="str">
        <f t="shared" si="19"/>
        <v/>
      </c>
      <c r="V53" s="28" t="str">
        <f t="shared" si="19"/>
        <v/>
      </c>
      <c r="W53" s="28" t="str">
        <f t="shared" si="19"/>
        <v/>
      </c>
      <c r="X53" s="29" t="str">
        <f t="shared" si="19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 t="str">
        <f t="shared" si="17"/>
        <v/>
      </c>
      <c r="L54" s="19" t="str">
        <f t="shared" si="15"/>
        <v/>
      </c>
      <c r="M54" s="19" t="str">
        <f t="shared" si="18"/>
        <v/>
      </c>
      <c r="N54" s="19" t="str">
        <f t="shared" si="10"/>
        <v/>
      </c>
      <c r="O54" s="19" t="str">
        <f t="shared" si="11"/>
        <v/>
      </c>
      <c r="P54" s="19" t="str">
        <f t="shared" si="12"/>
        <v/>
      </c>
      <c r="Q54" s="19" t="str">
        <f t="shared" si="13"/>
        <v/>
      </c>
      <c r="R54" s="19" t="str">
        <f t="shared" si="3"/>
        <v/>
      </c>
      <c r="S54" s="27" t="str">
        <f t="shared" si="19"/>
        <v/>
      </c>
      <c r="T54" s="28" t="str">
        <f t="shared" si="19"/>
        <v/>
      </c>
      <c r="U54" s="28" t="str">
        <f t="shared" si="19"/>
        <v/>
      </c>
      <c r="V54" s="28" t="str">
        <f t="shared" si="19"/>
        <v/>
      </c>
      <c r="W54" s="28" t="str">
        <f t="shared" si="19"/>
        <v/>
      </c>
      <c r="X54" s="29" t="str">
        <f t="shared" si="19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 t="str">
        <f t="shared" si="17"/>
        <v/>
      </c>
      <c r="L55" s="19" t="str">
        <f t="shared" si="15"/>
        <v/>
      </c>
      <c r="M55" s="19" t="str">
        <f t="shared" si="18"/>
        <v/>
      </c>
      <c r="N55" s="19" t="str">
        <f t="shared" si="10"/>
        <v/>
      </c>
      <c r="O55" s="19" t="str">
        <f t="shared" si="11"/>
        <v/>
      </c>
      <c r="P55" s="19" t="str">
        <f t="shared" si="12"/>
        <v/>
      </c>
      <c r="Q55" s="19" t="str">
        <f t="shared" si="13"/>
        <v/>
      </c>
      <c r="R55" s="19" t="str">
        <f t="shared" si="3"/>
        <v/>
      </c>
      <c r="S55" s="27" t="str">
        <f t="shared" si="19"/>
        <v/>
      </c>
      <c r="T55" s="28" t="str">
        <f t="shared" si="19"/>
        <v/>
      </c>
      <c r="U55" s="28" t="str">
        <f t="shared" si="19"/>
        <v/>
      </c>
      <c r="V55" s="28" t="str">
        <f t="shared" si="19"/>
        <v/>
      </c>
      <c r="W55" s="28" t="str">
        <f t="shared" si="19"/>
        <v/>
      </c>
      <c r="X55" s="29" t="str">
        <f t="shared" si="19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17"/>
        <v/>
      </c>
      <c r="L56" s="19" t="str">
        <f t="shared" si="15"/>
        <v/>
      </c>
      <c r="M56" s="19" t="str">
        <f t="shared" si="18"/>
        <v/>
      </c>
      <c r="N56" s="19" t="str">
        <f t="shared" si="10"/>
        <v/>
      </c>
      <c r="O56" s="19" t="str">
        <f t="shared" si="11"/>
        <v/>
      </c>
      <c r="P56" s="19" t="str">
        <f t="shared" si="12"/>
        <v/>
      </c>
      <c r="Q56" s="19" t="str">
        <f t="shared" si="13"/>
        <v/>
      </c>
      <c r="R56" s="19" t="str">
        <f t="shared" si="3"/>
        <v/>
      </c>
      <c r="S56" s="27" t="str">
        <f t="shared" si="19"/>
        <v/>
      </c>
      <c r="T56" s="28" t="str">
        <f t="shared" si="19"/>
        <v/>
      </c>
      <c r="U56" s="28" t="str">
        <f t="shared" si="19"/>
        <v/>
      </c>
      <c r="V56" s="28" t="str">
        <f t="shared" si="19"/>
        <v/>
      </c>
      <c r="W56" s="28" t="str">
        <f t="shared" si="19"/>
        <v/>
      </c>
      <c r="X56" s="29" t="str">
        <f t="shared" si="19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17"/>
        <v/>
      </c>
      <c r="L57" s="19" t="str">
        <f t="shared" si="15"/>
        <v/>
      </c>
      <c r="M57" s="19" t="str">
        <f t="shared" si="18"/>
        <v/>
      </c>
      <c r="N57" s="19" t="str">
        <f t="shared" si="10"/>
        <v/>
      </c>
      <c r="O57" s="19" t="str">
        <f t="shared" si="11"/>
        <v/>
      </c>
      <c r="P57" s="19" t="str">
        <f t="shared" si="12"/>
        <v/>
      </c>
      <c r="Q57" s="19" t="str">
        <f t="shared" si="13"/>
        <v/>
      </c>
      <c r="R57" s="19" t="str">
        <f t="shared" si="3"/>
        <v/>
      </c>
      <c r="S57" s="27" t="str">
        <f t="shared" si="19"/>
        <v/>
      </c>
      <c r="T57" s="28" t="str">
        <f t="shared" si="19"/>
        <v/>
      </c>
      <c r="U57" s="28" t="str">
        <f t="shared" si="19"/>
        <v/>
      </c>
      <c r="V57" s="28" t="str">
        <f t="shared" si="19"/>
        <v/>
      </c>
      <c r="W57" s="28" t="str">
        <f t="shared" si="19"/>
        <v/>
      </c>
      <c r="X57" s="29" t="str">
        <f t="shared" si="19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17"/>
        <v/>
      </c>
      <c r="L58" s="19" t="str">
        <f t="shared" si="15"/>
        <v/>
      </c>
      <c r="M58" s="19" t="str">
        <f t="shared" si="18"/>
        <v/>
      </c>
      <c r="N58" s="19" t="str">
        <f t="shared" si="10"/>
        <v/>
      </c>
      <c r="O58" s="19" t="str">
        <f t="shared" si="11"/>
        <v/>
      </c>
      <c r="P58" s="19" t="str">
        <f t="shared" si="12"/>
        <v/>
      </c>
      <c r="Q58" s="19" t="str">
        <f t="shared" si="13"/>
        <v/>
      </c>
      <c r="R58" s="19" t="str">
        <f t="shared" si="3"/>
        <v/>
      </c>
      <c r="S58" s="27" t="str">
        <f t="shared" si="19"/>
        <v/>
      </c>
      <c r="T58" s="28" t="str">
        <f t="shared" si="19"/>
        <v/>
      </c>
      <c r="U58" s="28" t="str">
        <f t="shared" si="19"/>
        <v/>
      </c>
      <c r="V58" s="28" t="str">
        <f t="shared" si="19"/>
        <v/>
      </c>
      <c r="W58" s="28" t="str">
        <f t="shared" si="19"/>
        <v/>
      </c>
      <c r="X58" s="29" t="str">
        <f t="shared" si="19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17"/>
        <v/>
      </c>
      <c r="L59" s="19" t="str">
        <f t="shared" si="15"/>
        <v/>
      </c>
      <c r="M59" s="19" t="str">
        <f t="shared" si="18"/>
        <v/>
      </c>
      <c r="N59" s="19" t="str">
        <f t="shared" si="10"/>
        <v/>
      </c>
      <c r="O59" s="19" t="str">
        <f t="shared" si="11"/>
        <v/>
      </c>
      <c r="P59" s="19" t="str">
        <f t="shared" si="12"/>
        <v/>
      </c>
      <c r="Q59" s="19" t="str">
        <f t="shared" si="13"/>
        <v/>
      </c>
      <c r="R59" s="19" t="str">
        <f t="shared" si="3"/>
        <v/>
      </c>
      <c r="S59" s="27" t="str">
        <f t="shared" si="19"/>
        <v/>
      </c>
      <c r="T59" s="28" t="str">
        <f t="shared" si="19"/>
        <v/>
      </c>
      <c r="U59" s="28" t="str">
        <f t="shared" si="19"/>
        <v/>
      </c>
      <c r="V59" s="28" t="str">
        <f t="shared" si="19"/>
        <v/>
      </c>
      <c r="W59" s="28" t="str">
        <f t="shared" si="19"/>
        <v/>
      </c>
      <c r="X59" s="29" t="str">
        <f t="shared" si="19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7"/>
        <v/>
      </c>
      <c r="L60" s="19" t="str">
        <f t="shared" si="15"/>
        <v/>
      </c>
      <c r="M60" s="19" t="str">
        <f t="shared" si="18"/>
        <v/>
      </c>
      <c r="N60" s="19" t="str">
        <f t="shared" si="10"/>
        <v/>
      </c>
      <c r="O60" s="19" t="str">
        <f t="shared" si="11"/>
        <v/>
      </c>
      <c r="P60" s="19" t="str">
        <f t="shared" si="12"/>
        <v/>
      </c>
      <c r="Q60" s="19" t="str">
        <f t="shared" si="13"/>
        <v/>
      </c>
      <c r="R60" s="19" t="str">
        <f t="shared" si="3"/>
        <v/>
      </c>
      <c r="S60" s="27" t="str">
        <f t="shared" si="19"/>
        <v/>
      </c>
      <c r="T60" s="28" t="str">
        <f t="shared" si="19"/>
        <v/>
      </c>
      <c r="U60" s="28" t="str">
        <f t="shared" si="19"/>
        <v/>
      </c>
      <c r="V60" s="28" t="str">
        <f t="shared" si="19"/>
        <v/>
      </c>
      <c r="W60" s="28" t="str">
        <f t="shared" si="19"/>
        <v/>
      </c>
      <c r="X60" s="29" t="str">
        <f t="shared" si="19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7"/>
        <v/>
      </c>
      <c r="L61" s="19" t="str">
        <f t="shared" si="15"/>
        <v/>
      </c>
      <c r="M61" s="19" t="str">
        <f t="shared" si="18"/>
        <v/>
      </c>
      <c r="N61" s="19" t="str">
        <f t="shared" si="10"/>
        <v/>
      </c>
      <c r="O61" s="19" t="str">
        <f t="shared" si="11"/>
        <v/>
      </c>
      <c r="P61" s="19" t="str">
        <f t="shared" si="12"/>
        <v/>
      </c>
      <c r="Q61" s="19" t="str">
        <f t="shared" si="13"/>
        <v/>
      </c>
      <c r="R61" s="19" t="str">
        <f t="shared" si="3"/>
        <v/>
      </c>
      <c r="S61" s="27" t="str">
        <f t="shared" si="19"/>
        <v/>
      </c>
      <c r="T61" s="28" t="str">
        <f t="shared" si="19"/>
        <v/>
      </c>
      <c r="U61" s="28" t="str">
        <f t="shared" si="19"/>
        <v/>
      </c>
      <c r="V61" s="28" t="str">
        <f t="shared" si="19"/>
        <v/>
      </c>
      <c r="W61" s="28" t="str">
        <f t="shared" si="19"/>
        <v/>
      </c>
      <c r="X61" s="29" t="str">
        <f t="shared" si="19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7"/>
        <v/>
      </c>
      <c r="L62" s="19" t="str">
        <f t="shared" si="15"/>
        <v/>
      </c>
      <c r="M62" s="19" t="str">
        <f t="shared" si="18"/>
        <v/>
      </c>
      <c r="N62" s="19" t="str">
        <f t="shared" si="10"/>
        <v/>
      </c>
      <c r="O62" s="19" t="str">
        <f t="shared" si="11"/>
        <v/>
      </c>
      <c r="P62" s="19" t="str">
        <f t="shared" si="12"/>
        <v/>
      </c>
      <c r="Q62" s="19" t="str">
        <f t="shared" si="13"/>
        <v/>
      </c>
      <c r="R62" s="19" t="str">
        <f t="shared" si="3"/>
        <v/>
      </c>
      <c r="S62" s="27" t="str">
        <f t="shared" si="19"/>
        <v/>
      </c>
      <c r="T62" s="28" t="str">
        <f t="shared" si="19"/>
        <v/>
      </c>
      <c r="U62" s="28" t="str">
        <f t="shared" si="19"/>
        <v/>
      </c>
      <c r="V62" s="28" t="str">
        <f t="shared" si="19"/>
        <v/>
      </c>
      <c r="W62" s="28" t="str">
        <f t="shared" si="19"/>
        <v/>
      </c>
      <c r="X62" s="29" t="str">
        <f t="shared" si="19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7"/>
        <v/>
      </c>
      <c r="L63" s="19" t="str">
        <f t="shared" si="15"/>
        <v/>
      </c>
      <c r="M63" s="19" t="str">
        <f t="shared" si="18"/>
        <v/>
      </c>
      <c r="N63" s="19" t="str">
        <f t="shared" si="10"/>
        <v/>
      </c>
      <c r="O63" s="19" t="str">
        <f t="shared" si="11"/>
        <v/>
      </c>
      <c r="P63" s="19" t="str">
        <f t="shared" si="12"/>
        <v/>
      </c>
      <c r="Q63" s="19" t="str">
        <f t="shared" si="13"/>
        <v/>
      </c>
      <c r="R63" s="19" t="str">
        <f t="shared" si="3"/>
        <v/>
      </c>
      <c r="S63" s="27" t="str">
        <f t="shared" si="19"/>
        <v/>
      </c>
      <c r="T63" s="28" t="str">
        <f t="shared" si="19"/>
        <v/>
      </c>
      <c r="U63" s="28" t="str">
        <f t="shared" si="19"/>
        <v/>
      </c>
      <c r="V63" s="28" t="str">
        <f t="shared" si="19"/>
        <v/>
      </c>
      <c r="W63" s="28" t="str">
        <f t="shared" si="19"/>
        <v/>
      </c>
      <c r="X63" s="29" t="str">
        <f t="shared" si="19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7"/>
        <v/>
      </c>
      <c r="L64" s="19" t="str">
        <f t="shared" si="15"/>
        <v/>
      </c>
      <c r="M64" s="19" t="str">
        <f t="shared" si="18"/>
        <v/>
      </c>
      <c r="N64" s="19" t="str">
        <f t="shared" si="10"/>
        <v/>
      </c>
      <c r="O64" s="19" t="str">
        <f t="shared" si="11"/>
        <v/>
      </c>
      <c r="P64" s="19" t="str">
        <f t="shared" si="12"/>
        <v/>
      </c>
      <c r="Q64" s="19" t="str">
        <f t="shared" si="13"/>
        <v/>
      </c>
      <c r="R64" s="19" t="str">
        <f t="shared" si="3"/>
        <v/>
      </c>
      <c r="S64" s="27" t="str">
        <f t="shared" si="19"/>
        <v/>
      </c>
      <c r="T64" s="28" t="str">
        <f t="shared" si="19"/>
        <v/>
      </c>
      <c r="U64" s="28" t="str">
        <f t="shared" si="19"/>
        <v/>
      </c>
      <c r="V64" s="28" t="str">
        <f t="shared" si="19"/>
        <v/>
      </c>
      <c r="W64" s="28" t="str">
        <f t="shared" si="19"/>
        <v/>
      </c>
      <c r="X64" s="29" t="str">
        <f t="shared" si="19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7"/>
        <v/>
      </c>
      <c r="L65" s="19" t="str">
        <f t="shared" si="15"/>
        <v/>
      </c>
      <c r="M65" s="19" t="str">
        <f t="shared" si="18"/>
        <v/>
      </c>
      <c r="N65" s="19" t="str">
        <f t="shared" si="10"/>
        <v/>
      </c>
      <c r="O65" s="19" t="str">
        <f t="shared" si="11"/>
        <v/>
      </c>
      <c r="P65" s="19" t="str">
        <f t="shared" si="12"/>
        <v/>
      </c>
      <c r="Q65" s="19" t="str">
        <f t="shared" si="13"/>
        <v/>
      </c>
      <c r="R65" s="19" t="str">
        <f t="shared" si="3"/>
        <v/>
      </c>
      <c r="S65" s="27" t="str">
        <f t="shared" ref="S65:X80" si="20">IF(C65="","",((C65-C64)*1000)/($B65-$B64))</f>
        <v/>
      </c>
      <c r="T65" s="28" t="str">
        <f t="shared" si="20"/>
        <v/>
      </c>
      <c r="U65" s="28" t="str">
        <f t="shared" si="20"/>
        <v/>
      </c>
      <c r="V65" s="28" t="str">
        <f t="shared" si="20"/>
        <v/>
      </c>
      <c r="W65" s="28" t="str">
        <f t="shared" si="20"/>
        <v/>
      </c>
      <c r="X65" s="29" t="str">
        <f t="shared" si="20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7"/>
        <v/>
      </c>
      <c r="L66" s="19" t="str">
        <f t="shared" si="15"/>
        <v/>
      </c>
      <c r="M66" s="19" t="str">
        <f t="shared" si="18"/>
        <v/>
      </c>
      <c r="N66" s="19" t="str">
        <f t="shared" si="10"/>
        <v/>
      </c>
      <c r="O66" s="19" t="str">
        <f t="shared" si="11"/>
        <v/>
      </c>
      <c r="P66" s="19" t="str">
        <f t="shared" si="12"/>
        <v/>
      </c>
      <c r="Q66" s="19" t="str">
        <f t="shared" si="13"/>
        <v/>
      </c>
      <c r="R66" s="19" t="str">
        <f t="shared" si="3"/>
        <v/>
      </c>
      <c r="S66" s="27" t="str">
        <f t="shared" si="20"/>
        <v/>
      </c>
      <c r="T66" s="28" t="str">
        <f t="shared" si="20"/>
        <v/>
      </c>
      <c r="U66" s="28" t="str">
        <f t="shared" si="20"/>
        <v/>
      </c>
      <c r="V66" s="28" t="str">
        <f t="shared" si="20"/>
        <v/>
      </c>
      <c r="W66" s="28" t="str">
        <f t="shared" si="20"/>
        <v/>
      </c>
      <c r="X66" s="29" t="str">
        <f t="shared" si="20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7"/>
        <v/>
      </c>
      <c r="L67" s="19" t="str">
        <f t="shared" si="15"/>
        <v/>
      </c>
      <c r="M67" s="19" t="str">
        <f t="shared" si="18"/>
        <v/>
      </c>
      <c r="N67" s="19" t="str">
        <f t="shared" si="10"/>
        <v/>
      </c>
      <c r="O67" s="19" t="str">
        <f t="shared" si="11"/>
        <v/>
      </c>
      <c r="P67" s="19" t="str">
        <f t="shared" si="12"/>
        <v/>
      </c>
      <c r="Q67" s="19" t="str">
        <f t="shared" si="13"/>
        <v/>
      </c>
      <c r="R67" s="19" t="str">
        <f t="shared" si="3"/>
        <v/>
      </c>
      <c r="S67" s="27" t="str">
        <f t="shared" si="20"/>
        <v/>
      </c>
      <c r="T67" s="28" t="str">
        <f t="shared" si="20"/>
        <v/>
      </c>
      <c r="U67" s="28" t="str">
        <f t="shared" si="20"/>
        <v/>
      </c>
      <c r="V67" s="28" t="str">
        <f t="shared" si="20"/>
        <v/>
      </c>
      <c r="W67" s="28" t="str">
        <f t="shared" si="20"/>
        <v/>
      </c>
      <c r="X67" s="29" t="str">
        <f t="shared" si="20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7"/>
        <v/>
      </c>
      <c r="L68" s="19" t="str">
        <f t="shared" si="15"/>
        <v/>
      </c>
      <c r="M68" s="19" t="str">
        <f t="shared" si="18"/>
        <v/>
      </c>
      <c r="N68" s="19" t="str">
        <f t="shared" si="10"/>
        <v/>
      </c>
      <c r="O68" s="19" t="str">
        <f t="shared" si="11"/>
        <v/>
      </c>
      <c r="P68" s="19" t="str">
        <f t="shared" si="12"/>
        <v/>
      </c>
      <c r="Q68" s="19" t="str">
        <f t="shared" si="13"/>
        <v/>
      </c>
      <c r="R68" s="19" t="str">
        <f t="shared" si="3"/>
        <v/>
      </c>
      <c r="S68" s="27" t="str">
        <f t="shared" si="20"/>
        <v/>
      </c>
      <c r="T68" s="28" t="str">
        <f t="shared" si="20"/>
        <v/>
      </c>
      <c r="U68" s="28" t="str">
        <f t="shared" si="20"/>
        <v/>
      </c>
      <c r="V68" s="28" t="str">
        <f t="shared" si="20"/>
        <v/>
      </c>
      <c r="W68" s="28" t="str">
        <f t="shared" si="20"/>
        <v/>
      </c>
      <c r="X68" s="29" t="str">
        <f t="shared" si="20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7"/>
        <v/>
      </c>
      <c r="L69" s="19" t="str">
        <f t="shared" si="15"/>
        <v/>
      </c>
      <c r="M69" s="19" t="str">
        <f t="shared" si="18"/>
        <v/>
      </c>
      <c r="N69" s="19" t="str">
        <f t="shared" si="10"/>
        <v/>
      </c>
      <c r="O69" s="19" t="str">
        <f t="shared" si="11"/>
        <v/>
      </c>
      <c r="P69" s="19" t="str">
        <f t="shared" si="12"/>
        <v/>
      </c>
      <c r="Q69" s="19" t="str">
        <f t="shared" si="13"/>
        <v/>
      </c>
      <c r="R69" s="19" t="str">
        <f t="shared" si="3"/>
        <v/>
      </c>
      <c r="S69" s="27" t="str">
        <f t="shared" si="20"/>
        <v/>
      </c>
      <c r="T69" s="28" t="str">
        <f t="shared" si="20"/>
        <v/>
      </c>
      <c r="U69" s="28" t="str">
        <f t="shared" si="20"/>
        <v/>
      </c>
      <c r="V69" s="28" t="str">
        <f t="shared" si="20"/>
        <v/>
      </c>
      <c r="W69" s="28" t="str">
        <f t="shared" si="20"/>
        <v/>
      </c>
      <c r="X69" s="29" t="str">
        <f t="shared" si="20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7"/>
        <v/>
      </c>
      <c r="L70" s="19" t="str">
        <f t="shared" si="15"/>
        <v/>
      </c>
      <c r="M70" s="19" t="str">
        <f t="shared" si="18"/>
        <v/>
      </c>
      <c r="N70" s="19" t="str">
        <f t="shared" si="10"/>
        <v/>
      </c>
      <c r="O70" s="19" t="str">
        <f t="shared" si="11"/>
        <v/>
      </c>
      <c r="P70" s="19" t="str">
        <f t="shared" si="12"/>
        <v/>
      </c>
      <c r="Q70" s="19" t="str">
        <f t="shared" si="13"/>
        <v/>
      </c>
      <c r="R70" s="19" t="str">
        <f t="shared" si="3"/>
        <v/>
      </c>
      <c r="S70" s="27" t="str">
        <f t="shared" si="20"/>
        <v/>
      </c>
      <c r="T70" s="28" t="str">
        <f t="shared" si="20"/>
        <v/>
      </c>
      <c r="U70" s="28" t="str">
        <f t="shared" si="20"/>
        <v/>
      </c>
      <c r="V70" s="28" t="str">
        <f t="shared" si="20"/>
        <v/>
      </c>
      <c r="W70" s="28" t="str">
        <f t="shared" si="20"/>
        <v/>
      </c>
      <c r="X70" s="29" t="str">
        <f t="shared" si="20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7"/>
        <v/>
      </c>
      <c r="L71" s="19" t="str">
        <f t="shared" si="15"/>
        <v/>
      </c>
      <c r="M71" s="19" t="str">
        <f t="shared" si="18"/>
        <v/>
      </c>
      <c r="N71" s="19" t="str">
        <f t="shared" si="10"/>
        <v/>
      </c>
      <c r="O71" s="19" t="str">
        <f t="shared" si="11"/>
        <v/>
      </c>
      <c r="P71" s="19" t="str">
        <f t="shared" si="12"/>
        <v/>
      </c>
      <c r="Q71" s="19" t="str">
        <f t="shared" si="13"/>
        <v/>
      </c>
      <c r="R71" s="19" t="str">
        <f t="shared" si="3"/>
        <v/>
      </c>
      <c r="S71" s="27" t="str">
        <f t="shared" si="20"/>
        <v/>
      </c>
      <c r="T71" s="28" t="str">
        <f t="shared" si="20"/>
        <v/>
      </c>
      <c r="U71" s="28" t="str">
        <f t="shared" si="20"/>
        <v/>
      </c>
      <c r="V71" s="28" t="str">
        <f t="shared" si="20"/>
        <v/>
      </c>
      <c r="W71" s="28" t="str">
        <f t="shared" si="20"/>
        <v/>
      </c>
      <c r="X71" s="29" t="str">
        <f t="shared" si="20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7"/>
        <v/>
      </c>
      <c r="L72" s="19" t="str">
        <f t="shared" si="15"/>
        <v/>
      </c>
      <c r="M72" s="19" t="str">
        <f t="shared" si="18"/>
        <v/>
      </c>
      <c r="N72" s="19" t="str">
        <f t="shared" si="10"/>
        <v/>
      </c>
      <c r="O72" s="19" t="str">
        <f t="shared" si="11"/>
        <v/>
      </c>
      <c r="P72" s="19" t="str">
        <f t="shared" si="12"/>
        <v/>
      </c>
      <c r="Q72" s="19" t="str">
        <f t="shared" si="13"/>
        <v/>
      </c>
      <c r="R72" s="19" t="str">
        <f t="shared" si="3"/>
        <v/>
      </c>
      <c r="S72" s="27" t="str">
        <f t="shared" si="20"/>
        <v/>
      </c>
      <c r="T72" s="28" t="str">
        <f t="shared" si="20"/>
        <v/>
      </c>
      <c r="U72" s="28" t="str">
        <f t="shared" si="20"/>
        <v/>
      </c>
      <c r="V72" s="28" t="str">
        <f t="shared" si="20"/>
        <v/>
      </c>
      <c r="W72" s="28" t="str">
        <f t="shared" si="20"/>
        <v/>
      </c>
      <c r="X72" s="29" t="str">
        <f t="shared" si="20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7"/>
        <v/>
      </c>
      <c r="L73" s="19" t="str">
        <f t="shared" si="15"/>
        <v/>
      </c>
      <c r="M73" s="19" t="str">
        <f t="shared" si="18"/>
        <v/>
      </c>
      <c r="N73" s="19" t="str">
        <f t="shared" si="10"/>
        <v/>
      </c>
      <c r="O73" s="19" t="str">
        <f t="shared" si="11"/>
        <v/>
      </c>
      <c r="P73" s="19" t="str">
        <f t="shared" si="12"/>
        <v/>
      </c>
      <c r="Q73" s="19" t="str">
        <f t="shared" si="13"/>
        <v/>
      </c>
      <c r="R73" s="19" t="str">
        <f t="shared" si="3"/>
        <v/>
      </c>
      <c r="S73" s="27" t="str">
        <f t="shared" si="20"/>
        <v/>
      </c>
      <c r="T73" s="28" t="str">
        <f t="shared" si="20"/>
        <v/>
      </c>
      <c r="U73" s="28" t="str">
        <f t="shared" si="20"/>
        <v/>
      </c>
      <c r="V73" s="28" t="str">
        <f t="shared" si="20"/>
        <v/>
      </c>
      <c r="W73" s="28" t="str">
        <f t="shared" si="20"/>
        <v/>
      </c>
      <c r="X73" s="29" t="str">
        <f t="shared" si="20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7"/>
        <v/>
      </c>
      <c r="L74" s="19" t="str">
        <f t="shared" si="15"/>
        <v/>
      </c>
      <c r="M74" s="19" t="str">
        <f t="shared" si="18"/>
        <v/>
      </c>
      <c r="N74" s="19" t="str">
        <f t="shared" si="10"/>
        <v/>
      </c>
      <c r="O74" s="19" t="str">
        <f t="shared" si="11"/>
        <v/>
      </c>
      <c r="P74" s="19" t="str">
        <f t="shared" si="12"/>
        <v/>
      </c>
      <c r="Q74" s="19" t="str">
        <f t="shared" si="13"/>
        <v/>
      </c>
      <c r="R74" s="19" t="str">
        <f t="shared" si="3"/>
        <v/>
      </c>
      <c r="S74" s="27" t="str">
        <f t="shared" si="20"/>
        <v/>
      </c>
      <c r="T74" s="28" t="str">
        <f t="shared" si="20"/>
        <v/>
      </c>
      <c r="U74" s="28" t="str">
        <f t="shared" si="20"/>
        <v/>
      </c>
      <c r="V74" s="28" t="str">
        <f t="shared" si="20"/>
        <v/>
      </c>
      <c r="W74" s="28" t="str">
        <f t="shared" si="20"/>
        <v/>
      </c>
      <c r="X74" s="29" t="str">
        <f t="shared" si="20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7"/>
        <v/>
      </c>
      <c r="L75" s="19" t="str">
        <f t="shared" si="15"/>
        <v/>
      </c>
      <c r="M75" s="19" t="str">
        <f t="shared" si="18"/>
        <v/>
      </c>
      <c r="N75" s="19" t="str">
        <f t="shared" si="10"/>
        <v/>
      </c>
      <c r="O75" s="19" t="str">
        <f t="shared" si="11"/>
        <v/>
      </c>
      <c r="P75" s="19" t="str">
        <f t="shared" si="12"/>
        <v/>
      </c>
      <c r="Q75" s="19" t="str">
        <f t="shared" si="13"/>
        <v/>
      </c>
      <c r="R75" s="19" t="str">
        <f t="shared" si="3"/>
        <v/>
      </c>
      <c r="S75" s="27" t="str">
        <f t="shared" si="20"/>
        <v/>
      </c>
      <c r="T75" s="28" t="str">
        <f t="shared" si="20"/>
        <v/>
      </c>
      <c r="U75" s="28" t="str">
        <f t="shared" si="20"/>
        <v/>
      </c>
      <c r="V75" s="28" t="str">
        <f t="shared" si="20"/>
        <v/>
      </c>
      <c r="W75" s="28" t="str">
        <f t="shared" si="20"/>
        <v/>
      </c>
      <c r="X75" s="29" t="str">
        <f t="shared" si="20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7"/>
        <v/>
      </c>
      <c r="L76" s="19" t="str">
        <f t="shared" si="15"/>
        <v/>
      </c>
      <c r="M76" s="19" t="str">
        <f t="shared" si="18"/>
        <v/>
      </c>
      <c r="N76" s="19" t="str">
        <f t="shared" si="10"/>
        <v/>
      </c>
      <c r="O76" s="19" t="str">
        <f t="shared" si="11"/>
        <v/>
      </c>
      <c r="P76" s="19" t="str">
        <f t="shared" si="12"/>
        <v/>
      </c>
      <c r="Q76" s="19" t="str">
        <f t="shared" si="13"/>
        <v/>
      </c>
      <c r="R76" s="19" t="str">
        <f t="shared" si="3"/>
        <v/>
      </c>
      <c r="S76" s="27" t="str">
        <f t="shared" si="20"/>
        <v/>
      </c>
      <c r="T76" s="28" t="str">
        <f t="shared" si="20"/>
        <v/>
      </c>
      <c r="U76" s="28" t="str">
        <f t="shared" si="20"/>
        <v/>
      </c>
      <c r="V76" s="28" t="str">
        <f t="shared" si="20"/>
        <v/>
      </c>
      <c r="W76" s="28" t="str">
        <f t="shared" si="20"/>
        <v/>
      </c>
      <c r="X76" s="29" t="str">
        <f t="shared" si="20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7"/>
        <v/>
      </c>
      <c r="L77" s="19" t="str">
        <f t="shared" si="15"/>
        <v/>
      </c>
      <c r="M77" s="19" t="str">
        <f t="shared" si="18"/>
        <v/>
      </c>
      <c r="N77" s="19" t="str">
        <f t="shared" si="10"/>
        <v/>
      </c>
      <c r="O77" s="19" t="str">
        <f t="shared" si="11"/>
        <v/>
      </c>
      <c r="P77" s="19" t="str">
        <f t="shared" si="12"/>
        <v/>
      </c>
      <c r="Q77" s="19" t="str">
        <f t="shared" si="13"/>
        <v/>
      </c>
      <c r="R77" s="19" t="str">
        <f t="shared" si="3"/>
        <v/>
      </c>
      <c r="S77" s="27" t="str">
        <f t="shared" si="20"/>
        <v/>
      </c>
      <c r="T77" s="28" t="str">
        <f t="shared" si="20"/>
        <v/>
      </c>
      <c r="U77" s="28" t="str">
        <f t="shared" si="20"/>
        <v/>
      </c>
      <c r="V77" s="28" t="str">
        <f t="shared" si="20"/>
        <v/>
      </c>
      <c r="W77" s="28" t="str">
        <f t="shared" si="20"/>
        <v/>
      </c>
      <c r="X77" s="29" t="str">
        <f t="shared" si="20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7"/>
        <v/>
      </c>
      <c r="L78" s="19" t="str">
        <f t="shared" si="15"/>
        <v/>
      </c>
      <c r="M78" s="19" t="str">
        <f t="shared" si="18"/>
        <v/>
      </c>
      <c r="N78" s="19" t="str">
        <f t="shared" si="10"/>
        <v/>
      </c>
      <c r="O78" s="19" t="str">
        <f t="shared" si="11"/>
        <v/>
      </c>
      <c r="P78" s="19" t="str">
        <f t="shared" si="12"/>
        <v/>
      </c>
      <c r="Q78" s="19" t="str">
        <f t="shared" si="13"/>
        <v/>
      </c>
      <c r="R78" s="19" t="str">
        <f t="shared" si="3"/>
        <v/>
      </c>
      <c r="S78" s="27" t="str">
        <f t="shared" si="20"/>
        <v/>
      </c>
      <c r="T78" s="28" t="str">
        <f t="shared" si="20"/>
        <v/>
      </c>
      <c r="U78" s="28" t="str">
        <f t="shared" si="20"/>
        <v/>
      </c>
      <c r="V78" s="28" t="str">
        <f t="shared" si="20"/>
        <v/>
      </c>
      <c r="W78" s="28" t="str">
        <f t="shared" si="20"/>
        <v/>
      </c>
      <c r="X78" s="29" t="str">
        <f t="shared" si="20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7"/>
        <v/>
      </c>
      <c r="L79" s="19" t="str">
        <f t="shared" si="15"/>
        <v/>
      </c>
      <c r="M79" s="19" t="str">
        <f t="shared" si="18"/>
        <v/>
      </c>
      <c r="N79" s="19" t="str">
        <f t="shared" si="10"/>
        <v/>
      </c>
      <c r="O79" s="19" t="str">
        <f t="shared" si="11"/>
        <v/>
      </c>
      <c r="P79" s="19" t="str">
        <f t="shared" si="12"/>
        <v/>
      </c>
      <c r="Q79" s="19" t="str">
        <f t="shared" si="13"/>
        <v/>
      </c>
      <c r="R79" s="19" t="str">
        <f t="shared" si="3"/>
        <v/>
      </c>
      <c r="S79" s="27" t="str">
        <f t="shared" si="20"/>
        <v/>
      </c>
      <c r="T79" s="28" t="str">
        <f t="shared" si="20"/>
        <v/>
      </c>
      <c r="U79" s="28" t="str">
        <f t="shared" si="20"/>
        <v/>
      </c>
      <c r="V79" s="28" t="str">
        <f t="shared" si="20"/>
        <v/>
      </c>
      <c r="W79" s="28" t="str">
        <f t="shared" si="20"/>
        <v/>
      </c>
      <c r="X79" s="29" t="str">
        <f t="shared" si="20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7"/>
        <v/>
      </c>
      <c r="L80" s="19" t="str">
        <f t="shared" si="15"/>
        <v/>
      </c>
      <c r="M80" s="19" t="str">
        <f t="shared" ref="M80:M111" si="21">IF(ISBLANK(D80),"",(D80-D$16)*1000)</f>
        <v/>
      </c>
      <c r="N80" s="19" t="str">
        <f t="shared" si="10"/>
        <v/>
      </c>
      <c r="O80" s="19" t="str">
        <f t="shared" si="11"/>
        <v/>
      </c>
      <c r="P80" s="19" t="str">
        <f t="shared" si="12"/>
        <v/>
      </c>
      <c r="Q80" s="19" t="str">
        <f t="shared" si="13"/>
        <v/>
      </c>
      <c r="R80" s="19" t="str">
        <f t="shared" ref="R80:R111" si="22">IF(ISBLANK(I80),"",(I80-I$16)*1000)</f>
        <v/>
      </c>
      <c r="S80" s="27" t="str">
        <f t="shared" si="20"/>
        <v/>
      </c>
      <c r="T80" s="28" t="str">
        <f t="shared" si="20"/>
        <v/>
      </c>
      <c r="U80" s="28" t="str">
        <f t="shared" si="20"/>
        <v/>
      </c>
      <c r="V80" s="28" t="str">
        <f t="shared" si="20"/>
        <v/>
      </c>
      <c r="W80" s="28" t="str">
        <f t="shared" si="20"/>
        <v/>
      </c>
      <c r="X80" s="29" t="str">
        <f t="shared" si="20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7"/>
        <v/>
      </c>
      <c r="L81" s="19" t="str">
        <f t="shared" si="15"/>
        <v/>
      </c>
      <c r="M81" s="19" t="str">
        <f t="shared" si="21"/>
        <v/>
      </c>
      <c r="N81" s="19" t="str">
        <f t="shared" si="10"/>
        <v/>
      </c>
      <c r="O81" s="19" t="str">
        <f t="shared" si="11"/>
        <v/>
      </c>
      <c r="P81" s="19" t="str">
        <f t="shared" si="12"/>
        <v/>
      </c>
      <c r="Q81" s="19" t="str">
        <f t="shared" si="13"/>
        <v/>
      </c>
      <c r="R81" s="19" t="str">
        <f t="shared" si="22"/>
        <v/>
      </c>
      <c r="S81" s="27" t="str">
        <f t="shared" ref="S81:X96" si="23">IF(C81="","",((C81-C80)*1000)/($B81-$B80))</f>
        <v/>
      </c>
      <c r="T81" s="28" t="str">
        <f t="shared" si="23"/>
        <v/>
      </c>
      <c r="U81" s="28" t="str">
        <f t="shared" si="23"/>
        <v/>
      </c>
      <c r="V81" s="28" t="str">
        <f t="shared" si="23"/>
        <v/>
      </c>
      <c r="W81" s="28" t="str">
        <f t="shared" si="23"/>
        <v/>
      </c>
      <c r="X81" s="29" t="str">
        <f t="shared" si="2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7"/>
        <v/>
      </c>
      <c r="L82" s="19" t="str">
        <f t="shared" si="15"/>
        <v/>
      </c>
      <c r="M82" s="19" t="str">
        <f t="shared" si="21"/>
        <v/>
      </c>
      <c r="N82" s="19" t="str">
        <f t="shared" si="10"/>
        <v/>
      </c>
      <c r="O82" s="19" t="str">
        <f t="shared" si="11"/>
        <v/>
      </c>
      <c r="P82" s="19" t="str">
        <f t="shared" si="12"/>
        <v/>
      </c>
      <c r="Q82" s="19" t="str">
        <f t="shared" si="13"/>
        <v/>
      </c>
      <c r="R82" s="19" t="str">
        <f t="shared" si="22"/>
        <v/>
      </c>
      <c r="S82" s="27" t="str">
        <f t="shared" si="23"/>
        <v/>
      </c>
      <c r="T82" s="28" t="str">
        <f t="shared" si="23"/>
        <v/>
      </c>
      <c r="U82" s="28" t="str">
        <f t="shared" si="23"/>
        <v/>
      </c>
      <c r="V82" s="28" t="str">
        <f t="shared" si="23"/>
        <v/>
      </c>
      <c r="W82" s="28" t="str">
        <f t="shared" si="23"/>
        <v/>
      </c>
      <c r="X82" s="29" t="str">
        <f t="shared" si="2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7"/>
        <v/>
      </c>
      <c r="L83" s="19" t="str">
        <f t="shared" si="15"/>
        <v/>
      </c>
      <c r="M83" s="19" t="str">
        <f t="shared" si="21"/>
        <v/>
      </c>
      <c r="N83" s="19" t="str">
        <f t="shared" si="10"/>
        <v/>
      </c>
      <c r="O83" s="19" t="str">
        <f t="shared" si="11"/>
        <v/>
      </c>
      <c r="P83" s="19" t="str">
        <f t="shared" si="12"/>
        <v/>
      </c>
      <c r="Q83" s="19" t="str">
        <f t="shared" si="13"/>
        <v/>
      </c>
      <c r="R83" s="19" t="str">
        <f t="shared" si="22"/>
        <v/>
      </c>
      <c r="S83" s="27" t="str">
        <f t="shared" si="23"/>
        <v/>
      </c>
      <c r="T83" s="28" t="str">
        <f t="shared" si="23"/>
        <v/>
      </c>
      <c r="U83" s="28" t="str">
        <f t="shared" si="23"/>
        <v/>
      </c>
      <c r="V83" s="28" t="str">
        <f t="shared" si="23"/>
        <v/>
      </c>
      <c r="W83" s="28" t="str">
        <f t="shared" si="23"/>
        <v/>
      </c>
      <c r="X83" s="29" t="str">
        <f t="shared" si="2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7"/>
        <v/>
      </c>
      <c r="L84" s="19" t="str">
        <f t="shared" si="15"/>
        <v/>
      </c>
      <c r="M84" s="19" t="str">
        <f t="shared" si="21"/>
        <v/>
      </c>
      <c r="N84" s="19" t="str">
        <f t="shared" si="10"/>
        <v/>
      </c>
      <c r="O84" s="19" t="str">
        <f t="shared" si="11"/>
        <v/>
      </c>
      <c r="P84" s="19" t="str">
        <f t="shared" si="12"/>
        <v/>
      </c>
      <c r="Q84" s="19" t="str">
        <f t="shared" si="13"/>
        <v/>
      </c>
      <c r="R84" s="19" t="str">
        <f t="shared" si="22"/>
        <v/>
      </c>
      <c r="S84" s="27" t="str">
        <f t="shared" si="23"/>
        <v/>
      </c>
      <c r="T84" s="28" t="str">
        <f t="shared" si="23"/>
        <v/>
      </c>
      <c r="U84" s="28" t="str">
        <f t="shared" si="23"/>
        <v/>
      </c>
      <c r="V84" s="28" t="str">
        <f t="shared" si="23"/>
        <v/>
      </c>
      <c r="W84" s="28" t="str">
        <f t="shared" si="23"/>
        <v/>
      </c>
      <c r="X84" s="29" t="str">
        <f t="shared" si="2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7"/>
        <v/>
      </c>
      <c r="L85" s="19" t="str">
        <f t="shared" si="15"/>
        <v/>
      </c>
      <c r="M85" s="19" t="str">
        <f t="shared" si="21"/>
        <v/>
      </c>
      <c r="N85" s="19" t="str">
        <f t="shared" si="10"/>
        <v/>
      </c>
      <c r="O85" s="19" t="str">
        <f t="shared" si="11"/>
        <v/>
      </c>
      <c r="P85" s="19" t="str">
        <f t="shared" si="12"/>
        <v/>
      </c>
      <c r="Q85" s="19" t="str">
        <f t="shared" si="13"/>
        <v/>
      </c>
      <c r="R85" s="19" t="str">
        <f t="shared" si="22"/>
        <v/>
      </c>
      <c r="S85" s="27" t="str">
        <f t="shared" si="23"/>
        <v/>
      </c>
      <c r="T85" s="28" t="str">
        <f t="shared" si="23"/>
        <v/>
      </c>
      <c r="U85" s="28" t="str">
        <f t="shared" si="23"/>
        <v/>
      </c>
      <c r="V85" s="28" t="str">
        <f t="shared" si="23"/>
        <v/>
      </c>
      <c r="W85" s="28" t="str">
        <f t="shared" si="23"/>
        <v/>
      </c>
      <c r="X85" s="29" t="str">
        <f t="shared" si="2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7"/>
        <v/>
      </c>
      <c r="L86" s="19" t="str">
        <f t="shared" si="15"/>
        <v/>
      </c>
      <c r="M86" s="19" t="str">
        <f t="shared" si="21"/>
        <v/>
      </c>
      <c r="N86" s="19" t="str">
        <f t="shared" si="10"/>
        <v/>
      </c>
      <c r="O86" s="19" t="str">
        <f t="shared" si="11"/>
        <v/>
      </c>
      <c r="P86" s="19" t="str">
        <f t="shared" si="12"/>
        <v/>
      </c>
      <c r="Q86" s="19" t="str">
        <f t="shared" si="13"/>
        <v/>
      </c>
      <c r="R86" s="19" t="str">
        <f t="shared" si="22"/>
        <v/>
      </c>
      <c r="S86" s="27" t="str">
        <f t="shared" si="23"/>
        <v/>
      </c>
      <c r="T86" s="28" t="str">
        <f t="shared" si="23"/>
        <v/>
      </c>
      <c r="U86" s="28" t="str">
        <f t="shared" si="23"/>
        <v/>
      </c>
      <c r="V86" s="28" t="str">
        <f t="shared" si="23"/>
        <v/>
      </c>
      <c r="W86" s="28" t="str">
        <f t="shared" si="23"/>
        <v/>
      </c>
      <c r="X86" s="29" t="str">
        <f t="shared" si="2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17"/>
        <v/>
      </c>
      <c r="L87" s="19" t="str">
        <f t="shared" si="15"/>
        <v/>
      </c>
      <c r="M87" s="19" t="str">
        <f t="shared" si="21"/>
        <v/>
      </c>
      <c r="N87" s="19" t="str">
        <f t="shared" si="10"/>
        <v/>
      </c>
      <c r="O87" s="19" t="str">
        <f t="shared" si="11"/>
        <v/>
      </c>
      <c r="P87" s="19" t="str">
        <f t="shared" si="12"/>
        <v/>
      </c>
      <c r="Q87" s="19" t="str">
        <f t="shared" si="13"/>
        <v/>
      </c>
      <c r="R87" s="19" t="str">
        <f t="shared" si="22"/>
        <v/>
      </c>
      <c r="S87" s="27" t="str">
        <f t="shared" si="23"/>
        <v/>
      </c>
      <c r="T87" s="28" t="str">
        <f t="shared" si="23"/>
        <v/>
      </c>
      <c r="U87" s="28" t="str">
        <f t="shared" si="23"/>
        <v/>
      </c>
      <c r="V87" s="28" t="str">
        <f t="shared" si="23"/>
        <v/>
      </c>
      <c r="W87" s="28" t="str">
        <f t="shared" si="23"/>
        <v/>
      </c>
      <c r="X87" s="29" t="str">
        <f t="shared" si="2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7"/>
        <v/>
      </c>
      <c r="L88" s="19" t="str">
        <f t="shared" si="15"/>
        <v/>
      </c>
      <c r="M88" s="19" t="str">
        <f t="shared" si="21"/>
        <v/>
      </c>
      <c r="N88" s="19" t="str">
        <f t="shared" si="10"/>
        <v/>
      </c>
      <c r="O88" s="19" t="str">
        <f t="shared" si="11"/>
        <v/>
      </c>
      <c r="P88" s="19" t="str">
        <f t="shared" si="12"/>
        <v/>
      </c>
      <c r="Q88" s="19" t="str">
        <f t="shared" si="13"/>
        <v/>
      </c>
      <c r="R88" s="19" t="str">
        <f t="shared" si="22"/>
        <v/>
      </c>
      <c r="S88" s="27" t="str">
        <f t="shared" si="23"/>
        <v/>
      </c>
      <c r="T88" s="28" t="str">
        <f t="shared" si="23"/>
        <v/>
      </c>
      <c r="U88" s="28" t="str">
        <f t="shared" si="23"/>
        <v/>
      </c>
      <c r="V88" s="28" t="str">
        <f t="shared" si="23"/>
        <v/>
      </c>
      <c r="W88" s="28" t="str">
        <f t="shared" si="23"/>
        <v/>
      </c>
      <c r="X88" s="29" t="str">
        <f t="shared" si="2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7"/>
        <v/>
      </c>
      <c r="L89" s="19" t="str">
        <f t="shared" si="15"/>
        <v/>
      </c>
      <c r="M89" s="19" t="str">
        <f t="shared" si="21"/>
        <v/>
      </c>
      <c r="N89" s="19" t="str">
        <f t="shared" si="10"/>
        <v/>
      </c>
      <c r="O89" s="19" t="str">
        <f t="shared" si="11"/>
        <v/>
      </c>
      <c r="P89" s="19" t="str">
        <f t="shared" si="12"/>
        <v/>
      </c>
      <c r="Q89" s="19" t="str">
        <f t="shared" si="13"/>
        <v/>
      </c>
      <c r="R89" s="19" t="str">
        <f t="shared" si="22"/>
        <v/>
      </c>
      <c r="S89" s="27" t="str">
        <f t="shared" si="23"/>
        <v/>
      </c>
      <c r="T89" s="28" t="str">
        <f t="shared" si="23"/>
        <v/>
      </c>
      <c r="U89" s="28" t="str">
        <f t="shared" si="23"/>
        <v/>
      </c>
      <c r="V89" s="28" t="str">
        <f t="shared" si="23"/>
        <v/>
      </c>
      <c r="W89" s="28" t="str">
        <f t="shared" si="23"/>
        <v/>
      </c>
      <c r="X89" s="29" t="str">
        <f t="shared" si="2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7"/>
        <v/>
      </c>
      <c r="L90" s="19" t="str">
        <f t="shared" si="15"/>
        <v/>
      </c>
      <c r="M90" s="19" t="str">
        <f t="shared" si="21"/>
        <v/>
      </c>
      <c r="N90" s="19" t="str">
        <f t="shared" si="10"/>
        <v/>
      </c>
      <c r="O90" s="19" t="str">
        <f t="shared" si="11"/>
        <v/>
      </c>
      <c r="P90" s="19" t="str">
        <f t="shared" si="12"/>
        <v/>
      </c>
      <c r="Q90" s="19" t="str">
        <f t="shared" si="13"/>
        <v/>
      </c>
      <c r="R90" s="19" t="str">
        <f t="shared" si="22"/>
        <v/>
      </c>
      <c r="S90" s="27" t="str">
        <f t="shared" si="23"/>
        <v/>
      </c>
      <c r="T90" s="28" t="str">
        <f t="shared" si="23"/>
        <v/>
      </c>
      <c r="U90" s="28" t="str">
        <f t="shared" si="23"/>
        <v/>
      </c>
      <c r="V90" s="28" t="str">
        <f t="shared" si="23"/>
        <v/>
      </c>
      <c r="W90" s="28" t="str">
        <f t="shared" si="23"/>
        <v/>
      </c>
      <c r="X90" s="29" t="str">
        <f t="shared" si="2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7"/>
        <v/>
      </c>
      <c r="L91" s="19" t="str">
        <f t="shared" si="15"/>
        <v/>
      </c>
      <c r="M91" s="19" t="str">
        <f t="shared" si="21"/>
        <v/>
      </c>
      <c r="N91" s="19" t="str">
        <f t="shared" ref="N91:N153" si="24">IF(ISBLANK(E91),"",((E91-E$26)*1000)+N$25)</f>
        <v/>
      </c>
      <c r="O91" s="19" t="str">
        <f t="shared" ref="O91:O153" si="25">IF(ISBLANK(F91),"",((F91-F$26)*1000)+L$26)</f>
        <v/>
      </c>
      <c r="P91" s="19" t="str">
        <f t="shared" ref="P91:P153" si="26">IF(ISBLANK(G91),"",((G91-G$26)*1000)+M$26)</f>
        <v/>
      </c>
      <c r="Q91" s="19" t="str">
        <f t="shared" ref="Q91:Q153" si="27">IF(ISBLANK(H91),"",((H91-H$26)*1000)+N$26)</f>
        <v/>
      </c>
      <c r="R91" s="19" t="str">
        <f t="shared" si="22"/>
        <v/>
      </c>
      <c r="S91" s="27" t="str">
        <f t="shared" si="23"/>
        <v/>
      </c>
      <c r="T91" s="28" t="str">
        <f t="shared" si="23"/>
        <v/>
      </c>
      <c r="U91" s="28" t="str">
        <f t="shared" si="23"/>
        <v/>
      </c>
      <c r="V91" s="28" t="str">
        <f t="shared" si="23"/>
        <v/>
      </c>
      <c r="W91" s="28" t="str">
        <f t="shared" si="23"/>
        <v/>
      </c>
      <c r="X91" s="29" t="str">
        <f t="shared" si="2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7"/>
        <v/>
      </c>
      <c r="L92" s="19" t="str">
        <f t="shared" si="15"/>
        <v/>
      </c>
      <c r="M92" s="19" t="str">
        <f t="shared" si="21"/>
        <v/>
      </c>
      <c r="N92" s="19" t="str">
        <f t="shared" si="24"/>
        <v/>
      </c>
      <c r="O92" s="19" t="str">
        <f t="shared" si="25"/>
        <v/>
      </c>
      <c r="P92" s="19" t="str">
        <f t="shared" si="26"/>
        <v/>
      </c>
      <c r="Q92" s="19" t="str">
        <f t="shared" si="27"/>
        <v/>
      </c>
      <c r="R92" s="19" t="str">
        <f t="shared" si="22"/>
        <v/>
      </c>
      <c r="S92" s="27" t="str">
        <f t="shared" si="23"/>
        <v/>
      </c>
      <c r="T92" s="28" t="str">
        <f t="shared" si="23"/>
        <v/>
      </c>
      <c r="U92" s="28" t="str">
        <f t="shared" si="23"/>
        <v/>
      </c>
      <c r="V92" s="28" t="str">
        <f t="shared" si="23"/>
        <v/>
      </c>
      <c r="W92" s="28" t="str">
        <f t="shared" si="23"/>
        <v/>
      </c>
      <c r="X92" s="29" t="str">
        <f t="shared" si="2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7"/>
        <v/>
      </c>
      <c r="L93" s="19" t="str">
        <f t="shared" ref="L93:L153" si="28">IF(ISBLANK(C93),"",((C93-C$28)*1000)+L$27)</f>
        <v/>
      </c>
      <c r="M93" s="19" t="str">
        <f t="shared" si="21"/>
        <v/>
      </c>
      <c r="N93" s="19" t="str">
        <f t="shared" si="24"/>
        <v/>
      </c>
      <c r="O93" s="19" t="str">
        <f t="shared" si="25"/>
        <v/>
      </c>
      <c r="P93" s="19" t="str">
        <f t="shared" si="26"/>
        <v/>
      </c>
      <c r="Q93" s="19" t="str">
        <f t="shared" si="27"/>
        <v/>
      </c>
      <c r="R93" s="19" t="str">
        <f t="shared" si="22"/>
        <v/>
      </c>
      <c r="S93" s="27" t="str">
        <f t="shared" si="23"/>
        <v/>
      </c>
      <c r="T93" s="28" t="str">
        <f t="shared" si="23"/>
        <v/>
      </c>
      <c r="U93" s="28" t="str">
        <f t="shared" si="23"/>
        <v/>
      </c>
      <c r="V93" s="28" t="str">
        <f t="shared" si="23"/>
        <v/>
      </c>
      <c r="W93" s="28" t="str">
        <f t="shared" si="23"/>
        <v/>
      </c>
      <c r="X93" s="29" t="str">
        <f t="shared" si="2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7"/>
        <v/>
      </c>
      <c r="L94" s="19" t="str">
        <f t="shared" si="28"/>
        <v/>
      </c>
      <c r="M94" s="19" t="str">
        <f t="shared" si="21"/>
        <v/>
      </c>
      <c r="N94" s="19" t="str">
        <f t="shared" si="24"/>
        <v/>
      </c>
      <c r="O94" s="19" t="str">
        <f t="shared" si="25"/>
        <v/>
      </c>
      <c r="P94" s="19" t="str">
        <f t="shared" si="26"/>
        <v/>
      </c>
      <c r="Q94" s="19" t="str">
        <f t="shared" si="27"/>
        <v/>
      </c>
      <c r="R94" s="19" t="str">
        <f t="shared" si="22"/>
        <v/>
      </c>
      <c r="S94" s="27" t="str">
        <f t="shared" si="23"/>
        <v/>
      </c>
      <c r="T94" s="28" t="str">
        <f t="shared" si="23"/>
        <v/>
      </c>
      <c r="U94" s="28" t="str">
        <f t="shared" si="23"/>
        <v/>
      </c>
      <c r="V94" s="28" t="str">
        <f t="shared" si="23"/>
        <v/>
      </c>
      <c r="W94" s="28" t="str">
        <f t="shared" si="23"/>
        <v/>
      </c>
      <c r="X94" s="29" t="str">
        <f t="shared" si="2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7"/>
        <v/>
      </c>
      <c r="L95" s="19" t="str">
        <f t="shared" si="28"/>
        <v/>
      </c>
      <c r="M95" s="19" t="str">
        <f t="shared" si="21"/>
        <v/>
      </c>
      <c r="N95" s="19" t="str">
        <f t="shared" si="24"/>
        <v/>
      </c>
      <c r="O95" s="19" t="str">
        <f t="shared" si="25"/>
        <v/>
      </c>
      <c r="P95" s="19" t="str">
        <f t="shared" si="26"/>
        <v/>
      </c>
      <c r="Q95" s="19" t="str">
        <f t="shared" si="27"/>
        <v/>
      </c>
      <c r="R95" s="19" t="str">
        <f t="shared" si="22"/>
        <v/>
      </c>
      <c r="S95" s="27" t="str">
        <f t="shared" si="23"/>
        <v/>
      </c>
      <c r="T95" s="28" t="str">
        <f t="shared" si="23"/>
        <v/>
      </c>
      <c r="U95" s="28" t="str">
        <f t="shared" si="23"/>
        <v/>
      </c>
      <c r="V95" s="28" t="str">
        <f t="shared" si="23"/>
        <v/>
      </c>
      <c r="W95" s="28" t="str">
        <f t="shared" si="23"/>
        <v/>
      </c>
      <c r="X95" s="29" t="str">
        <f t="shared" si="2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7"/>
        <v/>
      </c>
      <c r="L96" s="19" t="str">
        <f t="shared" si="28"/>
        <v/>
      </c>
      <c r="M96" s="19" t="str">
        <f t="shared" si="21"/>
        <v/>
      </c>
      <c r="N96" s="19" t="str">
        <f t="shared" si="24"/>
        <v/>
      </c>
      <c r="O96" s="19" t="str">
        <f t="shared" si="25"/>
        <v/>
      </c>
      <c r="P96" s="19" t="str">
        <f t="shared" si="26"/>
        <v/>
      </c>
      <c r="Q96" s="19" t="str">
        <f t="shared" si="27"/>
        <v/>
      </c>
      <c r="R96" s="19" t="str">
        <f t="shared" si="22"/>
        <v/>
      </c>
      <c r="S96" s="27" t="str">
        <f t="shared" si="23"/>
        <v/>
      </c>
      <c r="T96" s="28" t="str">
        <f t="shared" si="23"/>
        <v/>
      </c>
      <c r="U96" s="28" t="str">
        <f t="shared" si="23"/>
        <v/>
      </c>
      <c r="V96" s="28" t="str">
        <f t="shared" si="23"/>
        <v/>
      </c>
      <c r="W96" s="28" t="str">
        <f t="shared" si="23"/>
        <v/>
      </c>
      <c r="X96" s="29" t="str">
        <f t="shared" si="2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7"/>
        <v/>
      </c>
      <c r="L97" s="19" t="str">
        <f t="shared" si="28"/>
        <v/>
      </c>
      <c r="M97" s="19" t="str">
        <f t="shared" si="21"/>
        <v/>
      </c>
      <c r="N97" s="19" t="str">
        <f t="shared" si="24"/>
        <v/>
      </c>
      <c r="O97" s="19" t="str">
        <f t="shared" si="25"/>
        <v/>
      </c>
      <c r="P97" s="19" t="str">
        <f t="shared" si="26"/>
        <v/>
      </c>
      <c r="Q97" s="19" t="str">
        <f t="shared" si="27"/>
        <v/>
      </c>
      <c r="R97" s="19" t="str">
        <f t="shared" si="22"/>
        <v/>
      </c>
      <c r="S97" s="27" t="str">
        <f t="shared" ref="S97:X112" si="29">IF(C97="","",((C97-C96)*1000)/($B97-$B96))</f>
        <v/>
      </c>
      <c r="T97" s="28" t="str">
        <f t="shared" si="29"/>
        <v/>
      </c>
      <c r="U97" s="28" t="str">
        <f t="shared" si="29"/>
        <v/>
      </c>
      <c r="V97" s="28" t="str">
        <f t="shared" si="29"/>
        <v/>
      </c>
      <c r="W97" s="28" t="str">
        <f t="shared" si="29"/>
        <v/>
      </c>
      <c r="X97" s="29" t="str">
        <f t="shared" si="2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7"/>
        <v/>
      </c>
      <c r="L98" s="19" t="str">
        <f t="shared" si="28"/>
        <v/>
      </c>
      <c r="M98" s="19" t="str">
        <f t="shared" si="21"/>
        <v/>
      </c>
      <c r="N98" s="19" t="str">
        <f t="shared" si="24"/>
        <v/>
      </c>
      <c r="O98" s="19" t="str">
        <f t="shared" si="25"/>
        <v/>
      </c>
      <c r="P98" s="19" t="str">
        <f t="shared" si="26"/>
        <v/>
      </c>
      <c r="Q98" s="19" t="str">
        <f t="shared" si="27"/>
        <v/>
      </c>
      <c r="R98" s="19" t="str">
        <f t="shared" si="22"/>
        <v/>
      </c>
      <c r="S98" s="27" t="str">
        <f t="shared" si="29"/>
        <v/>
      </c>
      <c r="T98" s="28" t="str">
        <f t="shared" si="29"/>
        <v/>
      </c>
      <c r="U98" s="28" t="str">
        <f t="shared" si="29"/>
        <v/>
      </c>
      <c r="V98" s="28" t="str">
        <f t="shared" si="29"/>
        <v/>
      </c>
      <c r="W98" s="28" t="str">
        <f t="shared" si="29"/>
        <v/>
      </c>
      <c r="X98" s="29" t="str">
        <f t="shared" si="2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7"/>
        <v/>
      </c>
      <c r="L99" s="19" t="str">
        <f t="shared" si="28"/>
        <v/>
      </c>
      <c r="M99" s="19" t="str">
        <f t="shared" si="21"/>
        <v/>
      </c>
      <c r="N99" s="19" t="str">
        <f t="shared" si="24"/>
        <v/>
      </c>
      <c r="O99" s="19" t="str">
        <f t="shared" si="25"/>
        <v/>
      </c>
      <c r="P99" s="19" t="str">
        <f t="shared" si="26"/>
        <v/>
      </c>
      <c r="Q99" s="19" t="str">
        <f t="shared" si="27"/>
        <v/>
      </c>
      <c r="R99" s="19" t="str">
        <f t="shared" si="22"/>
        <v/>
      </c>
      <c r="S99" s="27" t="str">
        <f t="shared" si="29"/>
        <v/>
      </c>
      <c r="T99" s="28" t="str">
        <f t="shared" si="29"/>
        <v/>
      </c>
      <c r="U99" s="28" t="str">
        <f t="shared" si="29"/>
        <v/>
      </c>
      <c r="V99" s="28" t="str">
        <f t="shared" si="29"/>
        <v/>
      </c>
      <c r="W99" s="28" t="str">
        <f t="shared" si="29"/>
        <v/>
      </c>
      <c r="X99" s="29" t="str">
        <f t="shared" si="2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ref="K100:K153" si="30">IF(ISBLANK(J100),"",(J100-$J$8))</f>
        <v/>
      </c>
      <c r="L100" s="19" t="str">
        <f t="shared" si="28"/>
        <v/>
      </c>
      <c r="M100" s="19" t="str">
        <f t="shared" si="21"/>
        <v/>
      </c>
      <c r="N100" s="19" t="str">
        <f t="shared" si="24"/>
        <v/>
      </c>
      <c r="O100" s="19" t="str">
        <f t="shared" si="25"/>
        <v/>
      </c>
      <c r="P100" s="19" t="str">
        <f t="shared" si="26"/>
        <v/>
      </c>
      <c r="Q100" s="19" t="str">
        <f t="shared" si="27"/>
        <v/>
      </c>
      <c r="R100" s="19" t="str">
        <f t="shared" si="22"/>
        <v/>
      </c>
      <c r="S100" s="27" t="str">
        <f t="shared" si="29"/>
        <v/>
      </c>
      <c r="T100" s="28" t="str">
        <f t="shared" si="29"/>
        <v/>
      </c>
      <c r="U100" s="28" t="str">
        <f t="shared" si="29"/>
        <v/>
      </c>
      <c r="V100" s="28" t="str">
        <f t="shared" si="29"/>
        <v/>
      </c>
      <c r="W100" s="28" t="str">
        <f t="shared" si="29"/>
        <v/>
      </c>
      <c r="X100" s="29" t="str">
        <f t="shared" si="2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30"/>
        <v/>
      </c>
      <c r="L101" s="19" t="str">
        <f t="shared" si="28"/>
        <v/>
      </c>
      <c r="M101" s="19" t="str">
        <f t="shared" si="21"/>
        <v/>
      </c>
      <c r="N101" s="19" t="str">
        <f t="shared" si="24"/>
        <v/>
      </c>
      <c r="O101" s="19" t="str">
        <f t="shared" si="25"/>
        <v/>
      </c>
      <c r="P101" s="19" t="str">
        <f t="shared" si="26"/>
        <v/>
      </c>
      <c r="Q101" s="19" t="str">
        <f t="shared" si="27"/>
        <v/>
      </c>
      <c r="R101" s="19" t="str">
        <f t="shared" si="22"/>
        <v/>
      </c>
      <c r="S101" s="27" t="str">
        <f t="shared" si="29"/>
        <v/>
      </c>
      <c r="T101" s="28" t="str">
        <f t="shared" si="29"/>
        <v/>
      </c>
      <c r="U101" s="28" t="str">
        <f t="shared" si="29"/>
        <v/>
      </c>
      <c r="V101" s="28" t="str">
        <f t="shared" si="29"/>
        <v/>
      </c>
      <c r="W101" s="28" t="str">
        <f t="shared" si="29"/>
        <v/>
      </c>
      <c r="X101" s="29" t="str">
        <f t="shared" si="2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30"/>
        <v/>
      </c>
      <c r="L102" s="19" t="str">
        <f t="shared" si="28"/>
        <v/>
      </c>
      <c r="M102" s="19" t="str">
        <f t="shared" si="21"/>
        <v/>
      </c>
      <c r="N102" s="19" t="str">
        <f t="shared" si="24"/>
        <v/>
      </c>
      <c r="O102" s="19" t="str">
        <f t="shared" si="25"/>
        <v/>
      </c>
      <c r="P102" s="19" t="str">
        <f t="shared" si="26"/>
        <v/>
      </c>
      <c r="Q102" s="19" t="str">
        <f t="shared" si="27"/>
        <v/>
      </c>
      <c r="R102" s="19" t="str">
        <f t="shared" si="22"/>
        <v/>
      </c>
      <c r="S102" s="27" t="str">
        <f t="shared" si="29"/>
        <v/>
      </c>
      <c r="T102" s="28" t="str">
        <f t="shared" si="29"/>
        <v/>
      </c>
      <c r="U102" s="28" t="str">
        <f t="shared" si="29"/>
        <v/>
      </c>
      <c r="V102" s="28" t="str">
        <f t="shared" si="29"/>
        <v/>
      </c>
      <c r="W102" s="28" t="str">
        <f t="shared" si="29"/>
        <v/>
      </c>
      <c r="X102" s="29" t="str">
        <f t="shared" si="2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30"/>
        <v/>
      </c>
      <c r="L103" s="19" t="str">
        <f t="shared" si="28"/>
        <v/>
      </c>
      <c r="M103" s="19" t="str">
        <f t="shared" si="21"/>
        <v/>
      </c>
      <c r="N103" s="19" t="str">
        <f t="shared" si="24"/>
        <v/>
      </c>
      <c r="O103" s="19" t="str">
        <f t="shared" si="25"/>
        <v/>
      </c>
      <c r="P103" s="19" t="str">
        <f t="shared" si="26"/>
        <v/>
      </c>
      <c r="Q103" s="19" t="str">
        <f t="shared" si="27"/>
        <v/>
      </c>
      <c r="R103" s="19" t="str">
        <f t="shared" si="22"/>
        <v/>
      </c>
      <c r="S103" s="27" t="str">
        <f t="shared" si="29"/>
        <v/>
      </c>
      <c r="T103" s="28" t="str">
        <f t="shared" si="29"/>
        <v/>
      </c>
      <c r="U103" s="28" t="str">
        <f t="shared" si="29"/>
        <v/>
      </c>
      <c r="V103" s="28" t="str">
        <f t="shared" si="29"/>
        <v/>
      </c>
      <c r="W103" s="28" t="str">
        <f t="shared" si="29"/>
        <v/>
      </c>
      <c r="X103" s="29" t="str">
        <f t="shared" si="2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30"/>
        <v/>
      </c>
      <c r="L104" s="19" t="str">
        <f t="shared" si="28"/>
        <v/>
      </c>
      <c r="M104" s="19" t="str">
        <f t="shared" si="21"/>
        <v/>
      </c>
      <c r="N104" s="19" t="str">
        <f t="shared" si="24"/>
        <v/>
      </c>
      <c r="O104" s="19" t="str">
        <f t="shared" si="25"/>
        <v/>
      </c>
      <c r="P104" s="19" t="str">
        <f t="shared" si="26"/>
        <v/>
      </c>
      <c r="Q104" s="19" t="str">
        <f t="shared" si="27"/>
        <v/>
      </c>
      <c r="R104" s="19" t="str">
        <f t="shared" si="22"/>
        <v/>
      </c>
      <c r="S104" s="27" t="str">
        <f t="shared" si="29"/>
        <v/>
      </c>
      <c r="T104" s="28" t="str">
        <f t="shared" si="29"/>
        <v/>
      </c>
      <c r="U104" s="28" t="str">
        <f t="shared" si="29"/>
        <v/>
      </c>
      <c r="V104" s="28" t="str">
        <f t="shared" si="29"/>
        <v/>
      </c>
      <c r="W104" s="28" t="str">
        <f t="shared" si="29"/>
        <v/>
      </c>
      <c r="X104" s="29" t="str">
        <f t="shared" si="2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30"/>
        <v/>
      </c>
      <c r="L105" s="19" t="str">
        <f t="shared" si="28"/>
        <v/>
      </c>
      <c r="M105" s="19" t="str">
        <f t="shared" si="21"/>
        <v/>
      </c>
      <c r="N105" s="19" t="str">
        <f t="shared" si="24"/>
        <v/>
      </c>
      <c r="O105" s="19" t="str">
        <f t="shared" si="25"/>
        <v/>
      </c>
      <c r="P105" s="19" t="str">
        <f t="shared" si="26"/>
        <v/>
      </c>
      <c r="Q105" s="19" t="str">
        <f t="shared" si="27"/>
        <v/>
      </c>
      <c r="R105" s="19" t="str">
        <f t="shared" si="22"/>
        <v/>
      </c>
      <c r="S105" s="27" t="str">
        <f t="shared" si="29"/>
        <v/>
      </c>
      <c r="T105" s="28" t="str">
        <f t="shared" si="29"/>
        <v/>
      </c>
      <c r="U105" s="28" t="str">
        <f t="shared" si="29"/>
        <v/>
      </c>
      <c r="V105" s="28" t="str">
        <f t="shared" si="29"/>
        <v/>
      </c>
      <c r="W105" s="28" t="str">
        <f t="shared" si="29"/>
        <v/>
      </c>
      <c r="X105" s="29" t="str">
        <f t="shared" si="2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30"/>
        <v/>
      </c>
      <c r="L106" s="19" t="str">
        <f t="shared" si="28"/>
        <v/>
      </c>
      <c r="M106" s="19" t="str">
        <f t="shared" si="21"/>
        <v/>
      </c>
      <c r="N106" s="19" t="str">
        <f t="shared" si="24"/>
        <v/>
      </c>
      <c r="O106" s="19" t="str">
        <f t="shared" si="25"/>
        <v/>
      </c>
      <c r="P106" s="19" t="str">
        <f t="shared" si="26"/>
        <v/>
      </c>
      <c r="Q106" s="19" t="str">
        <f t="shared" si="27"/>
        <v/>
      </c>
      <c r="R106" s="19" t="str">
        <f t="shared" si="22"/>
        <v/>
      </c>
      <c r="S106" s="27" t="str">
        <f t="shared" si="29"/>
        <v/>
      </c>
      <c r="T106" s="28" t="str">
        <f t="shared" si="29"/>
        <v/>
      </c>
      <c r="U106" s="28" t="str">
        <f t="shared" si="29"/>
        <v/>
      </c>
      <c r="V106" s="28" t="str">
        <f t="shared" si="29"/>
        <v/>
      </c>
      <c r="W106" s="28" t="str">
        <f t="shared" si="29"/>
        <v/>
      </c>
      <c r="X106" s="29" t="str">
        <f t="shared" si="2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30"/>
        <v/>
      </c>
      <c r="L107" s="19" t="str">
        <f t="shared" si="28"/>
        <v/>
      </c>
      <c r="M107" s="19" t="str">
        <f t="shared" si="21"/>
        <v/>
      </c>
      <c r="N107" s="19" t="str">
        <f t="shared" si="24"/>
        <v/>
      </c>
      <c r="O107" s="19" t="str">
        <f t="shared" si="25"/>
        <v/>
      </c>
      <c r="P107" s="19" t="str">
        <f t="shared" si="26"/>
        <v/>
      </c>
      <c r="Q107" s="19" t="str">
        <f t="shared" si="27"/>
        <v/>
      </c>
      <c r="R107" s="19" t="str">
        <f t="shared" si="22"/>
        <v/>
      </c>
      <c r="S107" s="27" t="str">
        <f t="shared" si="29"/>
        <v/>
      </c>
      <c r="T107" s="28" t="str">
        <f t="shared" si="29"/>
        <v/>
      </c>
      <c r="U107" s="28" t="str">
        <f t="shared" si="29"/>
        <v/>
      </c>
      <c r="V107" s="28" t="str">
        <f t="shared" si="29"/>
        <v/>
      </c>
      <c r="W107" s="28" t="str">
        <f t="shared" si="29"/>
        <v/>
      </c>
      <c r="X107" s="29" t="str">
        <f t="shared" si="2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30"/>
        <v/>
      </c>
      <c r="L108" s="19" t="str">
        <f t="shared" si="28"/>
        <v/>
      </c>
      <c r="M108" s="19" t="str">
        <f t="shared" si="21"/>
        <v/>
      </c>
      <c r="N108" s="19" t="str">
        <f t="shared" si="24"/>
        <v/>
      </c>
      <c r="O108" s="19" t="str">
        <f t="shared" si="25"/>
        <v/>
      </c>
      <c r="P108" s="19" t="str">
        <f t="shared" si="26"/>
        <v/>
      </c>
      <c r="Q108" s="19" t="str">
        <f t="shared" si="27"/>
        <v/>
      </c>
      <c r="R108" s="19" t="str">
        <f t="shared" si="22"/>
        <v/>
      </c>
      <c r="S108" s="27" t="str">
        <f t="shared" si="29"/>
        <v/>
      </c>
      <c r="T108" s="28" t="str">
        <f t="shared" si="29"/>
        <v/>
      </c>
      <c r="U108" s="28" t="str">
        <f t="shared" si="29"/>
        <v/>
      </c>
      <c r="V108" s="28" t="str">
        <f t="shared" si="29"/>
        <v/>
      </c>
      <c r="W108" s="28" t="str">
        <f t="shared" si="29"/>
        <v/>
      </c>
      <c r="X108" s="29" t="str">
        <f t="shared" si="2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30"/>
        <v/>
      </c>
      <c r="L109" s="19" t="str">
        <f t="shared" si="28"/>
        <v/>
      </c>
      <c r="M109" s="19" t="str">
        <f t="shared" si="21"/>
        <v/>
      </c>
      <c r="N109" s="19" t="str">
        <f t="shared" si="24"/>
        <v/>
      </c>
      <c r="O109" s="19" t="str">
        <f t="shared" si="25"/>
        <v/>
      </c>
      <c r="P109" s="19" t="str">
        <f t="shared" si="26"/>
        <v/>
      </c>
      <c r="Q109" s="19" t="str">
        <f t="shared" si="27"/>
        <v/>
      </c>
      <c r="R109" s="19" t="str">
        <f t="shared" si="22"/>
        <v/>
      </c>
      <c r="S109" s="27" t="str">
        <f t="shared" si="29"/>
        <v/>
      </c>
      <c r="T109" s="28" t="str">
        <f t="shared" si="29"/>
        <v/>
      </c>
      <c r="U109" s="28" t="str">
        <f t="shared" si="29"/>
        <v/>
      </c>
      <c r="V109" s="28" t="str">
        <f t="shared" si="29"/>
        <v/>
      </c>
      <c r="W109" s="28" t="str">
        <f t="shared" si="29"/>
        <v/>
      </c>
      <c r="X109" s="29" t="str">
        <f t="shared" si="2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30"/>
        <v/>
      </c>
      <c r="L110" s="19" t="str">
        <f t="shared" si="28"/>
        <v/>
      </c>
      <c r="M110" s="19" t="str">
        <f t="shared" si="21"/>
        <v/>
      </c>
      <c r="N110" s="19" t="str">
        <f t="shared" si="24"/>
        <v/>
      </c>
      <c r="O110" s="19" t="str">
        <f t="shared" si="25"/>
        <v/>
      </c>
      <c r="P110" s="19" t="str">
        <f t="shared" si="26"/>
        <v/>
      </c>
      <c r="Q110" s="19" t="str">
        <f t="shared" si="27"/>
        <v/>
      </c>
      <c r="R110" s="19" t="str">
        <f t="shared" si="22"/>
        <v/>
      </c>
      <c r="S110" s="27" t="str">
        <f t="shared" si="29"/>
        <v/>
      </c>
      <c r="T110" s="28" t="str">
        <f t="shared" si="29"/>
        <v/>
      </c>
      <c r="U110" s="28" t="str">
        <f t="shared" si="29"/>
        <v/>
      </c>
      <c r="V110" s="28" t="str">
        <f t="shared" si="29"/>
        <v/>
      </c>
      <c r="W110" s="28" t="str">
        <f t="shared" si="29"/>
        <v/>
      </c>
      <c r="X110" s="29" t="str">
        <f t="shared" si="2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30"/>
        <v/>
      </c>
      <c r="L111" s="19" t="str">
        <f t="shared" si="28"/>
        <v/>
      </c>
      <c r="M111" s="19" t="str">
        <f t="shared" si="21"/>
        <v/>
      </c>
      <c r="N111" s="19" t="str">
        <f t="shared" si="24"/>
        <v/>
      </c>
      <c r="O111" s="19" t="str">
        <f t="shared" si="25"/>
        <v/>
      </c>
      <c r="P111" s="19" t="str">
        <f t="shared" si="26"/>
        <v/>
      </c>
      <c r="Q111" s="19" t="str">
        <f t="shared" si="27"/>
        <v/>
      </c>
      <c r="R111" s="19" t="str">
        <f t="shared" si="22"/>
        <v/>
      </c>
      <c r="S111" s="27" t="str">
        <f t="shared" si="29"/>
        <v/>
      </c>
      <c r="T111" s="28" t="str">
        <f t="shared" si="29"/>
        <v/>
      </c>
      <c r="U111" s="28" t="str">
        <f t="shared" si="29"/>
        <v/>
      </c>
      <c r="V111" s="28" t="str">
        <f t="shared" si="29"/>
        <v/>
      </c>
      <c r="W111" s="28" t="str">
        <f t="shared" si="29"/>
        <v/>
      </c>
      <c r="X111" s="29" t="str">
        <f t="shared" si="2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30"/>
        <v/>
      </c>
      <c r="L112" s="19" t="str">
        <f t="shared" si="28"/>
        <v/>
      </c>
      <c r="M112" s="19" t="str">
        <f t="shared" ref="M112:M143" si="31">IF(ISBLANK(D112),"",(D112-D$16)*1000)</f>
        <v/>
      </c>
      <c r="N112" s="19" t="str">
        <f t="shared" si="24"/>
        <v/>
      </c>
      <c r="O112" s="19" t="str">
        <f t="shared" si="25"/>
        <v/>
      </c>
      <c r="P112" s="19" t="str">
        <f t="shared" si="26"/>
        <v/>
      </c>
      <c r="Q112" s="19" t="str">
        <f t="shared" si="27"/>
        <v/>
      </c>
      <c r="R112" s="19" t="str">
        <f t="shared" ref="R112:R143" si="32">IF(ISBLANK(I112),"",(I112-I$16)*1000)</f>
        <v/>
      </c>
      <c r="S112" s="27" t="str">
        <f t="shared" si="29"/>
        <v/>
      </c>
      <c r="T112" s="28" t="str">
        <f t="shared" si="29"/>
        <v/>
      </c>
      <c r="U112" s="28" t="str">
        <f t="shared" si="29"/>
        <v/>
      </c>
      <c r="V112" s="28" t="str">
        <f t="shared" si="29"/>
        <v/>
      </c>
      <c r="W112" s="28" t="str">
        <f t="shared" si="29"/>
        <v/>
      </c>
      <c r="X112" s="29" t="str">
        <f t="shared" si="2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30"/>
        <v/>
      </c>
      <c r="L113" s="19" t="str">
        <f t="shared" si="28"/>
        <v/>
      </c>
      <c r="M113" s="19" t="str">
        <f t="shared" si="31"/>
        <v/>
      </c>
      <c r="N113" s="19" t="str">
        <f t="shared" si="24"/>
        <v/>
      </c>
      <c r="O113" s="19" t="str">
        <f t="shared" si="25"/>
        <v/>
      </c>
      <c r="P113" s="19" t="str">
        <f t="shared" si="26"/>
        <v/>
      </c>
      <c r="Q113" s="19" t="str">
        <f t="shared" si="27"/>
        <v/>
      </c>
      <c r="R113" s="19" t="str">
        <f t="shared" si="32"/>
        <v/>
      </c>
      <c r="S113" s="27" t="str">
        <f t="shared" ref="S113:X128" si="33">IF(C113="","",((C113-C112)*1000)/($B113-$B112))</f>
        <v/>
      </c>
      <c r="T113" s="28" t="str">
        <f t="shared" si="33"/>
        <v/>
      </c>
      <c r="U113" s="28" t="str">
        <f t="shared" si="33"/>
        <v/>
      </c>
      <c r="V113" s="28" t="str">
        <f t="shared" si="33"/>
        <v/>
      </c>
      <c r="W113" s="28" t="str">
        <f t="shared" si="33"/>
        <v/>
      </c>
      <c r="X113" s="29" t="str">
        <f t="shared" si="33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30"/>
        <v/>
      </c>
      <c r="L114" s="19" t="str">
        <f t="shared" si="28"/>
        <v/>
      </c>
      <c r="M114" s="19" t="str">
        <f t="shared" si="31"/>
        <v/>
      </c>
      <c r="N114" s="19" t="str">
        <f t="shared" si="24"/>
        <v/>
      </c>
      <c r="O114" s="19" t="str">
        <f t="shared" si="25"/>
        <v/>
      </c>
      <c r="P114" s="19" t="str">
        <f t="shared" si="26"/>
        <v/>
      </c>
      <c r="Q114" s="19" t="str">
        <f t="shared" si="27"/>
        <v/>
      </c>
      <c r="R114" s="19" t="str">
        <f t="shared" si="32"/>
        <v/>
      </c>
      <c r="S114" s="27" t="str">
        <f t="shared" si="33"/>
        <v/>
      </c>
      <c r="T114" s="28" t="str">
        <f t="shared" si="33"/>
        <v/>
      </c>
      <c r="U114" s="28" t="str">
        <f t="shared" si="33"/>
        <v/>
      </c>
      <c r="V114" s="28" t="str">
        <f t="shared" si="33"/>
        <v/>
      </c>
      <c r="W114" s="28" t="str">
        <f t="shared" si="33"/>
        <v/>
      </c>
      <c r="X114" s="29" t="str">
        <f t="shared" si="33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30"/>
        <v/>
      </c>
      <c r="L115" s="19" t="str">
        <f t="shared" si="28"/>
        <v/>
      </c>
      <c r="M115" s="19" t="str">
        <f t="shared" si="31"/>
        <v/>
      </c>
      <c r="N115" s="19" t="str">
        <f t="shared" si="24"/>
        <v/>
      </c>
      <c r="O115" s="19" t="str">
        <f t="shared" si="25"/>
        <v/>
      </c>
      <c r="P115" s="19" t="str">
        <f t="shared" si="26"/>
        <v/>
      </c>
      <c r="Q115" s="19" t="str">
        <f t="shared" si="27"/>
        <v/>
      </c>
      <c r="R115" s="19" t="str">
        <f t="shared" si="32"/>
        <v/>
      </c>
      <c r="S115" s="27" t="str">
        <f t="shared" si="33"/>
        <v/>
      </c>
      <c r="T115" s="28" t="str">
        <f t="shared" si="33"/>
        <v/>
      </c>
      <c r="U115" s="28" t="str">
        <f t="shared" si="33"/>
        <v/>
      </c>
      <c r="V115" s="28" t="str">
        <f t="shared" si="33"/>
        <v/>
      </c>
      <c r="W115" s="28" t="str">
        <f t="shared" si="33"/>
        <v/>
      </c>
      <c r="X115" s="29" t="str">
        <f t="shared" si="33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30"/>
        <v/>
      </c>
      <c r="L116" s="19" t="str">
        <f t="shared" si="28"/>
        <v/>
      </c>
      <c r="M116" s="19" t="str">
        <f t="shared" si="31"/>
        <v/>
      </c>
      <c r="N116" s="19" t="str">
        <f t="shared" si="24"/>
        <v/>
      </c>
      <c r="O116" s="19" t="str">
        <f t="shared" si="25"/>
        <v/>
      </c>
      <c r="P116" s="19" t="str">
        <f t="shared" si="26"/>
        <v/>
      </c>
      <c r="Q116" s="19" t="str">
        <f t="shared" si="27"/>
        <v/>
      </c>
      <c r="R116" s="19" t="str">
        <f t="shared" si="32"/>
        <v/>
      </c>
      <c r="S116" s="27" t="str">
        <f t="shared" si="33"/>
        <v/>
      </c>
      <c r="T116" s="28" t="str">
        <f t="shared" si="33"/>
        <v/>
      </c>
      <c r="U116" s="28" t="str">
        <f t="shared" si="33"/>
        <v/>
      </c>
      <c r="V116" s="28" t="str">
        <f t="shared" si="33"/>
        <v/>
      </c>
      <c r="W116" s="28" t="str">
        <f t="shared" si="33"/>
        <v/>
      </c>
      <c r="X116" s="29" t="str">
        <f t="shared" si="33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30"/>
        <v/>
      </c>
      <c r="L117" s="19" t="str">
        <f t="shared" si="28"/>
        <v/>
      </c>
      <c r="M117" s="19" t="str">
        <f t="shared" si="31"/>
        <v/>
      </c>
      <c r="N117" s="19" t="str">
        <f t="shared" si="24"/>
        <v/>
      </c>
      <c r="O117" s="19" t="str">
        <f t="shared" si="25"/>
        <v/>
      </c>
      <c r="P117" s="19" t="str">
        <f t="shared" si="26"/>
        <v/>
      </c>
      <c r="Q117" s="19" t="str">
        <f t="shared" si="27"/>
        <v/>
      </c>
      <c r="R117" s="19" t="str">
        <f t="shared" si="32"/>
        <v/>
      </c>
      <c r="S117" s="27" t="str">
        <f t="shared" si="33"/>
        <v/>
      </c>
      <c r="T117" s="28" t="str">
        <f t="shared" si="33"/>
        <v/>
      </c>
      <c r="U117" s="28" t="str">
        <f t="shared" si="33"/>
        <v/>
      </c>
      <c r="V117" s="28" t="str">
        <f t="shared" si="33"/>
        <v/>
      </c>
      <c r="W117" s="28" t="str">
        <f t="shared" si="33"/>
        <v/>
      </c>
      <c r="X117" s="29" t="str">
        <f t="shared" si="33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30"/>
        <v/>
      </c>
      <c r="L118" s="19" t="str">
        <f t="shared" si="28"/>
        <v/>
      </c>
      <c r="M118" s="19" t="str">
        <f t="shared" si="31"/>
        <v/>
      </c>
      <c r="N118" s="19" t="str">
        <f t="shared" si="24"/>
        <v/>
      </c>
      <c r="O118" s="19" t="str">
        <f t="shared" si="25"/>
        <v/>
      </c>
      <c r="P118" s="19" t="str">
        <f t="shared" si="26"/>
        <v/>
      </c>
      <c r="Q118" s="19" t="str">
        <f t="shared" si="27"/>
        <v/>
      </c>
      <c r="R118" s="19" t="str">
        <f t="shared" si="32"/>
        <v/>
      </c>
      <c r="S118" s="27" t="str">
        <f t="shared" si="33"/>
        <v/>
      </c>
      <c r="T118" s="28" t="str">
        <f t="shared" si="33"/>
        <v/>
      </c>
      <c r="U118" s="28" t="str">
        <f t="shared" si="33"/>
        <v/>
      </c>
      <c r="V118" s="28" t="str">
        <f t="shared" si="33"/>
        <v/>
      </c>
      <c r="W118" s="28" t="str">
        <f t="shared" si="33"/>
        <v/>
      </c>
      <c r="X118" s="29" t="str">
        <f t="shared" si="33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30"/>
        <v/>
      </c>
      <c r="L119" s="19" t="str">
        <f t="shared" si="28"/>
        <v/>
      </c>
      <c r="M119" s="19" t="str">
        <f t="shared" si="31"/>
        <v/>
      </c>
      <c r="N119" s="19" t="str">
        <f t="shared" si="24"/>
        <v/>
      </c>
      <c r="O119" s="19" t="str">
        <f t="shared" si="25"/>
        <v/>
      </c>
      <c r="P119" s="19" t="str">
        <f t="shared" si="26"/>
        <v/>
      </c>
      <c r="Q119" s="19" t="str">
        <f t="shared" si="27"/>
        <v/>
      </c>
      <c r="R119" s="19" t="str">
        <f t="shared" si="32"/>
        <v/>
      </c>
      <c r="S119" s="27" t="str">
        <f t="shared" si="33"/>
        <v/>
      </c>
      <c r="T119" s="28" t="str">
        <f t="shared" si="33"/>
        <v/>
      </c>
      <c r="U119" s="28" t="str">
        <f t="shared" si="33"/>
        <v/>
      </c>
      <c r="V119" s="28" t="str">
        <f t="shared" si="33"/>
        <v/>
      </c>
      <c r="W119" s="28" t="str">
        <f t="shared" si="33"/>
        <v/>
      </c>
      <c r="X119" s="29" t="str">
        <f t="shared" si="33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30"/>
        <v/>
      </c>
      <c r="L120" s="19" t="str">
        <f t="shared" si="28"/>
        <v/>
      </c>
      <c r="M120" s="19" t="str">
        <f t="shared" si="31"/>
        <v/>
      </c>
      <c r="N120" s="19" t="str">
        <f t="shared" si="24"/>
        <v/>
      </c>
      <c r="O120" s="19" t="str">
        <f t="shared" si="25"/>
        <v/>
      </c>
      <c r="P120" s="19" t="str">
        <f t="shared" si="26"/>
        <v/>
      </c>
      <c r="Q120" s="19" t="str">
        <f t="shared" si="27"/>
        <v/>
      </c>
      <c r="R120" s="19" t="str">
        <f t="shared" si="32"/>
        <v/>
      </c>
      <c r="S120" s="27" t="str">
        <f t="shared" si="33"/>
        <v/>
      </c>
      <c r="T120" s="28" t="str">
        <f t="shared" si="33"/>
        <v/>
      </c>
      <c r="U120" s="28" t="str">
        <f t="shared" si="33"/>
        <v/>
      </c>
      <c r="V120" s="28" t="str">
        <f t="shared" si="33"/>
        <v/>
      </c>
      <c r="W120" s="28" t="str">
        <f t="shared" si="33"/>
        <v/>
      </c>
      <c r="X120" s="29" t="str">
        <f t="shared" si="33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30"/>
        <v/>
      </c>
      <c r="L121" s="19" t="str">
        <f t="shared" si="28"/>
        <v/>
      </c>
      <c r="M121" s="19" t="str">
        <f t="shared" si="31"/>
        <v/>
      </c>
      <c r="N121" s="19" t="str">
        <f t="shared" si="24"/>
        <v/>
      </c>
      <c r="O121" s="19" t="str">
        <f t="shared" si="25"/>
        <v/>
      </c>
      <c r="P121" s="19" t="str">
        <f t="shared" si="26"/>
        <v/>
      </c>
      <c r="Q121" s="19" t="str">
        <f t="shared" si="27"/>
        <v/>
      </c>
      <c r="R121" s="19" t="str">
        <f t="shared" si="32"/>
        <v/>
      </c>
      <c r="S121" s="27" t="str">
        <f t="shared" si="33"/>
        <v/>
      </c>
      <c r="T121" s="28" t="str">
        <f t="shared" si="33"/>
        <v/>
      </c>
      <c r="U121" s="28" t="str">
        <f t="shared" si="33"/>
        <v/>
      </c>
      <c r="V121" s="28" t="str">
        <f t="shared" si="33"/>
        <v/>
      </c>
      <c r="W121" s="28" t="str">
        <f t="shared" si="33"/>
        <v/>
      </c>
      <c r="X121" s="29" t="str">
        <f t="shared" si="33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30"/>
        <v/>
      </c>
      <c r="L122" s="19" t="str">
        <f t="shared" si="28"/>
        <v/>
      </c>
      <c r="M122" s="19" t="str">
        <f t="shared" si="31"/>
        <v/>
      </c>
      <c r="N122" s="19" t="str">
        <f t="shared" si="24"/>
        <v/>
      </c>
      <c r="O122" s="19" t="str">
        <f t="shared" si="25"/>
        <v/>
      </c>
      <c r="P122" s="19" t="str">
        <f t="shared" si="26"/>
        <v/>
      </c>
      <c r="Q122" s="19" t="str">
        <f t="shared" si="27"/>
        <v/>
      </c>
      <c r="R122" s="19" t="str">
        <f t="shared" si="32"/>
        <v/>
      </c>
      <c r="S122" s="27" t="str">
        <f t="shared" si="33"/>
        <v/>
      </c>
      <c r="T122" s="28" t="str">
        <f t="shared" si="33"/>
        <v/>
      </c>
      <c r="U122" s="28" t="str">
        <f t="shared" si="33"/>
        <v/>
      </c>
      <c r="V122" s="28" t="str">
        <f t="shared" si="33"/>
        <v/>
      </c>
      <c r="W122" s="28" t="str">
        <f t="shared" si="33"/>
        <v/>
      </c>
      <c r="X122" s="29" t="str">
        <f t="shared" si="33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30"/>
        <v/>
      </c>
      <c r="L123" s="19" t="str">
        <f t="shared" si="28"/>
        <v/>
      </c>
      <c r="M123" s="19" t="str">
        <f t="shared" si="31"/>
        <v/>
      </c>
      <c r="N123" s="19" t="str">
        <f t="shared" si="24"/>
        <v/>
      </c>
      <c r="O123" s="19" t="str">
        <f t="shared" si="25"/>
        <v/>
      </c>
      <c r="P123" s="19" t="str">
        <f t="shared" si="26"/>
        <v/>
      </c>
      <c r="Q123" s="19" t="str">
        <f t="shared" si="27"/>
        <v/>
      </c>
      <c r="R123" s="19" t="str">
        <f t="shared" si="32"/>
        <v/>
      </c>
      <c r="S123" s="27" t="str">
        <f t="shared" si="33"/>
        <v/>
      </c>
      <c r="T123" s="28" t="str">
        <f t="shared" si="33"/>
        <v/>
      </c>
      <c r="U123" s="28" t="str">
        <f t="shared" si="33"/>
        <v/>
      </c>
      <c r="V123" s="28" t="str">
        <f t="shared" si="33"/>
        <v/>
      </c>
      <c r="W123" s="28" t="str">
        <f t="shared" si="33"/>
        <v/>
      </c>
      <c r="X123" s="29" t="str">
        <f t="shared" si="33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30"/>
        <v/>
      </c>
      <c r="L124" s="19" t="str">
        <f t="shared" si="28"/>
        <v/>
      </c>
      <c r="M124" s="19" t="str">
        <f t="shared" si="31"/>
        <v/>
      </c>
      <c r="N124" s="19" t="str">
        <f t="shared" si="24"/>
        <v/>
      </c>
      <c r="O124" s="19" t="str">
        <f t="shared" si="25"/>
        <v/>
      </c>
      <c r="P124" s="19" t="str">
        <f t="shared" si="26"/>
        <v/>
      </c>
      <c r="Q124" s="19" t="str">
        <f t="shared" si="27"/>
        <v/>
      </c>
      <c r="R124" s="19" t="str">
        <f t="shared" si="32"/>
        <v/>
      </c>
      <c r="S124" s="27" t="str">
        <f t="shared" si="33"/>
        <v/>
      </c>
      <c r="T124" s="28" t="str">
        <f t="shared" si="33"/>
        <v/>
      </c>
      <c r="U124" s="28" t="str">
        <f t="shared" si="33"/>
        <v/>
      </c>
      <c r="V124" s="28" t="str">
        <f t="shared" si="33"/>
        <v/>
      </c>
      <c r="W124" s="28" t="str">
        <f t="shared" si="33"/>
        <v/>
      </c>
      <c r="X124" s="29" t="str">
        <f t="shared" si="33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30"/>
        <v/>
      </c>
      <c r="L125" s="19" t="str">
        <f t="shared" si="28"/>
        <v/>
      </c>
      <c r="M125" s="19" t="str">
        <f t="shared" si="31"/>
        <v/>
      </c>
      <c r="N125" s="19" t="str">
        <f t="shared" si="24"/>
        <v/>
      </c>
      <c r="O125" s="19" t="str">
        <f t="shared" si="25"/>
        <v/>
      </c>
      <c r="P125" s="19" t="str">
        <f t="shared" si="26"/>
        <v/>
      </c>
      <c r="Q125" s="19" t="str">
        <f t="shared" si="27"/>
        <v/>
      </c>
      <c r="R125" s="19" t="str">
        <f t="shared" si="32"/>
        <v/>
      </c>
      <c r="S125" s="27" t="str">
        <f t="shared" si="33"/>
        <v/>
      </c>
      <c r="T125" s="28" t="str">
        <f t="shared" si="33"/>
        <v/>
      </c>
      <c r="U125" s="28" t="str">
        <f t="shared" si="33"/>
        <v/>
      </c>
      <c r="V125" s="28" t="str">
        <f t="shared" si="33"/>
        <v/>
      </c>
      <c r="W125" s="28" t="str">
        <f t="shared" si="33"/>
        <v/>
      </c>
      <c r="X125" s="29" t="str">
        <f t="shared" si="33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30"/>
        <v/>
      </c>
      <c r="L126" s="19" t="str">
        <f t="shared" si="28"/>
        <v/>
      </c>
      <c r="M126" s="19" t="str">
        <f t="shared" si="31"/>
        <v/>
      </c>
      <c r="N126" s="19" t="str">
        <f t="shared" si="24"/>
        <v/>
      </c>
      <c r="O126" s="19" t="str">
        <f t="shared" si="25"/>
        <v/>
      </c>
      <c r="P126" s="19" t="str">
        <f t="shared" si="26"/>
        <v/>
      </c>
      <c r="Q126" s="19" t="str">
        <f t="shared" si="27"/>
        <v/>
      </c>
      <c r="R126" s="19" t="str">
        <f t="shared" si="32"/>
        <v/>
      </c>
      <c r="S126" s="27" t="str">
        <f t="shared" si="33"/>
        <v/>
      </c>
      <c r="T126" s="28" t="str">
        <f t="shared" si="33"/>
        <v/>
      </c>
      <c r="U126" s="28" t="str">
        <f t="shared" si="33"/>
        <v/>
      </c>
      <c r="V126" s="28" t="str">
        <f t="shared" si="33"/>
        <v/>
      </c>
      <c r="W126" s="28" t="str">
        <f t="shared" si="33"/>
        <v/>
      </c>
      <c r="X126" s="29" t="str">
        <f t="shared" si="33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30"/>
        <v/>
      </c>
      <c r="L127" s="19" t="str">
        <f t="shared" si="28"/>
        <v/>
      </c>
      <c r="M127" s="19" t="str">
        <f t="shared" si="31"/>
        <v/>
      </c>
      <c r="N127" s="19" t="str">
        <f t="shared" si="24"/>
        <v/>
      </c>
      <c r="O127" s="19" t="str">
        <f t="shared" si="25"/>
        <v/>
      </c>
      <c r="P127" s="19" t="str">
        <f t="shared" si="26"/>
        <v/>
      </c>
      <c r="Q127" s="19" t="str">
        <f t="shared" si="27"/>
        <v/>
      </c>
      <c r="R127" s="19" t="str">
        <f t="shared" si="32"/>
        <v/>
      </c>
      <c r="S127" s="27" t="str">
        <f t="shared" si="33"/>
        <v/>
      </c>
      <c r="T127" s="28" t="str">
        <f t="shared" si="33"/>
        <v/>
      </c>
      <c r="U127" s="28" t="str">
        <f t="shared" si="33"/>
        <v/>
      </c>
      <c r="V127" s="28" t="str">
        <f t="shared" si="33"/>
        <v/>
      </c>
      <c r="W127" s="28" t="str">
        <f t="shared" si="33"/>
        <v/>
      </c>
      <c r="X127" s="29" t="str">
        <f t="shared" si="33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30"/>
        <v/>
      </c>
      <c r="L128" s="19" t="str">
        <f t="shared" si="28"/>
        <v/>
      </c>
      <c r="M128" s="19" t="str">
        <f t="shared" si="31"/>
        <v/>
      </c>
      <c r="N128" s="19" t="str">
        <f t="shared" si="24"/>
        <v/>
      </c>
      <c r="O128" s="19" t="str">
        <f t="shared" si="25"/>
        <v/>
      </c>
      <c r="P128" s="19" t="str">
        <f t="shared" si="26"/>
        <v/>
      </c>
      <c r="Q128" s="19" t="str">
        <f t="shared" si="27"/>
        <v/>
      </c>
      <c r="R128" s="19" t="str">
        <f t="shared" si="32"/>
        <v/>
      </c>
      <c r="S128" s="27" t="str">
        <f t="shared" si="33"/>
        <v/>
      </c>
      <c r="T128" s="28" t="str">
        <f t="shared" si="33"/>
        <v/>
      </c>
      <c r="U128" s="28" t="str">
        <f t="shared" si="33"/>
        <v/>
      </c>
      <c r="V128" s="28" t="str">
        <f t="shared" si="33"/>
        <v/>
      </c>
      <c r="W128" s="28" t="str">
        <f t="shared" si="33"/>
        <v/>
      </c>
      <c r="X128" s="29" t="str">
        <f t="shared" si="33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30"/>
        <v/>
      </c>
      <c r="L129" s="19" t="str">
        <f t="shared" si="28"/>
        <v/>
      </c>
      <c r="M129" s="19" t="str">
        <f t="shared" si="31"/>
        <v/>
      </c>
      <c r="N129" s="19" t="str">
        <f t="shared" si="24"/>
        <v/>
      </c>
      <c r="O129" s="19" t="str">
        <f t="shared" si="25"/>
        <v/>
      </c>
      <c r="P129" s="19" t="str">
        <f t="shared" si="26"/>
        <v/>
      </c>
      <c r="Q129" s="19" t="str">
        <f t="shared" si="27"/>
        <v/>
      </c>
      <c r="R129" s="19" t="str">
        <f t="shared" si="32"/>
        <v/>
      </c>
      <c r="S129" s="27" t="str">
        <f t="shared" ref="S129:X144" si="34">IF(C129="","",((C129-C128)*1000)/($B129-$B128))</f>
        <v/>
      </c>
      <c r="T129" s="28" t="str">
        <f t="shared" si="34"/>
        <v/>
      </c>
      <c r="U129" s="28" t="str">
        <f t="shared" si="34"/>
        <v/>
      </c>
      <c r="V129" s="28" t="str">
        <f t="shared" si="34"/>
        <v/>
      </c>
      <c r="W129" s="28" t="str">
        <f t="shared" si="34"/>
        <v/>
      </c>
      <c r="X129" s="29" t="str">
        <f t="shared" si="34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30"/>
        <v/>
      </c>
      <c r="L130" s="19" t="str">
        <f t="shared" si="28"/>
        <v/>
      </c>
      <c r="M130" s="19" t="str">
        <f t="shared" si="31"/>
        <v/>
      </c>
      <c r="N130" s="19" t="str">
        <f t="shared" si="24"/>
        <v/>
      </c>
      <c r="O130" s="19" t="str">
        <f t="shared" si="25"/>
        <v/>
      </c>
      <c r="P130" s="19" t="str">
        <f t="shared" si="26"/>
        <v/>
      </c>
      <c r="Q130" s="19" t="str">
        <f t="shared" si="27"/>
        <v/>
      </c>
      <c r="R130" s="19" t="str">
        <f t="shared" si="32"/>
        <v/>
      </c>
      <c r="S130" s="27" t="str">
        <f t="shared" si="34"/>
        <v/>
      </c>
      <c r="T130" s="28" t="str">
        <f t="shared" si="34"/>
        <v/>
      </c>
      <c r="U130" s="28" t="str">
        <f t="shared" si="34"/>
        <v/>
      </c>
      <c r="V130" s="28" t="str">
        <f t="shared" si="34"/>
        <v/>
      </c>
      <c r="W130" s="28" t="str">
        <f t="shared" si="34"/>
        <v/>
      </c>
      <c r="X130" s="29" t="str">
        <f t="shared" si="34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30"/>
        <v/>
      </c>
      <c r="L131" s="19" t="str">
        <f t="shared" si="28"/>
        <v/>
      </c>
      <c r="M131" s="19" t="str">
        <f t="shared" si="31"/>
        <v/>
      </c>
      <c r="N131" s="19" t="str">
        <f t="shared" si="24"/>
        <v/>
      </c>
      <c r="O131" s="19" t="str">
        <f t="shared" si="25"/>
        <v/>
      </c>
      <c r="P131" s="19" t="str">
        <f t="shared" si="26"/>
        <v/>
      </c>
      <c r="Q131" s="19" t="str">
        <f t="shared" si="27"/>
        <v/>
      </c>
      <c r="R131" s="19" t="str">
        <f t="shared" si="32"/>
        <v/>
      </c>
      <c r="S131" s="27" t="str">
        <f t="shared" si="34"/>
        <v/>
      </c>
      <c r="T131" s="28" t="str">
        <f t="shared" si="34"/>
        <v/>
      </c>
      <c r="U131" s="28" t="str">
        <f t="shared" si="34"/>
        <v/>
      </c>
      <c r="V131" s="28" t="str">
        <f t="shared" si="34"/>
        <v/>
      </c>
      <c r="W131" s="28" t="str">
        <f t="shared" si="34"/>
        <v/>
      </c>
      <c r="X131" s="29" t="str">
        <f t="shared" si="34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30"/>
        <v/>
      </c>
      <c r="L132" s="19" t="str">
        <f t="shared" si="28"/>
        <v/>
      </c>
      <c r="M132" s="19" t="str">
        <f t="shared" si="31"/>
        <v/>
      </c>
      <c r="N132" s="19" t="str">
        <f t="shared" si="24"/>
        <v/>
      </c>
      <c r="O132" s="19" t="str">
        <f t="shared" si="25"/>
        <v/>
      </c>
      <c r="P132" s="19" t="str">
        <f t="shared" si="26"/>
        <v/>
      </c>
      <c r="Q132" s="19" t="str">
        <f t="shared" si="27"/>
        <v/>
      </c>
      <c r="R132" s="19" t="str">
        <f t="shared" si="32"/>
        <v/>
      </c>
      <c r="S132" s="27" t="str">
        <f t="shared" si="34"/>
        <v/>
      </c>
      <c r="T132" s="28" t="str">
        <f t="shared" si="34"/>
        <v/>
      </c>
      <c r="U132" s="28" t="str">
        <f t="shared" si="34"/>
        <v/>
      </c>
      <c r="V132" s="28" t="str">
        <f t="shared" si="34"/>
        <v/>
      </c>
      <c r="W132" s="28" t="str">
        <f t="shared" si="34"/>
        <v/>
      </c>
      <c r="X132" s="29" t="str">
        <f t="shared" si="34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30"/>
        <v/>
      </c>
      <c r="L133" s="19" t="str">
        <f t="shared" si="28"/>
        <v/>
      </c>
      <c r="M133" s="19" t="str">
        <f t="shared" si="31"/>
        <v/>
      </c>
      <c r="N133" s="19" t="str">
        <f t="shared" si="24"/>
        <v/>
      </c>
      <c r="O133" s="19" t="str">
        <f t="shared" si="25"/>
        <v/>
      </c>
      <c r="P133" s="19" t="str">
        <f t="shared" si="26"/>
        <v/>
      </c>
      <c r="Q133" s="19" t="str">
        <f t="shared" si="27"/>
        <v/>
      </c>
      <c r="R133" s="19" t="str">
        <f t="shared" si="32"/>
        <v/>
      </c>
      <c r="S133" s="27" t="str">
        <f t="shared" si="34"/>
        <v/>
      </c>
      <c r="T133" s="28" t="str">
        <f t="shared" si="34"/>
        <v/>
      </c>
      <c r="U133" s="28" t="str">
        <f t="shared" si="34"/>
        <v/>
      </c>
      <c r="V133" s="28" t="str">
        <f t="shared" si="34"/>
        <v/>
      </c>
      <c r="W133" s="28" t="str">
        <f t="shared" si="34"/>
        <v/>
      </c>
      <c r="X133" s="29" t="str">
        <f t="shared" si="34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30"/>
        <v/>
      </c>
      <c r="L134" s="19" t="str">
        <f t="shared" si="28"/>
        <v/>
      </c>
      <c r="M134" s="19" t="str">
        <f t="shared" si="31"/>
        <v/>
      </c>
      <c r="N134" s="19" t="str">
        <f t="shared" si="24"/>
        <v/>
      </c>
      <c r="O134" s="19" t="str">
        <f t="shared" si="25"/>
        <v/>
      </c>
      <c r="P134" s="19" t="str">
        <f t="shared" si="26"/>
        <v/>
      </c>
      <c r="Q134" s="19" t="str">
        <f t="shared" si="27"/>
        <v/>
      </c>
      <c r="R134" s="19" t="str">
        <f t="shared" si="32"/>
        <v/>
      </c>
      <c r="S134" s="27" t="str">
        <f t="shared" si="34"/>
        <v/>
      </c>
      <c r="T134" s="28" t="str">
        <f t="shared" si="34"/>
        <v/>
      </c>
      <c r="U134" s="28" t="str">
        <f t="shared" si="34"/>
        <v/>
      </c>
      <c r="V134" s="28" t="str">
        <f t="shared" si="34"/>
        <v/>
      </c>
      <c r="W134" s="28" t="str">
        <f t="shared" si="34"/>
        <v/>
      </c>
      <c r="X134" s="29" t="str">
        <f t="shared" si="34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30"/>
        <v/>
      </c>
      <c r="L135" s="19" t="str">
        <f t="shared" si="28"/>
        <v/>
      </c>
      <c r="M135" s="19" t="str">
        <f t="shared" si="31"/>
        <v/>
      </c>
      <c r="N135" s="19" t="str">
        <f t="shared" si="24"/>
        <v/>
      </c>
      <c r="O135" s="19" t="str">
        <f t="shared" si="25"/>
        <v/>
      </c>
      <c r="P135" s="19" t="str">
        <f t="shared" si="26"/>
        <v/>
      </c>
      <c r="Q135" s="19" t="str">
        <f t="shared" si="27"/>
        <v/>
      </c>
      <c r="R135" s="19" t="str">
        <f t="shared" si="32"/>
        <v/>
      </c>
      <c r="S135" s="27" t="str">
        <f t="shared" si="34"/>
        <v/>
      </c>
      <c r="T135" s="28" t="str">
        <f t="shared" si="34"/>
        <v/>
      </c>
      <c r="U135" s="28" t="str">
        <f t="shared" si="34"/>
        <v/>
      </c>
      <c r="V135" s="28" t="str">
        <f t="shared" si="34"/>
        <v/>
      </c>
      <c r="W135" s="28" t="str">
        <f t="shared" si="34"/>
        <v/>
      </c>
      <c r="X135" s="29" t="str">
        <f t="shared" si="34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30"/>
        <v/>
      </c>
      <c r="L136" s="19" t="str">
        <f t="shared" si="28"/>
        <v/>
      </c>
      <c r="M136" s="19" t="str">
        <f t="shared" si="31"/>
        <v/>
      </c>
      <c r="N136" s="19" t="str">
        <f t="shared" si="24"/>
        <v/>
      </c>
      <c r="O136" s="19" t="str">
        <f t="shared" si="25"/>
        <v/>
      </c>
      <c r="P136" s="19" t="str">
        <f t="shared" si="26"/>
        <v/>
      </c>
      <c r="Q136" s="19" t="str">
        <f t="shared" si="27"/>
        <v/>
      </c>
      <c r="R136" s="19" t="str">
        <f t="shared" si="32"/>
        <v/>
      </c>
      <c r="S136" s="27" t="str">
        <f t="shared" si="34"/>
        <v/>
      </c>
      <c r="T136" s="28" t="str">
        <f t="shared" si="34"/>
        <v/>
      </c>
      <c r="U136" s="28" t="str">
        <f t="shared" si="34"/>
        <v/>
      </c>
      <c r="V136" s="28" t="str">
        <f t="shared" si="34"/>
        <v/>
      </c>
      <c r="W136" s="28" t="str">
        <f t="shared" si="34"/>
        <v/>
      </c>
      <c r="X136" s="29" t="str">
        <f t="shared" si="34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30"/>
        <v/>
      </c>
      <c r="L137" s="19" t="str">
        <f t="shared" si="28"/>
        <v/>
      </c>
      <c r="M137" s="19" t="str">
        <f t="shared" si="31"/>
        <v/>
      </c>
      <c r="N137" s="19" t="str">
        <f t="shared" si="24"/>
        <v/>
      </c>
      <c r="O137" s="19" t="str">
        <f t="shared" si="25"/>
        <v/>
      </c>
      <c r="P137" s="19" t="str">
        <f t="shared" si="26"/>
        <v/>
      </c>
      <c r="Q137" s="19" t="str">
        <f t="shared" si="27"/>
        <v/>
      </c>
      <c r="R137" s="19" t="str">
        <f t="shared" si="32"/>
        <v/>
      </c>
      <c r="S137" s="27" t="str">
        <f t="shared" si="34"/>
        <v/>
      </c>
      <c r="T137" s="28" t="str">
        <f t="shared" si="34"/>
        <v/>
      </c>
      <c r="U137" s="28" t="str">
        <f t="shared" si="34"/>
        <v/>
      </c>
      <c r="V137" s="28" t="str">
        <f t="shared" si="34"/>
        <v/>
      </c>
      <c r="W137" s="28" t="str">
        <f t="shared" si="34"/>
        <v/>
      </c>
      <c r="X137" s="29" t="str">
        <f t="shared" si="34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30"/>
        <v/>
      </c>
      <c r="L138" s="19" t="str">
        <f t="shared" si="28"/>
        <v/>
      </c>
      <c r="M138" s="19" t="str">
        <f t="shared" si="31"/>
        <v/>
      </c>
      <c r="N138" s="19" t="str">
        <f t="shared" si="24"/>
        <v/>
      </c>
      <c r="O138" s="19" t="str">
        <f t="shared" si="25"/>
        <v/>
      </c>
      <c r="P138" s="19" t="str">
        <f t="shared" si="26"/>
        <v/>
      </c>
      <c r="Q138" s="19" t="str">
        <f t="shared" si="27"/>
        <v/>
      </c>
      <c r="R138" s="19" t="str">
        <f t="shared" si="32"/>
        <v/>
      </c>
      <c r="S138" s="27" t="str">
        <f t="shared" si="34"/>
        <v/>
      </c>
      <c r="T138" s="28" t="str">
        <f t="shared" si="34"/>
        <v/>
      </c>
      <c r="U138" s="28" t="str">
        <f t="shared" si="34"/>
        <v/>
      </c>
      <c r="V138" s="28" t="str">
        <f t="shared" si="34"/>
        <v/>
      </c>
      <c r="W138" s="28" t="str">
        <f t="shared" si="34"/>
        <v/>
      </c>
      <c r="X138" s="29" t="str">
        <f t="shared" si="34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30"/>
        <v/>
      </c>
      <c r="L139" s="19" t="str">
        <f t="shared" si="28"/>
        <v/>
      </c>
      <c r="M139" s="19" t="str">
        <f t="shared" si="31"/>
        <v/>
      </c>
      <c r="N139" s="19" t="str">
        <f t="shared" si="24"/>
        <v/>
      </c>
      <c r="O139" s="19" t="str">
        <f t="shared" si="25"/>
        <v/>
      </c>
      <c r="P139" s="19" t="str">
        <f t="shared" si="26"/>
        <v/>
      </c>
      <c r="Q139" s="19" t="str">
        <f t="shared" si="27"/>
        <v/>
      </c>
      <c r="R139" s="19" t="str">
        <f t="shared" si="32"/>
        <v/>
      </c>
      <c r="S139" s="27" t="str">
        <f t="shared" si="34"/>
        <v/>
      </c>
      <c r="T139" s="28" t="str">
        <f t="shared" si="34"/>
        <v/>
      </c>
      <c r="U139" s="28" t="str">
        <f t="shared" si="34"/>
        <v/>
      </c>
      <c r="V139" s="28" t="str">
        <f t="shared" si="34"/>
        <v/>
      </c>
      <c r="W139" s="28" t="str">
        <f t="shared" si="34"/>
        <v/>
      </c>
      <c r="X139" s="29" t="str">
        <f t="shared" si="34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30"/>
        <v/>
      </c>
      <c r="L140" s="19" t="str">
        <f t="shared" si="28"/>
        <v/>
      </c>
      <c r="M140" s="19" t="str">
        <f t="shared" si="31"/>
        <v/>
      </c>
      <c r="N140" s="19" t="str">
        <f t="shared" si="24"/>
        <v/>
      </c>
      <c r="O140" s="19" t="str">
        <f t="shared" si="25"/>
        <v/>
      </c>
      <c r="P140" s="19" t="str">
        <f t="shared" si="26"/>
        <v/>
      </c>
      <c r="Q140" s="19" t="str">
        <f t="shared" si="27"/>
        <v/>
      </c>
      <c r="R140" s="19" t="str">
        <f t="shared" si="32"/>
        <v/>
      </c>
      <c r="S140" s="27" t="str">
        <f t="shared" si="34"/>
        <v/>
      </c>
      <c r="T140" s="28" t="str">
        <f t="shared" si="34"/>
        <v/>
      </c>
      <c r="U140" s="28" t="str">
        <f t="shared" si="34"/>
        <v/>
      </c>
      <c r="V140" s="28" t="str">
        <f t="shared" si="34"/>
        <v/>
      </c>
      <c r="W140" s="28" t="str">
        <f t="shared" si="34"/>
        <v/>
      </c>
      <c r="X140" s="29" t="str">
        <f t="shared" si="34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30"/>
        <v/>
      </c>
      <c r="L141" s="19" t="str">
        <f t="shared" si="28"/>
        <v/>
      </c>
      <c r="M141" s="19" t="str">
        <f t="shared" si="31"/>
        <v/>
      </c>
      <c r="N141" s="19" t="str">
        <f t="shared" si="24"/>
        <v/>
      </c>
      <c r="O141" s="19" t="str">
        <f t="shared" si="25"/>
        <v/>
      </c>
      <c r="P141" s="19" t="str">
        <f t="shared" si="26"/>
        <v/>
      </c>
      <c r="Q141" s="19" t="str">
        <f t="shared" si="27"/>
        <v/>
      </c>
      <c r="R141" s="19" t="str">
        <f t="shared" si="32"/>
        <v/>
      </c>
      <c r="S141" s="27" t="str">
        <f t="shared" si="34"/>
        <v/>
      </c>
      <c r="T141" s="28" t="str">
        <f t="shared" si="34"/>
        <v/>
      </c>
      <c r="U141" s="28" t="str">
        <f t="shared" si="34"/>
        <v/>
      </c>
      <c r="V141" s="28" t="str">
        <f t="shared" si="34"/>
        <v/>
      </c>
      <c r="W141" s="28" t="str">
        <f t="shared" si="34"/>
        <v/>
      </c>
      <c r="X141" s="29" t="str">
        <f t="shared" si="34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30"/>
        <v/>
      </c>
      <c r="L142" s="19" t="str">
        <f t="shared" si="28"/>
        <v/>
      </c>
      <c r="M142" s="19" t="str">
        <f t="shared" si="31"/>
        <v/>
      </c>
      <c r="N142" s="19" t="str">
        <f t="shared" si="24"/>
        <v/>
      </c>
      <c r="O142" s="19" t="str">
        <f t="shared" si="25"/>
        <v/>
      </c>
      <c r="P142" s="19" t="str">
        <f t="shared" si="26"/>
        <v/>
      </c>
      <c r="Q142" s="19" t="str">
        <f t="shared" si="27"/>
        <v/>
      </c>
      <c r="R142" s="19" t="str">
        <f t="shared" si="32"/>
        <v/>
      </c>
      <c r="S142" s="27" t="str">
        <f t="shared" si="34"/>
        <v/>
      </c>
      <c r="T142" s="28" t="str">
        <f t="shared" si="34"/>
        <v/>
      </c>
      <c r="U142" s="28" t="str">
        <f t="shared" si="34"/>
        <v/>
      </c>
      <c r="V142" s="28" t="str">
        <f t="shared" si="34"/>
        <v/>
      </c>
      <c r="W142" s="28" t="str">
        <f t="shared" si="34"/>
        <v/>
      </c>
      <c r="X142" s="29" t="str">
        <f t="shared" si="34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30"/>
        <v/>
      </c>
      <c r="L143" s="19" t="str">
        <f t="shared" si="28"/>
        <v/>
      </c>
      <c r="M143" s="19" t="str">
        <f t="shared" si="31"/>
        <v/>
      </c>
      <c r="N143" s="19" t="str">
        <f t="shared" si="24"/>
        <v/>
      </c>
      <c r="O143" s="19" t="str">
        <f t="shared" si="25"/>
        <v/>
      </c>
      <c r="P143" s="19" t="str">
        <f t="shared" si="26"/>
        <v/>
      </c>
      <c r="Q143" s="19" t="str">
        <f t="shared" si="27"/>
        <v/>
      </c>
      <c r="R143" s="19" t="str">
        <f t="shared" si="32"/>
        <v/>
      </c>
      <c r="S143" s="27" t="str">
        <f t="shared" si="34"/>
        <v/>
      </c>
      <c r="T143" s="28" t="str">
        <f t="shared" si="34"/>
        <v/>
      </c>
      <c r="U143" s="28" t="str">
        <f t="shared" si="34"/>
        <v/>
      </c>
      <c r="V143" s="28" t="str">
        <f t="shared" si="34"/>
        <v/>
      </c>
      <c r="W143" s="28" t="str">
        <f t="shared" si="34"/>
        <v/>
      </c>
      <c r="X143" s="29" t="str">
        <f t="shared" si="34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30"/>
        <v/>
      </c>
      <c r="L144" s="19" t="str">
        <f t="shared" si="28"/>
        <v/>
      </c>
      <c r="M144" s="19" t="str">
        <f t="shared" ref="M144:M153" si="35">IF(ISBLANK(D144),"",(D144-D$16)*1000)</f>
        <v/>
      </c>
      <c r="N144" s="19" t="str">
        <f t="shared" si="24"/>
        <v/>
      </c>
      <c r="O144" s="19" t="str">
        <f t="shared" si="25"/>
        <v/>
      </c>
      <c r="P144" s="19" t="str">
        <f t="shared" si="26"/>
        <v/>
      </c>
      <c r="Q144" s="19" t="str">
        <f t="shared" si="27"/>
        <v/>
      </c>
      <c r="R144" s="19" t="str">
        <f t="shared" ref="R144:R153" si="36">IF(ISBLANK(I144),"",(I144-I$16)*1000)</f>
        <v/>
      </c>
      <c r="S144" s="27" t="str">
        <f t="shared" si="34"/>
        <v/>
      </c>
      <c r="T144" s="28" t="str">
        <f t="shared" si="34"/>
        <v/>
      </c>
      <c r="U144" s="28" t="str">
        <f t="shared" si="34"/>
        <v/>
      </c>
      <c r="V144" s="28" t="str">
        <f t="shared" si="34"/>
        <v/>
      </c>
      <c r="W144" s="28" t="str">
        <f t="shared" si="34"/>
        <v/>
      </c>
      <c r="X144" s="29" t="str">
        <f t="shared" si="34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30"/>
        <v/>
      </c>
      <c r="L145" s="19" t="str">
        <f t="shared" si="28"/>
        <v/>
      </c>
      <c r="M145" s="19" t="str">
        <f t="shared" si="35"/>
        <v/>
      </c>
      <c r="N145" s="19" t="str">
        <f t="shared" si="24"/>
        <v/>
      </c>
      <c r="O145" s="19" t="str">
        <f t="shared" si="25"/>
        <v/>
      </c>
      <c r="P145" s="19" t="str">
        <f t="shared" si="26"/>
        <v/>
      </c>
      <c r="Q145" s="19" t="str">
        <f t="shared" si="27"/>
        <v/>
      </c>
      <c r="R145" s="19" t="str">
        <f t="shared" si="36"/>
        <v/>
      </c>
      <c r="S145" s="27" t="str">
        <f t="shared" ref="S145:X153" si="37">IF(C145="","",((C145-C144)*1000)/($B145-$B144))</f>
        <v/>
      </c>
      <c r="T145" s="28" t="str">
        <f t="shared" si="37"/>
        <v/>
      </c>
      <c r="U145" s="28" t="str">
        <f t="shared" si="37"/>
        <v/>
      </c>
      <c r="V145" s="28" t="str">
        <f t="shared" si="37"/>
        <v/>
      </c>
      <c r="W145" s="28" t="str">
        <f t="shared" si="37"/>
        <v/>
      </c>
      <c r="X145" s="29" t="str">
        <f t="shared" si="37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30"/>
        <v/>
      </c>
      <c r="L146" s="19" t="str">
        <f t="shared" si="28"/>
        <v/>
      </c>
      <c r="M146" s="19" t="str">
        <f t="shared" si="35"/>
        <v/>
      </c>
      <c r="N146" s="19" t="str">
        <f t="shared" si="24"/>
        <v/>
      </c>
      <c r="O146" s="19" t="str">
        <f t="shared" si="25"/>
        <v/>
      </c>
      <c r="P146" s="19" t="str">
        <f t="shared" si="26"/>
        <v/>
      </c>
      <c r="Q146" s="19" t="str">
        <f t="shared" si="27"/>
        <v/>
      </c>
      <c r="R146" s="19" t="str">
        <f t="shared" si="36"/>
        <v/>
      </c>
      <c r="S146" s="27" t="str">
        <f t="shared" si="37"/>
        <v/>
      </c>
      <c r="T146" s="28" t="str">
        <f t="shared" si="37"/>
        <v/>
      </c>
      <c r="U146" s="28" t="str">
        <f t="shared" si="37"/>
        <v/>
      </c>
      <c r="V146" s="28" t="str">
        <f t="shared" si="37"/>
        <v/>
      </c>
      <c r="W146" s="28" t="str">
        <f t="shared" si="37"/>
        <v/>
      </c>
      <c r="X146" s="29" t="str">
        <f t="shared" si="37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30"/>
        <v/>
      </c>
      <c r="L147" s="19" t="str">
        <f t="shared" si="28"/>
        <v/>
      </c>
      <c r="M147" s="19" t="str">
        <f t="shared" si="35"/>
        <v/>
      </c>
      <c r="N147" s="19" t="str">
        <f t="shared" si="24"/>
        <v/>
      </c>
      <c r="O147" s="19" t="str">
        <f t="shared" si="25"/>
        <v/>
      </c>
      <c r="P147" s="19" t="str">
        <f t="shared" si="26"/>
        <v/>
      </c>
      <c r="Q147" s="19" t="str">
        <f t="shared" si="27"/>
        <v/>
      </c>
      <c r="R147" s="19" t="str">
        <f t="shared" si="36"/>
        <v/>
      </c>
      <c r="S147" s="27" t="str">
        <f t="shared" si="37"/>
        <v/>
      </c>
      <c r="T147" s="28" t="str">
        <f t="shared" si="37"/>
        <v/>
      </c>
      <c r="U147" s="28" t="str">
        <f t="shared" si="37"/>
        <v/>
      </c>
      <c r="V147" s="28" t="str">
        <f t="shared" si="37"/>
        <v/>
      </c>
      <c r="W147" s="28" t="str">
        <f t="shared" si="37"/>
        <v/>
      </c>
      <c r="X147" s="29" t="str">
        <f t="shared" si="37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30"/>
        <v/>
      </c>
      <c r="L148" s="19" t="str">
        <f t="shared" si="28"/>
        <v/>
      </c>
      <c r="M148" s="19" t="str">
        <f t="shared" si="35"/>
        <v/>
      </c>
      <c r="N148" s="19" t="str">
        <f t="shared" si="24"/>
        <v/>
      </c>
      <c r="O148" s="19" t="str">
        <f t="shared" si="25"/>
        <v/>
      </c>
      <c r="P148" s="19" t="str">
        <f t="shared" si="26"/>
        <v/>
      </c>
      <c r="Q148" s="19" t="str">
        <f t="shared" si="27"/>
        <v/>
      </c>
      <c r="R148" s="19" t="str">
        <f t="shared" si="36"/>
        <v/>
      </c>
      <c r="S148" s="27" t="str">
        <f t="shared" si="37"/>
        <v/>
      </c>
      <c r="T148" s="28" t="str">
        <f t="shared" si="37"/>
        <v/>
      </c>
      <c r="U148" s="28" t="str">
        <f t="shared" si="37"/>
        <v/>
      </c>
      <c r="V148" s="28" t="str">
        <f t="shared" si="37"/>
        <v/>
      </c>
      <c r="W148" s="28" t="str">
        <f t="shared" si="37"/>
        <v/>
      </c>
      <c r="X148" s="29" t="str">
        <f t="shared" si="37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30"/>
        <v/>
      </c>
      <c r="L149" s="19" t="str">
        <f t="shared" si="28"/>
        <v/>
      </c>
      <c r="M149" s="19" t="str">
        <f t="shared" si="35"/>
        <v/>
      </c>
      <c r="N149" s="19" t="str">
        <f t="shared" si="24"/>
        <v/>
      </c>
      <c r="O149" s="19" t="str">
        <f t="shared" si="25"/>
        <v/>
      </c>
      <c r="P149" s="19" t="str">
        <f t="shared" si="26"/>
        <v/>
      </c>
      <c r="Q149" s="19" t="str">
        <f t="shared" si="27"/>
        <v/>
      </c>
      <c r="R149" s="19" t="str">
        <f t="shared" si="36"/>
        <v/>
      </c>
      <c r="S149" s="27" t="str">
        <f t="shared" si="37"/>
        <v/>
      </c>
      <c r="T149" s="28" t="str">
        <f t="shared" si="37"/>
        <v/>
      </c>
      <c r="U149" s="28" t="str">
        <f t="shared" si="37"/>
        <v/>
      </c>
      <c r="V149" s="28" t="str">
        <f t="shared" si="37"/>
        <v/>
      </c>
      <c r="W149" s="28" t="str">
        <f t="shared" si="37"/>
        <v/>
      </c>
      <c r="X149" s="29" t="str">
        <f t="shared" si="37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30"/>
        <v/>
      </c>
      <c r="L150" s="19" t="str">
        <f t="shared" si="28"/>
        <v/>
      </c>
      <c r="M150" s="19" t="str">
        <f t="shared" si="35"/>
        <v/>
      </c>
      <c r="N150" s="19" t="str">
        <f t="shared" si="24"/>
        <v/>
      </c>
      <c r="O150" s="19" t="str">
        <f t="shared" si="25"/>
        <v/>
      </c>
      <c r="P150" s="19" t="str">
        <f t="shared" si="26"/>
        <v/>
      </c>
      <c r="Q150" s="19" t="str">
        <f t="shared" si="27"/>
        <v/>
      </c>
      <c r="R150" s="19" t="str">
        <f t="shared" si="36"/>
        <v/>
      </c>
      <c r="S150" s="27" t="str">
        <f t="shared" si="37"/>
        <v/>
      </c>
      <c r="T150" s="28" t="str">
        <f t="shared" si="37"/>
        <v/>
      </c>
      <c r="U150" s="28" t="str">
        <f t="shared" si="37"/>
        <v/>
      </c>
      <c r="V150" s="28" t="str">
        <f t="shared" si="37"/>
        <v/>
      </c>
      <c r="W150" s="28" t="str">
        <f t="shared" si="37"/>
        <v/>
      </c>
      <c r="X150" s="29" t="str">
        <f t="shared" si="37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30"/>
        <v/>
      </c>
      <c r="L151" s="19" t="str">
        <f t="shared" si="28"/>
        <v/>
      </c>
      <c r="M151" s="19" t="str">
        <f t="shared" si="35"/>
        <v/>
      </c>
      <c r="N151" s="19" t="str">
        <f t="shared" si="24"/>
        <v/>
      </c>
      <c r="O151" s="19" t="str">
        <f t="shared" si="25"/>
        <v/>
      </c>
      <c r="P151" s="19" t="str">
        <f t="shared" si="26"/>
        <v/>
      </c>
      <c r="Q151" s="19" t="str">
        <f t="shared" si="27"/>
        <v/>
      </c>
      <c r="R151" s="19" t="str">
        <f t="shared" si="36"/>
        <v/>
      </c>
      <c r="S151" s="27" t="str">
        <f t="shared" si="37"/>
        <v/>
      </c>
      <c r="T151" s="28" t="str">
        <f t="shared" si="37"/>
        <v/>
      </c>
      <c r="U151" s="28" t="str">
        <f t="shared" si="37"/>
        <v/>
      </c>
      <c r="V151" s="28" t="str">
        <f t="shared" si="37"/>
        <v/>
      </c>
      <c r="W151" s="28" t="str">
        <f t="shared" si="37"/>
        <v/>
      </c>
      <c r="X151" s="29" t="str">
        <f t="shared" si="37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30"/>
        <v/>
      </c>
      <c r="L152" s="19" t="str">
        <f t="shared" si="28"/>
        <v/>
      </c>
      <c r="M152" s="19" t="str">
        <f t="shared" si="35"/>
        <v/>
      </c>
      <c r="N152" s="19" t="str">
        <f t="shared" si="24"/>
        <v/>
      </c>
      <c r="O152" s="19" t="str">
        <f t="shared" si="25"/>
        <v/>
      </c>
      <c r="P152" s="19" t="str">
        <f t="shared" si="26"/>
        <v/>
      </c>
      <c r="Q152" s="19" t="str">
        <f t="shared" si="27"/>
        <v/>
      </c>
      <c r="R152" s="19" t="str">
        <f t="shared" si="36"/>
        <v/>
      </c>
      <c r="S152" s="27" t="str">
        <f t="shared" si="37"/>
        <v/>
      </c>
      <c r="T152" s="28" t="str">
        <f t="shared" si="37"/>
        <v/>
      </c>
      <c r="U152" s="28" t="str">
        <f t="shared" si="37"/>
        <v/>
      </c>
      <c r="V152" s="28" t="str">
        <f t="shared" si="37"/>
        <v/>
      </c>
      <c r="W152" s="28" t="str">
        <f t="shared" si="37"/>
        <v/>
      </c>
      <c r="X152" s="29" t="str">
        <f t="shared" si="37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30"/>
        <v/>
      </c>
      <c r="L153" s="19" t="str">
        <f t="shared" si="28"/>
        <v/>
      </c>
      <c r="M153" s="19" t="str">
        <f t="shared" si="35"/>
        <v/>
      </c>
      <c r="N153" s="19" t="str">
        <f t="shared" si="24"/>
        <v/>
      </c>
      <c r="O153" s="19" t="str">
        <f t="shared" si="25"/>
        <v/>
      </c>
      <c r="P153" s="19" t="str">
        <f t="shared" si="26"/>
        <v/>
      </c>
      <c r="Q153" s="19" t="str">
        <f t="shared" si="27"/>
        <v/>
      </c>
      <c r="R153" s="19" t="str">
        <f t="shared" si="36"/>
        <v/>
      </c>
      <c r="S153" s="27" t="str">
        <f t="shared" si="37"/>
        <v/>
      </c>
      <c r="T153" s="28" t="str">
        <f t="shared" si="37"/>
        <v/>
      </c>
      <c r="U153" s="28" t="str">
        <f t="shared" si="37"/>
        <v/>
      </c>
      <c r="V153" s="28" t="str">
        <f t="shared" si="37"/>
        <v/>
      </c>
      <c r="W153" s="28" t="str">
        <f t="shared" si="37"/>
        <v/>
      </c>
      <c r="X153" s="29" t="str">
        <f t="shared" si="37"/>
        <v/>
      </c>
      <c r="Y153" s="24"/>
    </row>
  </sheetData>
  <sheetProtection selectLockedCells="1"/>
  <mergeCells count="38"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  <mergeCell ref="A1:J1"/>
    <mergeCell ref="E2:Q2"/>
    <mergeCell ref="R2:X4"/>
    <mergeCell ref="Y2:Y4"/>
    <mergeCell ref="E3:Q3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4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2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TZ-32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/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/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/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/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880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/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41795</v>
      </c>
      <c r="C16" s="14">
        <v>13.085000000000001</v>
      </c>
      <c r="D16" s="15">
        <v>7.4420000000000002</v>
      </c>
      <c r="E16" s="15">
        <v>8.7390000000000008</v>
      </c>
      <c r="F16" s="42"/>
      <c r="G16" s="42"/>
      <c r="H16" s="42"/>
      <c r="I16" s="41">
        <v>105.40900000000001</v>
      </c>
      <c r="J16" s="62">
        <v>898</v>
      </c>
      <c r="K16" s="55">
        <f t="shared" ref="K16:K22" si="0">IF(ISBLANK(J16),"",(J16-$J$8))</f>
        <v>18</v>
      </c>
      <c r="L16" s="19">
        <f t="shared" ref="L16:Q47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:R79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41796</v>
      </c>
      <c r="C17" s="25">
        <v>13.084</v>
      </c>
      <c r="D17" s="26">
        <v>7.44</v>
      </c>
      <c r="E17" s="26">
        <v>8.7370000000000001</v>
      </c>
      <c r="F17" s="16"/>
      <c r="G17" s="16"/>
      <c r="H17" s="16"/>
      <c r="I17" s="17">
        <v>105.408</v>
      </c>
      <c r="J17" s="58">
        <v>910</v>
      </c>
      <c r="K17" s="18">
        <f t="shared" si="0"/>
        <v>30</v>
      </c>
      <c r="L17" s="19">
        <f t="shared" si="1"/>
        <v>-1.0000000000012221</v>
      </c>
      <c r="M17" s="19">
        <f t="shared" si="1"/>
        <v>-1.9999999999997797</v>
      </c>
      <c r="N17" s="19">
        <f t="shared" si="1"/>
        <v>-2.0000000000006679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2"/>
        <v>-1.0000000000047748</v>
      </c>
      <c r="S17" s="27">
        <f t="shared" ref="S17:X32" si="3">IF(C17="","",((C17-C16)*1000)/($B17-$B16))</f>
        <v>-1.0000000000012221</v>
      </c>
      <c r="T17" s="28">
        <f t="shared" si="3"/>
        <v>-1.9999999999997797</v>
      </c>
      <c r="U17" s="28">
        <f t="shared" si="3"/>
        <v>-2.0000000000006679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41799</v>
      </c>
      <c r="C18" s="25">
        <v>13.084</v>
      </c>
      <c r="D18" s="26">
        <v>7.4409999999999998</v>
      </c>
      <c r="E18" s="26">
        <v>8.7370000000000001</v>
      </c>
      <c r="F18" s="16"/>
      <c r="G18" s="16"/>
      <c r="H18" s="16"/>
      <c r="I18" s="17">
        <v>105.408</v>
      </c>
      <c r="J18" s="58">
        <v>919</v>
      </c>
      <c r="K18" s="18">
        <f t="shared" si="0"/>
        <v>39</v>
      </c>
      <c r="L18" s="19">
        <f t="shared" si="1"/>
        <v>-1.0000000000012221</v>
      </c>
      <c r="M18" s="19">
        <f t="shared" si="1"/>
        <v>-1.000000000000334</v>
      </c>
      <c r="N18" s="19">
        <f t="shared" si="1"/>
        <v>-2.0000000000006679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2"/>
        <v>-1.0000000000047748</v>
      </c>
      <c r="S18" s="27">
        <f t="shared" si="3"/>
        <v>0</v>
      </c>
      <c r="T18" s="28">
        <f t="shared" si="3"/>
        <v>0.33333333333314857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41800</v>
      </c>
      <c r="C19" s="25">
        <v>13.084</v>
      </c>
      <c r="D19" s="26">
        <v>7.44</v>
      </c>
      <c r="E19" s="26">
        <v>8.7360000000000007</v>
      </c>
      <c r="F19" s="16"/>
      <c r="G19" s="16"/>
      <c r="H19" s="16"/>
      <c r="I19" s="17">
        <v>105.407</v>
      </c>
      <c r="J19" s="58">
        <v>929</v>
      </c>
      <c r="K19" s="18">
        <f t="shared" si="0"/>
        <v>49</v>
      </c>
      <c r="L19" s="19">
        <f t="shared" si="1"/>
        <v>-1.0000000000012221</v>
      </c>
      <c r="M19" s="19">
        <f t="shared" si="1"/>
        <v>-1.9999999999997797</v>
      </c>
      <c r="N19" s="19">
        <f t="shared" si="1"/>
        <v>-3.0000000000001137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2"/>
        <v>-2.0000000000095497</v>
      </c>
      <c r="S19" s="27">
        <f t="shared" si="3"/>
        <v>0</v>
      </c>
      <c r="T19" s="28">
        <f t="shared" si="3"/>
        <v>-0.99999999999944578</v>
      </c>
      <c r="U19" s="28">
        <f t="shared" si="3"/>
        <v>-0.99999999999944578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41801</v>
      </c>
      <c r="C20" s="25">
        <v>13.083</v>
      </c>
      <c r="D20" s="26">
        <v>7.44</v>
      </c>
      <c r="E20" s="26">
        <v>8.7360000000000007</v>
      </c>
      <c r="F20" s="16"/>
      <c r="G20" s="16"/>
      <c r="H20" s="16"/>
      <c r="I20" s="17">
        <v>105.407</v>
      </c>
      <c r="J20" s="58">
        <v>941</v>
      </c>
      <c r="K20" s="18">
        <f t="shared" si="0"/>
        <v>61</v>
      </c>
      <c r="L20" s="19">
        <f t="shared" si="1"/>
        <v>-2.0000000000006679</v>
      </c>
      <c r="M20" s="19">
        <f t="shared" si="1"/>
        <v>-1.9999999999997797</v>
      </c>
      <c r="N20" s="19">
        <f t="shared" si="1"/>
        <v>-3.0000000000001137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2"/>
        <v>-2.0000000000095497</v>
      </c>
      <c r="S20" s="27">
        <f t="shared" si="3"/>
        <v>-0.99999999999944578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41802</v>
      </c>
      <c r="C21" s="25">
        <v>13.084</v>
      </c>
      <c r="D21" s="26">
        <v>7.4409999999999998</v>
      </c>
      <c r="E21" s="26">
        <v>8.7370000000000001</v>
      </c>
      <c r="F21" s="16"/>
      <c r="G21" s="16"/>
      <c r="H21" s="16"/>
      <c r="I21" s="17">
        <v>105.407</v>
      </c>
      <c r="J21" s="58">
        <v>947</v>
      </c>
      <c r="K21" s="18">
        <f t="shared" si="0"/>
        <v>67</v>
      </c>
      <c r="L21" s="19">
        <f t="shared" si="1"/>
        <v>-1.0000000000012221</v>
      </c>
      <c r="M21" s="19">
        <f t="shared" si="1"/>
        <v>-1.000000000000334</v>
      </c>
      <c r="N21" s="19">
        <f t="shared" si="1"/>
        <v>-2.0000000000006679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2"/>
        <v>-2.0000000000095497</v>
      </c>
      <c r="S21" s="27">
        <f t="shared" si="3"/>
        <v>0.99999999999944578</v>
      </c>
      <c r="T21" s="28">
        <f t="shared" si="3"/>
        <v>0.99999999999944578</v>
      </c>
      <c r="U21" s="28">
        <f t="shared" si="3"/>
        <v>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41803</v>
      </c>
      <c r="C22" s="25">
        <v>13.084</v>
      </c>
      <c r="D22" s="26">
        <v>7.4409999999999998</v>
      </c>
      <c r="E22" s="26">
        <v>8.7370000000000001</v>
      </c>
      <c r="F22" s="16"/>
      <c r="G22" s="16"/>
      <c r="H22" s="16"/>
      <c r="I22" s="17">
        <v>105.407</v>
      </c>
      <c r="J22" s="58">
        <v>958</v>
      </c>
      <c r="K22" s="18">
        <f t="shared" si="0"/>
        <v>78</v>
      </c>
      <c r="L22" s="19">
        <f t="shared" si="1"/>
        <v>-1.0000000000012221</v>
      </c>
      <c r="M22" s="19">
        <f t="shared" si="1"/>
        <v>-1.000000000000334</v>
      </c>
      <c r="N22" s="19">
        <f t="shared" si="1"/>
        <v>-2.0000000000006679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2"/>
        <v>-2.0000000000095497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41838</v>
      </c>
      <c r="C23" s="25">
        <v>13.082000000000001</v>
      </c>
      <c r="D23" s="26">
        <v>7.44</v>
      </c>
      <c r="E23" s="26">
        <v>8.7370000000000001</v>
      </c>
      <c r="F23" s="16">
        <v>14.124000000000001</v>
      </c>
      <c r="G23" s="16">
        <v>9.6189999999999998</v>
      </c>
      <c r="H23" s="16">
        <v>11.257</v>
      </c>
      <c r="I23" s="17">
        <v>105.402</v>
      </c>
      <c r="J23" s="58">
        <v>970</v>
      </c>
      <c r="K23" s="18">
        <f t="shared" ref="K23:K32" si="4">IF(ISBLANK(J23),"",(J23-$J$8))</f>
        <v>90</v>
      </c>
      <c r="L23" s="19">
        <f t="shared" si="1"/>
        <v>-3.0000000000001137</v>
      </c>
      <c r="M23" s="19">
        <f t="shared" si="1"/>
        <v>-1.9999999999997797</v>
      </c>
      <c r="N23" s="19">
        <f t="shared" si="1"/>
        <v>-2.0000000000006679</v>
      </c>
      <c r="O23" s="19">
        <f>IF(ISBLANK(F23),"",((F23-F$23)*1000)+L$23)</f>
        <v>-3.0000000000001137</v>
      </c>
      <c r="P23" s="19">
        <f>IF(ISBLANK(G23),"",((G23-G$23)*1000)+M$23)</f>
        <v>-1.9999999999997797</v>
      </c>
      <c r="Q23" s="19">
        <f>IF(ISBLANK(H23),"",((H23-H$23)*1000)+N$23)</f>
        <v>-2.0000000000006679</v>
      </c>
      <c r="R23" s="19">
        <f t="shared" si="2"/>
        <v>-7.0000000000050022</v>
      </c>
      <c r="S23" s="27">
        <f t="shared" si="3"/>
        <v>-5.7142857142825472E-2</v>
      </c>
      <c r="T23" s="28">
        <f t="shared" si="3"/>
        <v>-2.8571428571412736E-2</v>
      </c>
      <c r="U23" s="28">
        <f t="shared" si="3"/>
        <v>0</v>
      </c>
      <c r="V23" s="28">
        <f t="shared" si="3"/>
        <v>403.54285714285714</v>
      </c>
      <c r="W23" s="28">
        <f t="shared" si="3"/>
        <v>274.82857142857142</v>
      </c>
      <c r="X23" s="29">
        <f t="shared" si="3"/>
        <v>321.62857142857143</v>
      </c>
      <c r="Y23" s="24"/>
    </row>
    <row r="24" spans="2:25" ht="15" customHeight="1" x14ac:dyDescent="0.2">
      <c r="B24" s="31">
        <v>41841</v>
      </c>
      <c r="C24" s="25">
        <v>13.082000000000001</v>
      </c>
      <c r="D24" s="26">
        <v>7.44</v>
      </c>
      <c r="E24" s="26">
        <v>8.7370000000000001</v>
      </c>
      <c r="F24" s="16">
        <v>14.122999999999999</v>
      </c>
      <c r="G24" s="16">
        <v>9.6189999999999998</v>
      </c>
      <c r="H24" s="16">
        <v>11.256</v>
      </c>
      <c r="I24" s="17">
        <v>105.401</v>
      </c>
      <c r="J24" s="58">
        <v>970</v>
      </c>
      <c r="K24" s="18">
        <f t="shared" si="4"/>
        <v>90</v>
      </c>
      <c r="L24" s="19">
        <f t="shared" si="1"/>
        <v>-3.0000000000001137</v>
      </c>
      <c r="M24" s="19">
        <f t="shared" si="1"/>
        <v>-1.9999999999997797</v>
      </c>
      <c r="N24" s="19">
        <f t="shared" si="1"/>
        <v>-2.0000000000006679</v>
      </c>
      <c r="O24" s="19">
        <f t="shared" ref="O24:O87" si="5">IF(ISBLANK(F24),"",((F24-F$23)*1000)+L$23)</f>
        <v>-4.0000000000013358</v>
      </c>
      <c r="P24" s="19">
        <f t="shared" ref="P24:P87" si="6">IF(ISBLANK(G24),"",((G24-G$23)*1000)+M$23)</f>
        <v>-1.9999999999997797</v>
      </c>
      <c r="Q24" s="19">
        <f t="shared" ref="Q24:Q87" si="7">IF(ISBLANK(H24),"",((H24-H$23)*1000)+N$23)</f>
        <v>-3.0000000000001137</v>
      </c>
      <c r="R24" s="19">
        <f t="shared" si="2"/>
        <v>-8.0000000000097771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>
        <f t="shared" si="3"/>
        <v>-0.33333333333374071</v>
      </c>
      <c r="W24" s="28">
        <f t="shared" si="3"/>
        <v>0</v>
      </c>
      <c r="X24" s="29">
        <f t="shared" si="3"/>
        <v>-0.33333333333314857</v>
      </c>
      <c r="Y24" s="24"/>
    </row>
    <row r="25" spans="2:25" ht="15" customHeight="1" x14ac:dyDescent="0.2">
      <c r="B25" s="31">
        <v>41842</v>
      </c>
      <c r="C25" s="25">
        <v>13.082000000000001</v>
      </c>
      <c r="D25" s="26">
        <v>7.44</v>
      </c>
      <c r="E25" s="26">
        <v>8.7370000000000001</v>
      </c>
      <c r="F25" s="16">
        <v>14.122999999999999</v>
      </c>
      <c r="G25" s="16">
        <v>9.6189999999999998</v>
      </c>
      <c r="H25" s="16">
        <v>11.257</v>
      </c>
      <c r="I25" s="17">
        <v>105.401</v>
      </c>
      <c r="J25" s="58">
        <v>970</v>
      </c>
      <c r="K25" s="18">
        <f t="shared" si="4"/>
        <v>90</v>
      </c>
      <c r="L25" s="19">
        <f t="shared" si="1"/>
        <v>-3.0000000000001137</v>
      </c>
      <c r="M25" s="19">
        <f t="shared" si="1"/>
        <v>-1.9999999999997797</v>
      </c>
      <c r="N25" s="19">
        <f t="shared" si="1"/>
        <v>-2.0000000000006679</v>
      </c>
      <c r="O25" s="19">
        <f t="shared" si="5"/>
        <v>-4.0000000000013358</v>
      </c>
      <c r="P25" s="19">
        <f t="shared" si="6"/>
        <v>-1.9999999999997797</v>
      </c>
      <c r="Q25" s="19">
        <f t="shared" si="7"/>
        <v>-2.0000000000006679</v>
      </c>
      <c r="R25" s="19">
        <f t="shared" si="2"/>
        <v>-8.0000000000097771</v>
      </c>
      <c r="S25" s="27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9">
        <f t="shared" si="3"/>
        <v>0.99999999999944578</v>
      </c>
      <c r="Y25" s="24"/>
    </row>
    <row r="26" spans="2:25" ht="15" customHeight="1" x14ac:dyDescent="0.2">
      <c r="B26" s="31">
        <v>41843</v>
      </c>
      <c r="C26" s="25">
        <v>13.082000000000001</v>
      </c>
      <c r="D26" s="26">
        <v>7.44</v>
      </c>
      <c r="E26" s="26">
        <v>8.7349999999999994</v>
      </c>
      <c r="F26" s="16">
        <v>14.122999999999999</v>
      </c>
      <c r="G26" s="16">
        <v>9.6189999999999998</v>
      </c>
      <c r="H26" s="16">
        <v>11.257</v>
      </c>
      <c r="I26" s="17">
        <v>105.4</v>
      </c>
      <c r="J26" s="58">
        <v>975</v>
      </c>
      <c r="K26" s="18">
        <f t="shared" si="4"/>
        <v>95</v>
      </c>
      <c r="L26" s="19">
        <f t="shared" si="1"/>
        <v>-3.0000000000001137</v>
      </c>
      <c r="M26" s="19">
        <f t="shared" si="1"/>
        <v>-1.9999999999997797</v>
      </c>
      <c r="N26" s="19">
        <f t="shared" si="1"/>
        <v>-4.0000000000013358</v>
      </c>
      <c r="O26" s="19">
        <f t="shared" si="5"/>
        <v>-4.0000000000013358</v>
      </c>
      <c r="P26" s="19">
        <f t="shared" si="6"/>
        <v>-1.9999999999997797</v>
      </c>
      <c r="Q26" s="19">
        <f t="shared" si="7"/>
        <v>-2.0000000000006679</v>
      </c>
      <c r="R26" s="19">
        <f t="shared" si="2"/>
        <v>-9.0000000000003411</v>
      </c>
      <c r="S26" s="27">
        <f t="shared" si="3"/>
        <v>0</v>
      </c>
      <c r="T26" s="28">
        <f t="shared" si="3"/>
        <v>0</v>
      </c>
      <c r="U26" s="28">
        <f t="shared" si="3"/>
        <v>-2.0000000000006679</v>
      </c>
      <c r="V26" s="28">
        <f t="shared" si="3"/>
        <v>0</v>
      </c>
      <c r="W26" s="28">
        <f t="shared" si="3"/>
        <v>0</v>
      </c>
      <c r="X26" s="29">
        <f t="shared" si="3"/>
        <v>0</v>
      </c>
      <c r="Y26" s="24"/>
    </row>
    <row r="27" spans="2:25" ht="15" customHeight="1" x14ac:dyDescent="0.2">
      <c r="B27" s="31">
        <v>41844</v>
      </c>
      <c r="C27" s="25">
        <v>13.082000000000001</v>
      </c>
      <c r="D27" s="26">
        <v>7.4409999999999998</v>
      </c>
      <c r="E27" s="26">
        <v>8.7349999999999994</v>
      </c>
      <c r="F27" s="16">
        <v>14.122999999999999</v>
      </c>
      <c r="G27" s="16">
        <v>9.6189999999999998</v>
      </c>
      <c r="H27" s="16">
        <v>11.257</v>
      </c>
      <c r="I27" s="17">
        <v>105.4</v>
      </c>
      <c r="J27" s="58">
        <v>984</v>
      </c>
      <c r="K27" s="18">
        <f t="shared" si="4"/>
        <v>104</v>
      </c>
      <c r="L27" s="19">
        <f t="shared" si="1"/>
        <v>-3.0000000000001137</v>
      </c>
      <c r="M27" s="19">
        <f t="shared" si="1"/>
        <v>-1.000000000000334</v>
      </c>
      <c r="N27" s="19">
        <f t="shared" si="1"/>
        <v>-4.0000000000013358</v>
      </c>
      <c r="O27" s="19">
        <f t="shared" si="5"/>
        <v>-4.0000000000013358</v>
      </c>
      <c r="P27" s="19">
        <f t="shared" si="6"/>
        <v>-1.9999999999997797</v>
      </c>
      <c r="Q27" s="19">
        <f t="shared" si="7"/>
        <v>-2.0000000000006679</v>
      </c>
      <c r="R27" s="19">
        <f t="shared" si="2"/>
        <v>-9.0000000000003411</v>
      </c>
      <c r="S27" s="27">
        <f t="shared" si="3"/>
        <v>0</v>
      </c>
      <c r="T27" s="28">
        <f t="shared" si="3"/>
        <v>0.99999999999944578</v>
      </c>
      <c r="U27" s="28">
        <f t="shared" si="3"/>
        <v>0</v>
      </c>
      <c r="V27" s="28">
        <f t="shared" si="3"/>
        <v>0</v>
      </c>
      <c r="W27" s="28">
        <f t="shared" si="3"/>
        <v>0</v>
      </c>
      <c r="X27" s="29">
        <f t="shared" si="3"/>
        <v>0</v>
      </c>
      <c r="Y27" s="24"/>
    </row>
    <row r="28" spans="2:25" ht="15" customHeight="1" x14ac:dyDescent="0.2">
      <c r="B28" s="31">
        <v>41848</v>
      </c>
      <c r="C28" s="25">
        <v>13.082000000000001</v>
      </c>
      <c r="D28" s="26">
        <v>7.44</v>
      </c>
      <c r="E28" s="26">
        <v>8.7349999999999994</v>
      </c>
      <c r="F28" s="16">
        <v>14.122999999999999</v>
      </c>
      <c r="G28" s="16">
        <v>9.6189999999999998</v>
      </c>
      <c r="H28" s="16">
        <v>11.257</v>
      </c>
      <c r="I28" s="17">
        <v>105.4</v>
      </c>
      <c r="J28" s="58">
        <v>995</v>
      </c>
      <c r="K28" s="18">
        <f t="shared" si="4"/>
        <v>115</v>
      </c>
      <c r="L28" s="19">
        <f t="shared" si="1"/>
        <v>-3.0000000000001137</v>
      </c>
      <c r="M28" s="19">
        <f t="shared" si="1"/>
        <v>-1.9999999999997797</v>
      </c>
      <c r="N28" s="19">
        <f t="shared" si="1"/>
        <v>-4.0000000000013358</v>
      </c>
      <c r="O28" s="19">
        <f t="shared" si="5"/>
        <v>-4.0000000000013358</v>
      </c>
      <c r="P28" s="19">
        <f t="shared" si="6"/>
        <v>-1.9999999999997797</v>
      </c>
      <c r="Q28" s="19">
        <f t="shared" si="7"/>
        <v>-2.0000000000006679</v>
      </c>
      <c r="R28" s="19">
        <f t="shared" si="2"/>
        <v>-9.0000000000003411</v>
      </c>
      <c r="S28" s="27">
        <f t="shared" si="3"/>
        <v>0</v>
      </c>
      <c r="T28" s="28">
        <f t="shared" si="3"/>
        <v>-0.24999999999986144</v>
      </c>
      <c r="U28" s="28">
        <f t="shared" si="3"/>
        <v>0</v>
      </c>
      <c r="V28" s="28">
        <f t="shared" si="3"/>
        <v>0</v>
      </c>
      <c r="W28" s="28">
        <f t="shared" si="3"/>
        <v>0</v>
      </c>
      <c r="X28" s="29">
        <f t="shared" si="3"/>
        <v>0</v>
      </c>
      <c r="Y28" s="24"/>
    </row>
    <row r="29" spans="2:25" ht="15" customHeight="1" x14ac:dyDescent="0.2">
      <c r="B29" s="31">
        <v>41849</v>
      </c>
      <c r="C29" s="25">
        <v>13.082000000000001</v>
      </c>
      <c r="D29" s="26">
        <v>7.44</v>
      </c>
      <c r="E29" s="26">
        <v>8.7349999999999994</v>
      </c>
      <c r="F29" s="16">
        <v>14.122999999999999</v>
      </c>
      <c r="G29" s="16">
        <v>9.6189999999999998</v>
      </c>
      <c r="H29" s="16">
        <v>11.257</v>
      </c>
      <c r="I29" s="17">
        <v>105.401</v>
      </c>
      <c r="J29" s="58">
        <v>1007</v>
      </c>
      <c r="K29" s="18">
        <f t="shared" si="4"/>
        <v>127</v>
      </c>
      <c r="L29" s="19">
        <f t="shared" si="1"/>
        <v>-3.0000000000001137</v>
      </c>
      <c r="M29" s="19">
        <f t="shared" si="1"/>
        <v>-1.9999999999997797</v>
      </c>
      <c r="N29" s="19">
        <f t="shared" si="1"/>
        <v>-4.0000000000013358</v>
      </c>
      <c r="O29" s="19">
        <f t="shared" si="5"/>
        <v>-4.0000000000013358</v>
      </c>
      <c r="P29" s="19">
        <f t="shared" si="6"/>
        <v>-1.9999999999997797</v>
      </c>
      <c r="Q29" s="19">
        <f t="shared" si="7"/>
        <v>-2.0000000000006679</v>
      </c>
      <c r="R29" s="19">
        <f t="shared" si="2"/>
        <v>-8.0000000000097771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>
        <f t="shared" si="3"/>
        <v>0</v>
      </c>
      <c r="W29" s="28">
        <f t="shared" si="3"/>
        <v>0</v>
      </c>
      <c r="X29" s="29">
        <f t="shared" si="3"/>
        <v>0</v>
      </c>
      <c r="Y29" s="24"/>
    </row>
    <row r="30" spans="2:25" ht="15" customHeight="1" x14ac:dyDescent="0.2">
      <c r="B30" s="31">
        <v>41850</v>
      </c>
      <c r="C30" s="25">
        <v>13.082000000000001</v>
      </c>
      <c r="D30" s="26">
        <v>7.44</v>
      </c>
      <c r="E30" s="26">
        <v>8.7349999999999994</v>
      </c>
      <c r="F30" s="16">
        <v>14.121</v>
      </c>
      <c r="G30" s="16">
        <v>9.6189999999999998</v>
      </c>
      <c r="H30" s="16">
        <v>11.257</v>
      </c>
      <c r="I30" s="17">
        <v>105.4</v>
      </c>
      <c r="J30" s="58">
        <v>1011</v>
      </c>
      <c r="K30" s="18">
        <f t="shared" si="4"/>
        <v>131</v>
      </c>
      <c r="L30" s="19">
        <f t="shared" si="1"/>
        <v>-3.0000000000001137</v>
      </c>
      <c r="M30" s="19">
        <f t="shared" si="1"/>
        <v>-1.9999999999997797</v>
      </c>
      <c r="N30" s="19">
        <f t="shared" si="1"/>
        <v>-4.0000000000013358</v>
      </c>
      <c r="O30" s="19">
        <f t="shared" si="5"/>
        <v>-6.0000000000002274</v>
      </c>
      <c r="P30" s="19">
        <f t="shared" si="6"/>
        <v>-1.9999999999997797</v>
      </c>
      <c r="Q30" s="19">
        <f t="shared" si="7"/>
        <v>-2.0000000000006679</v>
      </c>
      <c r="R30" s="19">
        <f t="shared" si="2"/>
        <v>-9.0000000000003411</v>
      </c>
      <c r="S30" s="27">
        <f t="shared" si="3"/>
        <v>0</v>
      </c>
      <c r="T30" s="28">
        <f t="shared" si="3"/>
        <v>0</v>
      </c>
      <c r="U30" s="28">
        <f t="shared" si="3"/>
        <v>0</v>
      </c>
      <c r="V30" s="28">
        <f t="shared" si="3"/>
        <v>-1.9999999999988916</v>
      </c>
      <c r="W30" s="28">
        <f t="shared" si="3"/>
        <v>0</v>
      </c>
      <c r="X30" s="29">
        <f t="shared" si="3"/>
        <v>0</v>
      </c>
      <c r="Y30" s="24"/>
    </row>
    <row r="31" spans="2:25" ht="15" customHeight="1" x14ac:dyDescent="0.2">
      <c r="B31" s="31">
        <v>41855</v>
      </c>
      <c r="C31" s="25">
        <v>13.082000000000001</v>
      </c>
      <c r="D31" s="26">
        <v>7.4409999999999998</v>
      </c>
      <c r="E31" s="26">
        <v>8.7349999999999994</v>
      </c>
      <c r="F31" s="16">
        <v>14.121</v>
      </c>
      <c r="G31" s="16">
        <v>9.6189999999999998</v>
      </c>
      <c r="H31" s="16">
        <v>11.257</v>
      </c>
      <c r="I31" s="17">
        <v>105.401</v>
      </c>
      <c r="J31" s="58">
        <v>1033</v>
      </c>
      <c r="K31" s="18">
        <f t="shared" si="4"/>
        <v>153</v>
      </c>
      <c r="L31" s="19">
        <f t="shared" si="1"/>
        <v>-3.0000000000001137</v>
      </c>
      <c r="M31" s="19">
        <f t="shared" si="1"/>
        <v>-1.000000000000334</v>
      </c>
      <c r="N31" s="19">
        <f t="shared" si="1"/>
        <v>-4.0000000000013358</v>
      </c>
      <c r="O31" s="19">
        <f t="shared" si="5"/>
        <v>-6.0000000000002274</v>
      </c>
      <c r="P31" s="19">
        <f t="shared" si="6"/>
        <v>-1.9999999999997797</v>
      </c>
      <c r="Q31" s="19">
        <f t="shared" si="7"/>
        <v>-2.0000000000006679</v>
      </c>
      <c r="R31" s="19">
        <f t="shared" si="2"/>
        <v>-8.0000000000097771</v>
      </c>
      <c r="S31" s="27">
        <f t="shared" si="3"/>
        <v>0</v>
      </c>
      <c r="T31" s="28">
        <f t="shared" si="3"/>
        <v>0.19999999999988916</v>
      </c>
      <c r="U31" s="28">
        <f t="shared" si="3"/>
        <v>0</v>
      </c>
      <c r="V31" s="28">
        <f t="shared" si="3"/>
        <v>0</v>
      </c>
      <c r="W31" s="28">
        <f t="shared" si="3"/>
        <v>0</v>
      </c>
      <c r="X31" s="29">
        <f t="shared" si="3"/>
        <v>0</v>
      </c>
      <c r="Y31" s="24"/>
    </row>
    <row r="32" spans="2:25" ht="15" customHeight="1" x14ac:dyDescent="0.2">
      <c r="B32" s="31">
        <v>41857</v>
      </c>
      <c r="C32" s="25">
        <v>13.082000000000001</v>
      </c>
      <c r="D32" s="26">
        <v>7.4409999999999998</v>
      </c>
      <c r="E32" s="26">
        <v>8.7349999999999994</v>
      </c>
      <c r="F32" s="16">
        <v>14.122</v>
      </c>
      <c r="G32" s="16">
        <v>9.6189999999999998</v>
      </c>
      <c r="H32" s="16">
        <v>11.257</v>
      </c>
      <c r="I32" s="17">
        <v>105.4</v>
      </c>
      <c r="J32" s="58">
        <v>1043</v>
      </c>
      <c r="K32" s="18">
        <f t="shared" si="4"/>
        <v>163</v>
      </c>
      <c r="L32" s="19">
        <f t="shared" si="1"/>
        <v>-3.0000000000001137</v>
      </c>
      <c r="M32" s="19">
        <f t="shared" si="1"/>
        <v>-1.000000000000334</v>
      </c>
      <c r="N32" s="19">
        <f t="shared" si="1"/>
        <v>-4.0000000000013358</v>
      </c>
      <c r="O32" s="19">
        <f t="shared" si="5"/>
        <v>-5.0000000000007816</v>
      </c>
      <c r="P32" s="19">
        <f t="shared" si="6"/>
        <v>-1.9999999999997797</v>
      </c>
      <c r="Q32" s="19">
        <f t="shared" si="7"/>
        <v>-2.0000000000006679</v>
      </c>
      <c r="R32" s="19">
        <f t="shared" si="2"/>
        <v>-9.0000000000003411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>
        <f t="shared" si="3"/>
        <v>0.49999999999972289</v>
      </c>
      <c r="W32" s="28">
        <f t="shared" si="3"/>
        <v>0</v>
      </c>
      <c r="X32" s="29">
        <f t="shared" si="3"/>
        <v>0</v>
      </c>
      <c r="Y32" s="24"/>
    </row>
    <row r="33" spans="2:25" ht="15" customHeight="1" x14ac:dyDescent="0.2">
      <c r="B33" s="31">
        <v>41864</v>
      </c>
      <c r="C33" s="25">
        <v>13.082000000000001</v>
      </c>
      <c r="D33" s="26">
        <v>7.4409999999999998</v>
      </c>
      <c r="E33" s="26">
        <v>8.7349999999999994</v>
      </c>
      <c r="F33" s="78">
        <v>14.122</v>
      </c>
      <c r="G33" s="78">
        <v>9.6189999999999998</v>
      </c>
      <c r="H33" s="16">
        <v>11.257</v>
      </c>
      <c r="I33" s="17">
        <v>105.4</v>
      </c>
      <c r="J33" s="58">
        <v>1082</v>
      </c>
      <c r="K33" s="18">
        <f t="shared" ref="K33:K96" si="8">IF(ISBLANK(J33),"",(J33-$J$8))</f>
        <v>202</v>
      </c>
      <c r="L33" s="19">
        <f t="shared" si="1"/>
        <v>-3.0000000000001137</v>
      </c>
      <c r="M33" s="19">
        <f t="shared" si="1"/>
        <v>-1.000000000000334</v>
      </c>
      <c r="N33" s="19">
        <f t="shared" si="1"/>
        <v>-4.0000000000013358</v>
      </c>
      <c r="O33" s="19">
        <f t="shared" si="5"/>
        <v>-5.0000000000007816</v>
      </c>
      <c r="P33" s="19">
        <f t="shared" si="6"/>
        <v>-1.9999999999997797</v>
      </c>
      <c r="Q33" s="19">
        <f t="shared" si="7"/>
        <v>-2.0000000000006679</v>
      </c>
      <c r="R33" s="19">
        <f t="shared" si="2"/>
        <v>-9.0000000000003411</v>
      </c>
      <c r="S33" s="27">
        <f t="shared" ref="S33:X48" si="9">IF(C33="","",((C33-C32)*1000)/($B33-$B32))</f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9">
        <f t="shared" si="9"/>
        <v>0</v>
      </c>
      <c r="Y33" s="24"/>
    </row>
    <row r="34" spans="2:25" ht="15" customHeight="1" x14ac:dyDescent="0.2">
      <c r="B34" s="31">
        <v>41869</v>
      </c>
      <c r="C34" s="25">
        <v>13.082000000000001</v>
      </c>
      <c r="D34" s="26">
        <v>7.4409999999999998</v>
      </c>
      <c r="E34" s="26">
        <v>8.7349999999999994</v>
      </c>
      <c r="F34" s="78">
        <v>14.122</v>
      </c>
      <c r="G34" s="78">
        <v>9.6189999999999998</v>
      </c>
      <c r="H34" s="16">
        <v>11.257</v>
      </c>
      <c r="I34" s="17">
        <v>105.4</v>
      </c>
      <c r="J34" s="58">
        <v>1099</v>
      </c>
      <c r="K34" s="18">
        <f t="shared" si="8"/>
        <v>219</v>
      </c>
      <c r="L34" s="19">
        <f t="shared" si="1"/>
        <v>-3.0000000000001137</v>
      </c>
      <c r="M34" s="19">
        <f t="shared" si="1"/>
        <v>-1.000000000000334</v>
      </c>
      <c r="N34" s="19">
        <f t="shared" si="1"/>
        <v>-4.0000000000013358</v>
      </c>
      <c r="O34" s="19">
        <f t="shared" si="5"/>
        <v>-5.0000000000007816</v>
      </c>
      <c r="P34" s="19">
        <f t="shared" si="6"/>
        <v>-1.9999999999997797</v>
      </c>
      <c r="Q34" s="19">
        <f t="shared" si="7"/>
        <v>-2.0000000000006679</v>
      </c>
      <c r="R34" s="19">
        <f t="shared" si="2"/>
        <v>-9.0000000000003411</v>
      </c>
      <c r="S34" s="27">
        <f t="shared" si="9"/>
        <v>0</v>
      </c>
      <c r="T34" s="28">
        <f t="shared" si="9"/>
        <v>0</v>
      </c>
      <c r="U34" s="28">
        <f t="shared" si="9"/>
        <v>0</v>
      </c>
      <c r="V34" s="28">
        <f t="shared" si="9"/>
        <v>0</v>
      </c>
      <c r="W34" s="28">
        <f t="shared" si="9"/>
        <v>0</v>
      </c>
      <c r="X34" s="29">
        <f t="shared" si="9"/>
        <v>0</v>
      </c>
      <c r="Y34" s="24"/>
    </row>
    <row r="35" spans="2:25" ht="15" customHeight="1" x14ac:dyDescent="0.2">
      <c r="B35" s="31">
        <v>41879</v>
      </c>
      <c r="C35" s="77">
        <v>13.082000000000001</v>
      </c>
      <c r="D35" s="76">
        <v>7.4409999999999998</v>
      </c>
      <c r="E35" s="76">
        <v>8.7349999999999994</v>
      </c>
      <c r="F35" s="78">
        <v>14.122</v>
      </c>
      <c r="G35" s="78">
        <v>9.6189999999999998</v>
      </c>
      <c r="H35" s="16">
        <v>11.257</v>
      </c>
      <c r="I35" s="17">
        <v>105.4</v>
      </c>
      <c r="J35" s="58">
        <v>943</v>
      </c>
      <c r="K35" s="18">
        <f t="shared" si="8"/>
        <v>63</v>
      </c>
      <c r="L35" s="19">
        <f t="shared" si="1"/>
        <v>-3.0000000000001137</v>
      </c>
      <c r="M35" s="19">
        <f t="shared" si="1"/>
        <v>-1.000000000000334</v>
      </c>
      <c r="N35" s="19">
        <f t="shared" si="1"/>
        <v>-4.0000000000013358</v>
      </c>
      <c r="O35" s="19">
        <f t="shared" si="5"/>
        <v>-5.0000000000007816</v>
      </c>
      <c r="P35" s="19">
        <f t="shared" si="6"/>
        <v>-1.9999999999997797</v>
      </c>
      <c r="Q35" s="19">
        <f t="shared" si="7"/>
        <v>-2.0000000000006679</v>
      </c>
      <c r="R35" s="19">
        <f t="shared" si="2"/>
        <v>-9.0000000000003411</v>
      </c>
      <c r="S35" s="27">
        <f t="shared" si="9"/>
        <v>0</v>
      </c>
      <c r="T35" s="28">
        <f t="shared" si="9"/>
        <v>0</v>
      </c>
      <c r="U35" s="28">
        <f t="shared" si="9"/>
        <v>0</v>
      </c>
      <c r="V35" s="28">
        <f t="shared" si="9"/>
        <v>0</v>
      </c>
      <c r="W35" s="28">
        <f t="shared" si="9"/>
        <v>0</v>
      </c>
      <c r="X35" s="29">
        <f t="shared" si="9"/>
        <v>0</v>
      </c>
      <c r="Y35" s="24"/>
    </row>
    <row r="36" spans="2:25" ht="15" customHeight="1" x14ac:dyDescent="0.2">
      <c r="B36" s="31">
        <v>41913</v>
      </c>
      <c r="C36" s="77">
        <v>13.082000000000001</v>
      </c>
      <c r="D36" s="76">
        <v>7.4409999999999998</v>
      </c>
      <c r="E36" s="76">
        <v>8.7349999999999994</v>
      </c>
      <c r="F36" s="78">
        <v>14.122</v>
      </c>
      <c r="G36" s="78">
        <v>9.6189999999999998</v>
      </c>
      <c r="H36" s="16">
        <v>11.257</v>
      </c>
      <c r="I36" s="17">
        <v>105.4</v>
      </c>
      <c r="J36" s="58">
        <v>943</v>
      </c>
      <c r="K36" s="18">
        <f t="shared" si="8"/>
        <v>63</v>
      </c>
      <c r="L36" s="19">
        <f t="shared" si="1"/>
        <v>-3.0000000000001137</v>
      </c>
      <c r="M36" s="19">
        <f t="shared" si="1"/>
        <v>-1.000000000000334</v>
      </c>
      <c r="N36" s="19">
        <f t="shared" si="1"/>
        <v>-4.0000000000013358</v>
      </c>
      <c r="O36" s="19">
        <f t="shared" si="5"/>
        <v>-5.0000000000007816</v>
      </c>
      <c r="P36" s="19">
        <f t="shared" si="6"/>
        <v>-1.9999999999997797</v>
      </c>
      <c r="Q36" s="19">
        <f t="shared" si="7"/>
        <v>-2.0000000000006679</v>
      </c>
      <c r="R36" s="19">
        <f t="shared" si="2"/>
        <v>-9.0000000000003411</v>
      </c>
      <c r="S36" s="27">
        <f t="shared" si="9"/>
        <v>0</v>
      </c>
      <c r="T36" s="28">
        <f t="shared" si="9"/>
        <v>0</v>
      </c>
      <c r="U36" s="28">
        <f t="shared" si="9"/>
        <v>0</v>
      </c>
      <c r="V36" s="28">
        <f t="shared" si="9"/>
        <v>0</v>
      </c>
      <c r="W36" s="28">
        <f t="shared" si="9"/>
        <v>0</v>
      </c>
      <c r="X36" s="29">
        <f t="shared" si="9"/>
        <v>0</v>
      </c>
      <c r="Y36" s="24"/>
    </row>
    <row r="37" spans="2:25" ht="15" customHeight="1" x14ac:dyDescent="0.2">
      <c r="B37" s="31">
        <v>42032</v>
      </c>
      <c r="C37" s="25">
        <v>13.081</v>
      </c>
      <c r="D37" s="26">
        <v>7.4409999999999998</v>
      </c>
      <c r="E37" s="26">
        <v>8.7349999999999994</v>
      </c>
      <c r="F37" s="78">
        <v>14.122</v>
      </c>
      <c r="G37" s="78">
        <v>9.6189999999999998</v>
      </c>
      <c r="H37" s="16">
        <v>11.257</v>
      </c>
      <c r="I37" s="17">
        <v>105.4</v>
      </c>
      <c r="J37" s="58">
        <v>943</v>
      </c>
      <c r="K37" s="18">
        <f t="shared" si="8"/>
        <v>63</v>
      </c>
      <c r="L37" s="19">
        <f t="shared" si="1"/>
        <v>-4.0000000000013358</v>
      </c>
      <c r="M37" s="19">
        <f t="shared" si="1"/>
        <v>-1.000000000000334</v>
      </c>
      <c r="N37" s="19">
        <f t="shared" si="1"/>
        <v>-4.0000000000013358</v>
      </c>
      <c r="O37" s="19">
        <f t="shared" si="5"/>
        <v>-5.0000000000007816</v>
      </c>
      <c r="P37" s="19">
        <f t="shared" si="6"/>
        <v>-1.9999999999997797</v>
      </c>
      <c r="Q37" s="19">
        <f t="shared" si="7"/>
        <v>-2.0000000000006679</v>
      </c>
      <c r="R37" s="19">
        <f t="shared" si="2"/>
        <v>-9.0000000000003411</v>
      </c>
      <c r="S37" s="27">
        <f>IF(C37="","",((C37-C36)*1000)/($B37-$B36))</f>
        <v>-8.4033613445480843E-3</v>
      </c>
      <c r="T37" s="28">
        <f>IF(D37="","",((D37-D36)*1000)/($B37-$B36))</f>
        <v>0</v>
      </c>
      <c r="U37" s="28">
        <f>IF(E37="","",((E37-E36)*1000)/($B37-$B36))</f>
        <v>0</v>
      </c>
      <c r="V37" s="28">
        <f t="shared" si="9"/>
        <v>0</v>
      </c>
      <c r="W37" s="28">
        <f t="shared" si="9"/>
        <v>0</v>
      </c>
      <c r="X37" s="29">
        <f t="shared" si="9"/>
        <v>0</v>
      </c>
      <c r="Y37" s="24"/>
    </row>
    <row r="38" spans="2:25" ht="15" customHeight="1" x14ac:dyDescent="0.2">
      <c r="B38" s="31">
        <v>42121</v>
      </c>
      <c r="C38" s="25"/>
      <c r="D38" s="26"/>
      <c r="E38" s="26"/>
      <c r="F38" s="78">
        <v>14.122</v>
      </c>
      <c r="G38" s="78">
        <v>9.6189999999999998</v>
      </c>
      <c r="H38" s="16">
        <v>11.257999999999999</v>
      </c>
      <c r="I38" s="17">
        <v>105.4</v>
      </c>
      <c r="J38" s="58">
        <v>943</v>
      </c>
      <c r="K38" s="18">
        <f t="shared" si="8"/>
        <v>63</v>
      </c>
      <c r="L38" s="19" t="str">
        <f t="shared" si="1"/>
        <v/>
      </c>
      <c r="M38" s="19" t="str">
        <f t="shared" si="1"/>
        <v/>
      </c>
      <c r="N38" s="19" t="str">
        <f t="shared" si="1"/>
        <v/>
      </c>
      <c r="O38" s="19">
        <f t="shared" si="5"/>
        <v>-5.0000000000007816</v>
      </c>
      <c r="P38" s="19">
        <f t="shared" si="6"/>
        <v>-1.9999999999997797</v>
      </c>
      <c r="Q38" s="19">
        <f t="shared" si="7"/>
        <v>-1.0000000000012221</v>
      </c>
      <c r="R38" s="19">
        <f t="shared" si="2"/>
        <v>-9.0000000000003411</v>
      </c>
      <c r="S38" s="27" t="str">
        <f t="shared" si="9"/>
        <v/>
      </c>
      <c r="T38" s="28" t="str">
        <f t="shared" si="9"/>
        <v/>
      </c>
      <c r="U38" s="28" t="str">
        <f t="shared" si="9"/>
        <v/>
      </c>
      <c r="V38" s="28">
        <f t="shared" si="9"/>
        <v>0</v>
      </c>
      <c r="W38" s="28">
        <f t="shared" si="9"/>
        <v>0</v>
      </c>
      <c r="X38" s="29">
        <f t="shared" si="9"/>
        <v>1.1235955056173547E-2</v>
      </c>
      <c r="Y38" s="24"/>
    </row>
    <row r="39" spans="2:25" ht="15" customHeight="1" x14ac:dyDescent="0.2">
      <c r="B39" s="31">
        <v>42223</v>
      </c>
      <c r="C39" s="25"/>
      <c r="D39" s="26"/>
      <c r="E39" s="26"/>
      <c r="F39" s="78">
        <v>14.122</v>
      </c>
      <c r="G39" s="78">
        <v>9.6189999999999998</v>
      </c>
      <c r="H39" s="47">
        <v>11.257999999999999</v>
      </c>
      <c r="I39" s="57">
        <v>105.4</v>
      </c>
      <c r="J39" s="32">
        <v>1304</v>
      </c>
      <c r="K39" s="18">
        <f t="shared" si="8"/>
        <v>424</v>
      </c>
      <c r="L39" s="19" t="str">
        <f t="shared" si="1"/>
        <v/>
      </c>
      <c r="M39" s="19" t="str">
        <f t="shared" si="1"/>
        <v/>
      </c>
      <c r="N39" s="19" t="str">
        <f t="shared" si="1"/>
        <v/>
      </c>
      <c r="O39" s="19">
        <f t="shared" si="5"/>
        <v>-5.0000000000007816</v>
      </c>
      <c r="P39" s="19">
        <f t="shared" si="6"/>
        <v>-1.9999999999997797</v>
      </c>
      <c r="Q39" s="19">
        <f t="shared" si="7"/>
        <v>-1.0000000000012221</v>
      </c>
      <c r="R39" s="19">
        <f t="shared" si="2"/>
        <v>-9.0000000000003411</v>
      </c>
      <c r="S39" s="27" t="str">
        <f t="shared" si="9"/>
        <v/>
      </c>
      <c r="T39" s="28" t="str">
        <f t="shared" si="9"/>
        <v/>
      </c>
      <c r="U39" s="28" t="str">
        <f t="shared" si="9"/>
        <v/>
      </c>
      <c r="V39" s="28">
        <f t="shared" si="9"/>
        <v>0</v>
      </c>
      <c r="W39" s="28">
        <f t="shared" si="9"/>
        <v>0</v>
      </c>
      <c r="X39" s="29">
        <f t="shared" si="9"/>
        <v>0</v>
      </c>
      <c r="Y39" s="24"/>
    </row>
    <row r="40" spans="2:25" ht="15" customHeight="1" x14ac:dyDescent="0.2">
      <c r="B40" s="31">
        <v>42327</v>
      </c>
      <c r="C40" s="25">
        <v>13.082000000000001</v>
      </c>
      <c r="D40" s="26">
        <v>7.4409999999999998</v>
      </c>
      <c r="E40" s="26">
        <v>8.7349999999999994</v>
      </c>
      <c r="F40" s="78">
        <v>14.122</v>
      </c>
      <c r="G40" s="78">
        <v>9.6189999999999998</v>
      </c>
      <c r="H40" s="47">
        <v>11.257</v>
      </c>
      <c r="I40" s="57">
        <v>105.4</v>
      </c>
      <c r="J40" s="32">
        <v>2251</v>
      </c>
      <c r="K40" s="18">
        <f t="shared" si="8"/>
        <v>1371</v>
      </c>
      <c r="L40" s="19">
        <f t="shared" si="1"/>
        <v>-3.0000000000001137</v>
      </c>
      <c r="M40" s="19">
        <f t="shared" si="1"/>
        <v>-1.000000000000334</v>
      </c>
      <c r="N40" s="19">
        <f t="shared" si="1"/>
        <v>-4.0000000000013358</v>
      </c>
      <c r="O40" s="19">
        <f t="shared" si="5"/>
        <v>-5.0000000000007816</v>
      </c>
      <c r="P40" s="19">
        <f t="shared" si="6"/>
        <v>-1.9999999999997797</v>
      </c>
      <c r="Q40" s="19">
        <f t="shared" si="7"/>
        <v>-2.0000000000006679</v>
      </c>
      <c r="R40" s="19">
        <f t="shared" si="2"/>
        <v>-9.0000000000003411</v>
      </c>
      <c r="S40" s="27"/>
      <c r="T40" s="28"/>
      <c r="U40" s="28"/>
      <c r="V40" s="28">
        <f t="shared" si="9"/>
        <v>0</v>
      </c>
      <c r="W40" s="28">
        <f t="shared" si="9"/>
        <v>0</v>
      </c>
      <c r="X40" s="29">
        <f t="shared" si="9"/>
        <v>-9.6153846153792868E-3</v>
      </c>
      <c r="Y40" s="24"/>
    </row>
    <row r="41" spans="2:25" ht="15" customHeight="1" x14ac:dyDescent="0.2">
      <c r="B41" s="31">
        <v>42424</v>
      </c>
      <c r="C41" s="73"/>
      <c r="D41" s="26"/>
      <c r="E41" s="71"/>
      <c r="F41" s="78">
        <v>14.122</v>
      </c>
      <c r="G41" s="78">
        <v>9.6189999999999998</v>
      </c>
      <c r="H41" s="47">
        <v>11.257</v>
      </c>
      <c r="I41" s="57">
        <v>105.4</v>
      </c>
      <c r="J41" s="32">
        <v>2540.5</v>
      </c>
      <c r="K41" s="18">
        <f t="shared" si="8"/>
        <v>1660.5</v>
      </c>
      <c r="L41" s="19" t="str">
        <f t="shared" si="1"/>
        <v/>
      </c>
      <c r="M41" s="19" t="str">
        <f t="shared" si="1"/>
        <v/>
      </c>
      <c r="N41" s="19" t="str">
        <f t="shared" si="1"/>
        <v/>
      </c>
      <c r="O41" s="19">
        <f t="shared" si="5"/>
        <v>-5.0000000000007816</v>
      </c>
      <c r="P41" s="19">
        <f t="shared" si="6"/>
        <v>-1.9999999999997797</v>
      </c>
      <c r="Q41" s="19">
        <f t="shared" si="7"/>
        <v>-2.0000000000006679</v>
      </c>
      <c r="R41" s="19">
        <f t="shared" si="2"/>
        <v>-9.0000000000003411</v>
      </c>
      <c r="S41" s="27" t="str">
        <f t="shared" si="9"/>
        <v/>
      </c>
      <c r="T41" s="28" t="str">
        <f t="shared" si="9"/>
        <v/>
      </c>
      <c r="U41" s="28" t="str">
        <f t="shared" si="9"/>
        <v/>
      </c>
      <c r="V41" s="28">
        <f t="shared" si="9"/>
        <v>0</v>
      </c>
      <c r="W41" s="28">
        <f t="shared" si="9"/>
        <v>0</v>
      </c>
      <c r="X41" s="29">
        <f t="shared" si="9"/>
        <v>0</v>
      </c>
      <c r="Y41" s="24"/>
    </row>
    <row r="42" spans="2:25" ht="15" customHeight="1" x14ac:dyDescent="0.2">
      <c r="B42" s="31">
        <v>42530</v>
      </c>
      <c r="C42" s="26"/>
      <c r="D42" s="26"/>
      <c r="E42" s="26"/>
      <c r="F42" s="47">
        <v>14.125999999999999</v>
      </c>
      <c r="G42" s="47">
        <v>9.6219999999999999</v>
      </c>
      <c r="H42" s="47">
        <v>11.256</v>
      </c>
      <c r="I42" s="57">
        <v>105.4</v>
      </c>
      <c r="J42" s="58">
        <v>2608</v>
      </c>
      <c r="K42" s="18">
        <f t="shared" si="8"/>
        <v>1728</v>
      </c>
      <c r="L42" s="19" t="str">
        <f t="shared" si="1"/>
        <v/>
      </c>
      <c r="M42" s="19" t="str">
        <f t="shared" si="1"/>
        <v/>
      </c>
      <c r="N42" s="19" t="str">
        <f t="shared" si="1"/>
        <v/>
      </c>
      <c r="O42" s="19">
        <f t="shared" si="5"/>
        <v>-1.0000000000012221</v>
      </c>
      <c r="P42" s="19">
        <f t="shared" si="6"/>
        <v>1.000000000000334</v>
      </c>
      <c r="Q42" s="19">
        <f t="shared" si="7"/>
        <v>-3.0000000000001137</v>
      </c>
      <c r="R42" s="19">
        <f t="shared" si="2"/>
        <v>-9.0000000000003411</v>
      </c>
      <c r="S42" s="27" t="str">
        <f t="shared" si="9"/>
        <v/>
      </c>
      <c r="T42" s="28" t="str">
        <f t="shared" si="9"/>
        <v/>
      </c>
      <c r="U42" s="28" t="str">
        <f t="shared" si="9"/>
        <v/>
      </c>
      <c r="V42" s="28">
        <f t="shared" si="9"/>
        <v>3.7735849056599616E-2</v>
      </c>
      <c r="W42" s="28">
        <f t="shared" si="9"/>
        <v>2.8301886792453903E-2</v>
      </c>
      <c r="X42" s="29">
        <f t="shared" si="9"/>
        <v>-9.4339622641457146E-3</v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 t="str">
        <f t="shared" si="8"/>
        <v/>
      </c>
      <c r="L43" s="19" t="str">
        <f t="shared" si="1"/>
        <v/>
      </c>
      <c r="M43" s="19" t="str">
        <f t="shared" si="1"/>
        <v/>
      </c>
      <c r="N43" s="19" t="str">
        <f t="shared" si="1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2"/>
        <v/>
      </c>
      <c r="S43" s="27" t="str">
        <f t="shared" si="9"/>
        <v/>
      </c>
      <c r="T43" s="28" t="str">
        <f t="shared" si="9"/>
        <v/>
      </c>
      <c r="U43" s="28" t="str">
        <f t="shared" si="9"/>
        <v/>
      </c>
      <c r="V43" s="28" t="str">
        <f t="shared" si="9"/>
        <v/>
      </c>
      <c r="W43" s="28" t="str">
        <f t="shared" si="9"/>
        <v/>
      </c>
      <c r="X43" s="29" t="str">
        <f t="shared" si="9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18" t="str">
        <f t="shared" si="8"/>
        <v/>
      </c>
      <c r="L44" s="19" t="str">
        <f t="shared" si="1"/>
        <v/>
      </c>
      <c r="M44" s="19" t="str">
        <f t="shared" si="1"/>
        <v/>
      </c>
      <c r="N44" s="19" t="str">
        <f t="shared" si="1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2"/>
        <v/>
      </c>
      <c r="S44" s="27" t="str">
        <f t="shared" si="9"/>
        <v/>
      </c>
      <c r="T44" s="28" t="str">
        <f t="shared" si="9"/>
        <v/>
      </c>
      <c r="U44" s="28" t="str">
        <f t="shared" si="9"/>
        <v/>
      </c>
      <c r="V44" s="28" t="str">
        <f t="shared" si="9"/>
        <v/>
      </c>
      <c r="W44" s="28" t="str">
        <f t="shared" si="9"/>
        <v/>
      </c>
      <c r="X44" s="29" t="str">
        <f t="shared" si="9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18" t="str">
        <f t="shared" si="8"/>
        <v/>
      </c>
      <c r="L45" s="19" t="str">
        <f t="shared" si="1"/>
        <v/>
      </c>
      <c r="M45" s="19" t="str">
        <f t="shared" si="1"/>
        <v/>
      </c>
      <c r="N45" s="19" t="str">
        <f t="shared" si="1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2"/>
        <v/>
      </c>
      <c r="S45" s="27" t="str">
        <f t="shared" si="9"/>
        <v/>
      </c>
      <c r="T45" s="28" t="str">
        <f t="shared" si="9"/>
        <v/>
      </c>
      <c r="U45" s="28" t="str">
        <f t="shared" si="9"/>
        <v/>
      </c>
      <c r="V45" s="28" t="str">
        <f t="shared" si="9"/>
        <v/>
      </c>
      <c r="W45" s="28" t="str">
        <f t="shared" si="9"/>
        <v/>
      </c>
      <c r="X45" s="29" t="str">
        <f t="shared" si="9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18" t="str">
        <f t="shared" si="8"/>
        <v/>
      </c>
      <c r="L46" s="19" t="str">
        <f t="shared" si="1"/>
        <v/>
      </c>
      <c r="M46" s="19" t="str">
        <f t="shared" si="1"/>
        <v/>
      </c>
      <c r="N46" s="19" t="str">
        <f t="shared" si="1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2"/>
        <v/>
      </c>
      <c r="S46" s="27" t="str">
        <f t="shared" si="9"/>
        <v/>
      </c>
      <c r="T46" s="28" t="str">
        <f t="shared" si="9"/>
        <v/>
      </c>
      <c r="U46" s="28" t="str">
        <f t="shared" si="9"/>
        <v/>
      </c>
      <c r="V46" s="28" t="str">
        <f t="shared" si="9"/>
        <v/>
      </c>
      <c r="W46" s="28" t="str">
        <f t="shared" si="9"/>
        <v/>
      </c>
      <c r="X46" s="29" t="str">
        <f t="shared" si="9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 t="str">
        <f t="shared" si="8"/>
        <v/>
      </c>
      <c r="L47" s="19" t="str">
        <f t="shared" si="1"/>
        <v/>
      </c>
      <c r="M47" s="19" t="str">
        <f t="shared" si="1"/>
        <v/>
      </c>
      <c r="N47" s="19" t="str">
        <f t="shared" si="1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2"/>
        <v/>
      </c>
      <c r="S47" s="27" t="str">
        <f t="shared" si="9"/>
        <v/>
      </c>
      <c r="T47" s="28" t="str">
        <f t="shared" si="9"/>
        <v/>
      </c>
      <c r="U47" s="28" t="str">
        <f t="shared" si="9"/>
        <v/>
      </c>
      <c r="V47" s="28" t="str">
        <f t="shared" si="9"/>
        <v/>
      </c>
      <c r="W47" s="28" t="str">
        <f t="shared" si="9"/>
        <v/>
      </c>
      <c r="X47" s="29" t="str">
        <f t="shared" si="9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 t="str">
        <f t="shared" si="8"/>
        <v/>
      </c>
      <c r="L48" s="19" t="str">
        <f t="shared" ref="L48:N79" si="10">IF(ISBLANK(C48),"",(C48-C$16)*1000)</f>
        <v/>
      </c>
      <c r="M48" s="19" t="str">
        <f t="shared" si="10"/>
        <v/>
      </c>
      <c r="N48" s="19" t="str">
        <f t="shared" si="10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2"/>
        <v/>
      </c>
      <c r="S48" s="27" t="str">
        <f t="shared" si="9"/>
        <v/>
      </c>
      <c r="T48" s="28" t="str">
        <f t="shared" si="9"/>
        <v/>
      </c>
      <c r="U48" s="28" t="str">
        <f t="shared" si="9"/>
        <v/>
      </c>
      <c r="V48" s="28" t="str">
        <f t="shared" si="9"/>
        <v/>
      </c>
      <c r="W48" s="28" t="str">
        <f t="shared" si="9"/>
        <v/>
      </c>
      <c r="X48" s="29" t="str">
        <f t="shared" si="9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 t="str">
        <f t="shared" si="8"/>
        <v/>
      </c>
      <c r="L49" s="19" t="str">
        <f t="shared" si="10"/>
        <v/>
      </c>
      <c r="M49" s="19" t="str">
        <f t="shared" si="10"/>
        <v/>
      </c>
      <c r="N49" s="19" t="str">
        <f t="shared" si="10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2"/>
        <v/>
      </c>
      <c r="S49" s="27" t="str">
        <f t="shared" ref="S49:X64" si="11">IF(C49="","",((C49-C48)*1000)/($B49-$B48))</f>
        <v/>
      </c>
      <c r="T49" s="28" t="str">
        <f t="shared" si="11"/>
        <v/>
      </c>
      <c r="U49" s="28" t="str">
        <f t="shared" si="11"/>
        <v/>
      </c>
      <c r="V49" s="28" t="str">
        <f t="shared" si="11"/>
        <v/>
      </c>
      <c r="W49" s="28" t="str">
        <f t="shared" si="11"/>
        <v/>
      </c>
      <c r="X49" s="29" t="str">
        <f t="shared" si="11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 t="str">
        <f t="shared" si="8"/>
        <v/>
      </c>
      <c r="L50" s="19" t="str">
        <f t="shared" si="10"/>
        <v/>
      </c>
      <c r="M50" s="19" t="str">
        <f t="shared" si="10"/>
        <v/>
      </c>
      <c r="N50" s="19" t="str">
        <f t="shared" si="10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2"/>
        <v/>
      </c>
      <c r="S50" s="27" t="str">
        <f t="shared" si="11"/>
        <v/>
      </c>
      <c r="T50" s="28" t="str">
        <f t="shared" si="11"/>
        <v/>
      </c>
      <c r="U50" s="28" t="str">
        <f t="shared" si="11"/>
        <v/>
      </c>
      <c r="V50" s="28" t="str">
        <f t="shared" si="11"/>
        <v/>
      </c>
      <c r="W50" s="28" t="str">
        <f t="shared" si="11"/>
        <v/>
      </c>
      <c r="X50" s="29" t="str">
        <f t="shared" si="11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 t="str">
        <f t="shared" si="8"/>
        <v/>
      </c>
      <c r="L51" s="19" t="str">
        <f t="shared" si="10"/>
        <v/>
      </c>
      <c r="M51" s="19" t="str">
        <f t="shared" si="10"/>
        <v/>
      </c>
      <c r="N51" s="19" t="str">
        <f t="shared" si="10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2"/>
        <v/>
      </c>
      <c r="S51" s="27" t="str">
        <f t="shared" si="11"/>
        <v/>
      </c>
      <c r="T51" s="28" t="str">
        <f t="shared" si="11"/>
        <v/>
      </c>
      <c r="U51" s="28" t="str">
        <f t="shared" si="11"/>
        <v/>
      </c>
      <c r="V51" s="28" t="str">
        <f t="shared" si="11"/>
        <v/>
      </c>
      <c r="W51" s="28" t="str">
        <f t="shared" si="11"/>
        <v/>
      </c>
      <c r="X51" s="29" t="str">
        <f t="shared" si="11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 t="str">
        <f t="shared" si="8"/>
        <v/>
      </c>
      <c r="L52" s="19" t="str">
        <f t="shared" si="10"/>
        <v/>
      </c>
      <c r="M52" s="19" t="str">
        <f t="shared" si="10"/>
        <v/>
      </c>
      <c r="N52" s="19" t="str">
        <f t="shared" si="10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2"/>
        <v/>
      </c>
      <c r="S52" s="27" t="str">
        <f t="shared" si="11"/>
        <v/>
      </c>
      <c r="T52" s="28" t="str">
        <f t="shared" si="11"/>
        <v/>
      </c>
      <c r="U52" s="28" t="str">
        <f t="shared" si="11"/>
        <v/>
      </c>
      <c r="V52" s="28" t="str">
        <f t="shared" si="11"/>
        <v/>
      </c>
      <c r="W52" s="28" t="str">
        <f t="shared" si="11"/>
        <v/>
      </c>
      <c r="X52" s="29" t="str">
        <f t="shared" si="11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 t="str">
        <f t="shared" si="8"/>
        <v/>
      </c>
      <c r="L53" s="19" t="str">
        <f t="shared" si="10"/>
        <v/>
      </c>
      <c r="M53" s="19" t="str">
        <f t="shared" si="10"/>
        <v/>
      </c>
      <c r="N53" s="19" t="str">
        <f t="shared" si="10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2"/>
        <v/>
      </c>
      <c r="S53" s="27" t="str">
        <f t="shared" si="11"/>
        <v/>
      </c>
      <c r="T53" s="28" t="str">
        <f t="shared" si="11"/>
        <v/>
      </c>
      <c r="U53" s="28" t="str">
        <f t="shared" si="11"/>
        <v/>
      </c>
      <c r="V53" s="28" t="str">
        <f t="shared" si="11"/>
        <v/>
      </c>
      <c r="W53" s="28" t="str">
        <f t="shared" si="11"/>
        <v/>
      </c>
      <c r="X53" s="29" t="str">
        <f t="shared" si="1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 t="str">
        <f t="shared" si="8"/>
        <v/>
      </c>
      <c r="L54" s="19" t="str">
        <f t="shared" si="10"/>
        <v/>
      </c>
      <c r="M54" s="19" t="str">
        <f t="shared" si="10"/>
        <v/>
      </c>
      <c r="N54" s="19" t="str">
        <f t="shared" si="10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2"/>
        <v/>
      </c>
      <c r="S54" s="27" t="str">
        <f t="shared" si="11"/>
        <v/>
      </c>
      <c r="T54" s="28" t="str">
        <f t="shared" si="11"/>
        <v/>
      </c>
      <c r="U54" s="28" t="str">
        <f t="shared" si="11"/>
        <v/>
      </c>
      <c r="V54" s="28" t="str">
        <f t="shared" si="11"/>
        <v/>
      </c>
      <c r="W54" s="28" t="str">
        <f t="shared" si="11"/>
        <v/>
      </c>
      <c r="X54" s="29" t="str">
        <f t="shared" si="1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 t="str">
        <f t="shared" si="8"/>
        <v/>
      </c>
      <c r="L55" s="19" t="str">
        <f t="shared" si="10"/>
        <v/>
      </c>
      <c r="M55" s="19" t="str">
        <f t="shared" si="10"/>
        <v/>
      </c>
      <c r="N55" s="19" t="str">
        <f t="shared" si="10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2"/>
        <v/>
      </c>
      <c r="S55" s="27" t="str">
        <f t="shared" si="11"/>
        <v/>
      </c>
      <c r="T55" s="28" t="str">
        <f t="shared" si="11"/>
        <v/>
      </c>
      <c r="U55" s="28" t="str">
        <f t="shared" si="11"/>
        <v/>
      </c>
      <c r="V55" s="28" t="str">
        <f t="shared" si="11"/>
        <v/>
      </c>
      <c r="W55" s="28" t="str">
        <f t="shared" si="11"/>
        <v/>
      </c>
      <c r="X55" s="29" t="str">
        <f t="shared" si="1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8"/>
        <v/>
      </c>
      <c r="L56" s="19" t="str">
        <f t="shared" si="10"/>
        <v/>
      </c>
      <c r="M56" s="19" t="str">
        <f t="shared" si="10"/>
        <v/>
      </c>
      <c r="N56" s="19" t="str">
        <f t="shared" si="10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2"/>
        <v/>
      </c>
      <c r="S56" s="27" t="str">
        <f t="shared" si="11"/>
        <v/>
      </c>
      <c r="T56" s="28" t="str">
        <f t="shared" si="11"/>
        <v/>
      </c>
      <c r="U56" s="28" t="str">
        <f t="shared" si="11"/>
        <v/>
      </c>
      <c r="V56" s="28" t="str">
        <f t="shared" si="11"/>
        <v/>
      </c>
      <c r="W56" s="28" t="str">
        <f t="shared" si="11"/>
        <v/>
      </c>
      <c r="X56" s="29" t="str">
        <f t="shared" si="1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8"/>
        <v/>
      </c>
      <c r="L57" s="19" t="str">
        <f t="shared" si="10"/>
        <v/>
      </c>
      <c r="M57" s="19" t="str">
        <f t="shared" si="10"/>
        <v/>
      </c>
      <c r="N57" s="19" t="str">
        <f t="shared" si="10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2"/>
        <v/>
      </c>
      <c r="S57" s="27" t="str">
        <f t="shared" si="11"/>
        <v/>
      </c>
      <c r="T57" s="28" t="str">
        <f t="shared" si="11"/>
        <v/>
      </c>
      <c r="U57" s="28" t="str">
        <f t="shared" si="11"/>
        <v/>
      </c>
      <c r="V57" s="28" t="str">
        <f t="shared" si="11"/>
        <v/>
      </c>
      <c r="W57" s="28" t="str">
        <f t="shared" si="11"/>
        <v/>
      </c>
      <c r="X57" s="29" t="str">
        <f t="shared" si="1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8"/>
        <v/>
      </c>
      <c r="L58" s="19" t="str">
        <f t="shared" si="10"/>
        <v/>
      </c>
      <c r="M58" s="19" t="str">
        <f t="shared" si="10"/>
        <v/>
      </c>
      <c r="N58" s="19" t="str">
        <f t="shared" si="10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2"/>
        <v/>
      </c>
      <c r="S58" s="27" t="str">
        <f t="shared" si="11"/>
        <v/>
      </c>
      <c r="T58" s="28" t="str">
        <f t="shared" si="11"/>
        <v/>
      </c>
      <c r="U58" s="28" t="str">
        <f t="shared" si="11"/>
        <v/>
      </c>
      <c r="V58" s="28" t="str">
        <f t="shared" si="11"/>
        <v/>
      </c>
      <c r="W58" s="28" t="str">
        <f t="shared" si="11"/>
        <v/>
      </c>
      <c r="X58" s="29" t="str">
        <f t="shared" si="1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8"/>
        <v/>
      </c>
      <c r="L59" s="19" t="str">
        <f t="shared" si="10"/>
        <v/>
      </c>
      <c r="M59" s="19" t="str">
        <f t="shared" si="10"/>
        <v/>
      </c>
      <c r="N59" s="19" t="str">
        <f t="shared" si="10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2"/>
        <v/>
      </c>
      <c r="S59" s="27" t="str">
        <f t="shared" si="11"/>
        <v/>
      </c>
      <c r="T59" s="28" t="str">
        <f t="shared" si="11"/>
        <v/>
      </c>
      <c r="U59" s="28" t="str">
        <f t="shared" si="11"/>
        <v/>
      </c>
      <c r="V59" s="28" t="str">
        <f t="shared" si="11"/>
        <v/>
      </c>
      <c r="W59" s="28" t="str">
        <f t="shared" si="11"/>
        <v/>
      </c>
      <c r="X59" s="29" t="str">
        <f t="shared" si="1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8"/>
        <v/>
      </c>
      <c r="L60" s="19" t="str">
        <f t="shared" si="10"/>
        <v/>
      </c>
      <c r="M60" s="19" t="str">
        <f t="shared" si="10"/>
        <v/>
      </c>
      <c r="N60" s="19" t="str">
        <f t="shared" si="10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2"/>
        <v/>
      </c>
      <c r="S60" s="27" t="str">
        <f t="shared" si="11"/>
        <v/>
      </c>
      <c r="T60" s="28" t="str">
        <f t="shared" si="11"/>
        <v/>
      </c>
      <c r="U60" s="28" t="str">
        <f t="shared" si="11"/>
        <v/>
      </c>
      <c r="V60" s="28" t="str">
        <f t="shared" si="11"/>
        <v/>
      </c>
      <c r="W60" s="28" t="str">
        <f t="shared" si="11"/>
        <v/>
      </c>
      <c r="X60" s="29" t="str">
        <f t="shared" si="1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8"/>
        <v/>
      </c>
      <c r="L61" s="19" t="str">
        <f t="shared" si="10"/>
        <v/>
      </c>
      <c r="M61" s="19" t="str">
        <f t="shared" si="10"/>
        <v/>
      </c>
      <c r="N61" s="19" t="str">
        <f t="shared" si="10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2"/>
        <v/>
      </c>
      <c r="S61" s="27" t="str">
        <f t="shared" si="11"/>
        <v/>
      </c>
      <c r="T61" s="28" t="str">
        <f t="shared" si="11"/>
        <v/>
      </c>
      <c r="U61" s="28" t="str">
        <f t="shared" si="11"/>
        <v/>
      </c>
      <c r="V61" s="28" t="str">
        <f t="shared" si="11"/>
        <v/>
      </c>
      <c r="W61" s="28" t="str">
        <f t="shared" si="11"/>
        <v/>
      </c>
      <c r="X61" s="29" t="str">
        <f t="shared" si="1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8"/>
        <v/>
      </c>
      <c r="L62" s="19" t="str">
        <f t="shared" si="10"/>
        <v/>
      </c>
      <c r="M62" s="19" t="str">
        <f t="shared" si="10"/>
        <v/>
      </c>
      <c r="N62" s="19" t="str">
        <f t="shared" si="10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2"/>
        <v/>
      </c>
      <c r="S62" s="27" t="str">
        <f t="shared" si="11"/>
        <v/>
      </c>
      <c r="T62" s="28" t="str">
        <f t="shared" si="11"/>
        <v/>
      </c>
      <c r="U62" s="28" t="str">
        <f t="shared" si="11"/>
        <v/>
      </c>
      <c r="V62" s="28" t="str">
        <f t="shared" si="11"/>
        <v/>
      </c>
      <c r="W62" s="28" t="str">
        <f t="shared" si="11"/>
        <v/>
      </c>
      <c r="X62" s="29" t="str">
        <f t="shared" si="1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8"/>
        <v/>
      </c>
      <c r="L63" s="19" t="str">
        <f t="shared" si="10"/>
        <v/>
      </c>
      <c r="M63" s="19" t="str">
        <f t="shared" si="10"/>
        <v/>
      </c>
      <c r="N63" s="19" t="str">
        <f t="shared" si="10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2"/>
        <v/>
      </c>
      <c r="S63" s="27" t="str">
        <f t="shared" si="11"/>
        <v/>
      </c>
      <c r="T63" s="28" t="str">
        <f t="shared" si="11"/>
        <v/>
      </c>
      <c r="U63" s="28" t="str">
        <f t="shared" si="11"/>
        <v/>
      </c>
      <c r="V63" s="28" t="str">
        <f t="shared" si="11"/>
        <v/>
      </c>
      <c r="W63" s="28" t="str">
        <f t="shared" si="11"/>
        <v/>
      </c>
      <c r="X63" s="29" t="str">
        <f t="shared" si="1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8"/>
        <v/>
      </c>
      <c r="L64" s="19" t="str">
        <f t="shared" si="10"/>
        <v/>
      </c>
      <c r="M64" s="19" t="str">
        <f t="shared" si="10"/>
        <v/>
      </c>
      <c r="N64" s="19" t="str">
        <f t="shared" si="10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2"/>
        <v/>
      </c>
      <c r="S64" s="27" t="str">
        <f t="shared" si="11"/>
        <v/>
      </c>
      <c r="T64" s="28" t="str">
        <f t="shared" si="11"/>
        <v/>
      </c>
      <c r="U64" s="28" t="str">
        <f t="shared" si="11"/>
        <v/>
      </c>
      <c r="V64" s="28" t="str">
        <f t="shared" si="11"/>
        <v/>
      </c>
      <c r="W64" s="28" t="str">
        <f t="shared" si="11"/>
        <v/>
      </c>
      <c r="X64" s="29" t="str">
        <f t="shared" si="1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8"/>
        <v/>
      </c>
      <c r="L65" s="19" t="str">
        <f t="shared" si="10"/>
        <v/>
      </c>
      <c r="M65" s="19" t="str">
        <f t="shared" si="10"/>
        <v/>
      </c>
      <c r="N65" s="19" t="str">
        <f t="shared" si="10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2"/>
        <v/>
      </c>
      <c r="S65" s="27" t="str">
        <f t="shared" ref="S65:X80" si="12">IF(C65="","",((C65-C64)*1000)/($B65-$B64))</f>
        <v/>
      </c>
      <c r="T65" s="28" t="str">
        <f t="shared" si="12"/>
        <v/>
      </c>
      <c r="U65" s="28" t="str">
        <f t="shared" si="12"/>
        <v/>
      </c>
      <c r="V65" s="28" t="str">
        <f t="shared" si="12"/>
        <v/>
      </c>
      <c r="W65" s="28" t="str">
        <f t="shared" si="12"/>
        <v/>
      </c>
      <c r="X65" s="29" t="str">
        <f t="shared" si="12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8"/>
        <v/>
      </c>
      <c r="L66" s="19" t="str">
        <f t="shared" si="10"/>
        <v/>
      </c>
      <c r="M66" s="19" t="str">
        <f t="shared" si="10"/>
        <v/>
      </c>
      <c r="N66" s="19" t="str">
        <f t="shared" si="10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2"/>
        <v/>
      </c>
      <c r="S66" s="27" t="str">
        <f t="shared" si="12"/>
        <v/>
      </c>
      <c r="T66" s="28" t="str">
        <f t="shared" si="12"/>
        <v/>
      </c>
      <c r="U66" s="28" t="str">
        <f t="shared" si="12"/>
        <v/>
      </c>
      <c r="V66" s="28" t="str">
        <f t="shared" si="12"/>
        <v/>
      </c>
      <c r="W66" s="28" t="str">
        <f t="shared" si="12"/>
        <v/>
      </c>
      <c r="X66" s="29" t="str">
        <f t="shared" si="12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8"/>
        <v/>
      </c>
      <c r="L67" s="19" t="str">
        <f t="shared" si="10"/>
        <v/>
      </c>
      <c r="M67" s="19" t="str">
        <f t="shared" si="10"/>
        <v/>
      </c>
      <c r="N67" s="19" t="str">
        <f t="shared" si="10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2"/>
        <v/>
      </c>
      <c r="S67" s="27" t="str">
        <f t="shared" si="12"/>
        <v/>
      </c>
      <c r="T67" s="28" t="str">
        <f t="shared" si="12"/>
        <v/>
      </c>
      <c r="U67" s="28" t="str">
        <f t="shared" si="12"/>
        <v/>
      </c>
      <c r="V67" s="28" t="str">
        <f t="shared" si="12"/>
        <v/>
      </c>
      <c r="W67" s="28" t="str">
        <f t="shared" si="12"/>
        <v/>
      </c>
      <c r="X67" s="29" t="str">
        <f t="shared" si="12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8"/>
        <v/>
      </c>
      <c r="L68" s="19" t="str">
        <f t="shared" si="10"/>
        <v/>
      </c>
      <c r="M68" s="19" t="str">
        <f t="shared" si="10"/>
        <v/>
      </c>
      <c r="N68" s="19" t="str">
        <f t="shared" si="10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2"/>
        <v/>
      </c>
      <c r="S68" s="27" t="str">
        <f t="shared" si="12"/>
        <v/>
      </c>
      <c r="T68" s="28" t="str">
        <f t="shared" si="12"/>
        <v/>
      </c>
      <c r="U68" s="28" t="str">
        <f t="shared" si="12"/>
        <v/>
      </c>
      <c r="V68" s="28" t="str">
        <f t="shared" si="12"/>
        <v/>
      </c>
      <c r="W68" s="28" t="str">
        <f t="shared" si="12"/>
        <v/>
      </c>
      <c r="X68" s="29" t="str">
        <f t="shared" si="12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8"/>
        <v/>
      </c>
      <c r="L69" s="19" t="str">
        <f t="shared" si="10"/>
        <v/>
      </c>
      <c r="M69" s="19" t="str">
        <f t="shared" si="10"/>
        <v/>
      </c>
      <c r="N69" s="19" t="str">
        <f t="shared" si="10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2"/>
        <v/>
      </c>
      <c r="S69" s="27" t="str">
        <f t="shared" si="12"/>
        <v/>
      </c>
      <c r="T69" s="28" t="str">
        <f t="shared" si="12"/>
        <v/>
      </c>
      <c r="U69" s="28" t="str">
        <f t="shared" si="12"/>
        <v/>
      </c>
      <c r="V69" s="28" t="str">
        <f t="shared" si="12"/>
        <v/>
      </c>
      <c r="W69" s="28" t="str">
        <f t="shared" si="12"/>
        <v/>
      </c>
      <c r="X69" s="29" t="str">
        <f t="shared" si="1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8"/>
        <v/>
      </c>
      <c r="L70" s="19" t="str">
        <f t="shared" si="10"/>
        <v/>
      </c>
      <c r="M70" s="19" t="str">
        <f t="shared" si="10"/>
        <v/>
      </c>
      <c r="N70" s="19" t="str">
        <f t="shared" si="10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2"/>
        <v/>
      </c>
      <c r="S70" s="27" t="str">
        <f t="shared" si="12"/>
        <v/>
      </c>
      <c r="T70" s="28" t="str">
        <f t="shared" si="12"/>
        <v/>
      </c>
      <c r="U70" s="28" t="str">
        <f t="shared" si="12"/>
        <v/>
      </c>
      <c r="V70" s="28" t="str">
        <f t="shared" si="12"/>
        <v/>
      </c>
      <c r="W70" s="28" t="str">
        <f t="shared" si="12"/>
        <v/>
      </c>
      <c r="X70" s="29" t="str">
        <f t="shared" si="1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8"/>
        <v/>
      </c>
      <c r="L71" s="19" t="str">
        <f t="shared" si="10"/>
        <v/>
      </c>
      <c r="M71" s="19" t="str">
        <f t="shared" si="10"/>
        <v/>
      </c>
      <c r="N71" s="19" t="str">
        <f t="shared" si="10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2"/>
        <v/>
      </c>
      <c r="S71" s="27" t="str">
        <f t="shared" si="12"/>
        <v/>
      </c>
      <c r="T71" s="28" t="str">
        <f t="shared" si="12"/>
        <v/>
      </c>
      <c r="U71" s="28" t="str">
        <f t="shared" si="12"/>
        <v/>
      </c>
      <c r="V71" s="28" t="str">
        <f t="shared" si="12"/>
        <v/>
      </c>
      <c r="W71" s="28" t="str">
        <f t="shared" si="12"/>
        <v/>
      </c>
      <c r="X71" s="29" t="str">
        <f t="shared" si="1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8"/>
        <v/>
      </c>
      <c r="L72" s="19" t="str">
        <f t="shared" si="10"/>
        <v/>
      </c>
      <c r="M72" s="19" t="str">
        <f t="shared" si="10"/>
        <v/>
      </c>
      <c r="N72" s="19" t="str">
        <f t="shared" si="10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2"/>
        <v/>
      </c>
      <c r="S72" s="27" t="str">
        <f t="shared" si="12"/>
        <v/>
      </c>
      <c r="T72" s="28" t="str">
        <f t="shared" si="12"/>
        <v/>
      </c>
      <c r="U72" s="28" t="str">
        <f t="shared" si="12"/>
        <v/>
      </c>
      <c r="V72" s="28" t="str">
        <f t="shared" si="12"/>
        <v/>
      </c>
      <c r="W72" s="28" t="str">
        <f t="shared" si="12"/>
        <v/>
      </c>
      <c r="X72" s="29" t="str">
        <f t="shared" si="1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8"/>
        <v/>
      </c>
      <c r="L73" s="19" t="str">
        <f t="shared" si="10"/>
        <v/>
      </c>
      <c r="M73" s="19" t="str">
        <f t="shared" si="10"/>
        <v/>
      </c>
      <c r="N73" s="19" t="str">
        <f t="shared" si="10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2"/>
        <v/>
      </c>
      <c r="S73" s="27" t="str">
        <f t="shared" si="12"/>
        <v/>
      </c>
      <c r="T73" s="28" t="str">
        <f t="shared" si="12"/>
        <v/>
      </c>
      <c r="U73" s="28" t="str">
        <f t="shared" si="12"/>
        <v/>
      </c>
      <c r="V73" s="28" t="str">
        <f t="shared" si="12"/>
        <v/>
      </c>
      <c r="W73" s="28" t="str">
        <f t="shared" si="12"/>
        <v/>
      </c>
      <c r="X73" s="29" t="str">
        <f t="shared" si="1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8"/>
        <v/>
      </c>
      <c r="L74" s="19" t="str">
        <f t="shared" si="10"/>
        <v/>
      </c>
      <c r="M74" s="19" t="str">
        <f t="shared" si="10"/>
        <v/>
      </c>
      <c r="N74" s="19" t="str">
        <f t="shared" si="10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2"/>
        <v/>
      </c>
      <c r="S74" s="27" t="str">
        <f t="shared" si="12"/>
        <v/>
      </c>
      <c r="T74" s="28" t="str">
        <f t="shared" si="12"/>
        <v/>
      </c>
      <c r="U74" s="28" t="str">
        <f t="shared" si="12"/>
        <v/>
      </c>
      <c r="V74" s="28" t="str">
        <f t="shared" si="12"/>
        <v/>
      </c>
      <c r="W74" s="28" t="str">
        <f t="shared" si="12"/>
        <v/>
      </c>
      <c r="X74" s="29" t="str">
        <f t="shared" si="1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8"/>
        <v/>
      </c>
      <c r="L75" s="19" t="str">
        <f t="shared" si="10"/>
        <v/>
      </c>
      <c r="M75" s="19" t="str">
        <f t="shared" si="10"/>
        <v/>
      </c>
      <c r="N75" s="19" t="str">
        <f t="shared" si="10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2"/>
        <v/>
      </c>
      <c r="S75" s="27" t="str">
        <f t="shared" si="12"/>
        <v/>
      </c>
      <c r="T75" s="28" t="str">
        <f t="shared" si="12"/>
        <v/>
      </c>
      <c r="U75" s="28" t="str">
        <f t="shared" si="12"/>
        <v/>
      </c>
      <c r="V75" s="28" t="str">
        <f t="shared" si="12"/>
        <v/>
      </c>
      <c r="W75" s="28" t="str">
        <f t="shared" si="12"/>
        <v/>
      </c>
      <c r="X75" s="29" t="str">
        <f t="shared" si="1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8"/>
        <v/>
      </c>
      <c r="L76" s="19" t="str">
        <f t="shared" si="10"/>
        <v/>
      </c>
      <c r="M76" s="19" t="str">
        <f t="shared" si="10"/>
        <v/>
      </c>
      <c r="N76" s="19" t="str">
        <f t="shared" si="10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2"/>
        <v/>
      </c>
      <c r="S76" s="27" t="str">
        <f t="shared" si="12"/>
        <v/>
      </c>
      <c r="T76" s="28" t="str">
        <f t="shared" si="12"/>
        <v/>
      </c>
      <c r="U76" s="28" t="str">
        <f t="shared" si="12"/>
        <v/>
      </c>
      <c r="V76" s="28" t="str">
        <f t="shared" si="12"/>
        <v/>
      </c>
      <c r="W76" s="28" t="str">
        <f t="shared" si="12"/>
        <v/>
      </c>
      <c r="X76" s="29" t="str">
        <f t="shared" si="1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8"/>
        <v/>
      </c>
      <c r="L77" s="19" t="str">
        <f t="shared" si="10"/>
        <v/>
      </c>
      <c r="M77" s="19" t="str">
        <f t="shared" si="10"/>
        <v/>
      </c>
      <c r="N77" s="19" t="str">
        <f t="shared" si="10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2"/>
        <v/>
      </c>
      <c r="S77" s="27" t="str">
        <f t="shared" si="12"/>
        <v/>
      </c>
      <c r="T77" s="28" t="str">
        <f t="shared" si="12"/>
        <v/>
      </c>
      <c r="U77" s="28" t="str">
        <f t="shared" si="12"/>
        <v/>
      </c>
      <c r="V77" s="28" t="str">
        <f t="shared" si="12"/>
        <v/>
      </c>
      <c r="W77" s="28" t="str">
        <f t="shared" si="12"/>
        <v/>
      </c>
      <c r="X77" s="29" t="str">
        <f t="shared" si="1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8"/>
        <v/>
      </c>
      <c r="L78" s="19" t="str">
        <f t="shared" si="10"/>
        <v/>
      </c>
      <c r="M78" s="19" t="str">
        <f t="shared" si="10"/>
        <v/>
      </c>
      <c r="N78" s="19" t="str">
        <f t="shared" si="10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2"/>
        <v/>
      </c>
      <c r="S78" s="27" t="str">
        <f t="shared" si="12"/>
        <v/>
      </c>
      <c r="T78" s="28" t="str">
        <f t="shared" si="12"/>
        <v/>
      </c>
      <c r="U78" s="28" t="str">
        <f t="shared" si="12"/>
        <v/>
      </c>
      <c r="V78" s="28" t="str">
        <f t="shared" si="12"/>
        <v/>
      </c>
      <c r="W78" s="28" t="str">
        <f t="shared" si="12"/>
        <v/>
      </c>
      <c r="X78" s="29" t="str">
        <f t="shared" si="1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8"/>
        <v/>
      </c>
      <c r="L79" s="19" t="str">
        <f t="shared" si="10"/>
        <v/>
      </c>
      <c r="M79" s="19" t="str">
        <f t="shared" si="10"/>
        <v/>
      </c>
      <c r="N79" s="19" t="str">
        <f t="shared" si="10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2"/>
        <v/>
      </c>
      <c r="S79" s="27" t="str">
        <f t="shared" si="12"/>
        <v/>
      </c>
      <c r="T79" s="28" t="str">
        <f t="shared" si="12"/>
        <v/>
      </c>
      <c r="U79" s="28" t="str">
        <f t="shared" si="12"/>
        <v/>
      </c>
      <c r="V79" s="28" t="str">
        <f t="shared" si="12"/>
        <v/>
      </c>
      <c r="W79" s="28" t="str">
        <f t="shared" si="12"/>
        <v/>
      </c>
      <c r="X79" s="29" t="str">
        <f t="shared" si="1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8"/>
        <v/>
      </c>
      <c r="L80" s="19" t="str">
        <f t="shared" ref="L80:R111" si="13">IF(ISBLANK(C80),"",(C80-C$16)*1000)</f>
        <v/>
      </c>
      <c r="M80" s="19" t="str">
        <f t="shared" si="13"/>
        <v/>
      </c>
      <c r="N80" s="19" t="str">
        <f t="shared" si="13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si="13"/>
        <v/>
      </c>
      <c r="S80" s="27" t="str">
        <f t="shared" si="12"/>
        <v/>
      </c>
      <c r="T80" s="28" t="str">
        <f t="shared" si="12"/>
        <v/>
      </c>
      <c r="U80" s="28" t="str">
        <f t="shared" si="12"/>
        <v/>
      </c>
      <c r="V80" s="28" t="str">
        <f t="shared" si="12"/>
        <v/>
      </c>
      <c r="W80" s="28" t="str">
        <f t="shared" si="12"/>
        <v/>
      </c>
      <c r="X80" s="29" t="str">
        <f t="shared" si="1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8"/>
        <v/>
      </c>
      <c r="L81" s="19" t="str">
        <f t="shared" si="13"/>
        <v/>
      </c>
      <c r="M81" s="19" t="str">
        <f t="shared" si="13"/>
        <v/>
      </c>
      <c r="N81" s="19" t="str">
        <f t="shared" si="13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3"/>
        <v/>
      </c>
      <c r="S81" s="27" t="str">
        <f t="shared" ref="S81:X96" si="14">IF(C81="","",((C81-C80)*1000)/($B81-$B80))</f>
        <v/>
      </c>
      <c r="T81" s="28" t="str">
        <f t="shared" si="14"/>
        <v/>
      </c>
      <c r="U81" s="28" t="str">
        <f t="shared" si="14"/>
        <v/>
      </c>
      <c r="V81" s="28" t="str">
        <f t="shared" si="14"/>
        <v/>
      </c>
      <c r="W81" s="28" t="str">
        <f t="shared" si="14"/>
        <v/>
      </c>
      <c r="X81" s="29" t="str">
        <f t="shared" si="14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8"/>
        <v/>
      </c>
      <c r="L82" s="19" t="str">
        <f t="shared" si="13"/>
        <v/>
      </c>
      <c r="M82" s="19" t="str">
        <f t="shared" si="13"/>
        <v/>
      </c>
      <c r="N82" s="19" t="str">
        <f t="shared" si="13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3"/>
        <v/>
      </c>
      <c r="S82" s="27" t="str">
        <f t="shared" si="14"/>
        <v/>
      </c>
      <c r="T82" s="28" t="str">
        <f t="shared" si="14"/>
        <v/>
      </c>
      <c r="U82" s="28" t="str">
        <f t="shared" si="14"/>
        <v/>
      </c>
      <c r="V82" s="28" t="str">
        <f t="shared" si="14"/>
        <v/>
      </c>
      <c r="W82" s="28" t="str">
        <f t="shared" si="14"/>
        <v/>
      </c>
      <c r="X82" s="29" t="str">
        <f t="shared" si="14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8"/>
        <v/>
      </c>
      <c r="L83" s="19" t="str">
        <f t="shared" si="13"/>
        <v/>
      </c>
      <c r="M83" s="19" t="str">
        <f t="shared" si="13"/>
        <v/>
      </c>
      <c r="N83" s="19" t="str">
        <f t="shared" si="13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3"/>
        <v/>
      </c>
      <c r="S83" s="27" t="str">
        <f t="shared" si="14"/>
        <v/>
      </c>
      <c r="T83" s="28" t="str">
        <f t="shared" si="14"/>
        <v/>
      </c>
      <c r="U83" s="28" t="str">
        <f t="shared" si="14"/>
        <v/>
      </c>
      <c r="V83" s="28" t="str">
        <f t="shared" si="14"/>
        <v/>
      </c>
      <c r="W83" s="28" t="str">
        <f t="shared" si="14"/>
        <v/>
      </c>
      <c r="X83" s="29" t="str">
        <f t="shared" si="14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8"/>
        <v/>
      </c>
      <c r="L84" s="19" t="str">
        <f t="shared" si="13"/>
        <v/>
      </c>
      <c r="M84" s="19" t="str">
        <f t="shared" si="13"/>
        <v/>
      </c>
      <c r="N84" s="19" t="str">
        <f t="shared" si="13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3"/>
        <v/>
      </c>
      <c r="S84" s="27" t="str">
        <f t="shared" si="14"/>
        <v/>
      </c>
      <c r="T84" s="28" t="str">
        <f t="shared" si="14"/>
        <v/>
      </c>
      <c r="U84" s="28" t="str">
        <f t="shared" si="14"/>
        <v/>
      </c>
      <c r="V84" s="28" t="str">
        <f t="shared" si="14"/>
        <v/>
      </c>
      <c r="W84" s="28" t="str">
        <f t="shared" si="14"/>
        <v/>
      </c>
      <c r="X84" s="29" t="str">
        <f t="shared" si="14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8"/>
        <v/>
      </c>
      <c r="L85" s="19" t="str">
        <f t="shared" si="13"/>
        <v/>
      </c>
      <c r="M85" s="19" t="str">
        <f t="shared" si="13"/>
        <v/>
      </c>
      <c r="N85" s="19" t="str">
        <f t="shared" si="13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3"/>
        <v/>
      </c>
      <c r="S85" s="27" t="str">
        <f t="shared" si="14"/>
        <v/>
      </c>
      <c r="T85" s="28" t="str">
        <f t="shared" si="14"/>
        <v/>
      </c>
      <c r="U85" s="28" t="str">
        <f t="shared" si="14"/>
        <v/>
      </c>
      <c r="V85" s="28" t="str">
        <f t="shared" si="14"/>
        <v/>
      </c>
      <c r="W85" s="28" t="str">
        <f t="shared" si="14"/>
        <v/>
      </c>
      <c r="X85" s="29" t="str">
        <f t="shared" si="14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8"/>
        <v/>
      </c>
      <c r="L86" s="19" t="str">
        <f t="shared" si="13"/>
        <v/>
      </c>
      <c r="M86" s="19" t="str">
        <f t="shared" si="13"/>
        <v/>
      </c>
      <c r="N86" s="19" t="str">
        <f t="shared" si="13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3"/>
        <v/>
      </c>
      <c r="S86" s="27" t="str">
        <f t="shared" si="14"/>
        <v/>
      </c>
      <c r="T86" s="28" t="str">
        <f t="shared" si="14"/>
        <v/>
      </c>
      <c r="U86" s="28" t="str">
        <f t="shared" si="14"/>
        <v/>
      </c>
      <c r="V86" s="28" t="str">
        <f t="shared" si="14"/>
        <v/>
      </c>
      <c r="W86" s="28" t="str">
        <f t="shared" si="14"/>
        <v/>
      </c>
      <c r="X86" s="29" t="str">
        <f t="shared" si="14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8"/>
        <v/>
      </c>
      <c r="L87" s="19" t="str">
        <f t="shared" si="13"/>
        <v/>
      </c>
      <c r="M87" s="19" t="str">
        <f t="shared" si="13"/>
        <v/>
      </c>
      <c r="N87" s="19" t="str">
        <f t="shared" si="13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3"/>
        <v/>
      </c>
      <c r="S87" s="27" t="str">
        <f t="shared" si="14"/>
        <v/>
      </c>
      <c r="T87" s="28" t="str">
        <f t="shared" si="14"/>
        <v/>
      </c>
      <c r="U87" s="28" t="str">
        <f t="shared" si="14"/>
        <v/>
      </c>
      <c r="V87" s="28" t="str">
        <f t="shared" si="14"/>
        <v/>
      </c>
      <c r="W87" s="28" t="str">
        <f t="shared" si="14"/>
        <v/>
      </c>
      <c r="X87" s="29" t="str">
        <f t="shared" si="14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8"/>
        <v/>
      </c>
      <c r="L88" s="19" t="str">
        <f t="shared" si="13"/>
        <v/>
      </c>
      <c r="M88" s="19" t="str">
        <f t="shared" si="13"/>
        <v/>
      </c>
      <c r="N88" s="19" t="str">
        <f t="shared" si="13"/>
        <v/>
      </c>
      <c r="O88" s="19" t="str">
        <f t="shared" ref="O88:O151" si="15">IF(ISBLANK(F88),"",((F88-F$23)*1000)+L$23)</f>
        <v/>
      </c>
      <c r="P88" s="19" t="str">
        <f t="shared" ref="P88:P151" si="16">IF(ISBLANK(G88),"",((G88-G$23)*1000)+M$23)</f>
        <v/>
      </c>
      <c r="Q88" s="19" t="str">
        <f t="shared" ref="Q88:Q151" si="17">IF(ISBLANK(H88),"",((H88-H$23)*1000)+N$23)</f>
        <v/>
      </c>
      <c r="R88" s="19" t="str">
        <f t="shared" si="13"/>
        <v/>
      </c>
      <c r="S88" s="27" t="str">
        <f t="shared" si="14"/>
        <v/>
      </c>
      <c r="T88" s="28" t="str">
        <f t="shared" si="14"/>
        <v/>
      </c>
      <c r="U88" s="28" t="str">
        <f t="shared" si="14"/>
        <v/>
      </c>
      <c r="V88" s="28" t="str">
        <f t="shared" si="14"/>
        <v/>
      </c>
      <c r="W88" s="28" t="str">
        <f t="shared" si="14"/>
        <v/>
      </c>
      <c r="X88" s="29" t="str">
        <f t="shared" si="14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8"/>
        <v/>
      </c>
      <c r="L89" s="19" t="str">
        <f t="shared" si="13"/>
        <v/>
      </c>
      <c r="M89" s="19" t="str">
        <f t="shared" si="13"/>
        <v/>
      </c>
      <c r="N89" s="19" t="str">
        <f t="shared" si="13"/>
        <v/>
      </c>
      <c r="O89" s="19" t="str">
        <f t="shared" si="15"/>
        <v/>
      </c>
      <c r="P89" s="19" t="str">
        <f t="shared" si="16"/>
        <v/>
      </c>
      <c r="Q89" s="19" t="str">
        <f t="shared" si="17"/>
        <v/>
      </c>
      <c r="R89" s="19" t="str">
        <f t="shared" si="13"/>
        <v/>
      </c>
      <c r="S89" s="27" t="str">
        <f t="shared" si="14"/>
        <v/>
      </c>
      <c r="T89" s="28" t="str">
        <f t="shared" si="14"/>
        <v/>
      </c>
      <c r="U89" s="28" t="str">
        <f t="shared" si="14"/>
        <v/>
      </c>
      <c r="V89" s="28" t="str">
        <f t="shared" si="14"/>
        <v/>
      </c>
      <c r="W89" s="28" t="str">
        <f t="shared" si="14"/>
        <v/>
      </c>
      <c r="X89" s="29" t="str">
        <f t="shared" si="14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8"/>
        <v/>
      </c>
      <c r="L90" s="19" t="str">
        <f t="shared" si="13"/>
        <v/>
      </c>
      <c r="M90" s="19" t="str">
        <f t="shared" si="13"/>
        <v/>
      </c>
      <c r="N90" s="19" t="str">
        <f t="shared" si="13"/>
        <v/>
      </c>
      <c r="O90" s="19" t="str">
        <f t="shared" si="15"/>
        <v/>
      </c>
      <c r="P90" s="19" t="str">
        <f t="shared" si="16"/>
        <v/>
      </c>
      <c r="Q90" s="19" t="str">
        <f t="shared" si="17"/>
        <v/>
      </c>
      <c r="R90" s="19" t="str">
        <f t="shared" si="13"/>
        <v/>
      </c>
      <c r="S90" s="27" t="str">
        <f t="shared" si="14"/>
        <v/>
      </c>
      <c r="T90" s="28" t="str">
        <f t="shared" si="14"/>
        <v/>
      </c>
      <c r="U90" s="28" t="str">
        <f t="shared" si="14"/>
        <v/>
      </c>
      <c r="V90" s="28" t="str">
        <f t="shared" si="14"/>
        <v/>
      </c>
      <c r="W90" s="28" t="str">
        <f t="shared" si="14"/>
        <v/>
      </c>
      <c r="X90" s="29" t="str">
        <f t="shared" si="14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8"/>
        <v/>
      </c>
      <c r="L91" s="19" t="str">
        <f t="shared" si="13"/>
        <v/>
      </c>
      <c r="M91" s="19" t="str">
        <f t="shared" si="13"/>
        <v/>
      </c>
      <c r="N91" s="19" t="str">
        <f t="shared" si="13"/>
        <v/>
      </c>
      <c r="O91" s="19" t="str">
        <f t="shared" si="15"/>
        <v/>
      </c>
      <c r="P91" s="19" t="str">
        <f t="shared" si="16"/>
        <v/>
      </c>
      <c r="Q91" s="19" t="str">
        <f t="shared" si="17"/>
        <v/>
      </c>
      <c r="R91" s="19" t="str">
        <f t="shared" si="13"/>
        <v/>
      </c>
      <c r="S91" s="27" t="str">
        <f t="shared" si="14"/>
        <v/>
      </c>
      <c r="T91" s="28" t="str">
        <f t="shared" si="14"/>
        <v/>
      </c>
      <c r="U91" s="28" t="str">
        <f t="shared" si="14"/>
        <v/>
      </c>
      <c r="V91" s="28" t="str">
        <f t="shared" si="14"/>
        <v/>
      </c>
      <c r="W91" s="28" t="str">
        <f t="shared" si="14"/>
        <v/>
      </c>
      <c r="X91" s="29" t="str">
        <f t="shared" si="14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8"/>
        <v/>
      </c>
      <c r="L92" s="19" t="str">
        <f t="shared" si="13"/>
        <v/>
      </c>
      <c r="M92" s="19" t="str">
        <f t="shared" si="13"/>
        <v/>
      </c>
      <c r="N92" s="19" t="str">
        <f t="shared" si="13"/>
        <v/>
      </c>
      <c r="O92" s="19" t="str">
        <f t="shared" si="15"/>
        <v/>
      </c>
      <c r="P92" s="19" t="str">
        <f t="shared" si="16"/>
        <v/>
      </c>
      <c r="Q92" s="19" t="str">
        <f t="shared" si="17"/>
        <v/>
      </c>
      <c r="R92" s="19" t="str">
        <f t="shared" si="13"/>
        <v/>
      </c>
      <c r="S92" s="27" t="str">
        <f t="shared" si="14"/>
        <v/>
      </c>
      <c r="T92" s="28" t="str">
        <f t="shared" si="14"/>
        <v/>
      </c>
      <c r="U92" s="28" t="str">
        <f t="shared" si="14"/>
        <v/>
      </c>
      <c r="V92" s="28" t="str">
        <f t="shared" si="14"/>
        <v/>
      </c>
      <c r="W92" s="28" t="str">
        <f t="shared" si="14"/>
        <v/>
      </c>
      <c r="X92" s="29" t="str">
        <f t="shared" si="14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8"/>
        <v/>
      </c>
      <c r="L93" s="19" t="str">
        <f t="shared" si="13"/>
        <v/>
      </c>
      <c r="M93" s="19" t="str">
        <f t="shared" si="13"/>
        <v/>
      </c>
      <c r="N93" s="19" t="str">
        <f t="shared" si="13"/>
        <v/>
      </c>
      <c r="O93" s="19" t="str">
        <f t="shared" si="15"/>
        <v/>
      </c>
      <c r="P93" s="19" t="str">
        <f t="shared" si="16"/>
        <v/>
      </c>
      <c r="Q93" s="19" t="str">
        <f t="shared" si="17"/>
        <v/>
      </c>
      <c r="R93" s="19" t="str">
        <f t="shared" si="13"/>
        <v/>
      </c>
      <c r="S93" s="27" t="str">
        <f t="shared" si="14"/>
        <v/>
      </c>
      <c r="T93" s="28" t="str">
        <f t="shared" si="14"/>
        <v/>
      </c>
      <c r="U93" s="28" t="str">
        <f t="shared" si="14"/>
        <v/>
      </c>
      <c r="V93" s="28" t="str">
        <f t="shared" si="14"/>
        <v/>
      </c>
      <c r="W93" s="28" t="str">
        <f t="shared" si="14"/>
        <v/>
      </c>
      <c r="X93" s="29" t="str">
        <f t="shared" si="14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8"/>
        <v/>
      </c>
      <c r="L94" s="19" t="str">
        <f t="shared" si="13"/>
        <v/>
      </c>
      <c r="M94" s="19" t="str">
        <f t="shared" si="13"/>
        <v/>
      </c>
      <c r="N94" s="19" t="str">
        <f t="shared" si="13"/>
        <v/>
      </c>
      <c r="O94" s="19" t="str">
        <f t="shared" si="15"/>
        <v/>
      </c>
      <c r="P94" s="19" t="str">
        <f t="shared" si="16"/>
        <v/>
      </c>
      <c r="Q94" s="19" t="str">
        <f t="shared" si="17"/>
        <v/>
      </c>
      <c r="R94" s="19" t="str">
        <f t="shared" si="13"/>
        <v/>
      </c>
      <c r="S94" s="27" t="str">
        <f t="shared" si="14"/>
        <v/>
      </c>
      <c r="T94" s="28" t="str">
        <f t="shared" si="14"/>
        <v/>
      </c>
      <c r="U94" s="28" t="str">
        <f t="shared" si="14"/>
        <v/>
      </c>
      <c r="V94" s="28" t="str">
        <f t="shared" si="14"/>
        <v/>
      </c>
      <c r="W94" s="28" t="str">
        <f t="shared" si="14"/>
        <v/>
      </c>
      <c r="X94" s="29" t="str">
        <f t="shared" si="14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8"/>
        <v/>
      </c>
      <c r="L95" s="19" t="str">
        <f t="shared" si="13"/>
        <v/>
      </c>
      <c r="M95" s="19" t="str">
        <f t="shared" si="13"/>
        <v/>
      </c>
      <c r="N95" s="19" t="str">
        <f t="shared" si="13"/>
        <v/>
      </c>
      <c r="O95" s="19" t="str">
        <f t="shared" si="15"/>
        <v/>
      </c>
      <c r="P95" s="19" t="str">
        <f t="shared" si="16"/>
        <v/>
      </c>
      <c r="Q95" s="19" t="str">
        <f t="shared" si="17"/>
        <v/>
      </c>
      <c r="R95" s="19" t="str">
        <f t="shared" si="13"/>
        <v/>
      </c>
      <c r="S95" s="27" t="str">
        <f t="shared" si="14"/>
        <v/>
      </c>
      <c r="T95" s="28" t="str">
        <f t="shared" si="14"/>
        <v/>
      </c>
      <c r="U95" s="28" t="str">
        <f t="shared" si="14"/>
        <v/>
      </c>
      <c r="V95" s="28" t="str">
        <f t="shared" si="14"/>
        <v/>
      </c>
      <c r="W95" s="28" t="str">
        <f t="shared" si="14"/>
        <v/>
      </c>
      <c r="X95" s="29" t="str">
        <f t="shared" si="14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8"/>
        <v/>
      </c>
      <c r="L96" s="19" t="str">
        <f t="shared" si="13"/>
        <v/>
      </c>
      <c r="M96" s="19" t="str">
        <f t="shared" si="13"/>
        <v/>
      </c>
      <c r="N96" s="19" t="str">
        <f t="shared" si="13"/>
        <v/>
      </c>
      <c r="O96" s="19" t="str">
        <f t="shared" si="15"/>
        <v/>
      </c>
      <c r="P96" s="19" t="str">
        <f t="shared" si="16"/>
        <v/>
      </c>
      <c r="Q96" s="19" t="str">
        <f t="shared" si="17"/>
        <v/>
      </c>
      <c r="R96" s="19" t="str">
        <f t="shared" si="13"/>
        <v/>
      </c>
      <c r="S96" s="27" t="str">
        <f t="shared" si="14"/>
        <v/>
      </c>
      <c r="T96" s="28" t="str">
        <f t="shared" si="14"/>
        <v/>
      </c>
      <c r="U96" s="28" t="str">
        <f t="shared" si="14"/>
        <v/>
      </c>
      <c r="V96" s="28" t="str">
        <f t="shared" si="14"/>
        <v/>
      </c>
      <c r="W96" s="28" t="str">
        <f t="shared" si="14"/>
        <v/>
      </c>
      <c r="X96" s="29" t="str">
        <f t="shared" si="14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ref="K97:K153" si="18">IF(ISBLANK(J97),"",(J97-$J$8))</f>
        <v/>
      </c>
      <c r="L97" s="19" t="str">
        <f t="shared" si="13"/>
        <v/>
      </c>
      <c r="M97" s="19" t="str">
        <f t="shared" si="13"/>
        <v/>
      </c>
      <c r="N97" s="19" t="str">
        <f t="shared" si="13"/>
        <v/>
      </c>
      <c r="O97" s="19" t="str">
        <f t="shared" si="15"/>
        <v/>
      </c>
      <c r="P97" s="19" t="str">
        <f t="shared" si="16"/>
        <v/>
      </c>
      <c r="Q97" s="19" t="str">
        <f t="shared" si="17"/>
        <v/>
      </c>
      <c r="R97" s="19" t="str">
        <f t="shared" si="13"/>
        <v/>
      </c>
      <c r="S97" s="27" t="str">
        <f t="shared" ref="S97:X112" si="19">IF(C97="","",((C97-C96)*1000)/($B97-$B96))</f>
        <v/>
      </c>
      <c r="T97" s="28" t="str">
        <f t="shared" si="19"/>
        <v/>
      </c>
      <c r="U97" s="28" t="str">
        <f t="shared" si="19"/>
        <v/>
      </c>
      <c r="V97" s="28" t="str">
        <f t="shared" si="19"/>
        <v/>
      </c>
      <c r="W97" s="28" t="str">
        <f t="shared" si="19"/>
        <v/>
      </c>
      <c r="X97" s="29" t="str">
        <f t="shared" si="1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8"/>
        <v/>
      </c>
      <c r="L98" s="19" t="str">
        <f t="shared" si="13"/>
        <v/>
      </c>
      <c r="M98" s="19" t="str">
        <f t="shared" si="13"/>
        <v/>
      </c>
      <c r="N98" s="19" t="str">
        <f t="shared" si="13"/>
        <v/>
      </c>
      <c r="O98" s="19" t="str">
        <f t="shared" si="15"/>
        <v/>
      </c>
      <c r="P98" s="19" t="str">
        <f t="shared" si="16"/>
        <v/>
      </c>
      <c r="Q98" s="19" t="str">
        <f t="shared" si="17"/>
        <v/>
      </c>
      <c r="R98" s="19" t="str">
        <f t="shared" si="13"/>
        <v/>
      </c>
      <c r="S98" s="27" t="str">
        <f t="shared" si="19"/>
        <v/>
      </c>
      <c r="T98" s="28" t="str">
        <f t="shared" si="19"/>
        <v/>
      </c>
      <c r="U98" s="28" t="str">
        <f t="shared" si="19"/>
        <v/>
      </c>
      <c r="V98" s="28" t="str">
        <f t="shared" si="19"/>
        <v/>
      </c>
      <c r="W98" s="28" t="str">
        <f t="shared" si="19"/>
        <v/>
      </c>
      <c r="X98" s="29" t="str">
        <f t="shared" si="1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8"/>
        <v/>
      </c>
      <c r="L99" s="19" t="str">
        <f t="shared" si="13"/>
        <v/>
      </c>
      <c r="M99" s="19" t="str">
        <f t="shared" si="13"/>
        <v/>
      </c>
      <c r="N99" s="19" t="str">
        <f t="shared" si="13"/>
        <v/>
      </c>
      <c r="O99" s="19" t="str">
        <f t="shared" si="15"/>
        <v/>
      </c>
      <c r="P99" s="19" t="str">
        <f t="shared" si="16"/>
        <v/>
      </c>
      <c r="Q99" s="19" t="str">
        <f t="shared" si="17"/>
        <v/>
      </c>
      <c r="R99" s="19" t="str">
        <f t="shared" si="13"/>
        <v/>
      </c>
      <c r="S99" s="27" t="str">
        <f t="shared" si="19"/>
        <v/>
      </c>
      <c r="T99" s="28" t="str">
        <f t="shared" si="19"/>
        <v/>
      </c>
      <c r="U99" s="28" t="str">
        <f t="shared" si="19"/>
        <v/>
      </c>
      <c r="V99" s="28" t="str">
        <f t="shared" si="19"/>
        <v/>
      </c>
      <c r="W99" s="28" t="str">
        <f t="shared" si="19"/>
        <v/>
      </c>
      <c r="X99" s="29" t="str">
        <f t="shared" si="1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8"/>
        <v/>
      </c>
      <c r="L100" s="19" t="str">
        <f t="shared" si="13"/>
        <v/>
      </c>
      <c r="M100" s="19" t="str">
        <f t="shared" si="13"/>
        <v/>
      </c>
      <c r="N100" s="19" t="str">
        <f t="shared" si="13"/>
        <v/>
      </c>
      <c r="O100" s="19" t="str">
        <f t="shared" si="15"/>
        <v/>
      </c>
      <c r="P100" s="19" t="str">
        <f t="shared" si="16"/>
        <v/>
      </c>
      <c r="Q100" s="19" t="str">
        <f t="shared" si="17"/>
        <v/>
      </c>
      <c r="R100" s="19" t="str">
        <f t="shared" si="13"/>
        <v/>
      </c>
      <c r="S100" s="27" t="str">
        <f t="shared" si="19"/>
        <v/>
      </c>
      <c r="T100" s="28" t="str">
        <f t="shared" si="19"/>
        <v/>
      </c>
      <c r="U100" s="28" t="str">
        <f t="shared" si="19"/>
        <v/>
      </c>
      <c r="V100" s="28" t="str">
        <f t="shared" si="19"/>
        <v/>
      </c>
      <c r="W100" s="28" t="str">
        <f t="shared" si="19"/>
        <v/>
      </c>
      <c r="X100" s="29" t="str">
        <f t="shared" si="1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8"/>
        <v/>
      </c>
      <c r="L101" s="19" t="str">
        <f t="shared" si="13"/>
        <v/>
      </c>
      <c r="M101" s="19" t="str">
        <f t="shared" si="13"/>
        <v/>
      </c>
      <c r="N101" s="19" t="str">
        <f t="shared" si="13"/>
        <v/>
      </c>
      <c r="O101" s="19" t="str">
        <f t="shared" si="15"/>
        <v/>
      </c>
      <c r="P101" s="19" t="str">
        <f t="shared" si="16"/>
        <v/>
      </c>
      <c r="Q101" s="19" t="str">
        <f t="shared" si="17"/>
        <v/>
      </c>
      <c r="R101" s="19" t="str">
        <f t="shared" si="13"/>
        <v/>
      </c>
      <c r="S101" s="27" t="str">
        <f t="shared" si="19"/>
        <v/>
      </c>
      <c r="T101" s="28" t="str">
        <f t="shared" si="19"/>
        <v/>
      </c>
      <c r="U101" s="28" t="str">
        <f t="shared" si="19"/>
        <v/>
      </c>
      <c r="V101" s="28" t="str">
        <f t="shared" si="19"/>
        <v/>
      </c>
      <c r="W101" s="28" t="str">
        <f t="shared" si="19"/>
        <v/>
      </c>
      <c r="X101" s="29" t="str">
        <f t="shared" si="1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8"/>
        <v/>
      </c>
      <c r="L102" s="19" t="str">
        <f t="shared" si="13"/>
        <v/>
      </c>
      <c r="M102" s="19" t="str">
        <f t="shared" si="13"/>
        <v/>
      </c>
      <c r="N102" s="19" t="str">
        <f t="shared" si="13"/>
        <v/>
      </c>
      <c r="O102" s="19" t="str">
        <f t="shared" si="15"/>
        <v/>
      </c>
      <c r="P102" s="19" t="str">
        <f t="shared" si="16"/>
        <v/>
      </c>
      <c r="Q102" s="19" t="str">
        <f t="shared" si="17"/>
        <v/>
      </c>
      <c r="R102" s="19" t="str">
        <f t="shared" si="13"/>
        <v/>
      </c>
      <c r="S102" s="27" t="str">
        <f t="shared" si="19"/>
        <v/>
      </c>
      <c r="T102" s="28" t="str">
        <f t="shared" si="19"/>
        <v/>
      </c>
      <c r="U102" s="28" t="str">
        <f t="shared" si="19"/>
        <v/>
      </c>
      <c r="V102" s="28" t="str">
        <f t="shared" si="19"/>
        <v/>
      </c>
      <c r="W102" s="28" t="str">
        <f t="shared" si="19"/>
        <v/>
      </c>
      <c r="X102" s="29" t="str">
        <f t="shared" si="1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18"/>
        <v/>
      </c>
      <c r="L103" s="19" t="str">
        <f t="shared" si="13"/>
        <v/>
      </c>
      <c r="M103" s="19" t="str">
        <f t="shared" si="13"/>
        <v/>
      </c>
      <c r="N103" s="19" t="str">
        <f t="shared" si="13"/>
        <v/>
      </c>
      <c r="O103" s="19" t="str">
        <f t="shared" si="15"/>
        <v/>
      </c>
      <c r="P103" s="19" t="str">
        <f t="shared" si="16"/>
        <v/>
      </c>
      <c r="Q103" s="19" t="str">
        <f t="shared" si="17"/>
        <v/>
      </c>
      <c r="R103" s="19" t="str">
        <f t="shared" si="13"/>
        <v/>
      </c>
      <c r="S103" s="27" t="str">
        <f t="shared" si="19"/>
        <v/>
      </c>
      <c r="T103" s="28" t="str">
        <f t="shared" si="19"/>
        <v/>
      </c>
      <c r="U103" s="28" t="str">
        <f t="shared" si="19"/>
        <v/>
      </c>
      <c r="V103" s="28" t="str">
        <f t="shared" si="19"/>
        <v/>
      </c>
      <c r="W103" s="28" t="str">
        <f t="shared" si="19"/>
        <v/>
      </c>
      <c r="X103" s="29" t="str">
        <f t="shared" si="1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18"/>
        <v/>
      </c>
      <c r="L104" s="19" t="str">
        <f t="shared" si="13"/>
        <v/>
      </c>
      <c r="M104" s="19" t="str">
        <f t="shared" si="13"/>
        <v/>
      </c>
      <c r="N104" s="19" t="str">
        <f t="shared" si="13"/>
        <v/>
      </c>
      <c r="O104" s="19" t="str">
        <f t="shared" si="15"/>
        <v/>
      </c>
      <c r="P104" s="19" t="str">
        <f t="shared" si="16"/>
        <v/>
      </c>
      <c r="Q104" s="19" t="str">
        <f t="shared" si="17"/>
        <v/>
      </c>
      <c r="R104" s="19" t="str">
        <f t="shared" si="13"/>
        <v/>
      </c>
      <c r="S104" s="27" t="str">
        <f t="shared" si="19"/>
        <v/>
      </c>
      <c r="T104" s="28" t="str">
        <f t="shared" si="19"/>
        <v/>
      </c>
      <c r="U104" s="28" t="str">
        <f t="shared" si="19"/>
        <v/>
      </c>
      <c r="V104" s="28" t="str">
        <f t="shared" si="19"/>
        <v/>
      </c>
      <c r="W104" s="28" t="str">
        <f t="shared" si="19"/>
        <v/>
      </c>
      <c r="X104" s="29" t="str">
        <f t="shared" si="1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18"/>
        <v/>
      </c>
      <c r="L105" s="19" t="str">
        <f t="shared" si="13"/>
        <v/>
      </c>
      <c r="M105" s="19" t="str">
        <f t="shared" si="13"/>
        <v/>
      </c>
      <c r="N105" s="19" t="str">
        <f t="shared" si="13"/>
        <v/>
      </c>
      <c r="O105" s="19" t="str">
        <f t="shared" si="15"/>
        <v/>
      </c>
      <c r="P105" s="19" t="str">
        <f t="shared" si="16"/>
        <v/>
      </c>
      <c r="Q105" s="19" t="str">
        <f t="shared" si="17"/>
        <v/>
      </c>
      <c r="R105" s="19" t="str">
        <f t="shared" si="13"/>
        <v/>
      </c>
      <c r="S105" s="27" t="str">
        <f t="shared" si="19"/>
        <v/>
      </c>
      <c r="T105" s="28" t="str">
        <f t="shared" si="19"/>
        <v/>
      </c>
      <c r="U105" s="28" t="str">
        <f t="shared" si="19"/>
        <v/>
      </c>
      <c r="V105" s="28" t="str">
        <f t="shared" si="19"/>
        <v/>
      </c>
      <c r="W105" s="28" t="str">
        <f t="shared" si="19"/>
        <v/>
      </c>
      <c r="X105" s="29" t="str">
        <f t="shared" si="1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18"/>
        <v/>
      </c>
      <c r="L106" s="19" t="str">
        <f t="shared" si="13"/>
        <v/>
      </c>
      <c r="M106" s="19" t="str">
        <f t="shared" si="13"/>
        <v/>
      </c>
      <c r="N106" s="19" t="str">
        <f t="shared" si="13"/>
        <v/>
      </c>
      <c r="O106" s="19" t="str">
        <f t="shared" si="15"/>
        <v/>
      </c>
      <c r="P106" s="19" t="str">
        <f t="shared" si="16"/>
        <v/>
      </c>
      <c r="Q106" s="19" t="str">
        <f t="shared" si="17"/>
        <v/>
      </c>
      <c r="R106" s="19" t="str">
        <f t="shared" si="13"/>
        <v/>
      </c>
      <c r="S106" s="27" t="str">
        <f t="shared" si="19"/>
        <v/>
      </c>
      <c r="T106" s="28" t="str">
        <f t="shared" si="19"/>
        <v/>
      </c>
      <c r="U106" s="28" t="str">
        <f t="shared" si="19"/>
        <v/>
      </c>
      <c r="V106" s="28" t="str">
        <f t="shared" si="19"/>
        <v/>
      </c>
      <c r="W106" s="28" t="str">
        <f t="shared" si="19"/>
        <v/>
      </c>
      <c r="X106" s="29" t="str">
        <f t="shared" si="1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18"/>
        <v/>
      </c>
      <c r="L107" s="19" t="str">
        <f t="shared" si="13"/>
        <v/>
      </c>
      <c r="M107" s="19" t="str">
        <f t="shared" si="13"/>
        <v/>
      </c>
      <c r="N107" s="19" t="str">
        <f t="shared" si="13"/>
        <v/>
      </c>
      <c r="O107" s="19" t="str">
        <f t="shared" si="15"/>
        <v/>
      </c>
      <c r="P107" s="19" t="str">
        <f t="shared" si="16"/>
        <v/>
      </c>
      <c r="Q107" s="19" t="str">
        <f t="shared" si="17"/>
        <v/>
      </c>
      <c r="R107" s="19" t="str">
        <f t="shared" si="13"/>
        <v/>
      </c>
      <c r="S107" s="27" t="str">
        <f t="shared" si="19"/>
        <v/>
      </c>
      <c r="T107" s="28" t="str">
        <f t="shared" si="19"/>
        <v/>
      </c>
      <c r="U107" s="28" t="str">
        <f t="shared" si="19"/>
        <v/>
      </c>
      <c r="V107" s="28" t="str">
        <f t="shared" si="19"/>
        <v/>
      </c>
      <c r="W107" s="28" t="str">
        <f t="shared" si="19"/>
        <v/>
      </c>
      <c r="X107" s="29" t="str">
        <f t="shared" si="1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18"/>
        <v/>
      </c>
      <c r="L108" s="19" t="str">
        <f t="shared" si="13"/>
        <v/>
      </c>
      <c r="M108" s="19" t="str">
        <f t="shared" si="13"/>
        <v/>
      </c>
      <c r="N108" s="19" t="str">
        <f t="shared" si="13"/>
        <v/>
      </c>
      <c r="O108" s="19" t="str">
        <f t="shared" si="15"/>
        <v/>
      </c>
      <c r="P108" s="19" t="str">
        <f t="shared" si="16"/>
        <v/>
      </c>
      <c r="Q108" s="19" t="str">
        <f t="shared" si="17"/>
        <v/>
      </c>
      <c r="R108" s="19" t="str">
        <f t="shared" si="13"/>
        <v/>
      </c>
      <c r="S108" s="27" t="str">
        <f t="shared" si="19"/>
        <v/>
      </c>
      <c r="T108" s="28" t="str">
        <f t="shared" si="19"/>
        <v/>
      </c>
      <c r="U108" s="28" t="str">
        <f t="shared" si="19"/>
        <v/>
      </c>
      <c r="V108" s="28" t="str">
        <f t="shared" si="19"/>
        <v/>
      </c>
      <c r="W108" s="28" t="str">
        <f t="shared" si="19"/>
        <v/>
      </c>
      <c r="X108" s="29" t="str">
        <f t="shared" si="1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18"/>
        <v/>
      </c>
      <c r="L109" s="19" t="str">
        <f t="shared" si="13"/>
        <v/>
      </c>
      <c r="M109" s="19" t="str">
        <f t="shared" si="13"/>
        <v/>
      </c>
      <c r="N109" s="19" t="str">
        <f t="shared" si="13"/>
        <v/>
      </c>
      <c r="O109" s="19" t="str">
        <f t="shared" si="15"/>
        <v/>
      </c>
      <c r="P109" s="19" t="str">
        <f t="shared" si="16"/>
        <v/>
      </c>
      <c r="Q109" s="19" t="str">
        <f t="shared" si="17"/>
        <v/>
      </c>
      <c r="R109" s="19" t="str">
        <f t="shared" si="13"/>
        <v/>
      </c>
      <c r="S109" s="27" t="str">
        <f t="shared" si="19"/>
        <v/>
      </c>
      <c r="T109" s="28" t="str">
        <f t="shared" si="19"/>
        <v/>
      </c>
      <c r="U109" s="28" t="str">
        <f t="shared" si="19"/>
        <v/>
      </c>
      <c r="V109" s="28" t="str">
        <f t="shared" si="19"/>
        <v/>
      </c>
      <c r="W109" s="28" t="str">
        <f t="shared" si="19"/>
        <v/>
      </c>
      <c r="X109" s="29" t="str">
        <f t="shared" si="1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18"/>
        <v/>
      </c>
      <c r="L110" s="19" t="str">
        <f t="shared" si="13"/>
        <v/>
      </c>
      <c r="M110" s="19" t="str">
        <f t="shared" si="13"/>
        <v/>
      </c>
      <c r="N110" s="19" t="str">
        <f t="shared" si="13"/>
        <v/>
      </c>
      <c r="O110" s="19" t="str">
        <f t="shared" si="15"/>
        <v/>
      </c>
      <c r="P110" s="19" t="str">
        <f t="shared" si="16"/>
        <v/>
      </c>
      <c r="Q110" s="19" t="str">
        <f t="shared" si="17"/>
        <v/>
      </c>
      <c r="R110" s="19" t="str">
        <f t="shared" si="13"/>
        <v/>
      </c>
      <c r="S110" s="27" t="str">
        <f t="shared" si="19"/>
        <v/>
      </c>
      <c r="T110" s="28" t="str">
        <f t="shared" si="19"/>
        <v/>
      </c>
      <c r="U110" s="28" t="str">
        <f t="shared" si="19"/>
        <v/>
      </c>
      <c r="V110" s="28" t="str">
        <f t="shared" si="19"/>
        <v/>
      </c>
      <c r="W110" s="28" t="str">
        <f t="shared" si="19"/>
        <v/>
      </c>
      <c r="X110" s="29" t="str">
        <f t="shared" si="1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18"/>
        <v/>
      </c>
      <c r="L111" s="19" t="str">
        <f t="shared" si="13"/>
        <v/>
      </c>
      <c r="M111" s="19" t="str">
        <f t="shared" si="13"/>
        <v/>
      </c>
      <c r="N111" s="19" t="str">
        <f t="shared" si="13"/>
        <v/>
      </c>
      <c r="O111" s="19" t="str">
        <f t="shared" si="15"/>
        <v/>
      </c>
      <c r="P111" s="19" t="str">
        <f t="shared" si="16"/>
        <v/>
      </c>
      <c r="Q111" s="19" t="str">
        <f t="shared" si="17"/>
        <v/>
      </c>
      <c r="R111" s="19" t="str">
        <f t="shared" si="13"/>
        <v/>
      </c>
      <c r="S111" s="27" t="str">
        <f t="shared" si="19"/>
        <v/>
      </c>
      <c r="T111" s="28" t="str">
        <f t="shared" si="19"/>
        <v/>
      </c>
      <c r="U111" s="28" t="str">
        <f t="shared" si="19"/>
        <v/>
      </c>
      <c r="V111" s="28" t="str">
        <f t="shared" si="19"/>
        <v/>
      </c>
      <c r="W111" s="28" t="str">
        <f t="shared" si="19"/>
        <v/>
      </c>
      <c r="X111" s="29" t="str">
        <f t="shared" si="1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18"/>
        <v/>
      </c>
      <c r="L112" s="19" t="str">
        <f t="shared" ref="L112:R143" si="20">IF(ISBLANK(C112),"",(C112-C$16)*1000)</f>
        <v/>
      </c>
      <c r="M112" s="19" t="str">
        <f t="shared" si="20"/>
        <v/>
      </c>
      <c r="N112" s="19" t="str">
        <f t="shared" si="20"/>
        <v/>
      </c>
      <c r="O112" s="19" t="str">
        <f t="shared" si="15"/>
        <v/>
      </c>
      <c r="P112" s="19" t="str">
        <f t="shared" si="16"/>
        <v/>
      </c>
      <c r="Q112" s="19" t="str">
        <f t="shared" si="17"/>
        <v/>
      </c>
      <c r="R112" s="19" t="str">
        <f t="shared" si="20"/>
        <v/>
      </c>
      <c r="S112" s="27" t="str">
        <f t="shared" si="19"/>
        <v/>
      </c>
      <c r="T112" s="28" t="str">
        <f t="shared" si="19"/>
        <v/>
      </c>
      <c r="U112" s="28" t="str">
        <f t="shared" si="19"/>
        <v/>
      </c>
      <c r="V112" s="28" t="str">
        <f t="shared" si="19"/>
        <v/>
      </c>
      <c r="W112" s="28" t="str">
        <f t="shared" si="19"/>
        <v/>
      </c>
      <c r="X112" s="29" t="str">
        <f t="shared" si="1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18"/>
        <v/>
      </c>
      <c r="L113" s="19" t="str">
        <f t="shared" si="20"/>
        <v/>
      </c>
      <c r="M113" s="19" t="str">
        <f t="shared" si="20"/>
        <v/>
      </c>
      <c r="N113" s="19" t="str">
        <f t="shared" si="20"/>
        <v/>
      </c>
      <c r="O113" s="19" t="str">
        <f t="shared" si="15"/>
        <v/>
      </c>
      <c r="P113" s="19" t="str">
        <f t="shared" si="16"/>
        <v/>
      </c>
      <c r="Q113" s="19" t="str">
        <f t="shared" si="17"/>
        <v/>
      </c>
      <c r="R113" s="19" t="str">
        <f t="shared" si="20"/>
        <v/>
      </c>
      <c r="S113" s="27" t="str">
        <f t="shared" ref="S113:X128" si="21">IF(C113="","",((C113-C112)*1000)/($B113-$B112))</f>
        <v/>
      </c>
      <c r="T113" s="28" t="str">
        <f t="shared" si="21"/>
        <v/>
      </c>
      <c r="U113" s="28" t="str">
        <f t="shared" si="21"/>
        <v/>
      </c>
      <c r="V113" s="28" t="str">
        <f t="shared" si="21"/>
        <v/>
      </c>
      <c r="W113" s="28" t="str">
        <f t="shared" si="21"/>
        <v/>
      </c>
      <c r="X113" s="29" t="str">
        <f t="shared" si="21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18"/>
        <v/>
      </c>
      <c r="L114" s="19" t="str">
        <f t="shared" si="20"/>
        <v/>
      </c>
      <c r="M114" s="19" t="str">
        <f t="shared" si="20"/>
        <v/>
      </c>
      <c r="N114" s="19" t="str">
        <f t="shared" si="20"/>
        <v/>
      </c>
      <c r="O114" s="19" t="str">
        <f t="shared" si="15"/>
        <v/>
      </c>
      <c r="P114" s="19" t="str">
        <f t="shared" si="16"/>
        <v/>
      </c>
      <c r="Q114" s="19" t="str">
        <f t="shared" si="17"/>
        <v/>
      </c>
      <c r="R114" s="19" t="str">
        <f t="shared" si="20"/>
        <v/>
      </c>
      <c r="S114" s="27" t="str">
        <f t="shared" si="21"/>
        <v/>
      </c>
      <c r="T114" s="28" t="str">
        <f t="shared" si="21"/>
        <v/>
      </c>
      <c r="U114" s="28" t="str">
        <f t="shared" si="21"/>
        <v/>
      </c>
      <c r="V114" s="28" t="str">
        <f t="shared" si="21"/>
        <v/>
      </c>
      <c r="W114" s="28" t="str">
        <f t="shared" si="21"/>
        <v/>
      </c>
      <c r="X114" s="29" t="str">
        <f t="shared" si="21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18"/>
        <v/>
      </c>
      <c r="L115" s="19" t="str">
        <f t="shared" si="20"/>
        <v/>
      </c>
      <c r="M115" s="19" t="str">
        <f t="shared" si="20"/>
        <v/>
      </c>
      <c r="N115" s="19" t="str">
        <f t="shared" si="20"/>
        <v/>
      </c>
      <c r="O115" s="19" t="str">
        <f t="shared" si="15"/>
        <v/>
      </c>
      <c r="P115" s="19" t="str">
        <f t="shared" si="16"/>
        <v/>
      </c>
      <c r="Q115" s="19" t="str">
        <f t="shared" si="17"/>
        <v/>
      </c>
      <c r="R115" s="19" t="str">
        <f t="shared" si="20"/>
        <v/>
      </c>
      <c r="S115" s="27" t="str">
        <f t="shared" si="21"/>
        <v/>
      </c>
      <c r="T115" s="28" t="str">
        <f t="shared" si="21"/>
        <v/>
      </c>
      <c r="U115" s="28" t="str">
        <f t="shared" si="21"/>
        <v/>
      </c>
      <c r="V115" s="28" t="str">
        <f t="shared" si="21"/>
        <v/>
      </c>
      <c r="W115" s="28" t="str">
        <f t="shared" si="21"/>
        <v/>
      </c>
      <c r="X115" s="29" t="str">
        <f t="shared" si="21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18"/>
        <v/>
      </c>
      <c r="L116" s="19" t="str">
        <f t="shared" si="20"/>
        <v/>
      </c>
      <c r="M116" s="19" t="str">
        <f t="shared" si="20"/>
        <v/>
      </c>
      <c r="N116" s="19" t="str">
        <f t="shared" si="20"/>
        <v/>
      </c>
      <c r="O116" s="19" t="str">
        <f t="shared" si="15"/>
        <v/>
      </c>
      <c r="P116" s="19" t="str">
        <f t="shared" si="16"/>
        <v/>
      </c>
      <c r="Q116" s="19" t="str">
        <f t="shared" si="17"/>
        <v/>
      </c>
      <c r="R116" s="19" t="str">
        <f t="shared" si="20"/>
        <v/>
      </c>
      <c r="S116" s="27" t="str">
        <f t="shared" si="21"/>
        <v/>
      </c>
      <c r="T116" s="28" t="str">
        <f t="shared" si="21"/>
        <v/>
      </c>
      <c r="U116" s="28" t="str">
        <f t="shared" si="21"/>
        <v/>
      </c>
      <c r="V116" s="28" t="str">
        <f t="shared" si="21"/>
        <v/>
      </c>
      <c r="W116" s="28" t="str">
        <f t="shared" si="21"/>
        <v/>
      </c>
      <c r="X116" s="29" t="str">
        <f t="shared" si="21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18"/>
        <v/>
      </c>
      <c r="L117" s="19" t="str">
        <f t="shared" si="20"/>
        <v/>
      </c>
      <c r="M117" s="19" t="str">
        <f t="shared" si="20"/>
        <v/>
      </c>
      <c r="N117" s="19" t="str">
        <f t="shared" si="20"/>
        <v/>
      </c>
      <c r="O117" s="19" t="str">
        <f t="shared" si="15"/>
        <v/>
      </c>
      <c r="P117" s="19" t="str">
        <f t="shared" si="16"/>
        <v/>
      </c>
      <c r="Q117" s="19" t="str">
        <f t="shared" si="17"/>
        <v/>
      </c>
      <c r="R117" s="19" t="str">
        <f t="shared" si="20"/>
        <v/>
      </c>
      <c r="S117" s="27" t="str">
        <f t="shared" si="21"/>
        <v/>
      </c>
      <c r="T117" s="28" t="str">
        <f t="shared" si="21"/>
        <v/>
      </c>
      <c r="U117" s="28" t="str">
        <f t="shared" si="21"/>
        <v/>
      </c>
      <c r="V117" s="28" t="str">
        <f t="shared" si="21"/>
        <v/>
      </c>
      <c r="W117" s="28" t="str">
        <f t="shared" si="21"/>
        <v/>
      </c>
      <c r="X117" s="29" t="str">
        <f t="shared" si="21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18"/>
        <v/>
      </c>
      <c r="L118" s="19" t="str">
        <f t="shared" si="20"/>
        <v/>
      </c>
      <c r="M118" s="19" t="str">
        <f t="shared" si="20"/>
        <v/>
      </c>
      <c r="N118" s="19" t="str">
        <f t="shared" si="20"/>
        <v/>
      </c>
      <c r="O118" s="19" t="str">
        <f t="shared" si="15"/>
        <v/>
      </c>
      <c r="P118" s="19" t="str">
        <f t="shared" si="16"/>
        <v/>
      </c>
      <c r="Q118" s="19" t="str">
        <f t="shared" si="17"/>
        <v/>
      </c>
      <c r="R118" s="19" t="str">
        <f t="shared" si="20"/>
        <v/>
      </c>
      <c r="S118" s="27" t="str">
        <f t="shared" si="21"/>
        <v/>
      </c>
      <c r="T118" s="28" t="str">
        <f t="shared" si="21"/>
        <v/>
      </c>
      <c r="U118" s="28" t="str">
        <f t="shared" si="21"/>
        <v/>
      </c>
      <c r="V118" s="28" t="str">
        <f t="shared" si="21"/>
        <v/>
      </c>
      <c r="W118" s="28" t="str">
        <f t="shared" si="21"/>
        <v/>
      </c>
      <c r="X118" s="29" t="str">
        <f t="shared" si="21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18"/>
        <v/>
      </c>
      <c r="L119" s="19" t="str">
        <f t="shared" si="20"/>
        <v/>
      </c>
      <c r="M119" s="19" t="str">
        <f t="shared" si="20"/>
        <v/>
      </c>
      <c r="N119" s="19" t="str">
        <f t="shared" si="20"/>
        <v/>
      </c>
      <c r="O119" s="19" t="str">
        <f t="shared" si="15"/>
        <v/>
      </c>
      <c r="P119" s="19" t="str">
        <f t="shared" si="16"/>
        <v/>
      </c>
      <c r="Q119" s="19" t="str">
        <f t="shared" si="17"/>
        <v/>
      </c>
      <c r="R119" s="19" t="str">
        <f t="shared" si="20"/>
        <v/>
      </c>
      <c r="S119" s="27" t="str">
        <f t="shared" si="21"/>
        <v/>
      </c>
      <c r="T119" s="28" t="str">
        <f t="shared" si="21"/>
        <v/>
      </c>
      <c r="U119" s="28" t="str">
        <f t="shared" si="21"/>
        <v/>
      </c>
      <c r="V119" s="28" t="str">
        <f t="shared" si="21"/>
        <v/>
      </c>
      <c r="W119" s="28" t="str">
        <f t="shared" si="21"/>
        <v/>
      </c>
      <c r="X119" s="29" t="str">
        <f t="shared" si="21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18"/>
        <v/>
      </c>
      <c r="L120" s="19" t="str">
        <f t="shared" si="20"/>
        <v/>
      </c>
      <c r="M120" s="19" t="str">
        <f t="shared" si="20"/>
        <v/>
      </c>
      <c r="N120" s="19" t="str">
        <f t="shared" si="20"/>
        <v/>
      </c>
      <c r="O120" s="19" t="str">
        <f t="shared" si="15"/>
        <v/>
      </c>
      <c r="P120" s="19" t="str">
        <f t="shared" si="16"/>
        <v/>
      </c>
      <c r="Q120" s="19" t="str">
        <f t="shared" si="17"/>
        <v/>
      </c>
      <c r="R120" s="19" t="str">
        <f t="shared" si="20"/>
        <v/>
      </c>
      <c r="S120" s="27" t="str">
        <f t="shared" si="21"/>
        <v/>
      </c>
      <c r="T120" s="28" t="str">
        <f t="shared" si="21"/>
        <v/>
      </c>
      <c r="U120" s="28" t="str">
        <f t="shared" si="21"/>
        <v/>
      </c>
      <c r="V120" s="28" t="str">
        <f t="shared" si="21"/>
        <v/>
      </c>
      <c r="W120" s="28" t="str">
        <f t="shared" si="21"/>
        <v/>
      </c>
      <c r="X120" s="29" t="str">
        <f t="shared" si="21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18"/>
        <v/>
      </c>
      <c r="L121" s="19" t="str">
        <f t="shared" si="20"/>
        <v/>
      </c>
      <c r="M121" s="19" t="str">
        <f t="shared" si="20"/>
        <v/>
      </c>
      <c r="N121" s="19" t="str">
        <f t="shared" si="20"/>
        <v/>
      </c>
      <c r="O121" s="19" t="str">
        <f t="shared" si="15"/>
        <v/>
      </c>
      <c r="P121" s="19" t="str">
        <f t="shared" si="16"/>
        <v/>
      </c>
      <c r="Q121" s="19" t="str">
        <f t="shared" si="17"/>
        <v/>
      </c>
      <c r="R121" s="19" t="str">
        <f t="shared" si="20"/>
        <v/>
      </c>
      <c r="S121" s="27" t="str">
        <f t="shared" si="21"/>
        <v/>
      </c>
      <c r="T121" s="28" t="str">
        <f t="shared" si="21"/>
        <v/>
      </c>
      <c r="U121" s="28" t="str">
        <f t="shared" si="21"/>
        <v/>
      </c>
      <c r="V121" s="28" t="str">
        <f t="shared" si="21"/>
        <v/>
      </c>
      <c r="W121" s="28" t="str">
        <f t="shared" si="21"/>
        <v/>
      </c>
      <c r="X121" s="29" t="str">
        <f t="shared" si="21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18"/>
        <v/>
      </c>
      <c r="L122" s="19" t="str">
        <f t="shared" si="20"/>
        <v/>
      </c>
      <c r="M122" s="19" t="str">
        <f t="shared" si="20"/>
        <v/>
      </c>
      <c r="N122" s="19" t="str">
        <f t="shared" si="20"/>
        <v/>
      </c>
      <c r="O122" s="19" t="str">
        <f t="shared" si="15"/>
        <v/>
      </c>
      <c r="P122" s="19" t="str">
        <f t="shared" si="16"/>
        <v/>
      </c>
      <c r="Q122" s="19" t="str">
        <f t="shared" si="17"/>
        <v/>
      </c>
      <c r="R122" s="19" t="str">
        <f t="shared" si="20"/>
        <v/>
      </c>
      <c r="S122" s="27" t="str">
        <f t="shared" si="21"/>
        <v/>
      </c>
      <c r="T122" s="28" t="str">
        <f t="shared" si="21"/>
        <v/>
      </c>
      <c r="U122" s="28" t="str">
        <f t="shared" si="21"/>
        <v/>
      </c>
      <c r="V122" s="28" t="str">
        <f t="shared" si="21"/>
        <v/>
      </c>
      <c r="W122" s="28" t="str">
        <f t="shared" si="21"/>
        <v/>
      </c>
      <c r="X122" s="29" t="str">
        <f t="shared" si="21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18"/>
        <v/>
      </c>
      <c r="L123" s="19" t="str">
        <f t="shared" si="20"/>
        <v/>
      </c>
      <c r="M123" s="19" t="str">
        <f t="shared" si="20"/>
        <v/>
      </c>
      <c r="N123" s="19" t="str">
        <f t="shared" si="20"/>
        <v/>
      </c>
      <c r="O123" s="19" t="str">
        <f t="shared" si="15"/>
        <v/>
      </c>
      <c r="P123" s="19" t="str">
        <f t="shared" si="16"/>
        <v/>
      </c>
      <c r="Q123" s="19" t="str">
        <f t="shared" si="17"/>
        <v/>
      </c>
      <c r="R123" s="19" t="str">
        <f t="shared" si="20"/>
        <v/>
      </c>
      <c r="S123" s="27" t="str">
        <f t="shared" si="21"/>
        <v/>
      </c>
      <c r="T123" s="28" t="str">
        <f t="shared" si="21"/>
        <v/>
      </c>
      <c r="U123" s="28" t="str">
        <f t="shared" si="21"/>
        <v/>
      </c>
      <c r="V123" s="28" t="str">
        <f t="shared" si="21"/>
        <v/>
      </c>
      <c r="W123" s="28" t="str">
        <f t="shared" si="21"/>
        <v/>
      </c>
      <c r="X123" s="29" t="str">
        <f t="shared" si="21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18"/>
        <v/>
      </c>
      <c r="L124" s="19" t="str">
        <f t="shared" si="20"/>
        <v/>
      </c>
      <c r="M124" s="19" t="str">
        <f t="shared" si="20"/>
        <v/>
      </c>
      <c r="N124" s="19" t="str">
        <f t="shared" si="20"/>
        <v/>
      </c>
      <c r="O124" s="19" t="str">
        <f t="shared" si="15"/>
        <v/>
      </c>
      <c r="P124" s="19" t="str">
        <f t="shared" si="16"/>
        <v/>
      </c>
      <c r="Q124" s="19" t="str">
        <f t="shared" si="17"/>
        <v/>
      </c>
      <c r="R124" s="19" t="str">
        <f t="shared" si="20"/>
        <v/>
      </c>
      <c r="S124" s="27" t="str">
        <f t="shared" si="21"/>
        <v/>
      </c>
      <c r="T124" s="28" t="str">
        <f t="shared" si="21"/>
        <v/>
      </c>
      <c r="U124" s="28" t="str">
        <f t="shared" si="21"/>
        <v/>
      </c>
      <c r="V124" s="28" t="str">
        <f t="shared" si="21"/>
        <v/>
      </c>
      <c r="W124" s="28" t="str">
        <f t="shared" si="21"/>
        <v/>
      </c>
      <c r="X124" s="29" t="str">
        <f t="shared" si="21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18"/>
        <v/>
      </c>
      <c r="L125" s="19" t="str">
        <f t="shared" si="20"/>
        <v/>
      </c>
      <c r="M125" s="19" t="str">
        <f t="shared" si="20"/>
        <v/>
      </c>
      <c r="N125" s="19" t="str">
        <f t="shared" si="20"/>
        <v/>
      </c>
      <c r="O125" s="19" t="str">
        <f t="shared" si="15"/>
        <v/>
      </c>
      <c r="P125" s="19" t="str">
        <f t="shared" si="16"/>
        <v/>
      </c>
      <c r="Q125" s="19" t="str">
        <f t="shared" si="17"/>
        <v/>
      </c>
      <c r="R125" s="19" t="str">
        <f t="shared" si="20"/>
        <v/>
      </c>
      <c r="S125" s="27" t="str">
        <f t="shared" si="21"/>
        <v/>
      </c>
      <c r="T125" s="28" t="str">
        <f t="shared" si="21"/>
        <v/>
      </c>
      <c r="U125" s="28" t="str">
        <f t="shared" si="21"/>
        <v/>
      </c>
      <c r="V125" s="28" t="str">
        <f t="shared" si="21"/>
        <v/>
      </c>
      <c r="W125" s="28" t="str">
        <f t="shared" si="21"/>
        <v/>
      </c>
      <c r="X125" s="29" t="str">
        <f t="shared" si="21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18"/>
        <v/>
      </c>
      <c r="L126" s="19" t="str">
        <f t="shared" si="20"/>
        <v/>
      </c>
      <c r="M126" s="19" t="str">
        <f t="shared" si="20"/>
        <v/>
      </c>
      <c r="N126" s="19" t="str">
        <f t="shared" si="20"/>
        <v/>
      </c>
      <c r="O126" s="19" t="str">
        <f t="shared" si="15"/>
        <v/>
      </c>
      <c r="P126" s="19" t="str">
        <f t="shared" si="16"/>
        <v/>
      </c>
      <c r="Q126" s="19" t="str">
        <f t="shared" si="17"/>
        <v/>
      </c>
      <c r="R126" s="19" t="str">
        <f t="shared" si="20"/>
        <v/>
      </c>
      <c r="S126" s="27" t="str">
        <f t="shared" si="21"/>
        <v/>
      </c>
      <c r="T126" s="28" t="str">
        <f t="shared" si="21"/>
        <v/>
      </c>
      <c r="U126" s="28" t="str">
        <f t="shared" si="21"/>
        <v/>
      </c>
      <c r="V126" s="28" t="str">
        <f t="shared" si="21"/>
        <v/>
      </c>
      <c r="W126" s="28" t="str">
        <f t="shared" si="21"/>
        <v/>
      </c>
      <c r="X126" s="29" t="str">
        <f t="shared" si="21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18"/>
        <v/>
      </c>
      <c r="L127" s="19" t="str">
        <f t="shared" si="20"/>
        <v/>
      </c>
      <c r="M127" s="19" t="str">
        <f t="shared" si="20"/>
        <v/>
      </c>
      <c r="N127" s="19" t="str">
        <f t="shared" si="20"/>
        <v/>
      </c>
      <c r="O127" s="19" t="str">
        <f t="shared" si="15"/>
        <v/>
      </c>
      <c r="P127" s="19" t="str">
        <f t="shared" si="16"/>
        <v/>
      </c>
      <c r="Q127" s="19" t="str">
        <f t="shared" si="17"/>
        <v/>
      </c>
      <c r="R127" s="19" t="str">
        <f t="shared" si="20"/>
        <v/>
      </c>
      <c r="S127" s="27" t="str">
        <f t="shared" si="21"/>
        <v/>
      </c>
      <c r="T127" s="28" t="str">
        <f t="shared" si="21"/>
        <v/>
      </c>
      <c r="U127" s="28" t="str">
        <f t="shared" si="21"/>
        <v/>
      </c>
      <c r="V127" s="28" t="str">
        <f t="shared" si="21"/>
        <v/>
      </c>
      <c r="W127" s="28" t="str">
        <f t="shared" si="21"/>
        <v/>
      </c>
      <c r="X127" s="29" t="str">
        <f t="shared" si="21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18"/>
        <v/>
      </c>
      <c r="L128" s="19" t="str">
        <f t="shared" si="20"/>
        <v/>
      </c>
      <c r="M128" s="19" t="str">
        <f t="shared" si="20"/>
        <v/>
      </c>
      <c r="N128" s="19" t="str">
        <f t="shared" si="20"/>
        <v/>
      </c>
      <c r="O128" s="19" t="str">
        <f t="shared" si="15"/>
        <v/>
      </c>
      <c r="P128" s="19" t="str">
        <f t="shared" si="16"/>
        <v/>
      </c>
      <c r="Q128" s="19" t="str">
        <f t="shared" si="17"/>
        <v/>
      </c>
      <c r="R128" s="19" t="str">
        <f t="shared" si="20"/>
        <v/>
      </c>
      <c r="S128" s="27" t="str">
        <f t="shared" si="21"/>
        <v/>
      </c>
      <c r="T128" s="28" t="str">
        <f t="shared" si="21"/>
        <v/>
      </c>
      <c r="U128" s="28" t="str">
        <f t="shared" si="21"/>
        <v/>
      </c>
      <c r="V128" s="28" t="str">
        <f t="shared" si="21"/>
        <v/>
      </c>
      <c r="W128" s="28" t="str">
        <f t="shared" si="21"/>
        <v/>
      </c>
      <c r="X128" s="29" t="str">
        <f t="shared" si="21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18"/>
        <v/>
      </c>
      <c r="L129" s="19" t="str">
        <f t="shared" si="20"/>
        <v/>
      </c>
      <c r="M129" s="19" t="str">
        <f t="shared" si="20"/>
        <v/>
      </c>
      <c r="N129" s="19" t="str">
        <f t="shared" si="20"/>
        <v/>
      </c>
      <c r="O129" s="19" t="str">
        <f t="shared" si="15"/>
        <v/>
      </c>
      <c r="P129" s="19" t="str">
        <f t="shared" si="16"/>
        <v/>
      </c>
      <c r="Q129" s="19" t="str">
        <f t="shared" si="17"/>
        <v/>
      </c>
      <c r="R129" s="19" t="str">
        <f t="shared" si="20"/>
        <v/>
      </c>
      <c r="S129" s="27" t="str">
        <f t="shared" ref="S129:X144" si="22">IF(C129="","",((C129-C128)*1000)/($B129-$B128))</f>
        <v/>
      </c>
      <c r="T129" s="28" t="str">
        <f t="shared" si="22"/>
        <v/>
      </c>
      <c r="U129" s="28" t="str">
        <f t="shared" si="22"/>
        <v/>
      </c>
      <c r="V129" s="28" t="str">
        <f t="shared" si="22"/>
        <v/>
      </c>
      <c r="W129" s="28" t="str">
        <f t="shared" si="22"/>
        <v/>
      </c>
      <c r="X129" s="29" t="str">
        <f t="shared" si="2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18"/>
        <v/>
      </c>
      <c r="L130" s="19" t="str">
        <f t="shared" si="20"/>
        <v/>
      </c>
      <c r="M130" s="19" t="str">
        <f t="shared" si="20"/>
        <v/>
      </c>
      <c r="N130" s="19" t="str">
        <f t="shared" si="20"/>
        <v/>
      </c>
      <c r="O130" s="19" t="str">
        <f t="shared" si="15"/>
        <v/>
      </c>
      <c r="P130" s="19" t="str">
        <f t="shared" si="16"/>
        <v/>
      </c>
      <c r="Q130" s="19" t="str">
        <f t="shared" si="17"/>
        <v/>
      </c>
      <c r="R130" s="19" t="str">
        <f t="shared" si="20"/>
        <v/>
      </c>
      <c r="S130" s="27" t="str">
        <f t="shared" si="22"/>
        <v/>
      </c>
      <c r="T130" s="28" t="str">
        <f t="shared" si="22"/>
        <v/>
      </c>
      <c r="U130" s="28" t="str">
        <f t="shared" si="22"/>
        <v/>
      </c>
      <c r="V130" s="28" t="str">
        <f t="shared" si="22"/>
        <v/>
      </c>
      <c r="W130" s="28" t="str">
        <f t="shared" si="22"/>
        <v/>
      </c>
      <c r="X130" s="29" t="str">
        <f t="shared" si="2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18"/>
        <v/>
      </c>
      <c r="L131" s="19" t="str">
        <f t="shared" si="20"/>
        <v/>
      </c>
      <c r="M131" s="19" t="str">
        <f t="shared" si="20"/>
        <v/>
      </c>
      <c r="N131" s="19" t="str">
        <f t="shared" si="20"/>
        <v/>
      </c>
      <c r="O131" s="19" t="str">
        <f t="shared" si="15"/>
        <v/>
      </c>
      <c r="P131" s="19" t="str">
        <f t="shared" si="16"/>
        <v/>
      </c>
      <c r="Q131" s="19" t="str">
        <f t="shared" si="17"/>
        <v/>
      </c>
      <c r="R131" s="19" t="str">
        <f t="shared" si="20"/>
        <v/>
      </c>
      <c r="S131" s="27" t="str">
        <f t="shared" si="22"/>
        <v/>
      </c>
      <c r="T131" s="28" t="str">
        <f t="shared" si="22"/>
        <v/>
      </c>
      <c r="U131" s="28" t="str">
        <f t="shared" si="22"/>
        <v/>
      </c>
      <c r="V131" s="28" t="str">
        <f t="shared" si="22"/>
        <v/>
      </c>
      <c r="W131" s="28" t="str">
        <f t="shared" si="22"/>
        <v/>
      </c>
      <c r="X131" s="29" t="str">
        <f t="shared" si="2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18"/>
        <v/>
      </c>
      <c r="L132" s="19" t="str">
        <f t="shared" si="20"/>
        <v/>
      </c>
      <c r="M132" s="19" t="str">
        <f t="shared" si="20"/>
        <v/>
      </c>
      <c r="N132" s="19" t="str">
        <f t="shared" si="20"/>
        <v/>
      </c>
      <c r="O132" s="19" t="str">
        <f t="shared" si="15"/>
        <v/>
      </c>
      <c r="P132" s="19" t="str">
        <f t="shared" si="16"/>
        <v/>
      </c>
      <c r="Q132" s="19" t="str">
        <f t="shared" si="17"/>
        <v/>
      </c>
      <c r="R132" s="19" t="str">
        <f t="shared" si="20"/>
        <v/>
      </c>
      <c r="S132" s="27" t="str">
        <f t="shared" si="22"/>
        <v/>
      </c>
      <c r="T132" s="28" t="str">
        <f t="shared" si="22"/>
        <v/>
      </c>
      <c r="U132" s="28" t="str">
        <f t="shared" si="22"/>
        <v/>
      </c>
      <c r="V132" s="28" t="str">
        <f t="shared" si="22"/>
        <v/>
      </c>
      <c r="W132" s="28" t="str">
        <f t="shared" si="22"/>
        <v/>
      </c>
      <c r="X132" s="29" t="str">
        <f t="shared" si="2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18"/>
        <v/>
      </c>
      <c r="L133" s="19" t="str">
        <f t="shared" si="20"/>
        <v/>
      </c>
      <c r="M133" s="19" t="str">
        <f t="shared" si="20"/>
        <v/>
      </c>
      <c r="N133" s="19" t="str">
        <f t="shared" si="20"/>
        <v/>
      </c>
      <c r="O133" s="19" t="str">
        <f t="shared" si="15"/>
        <v/>
      </c>
      <c r="P133" s="19" t="str">
        <f t="shared" si="16"/>
        <v/>
      </c>
      <c r="Q133" s="19" t="str">
        <f t="shared" si="17"/>
        <v/>
      </c>
      <c r="R133" s="19" t="str">
        <f t="shared" si="20"/>
        <v/>
      </c>
      <c r="S133" s="27" t="str">
        <f t="shared" si="22"/>
        <v/>
      </c>
      <c r="T133" s="28" t="str">
        <f t="shared" si="22"/>
        <v/>
      </c>
      <c r="U133" s="28" t="str">
        <f t="shared" si="22"/>
        <v/>
      </c>
      <c r="V133" s="28" t="str">
        <f t="shared" si="22"/>
        <v/>
      </c>
      <c r="W133" s="28" t="str">
        <f t="shared" si="22"/>
        <v/>
      </c>
      <c r="X133" s="29" t="str">
        <f t="shared" si="2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18"/>
        <v/>
      </c>
      <c r="L134" s="19" t="str">
        <f t="shared" si="20"/>
        <v/>
      </c>
      <c r="M134" s="19" t="str">
        <f t="shared" si="20"/>
        <v/>
      </c>
      <c r="N134" s="19" t="str">
        <f t="shared" si="20"/>
        <v/>
      </c>
      <c r="O134" s="19" t="str">
        <f t="shared" si="15"/>
        <v/>
      </c>
      <c r="P134" s="19" t="str">
        <f t="shared" si="16"/>
        <v/>
      </c>
      <c r="Q134" s="19" t="str">
        <f t="shared" si="17"/>
        <v/>
      </c>
      <c r="R134" s="19" t="str">
        <f t="shared" si="20"/>
        <v/>
      </c>
      <c r="S134" s="27" t="str">
        <f t="shared" si="22"/>
        <v/>
      </c>
      <c r="T134" s="28" t="str">
        <f t="shared" si="22"/>
        <v/>
      </c>
      <c r="U134" s="28" t="str">
        <f t="shared" si="22"/>
        <v/>
      </c>
      <c r="V134" s="28" t="str">
        <f t="shared" si="22"/>
        <v/>
      </c>
      <c r="W134" s="28" t="str">
        <f t="shared" si="22"/>
        <v/>
      </c>
      <c r="X134" s="29" t="str">
        <f t="shared" si="2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18"/>
        <v/>
      </c>
      <c r="L135" s="19" t="str">
        <f t="shared" si="20"/>
        <v/>
      </c>
      <c r="M135" s="19" t="str">
        <f t="shared" si="20"/>
        <v/>
      </c>
      <c r="N135" s="19" t="str">
        <f t="shared" si="20"/>
        <v/>
      </c>
      <c r="O135" s="19" t="str">
        <f t="shared" si="15"/>
        <v/>
      </c>
      <c r="P135" s="19" t="str">
        <f t="shared" si="16"/>
        <v/>
      </c>
      <c r="Q135" s="19" t="str">
        <f t="shared" si="17"/>
        <v/>
      </c>
      <c r="R135" s="19" t="str">
        <f t="shared" si="20"/>
        <v/>
      </c>
      <c r="S135" s="27" t="str">
        <f t="shared" si="22"/>
        <v/>
      </c>
      <c r="T135" s="28" t="str">
        <f t="shared" si="22"/>
        <v/>
      </c>
      <c r="U135" s="28" t="str">
        <f t="shared" si="22"/>
        <v/>
      </c>
      <c r="V135" s="28" t="str">
        <f t="shared" si="22"/>
        <v/>
      </c>
      <c r="W135" s="28" t="str">
        <f t="shared" si="22"/>
        <v/>
      </c>
      <c r="X135" s="29" t="str">
        <f t="shared" si="2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18"/>
        <v/>
      </c>
      <c r="L136" s="19" t="str">
        <f t="shared" si="20"/>
        <v/>
      </c>
      <c r="M136" s="19" t="str">
        <f t="shared" si="20"/>
        <v/>
      </c>
      <c r="N136" s="19" t="str">
        <f t="shared" si="20"/>
        <v/>
      </c>
      <c r="O136" s="19" t="str">
        <f t="shared" si="15"/>
        <v/>
      </c>
      <c r="P136" s="19" t="str">
        <f t="shared" si="16"/>
        <v/>
      </c>
      <c r="Q136" s="19" t="str">
        <f t="shared" si="17"/>
        <v/>
      </c>
      <c r="R136" s="19" t="str">
        <f t="shared" si="20"/>
        <v/>
      </c>
      <c r="S136" s="27" t="str">
        <f t="shared" si="22"/>
        <v/>
      </c>
      <c r="T136" s="28" t="str">
        <f t="shared" si="22"/>
        <v/>
      </c>
      <c r="U136" s="28" t="str">
        <f t="shared" si="22"/>
        <v/>
      </c>
      <c r="V136" s="28" t="str">
        <f t="shared" si="22"/>
        <v/>
      </c>
      <c r="W136" s="28" t="str">
        <f t="shared" si="22"/>
        <v/>
      </c>
      <c r="X136" s="29" t="str">
        <f t="shared" si="2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18"/>
        <v/>
      </c>
      <c r="L137" s="19" t="str">
        <f t="shared" si="20"/>
        <v/>
      </c>
      <c r="M137" s="19" t="str">
        <f t="shared" si="20"/>
        <v/>
      </c>
      <c r="N137" s="19" t="str">
        <f t="shared" si="20"/>
        <v/>
      </c>
      <c r="O137" s="19" t="str">
        <f t="shared" si="15"/>
        <v/>
      </c>
      <c r="P137" s="19" t="str">
        <f t="shared" si="16"/>
        <v/>
      </c>
      <c r="Q137" s="19" t="str">
        <f t="shared" si="17"/>
        <v/>
      </c>
      <c r="R137" s="19" t="str">
        <f t="shared" si="20"/>
        <v/>
      </c>
      <c r="S137" s="27" t="str">
        <f t="shared" si="22"/>
        <v/>
      </c>
      <c r="T137" s="28" t="str">
        <f t="shared" si="22"/>
        <v/>
      </c>
      <c r="U137" s="28" t="str">
        <f t="shared" si="22"/>
        <v/>
      </c>
      <c r="V137" s="28" t="str">
        <f t="shared" si="22"/>
        <v/>
      </c>
      <c r="W137" s="28" t="str">
        <f t="shared" si="22"/>
        <v/>
      </c>
      <c r="X137" s="29" t="str">
        <f t="shared" si="2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18"/>
        <v/>
      </c>
      <c r="L138" s="19" t="str">
        <f t="shared" si="20"/>
        <v/>
      </c>
      <c r="M138" s="19" t="str">
        <f t="shared" si="20"/>
        <v/>
      </c>
      <c r="N138" s="19" t="str">
        <f t="shared" si="20"/>
        <v/>
      </c>
      <c r="O138" s="19" t="str">
        <f t="shared" si="15"/>
        <v/>
      </c>
      <c r="P138" s="19" t="str">
        <f t="shared" si="16"/>
        <v/>
      </c>
      <c r="Q138" s="19" t="str">
        <f t="shared" si="17"/>
        <v/>
      </c>
      <c r="R138" s="19" t="str">
        <f t="shared" si="20"/>
        <v/>
      </c>
      <c r="S138" s="27" t="str">
        <f t="shared" si="22"/>
        <v/>
      </c>
      <c r="T138" s="28" t="str">
        <f t="shared" si="22"/>
        <v/>
      </c>
      <c r="U138" s="28" t="str">
        <f t="shared" si="22"/>
        <v/>
      </c>
      <c r="V138" s="28" t="str">
        <f t="shared" si="22"/>
        <v/>
      </c>
      <c r="W138" s="28" t="str">
        <f t="shared" si="22"/>
        <v/>
      </c>
      <c r="X138" s="29" t="str">
        <f t="shared" si="2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18"/>
        <v/>
      </c>
      <c r="L139" s="19" t="str">
        <f t="shared" si="20"/>
        <v/>
      </c>
      <c r="M139" s="19" t="str">
        <f t="shared" si="20"/>
        <v/>
      </c>
      <c r="N139" s="19" t="str">
        <f t="shared" si="20"/>
        <v/>
      </c>
      <c r="O139" s="19" t="str">
        <f t="shared" si="15"/>
        <v/>
      </c>
      <c r="P139" s="19" t="str">
        <f t="shared" si="16"/>
        <v/>
      </c>
      <c r="Q139" s="19" t="str">
        <f t="shared" si="17"/>
        <v/>
      </c>
      <c r="R139" s="19" t="str">
        <f t="shared" si="20"/>
        <v/>
      </c>
      <c r="S139" s="27" t="str">
        <f t="shared" si="22"/>
        <v/>
      </c>
      <c r="T139" s="28" t="str">
        <f t="shared" si="22"/>
        <v/>
      </c>
      <c r="U139" s="28" t="str">
        <f t="shared" si="22"/>
        <v/>
      </c>
      <c r="V139" s="28" t="str">
        <f t="shared" si="22"/>
        <v/>
      </c>
      <c r="W139" s="28" t="str">
        <f t="shared" si="22"/>
        <v/>
      </c>
      <c r="X139" s="29" t="str">
        <f t="shared" si="2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18"/>
        <v/>
      </c>
      <c r="L140" s="19" t="str">
        <f t="shared" si="20"/>
        <v/>
      </c>
      <c r="M140" s="19" t="str">
        <f t="shared" si="20"/>
        <v/>
      </c>
      <c r="N140" s="19" t="str">
        <f t="shared" si="20"/>
        <v/>
      </c>
      <c r="O140" s="19" t="str">
        <f t="shared" si="15"/>
        <v/>
      </c>
      <c r="P140" s="19" t="str">
        <f t="shared" si="16"/>
        <v/>
      </c>
      <c r="Q140" s="19" t="str">
        <f t="shared" si="17"/>
        <v/>
      </c>
      <c r="R140" s="19" t="str">
        <f t="shared" si="20"/>
        <v/>
      </c>
      <c r="S140" s="27" t="str">
        <f t="shared" si="22"/>
        <v/>
      </c>
      <c r="T140" s="28" t="str">
        <f t="shared" si="22"/>
        <v/>
      </c>
      <c r="U140" s="28" t="str">
        <f t="shared" si="22"/>
        <v/>
      </c>
      <c r="V140" s="28" t="str">
        <f t="shared" si="22"/>
        <v/>
      </c>
      <c r="W140" s="28" t="str">
        <f t="shared" si="22"/>
        <v/>
      </c>
      <c r="X140" s="29" t="str">
        <f t="shared" si="2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18"/>
        <v/>
      </c>
      <c r="L141" s="19" t="str">
        <f t="shared" si="20"/>
        <v/>
      </c>
      <c r="M141" s="19" t="str">
        <f t="shared" si="20"/>
        <v/>
      </c>
      <c r="N141" s="19" t="str">
        <f t="shared" si="20"/>
        <v/>
      </c>
      <c r="O141" s="19" t="str">
        <f t="shared" si="15"/>
        <v/>
      </c>
      <c r="P141" s="19" t="str">
        <f t="shared" si="16"/>
        <v/>
      </c>
      <c r="Q141" s="19" t="str">
        <f t="shared" si="17"/>
        <v/>
      </c>
      <c r="R141" s="19" t="str">
        <f t="shared" si="20"/>
        <v/>
      </c>
      <c r="S141" s="27" t="str">
        <f t="shared" si="22"/>
        <v/>
      </c>
      <c r="T141" s="28" t="str">
        <f t="shared" si="22"/>
        <v/>
      </c>
      <c r="U141" s="28" t="str">
        <f t="shared" si="22"/>
        <v/>
      </c>
      <c r="V141" s="28" t="str">
        <f t="shared" si="22"/>
        <v/>
      </c>
      <c r="W141" s="28" t="str">
        <f t="shared" si="22"/>
        <v/>
      </c>
      <c r="X141" s="29" t="str">
        <f t="shared" si="2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18"/>
        <v/>
      </c>
      <c r="L142" s="19" t="str">
        <f t="shared" si="20"/>
        <v/>
      </c>
      <c r="M142" s="19" t="str">
        <f t="shared" si="20"/>
        <v/>
      </c>
      <c r="N142" s="19" t="str">
        <f t="shared" si="20"/>
        <v/>
      </c>
      <c r="O142" s="19" t="str">
        <f t="shared" si="15"/>
        <v/>
      </c>
      <c r="P142" s="19" t="str">
        <f t="shared" si="16"/>
        <v/>
      </c>
      <c r="Q142" s="19" t="str">
        <f t="shared" si="17"/>
        <v/>
      </c>
      <c r="R142" s="19" t="str">
        <f t="shared" si="20"/>
        <v/>
      </c>
      <c r="S142" s="27" t="str">
        <f t="shared" si="22"/>
        <v/>
      </c>
      <c r="T142" s="28" t="str">
        <f t="shared" si="22"/>
        <v/>
      </c>
      <c r="U142" s="28" t="str">
        <f t="shared" si="22"/>
        <v/>
      </c>
      <c r="V142" s="28" t="str">
        <f t="shared" si="22"/>
        <v/>
      </c>
      <c r="W142" s="28" t="str">
        <f t="shared" si="22"/>
        <v/>
      </c>
      <c r="X142" s="29" t="str">
        <f t="shared" si="2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18"/>
        <v/>
      </c>
      <c r="L143" s="19" t="str">
        <f t="shared" si="20"/>
        <v/>
      </c>
      <c r="M143" s="19" t="str">
        <f t="shared" si="20"/>
        <v/>
      </c>
      <c r="N143" s="19" t="str">
        <f t="shared" si="20"/>
        <v/>
      </c>
      <c r="O143" s="19" t="str">
        <f t="shared" si="15"/>
        <v/>
      </c>
      <c r="P143" s="19" t="str">
        <f t="shared" si="16"/>
        <v/>
      </c>
      <c r="Q143" s="19" t="str">
        <f t="shared" si="17"/>
        <v/>
      </c>
      <c r="R143" s="19" t="str">
        <f t="shared" si="20"/>
        <v/>
      </c>
      <c r="S143" s="27" t="str">
        <f t="shared" si="22"/>
        <v/>
      </c>
      <c r="T143" s="28" t="str">
        <f t="shared" si="22"/>
        <v/>
      </c>
      <c r="U143" s="28" t="str">
        <f t="shared" si="22"/>
        <v/>
      </c>
      <c r="V143" s="28" t="str">
        <f t="shared" si="22"/>
        <v/>
      </c>
      <c r="W143" s="28" t="str">
        <f t="shared" si="22"/>
        <v/>
      </c>
      <c r="X143" s="29" t="str">
        <f t="shared" si="2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18"/>
        <v/>
      </c>
      <c r="L144" s="19" t="str">
        <f t="shared" ref="L144:R153" si="23">IF(ISBLANK(C144),"",(C144-C$16)*1000)</f>
        <v/>
      </c>
      <c r="M144" s="19" t="str">
        <f t="shared" si="23"/>
        <v/>
      </c>
      <c r="N144" s="19" t="str">
        <f t="shared" si="23"/>
        <v/>
      </c>
      <c r="O144" s="19" t="str">
        <f t="shared" si="15"/>
        <v/>
      </c>
      <c r="P144" s="19" t="str">
        <f t="shared" si="16"/>
        <v/>
      </c>
      <c r="Q144" s="19" t="str">
        <f t="shared" si="17"/>
        <v/>
      </c>
      <c r="R144" s="19" t="str">
        <f t="shared" si="23"/>
        <v/>
      </c>
      <c r="S144" s="27" t="str">
        <f t="shared" si="22"/>
        <v/>
      </c>
      <c r="T144" s="28" t="str">
        <f t="shared" si="22"/>
        <v/>
      </c>
      <c r="U144" s="28" t="str">
        <f t="shared" si="22"/>
        <v/>
      </c>
      <c r="V144" s="28" t="str">
        <f t="shared" si="22"/>
        <v/>
      </c>
      <c r="W144" s="28" t="str">
        <f t="shared" si="22"/>
        <v/>
      </c>
      <c r="X144" s="29" t="str">
        <f t="shared" si="2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18"/>
        <v/>
      </c>
      <c r="L145" s="19" t="str">
        <f t="shared" si="23"/>
        <v/>
      </c>
      <c r="M145" s="19" t="str">
        <f t="shared" si="23"/>
        <v/>
      </c>
      <c r="N145" s="19" t="str">
        <f t="shared" si="23"/>
        <v/>
      </c>
      <c r="O145" s="19" t="str">
        <f t="shared" si="15"/>
        <v/>
      </c>
      <c r="P145" s="19" t="str">
        <f t="shared" si="16"/>
        <v/>
      </c>
      <c r="Q145" s="19" t="str">
        <f t="shared" si="17"/>
        <v/>
      </c>
      <c r="R145" s="19" t="str">
        <f t="shared" si="23"/>
        <v/>
      </c>
      <c r="S145" s="27" t="str">
        <f t="shared" ref="S145:X153" si="24">IF(C145="","",((C145-C144)*1000)/($B145-$B144))</f>
        <v/>
      </c>
      <c r="T145" s="28" t="str">
        <f t="shared" si="24"/>
        <v/>
      </c>
      <c r="U145" s="28" t="str">
        <f t="shared" si="24"/>
        <v/>
      </c>
      <c r="V145" s="28" t="str">
        <f t="shared" si="24"/>
        <v/>
      </c>
      <c r="W145" s="28" t="str">
        <f t="shared" si="24"/>
        <v/>
      </c>
      <c r="X145" s="29" t="str">
        <f t="shared" si="2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18"/>
        <v/>
      </c>
      <c r="L146" s="19" t="str">
        <f t="shared" si="23"/>
        <v/>
      </c>
      <c r="M146" s="19" t="str">
        <f t="shared" si="23"/>
        <v/>
      </c>
      <c r="N146" s="19" t="str">
        <f t="shared" si="23"/>
        <v/>
      </c>
      <c r="O146" s="19" t="str">
        <f t="shared" si="15"/>
        <v/>
      </c>
      <c r="P146" s="19" t="str">
        <f t="shared" si="16"/>
        <v/>
      </c>
      <c r="Q146" s="19" t="str">
        <f t="shared" si="17"/>
        <v/>
      </c>
      <c r="R146" s="19" t="str">
        <f t="shared" si="23"/>
        <v/>
      </c>
      <c r="S146" s="27" t="str">
        <f t="shared" si="24"/>
        <v/>
      </c>
      <c r="T146" s="28" t="str">
        <f t="shared" si="24"/>
        <v/>
      </c>
      <c r="U146" s="28" t="str">
        <f t="shared" si="24"/>
        <v/>
      </c>
      <c r="V146" s="28" t="str">
        <f t="shared" si="24"/>
        <v/>
      </c>
      <c r="W146" s="28" t="str">
        <f t="shared" si="24"/>
        <v/>
      </c>
      <c r="X146" s="29" t="str">
        <f t="shared" si="2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18"/>
        <v/>
      </c>
      <c r="L147" s="19" t="str">
        <f t="shared" si="23"/>
        <v/>
      </c>
      <c r="M147" s="19" t="str">
        <f t="shared" si="23"/>
        <v/>
      </c>
      <c r="N147" s="19" t="str">
        <f t="shared" si="23"/>
        <v/>
      </c>
      <c r="O147" s="19" t="str">
        <f t="shared" si="15"/>
        <v/>
      </c>
      <c r="P147" s="19" t="str">
        <f t="shared" si="16"/>
        <v/>
      </c>
      <c r="Q147" s="19" t="str">
        <f t="shared" si="17"/>
        <v/>
      </c>
      <c r="R147" s="19" t="str">
        <f t="shared" si="23"/>
        <v/>
      </c>
      <c r="S147" s="27" t="str">
        <f t="shared" si="24"/>
        <v/>
      </c>
      <c r="T147" s="28" t="str">
        <f t="shared" si="24"/>
        <v/>
      </c>
      <c r="U147" s="28" t="str">
        <f t="shared" si="24"/>
        <v/>
      </c>
      <c r="V147" s="28" t="str">
        <f t="shared" si="24"/>
        <v/>
      </c>
      <c r="W147" s="28" t="str">
        <f t="shared" si="24"/>
        <v/>
      </c>
      <c r="X147" s="29" t="str">
        <f t="shared" si="2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18"/>
        <v/>
      </c>
      <c r="L148" s="19" t="str">
        <f t="shared" si="23"/>
        <v/>
      </c>
      <c r="M148" s="19" t="str">
        <f t="shared" si="23"/>
        <v/>
      </c>
      <c r="N148" s="19" t="str">
        <f t="shared" si="23"/>
        <v/>
      </c>
      <c r="O148" s="19" t="str">
        <f t="shared" si="15"/>
        <v/>
      </c>
      <c r="P148" s="19" t="str">
        <f t="shared" si="16"/>
        <v/>
      </c>
      <c r="Q148" s="19" t="str">
        <f t="shared" si="17"/>
        <v/>
      </c>
      <c r="R148" s="19" t="str">
        <f t="shared" si="23"/>
        <v/>
      </c>
      <c r="S148" s="27" t="str">
        <f t="shared" si="24"/>
        <v/>
      </c>
      <c r="T148" s="28" t="str">
        <f t="shared" si="24"/>
        <v/>
      </c>
      <c r="U148" s="28" t="str">
        <f t="shared" si="24"/>
        <v/>
      </c>
      <c r="V148" s="28" t="str">
        <f t="shared" si="24"/>
        <v/>
      </c>
      <c r="W148" s="28" t="str">
        <f t="shared" si="24"/>
        <v/>
      </c>
      <c r="X148" s="29" t="str">
        <f t="shared" si="2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18"/>
        <v/>
      </c>
      <c r="L149" s="19" t="str">
        <f t="shared" si="23"/>
        <v/>
      </c>
      <c r="M149" s="19" t="str">
        <f t="shared" si="23"/>
        <v/>
      </c>
      <c r="N149" s="19" t="str">
        <f t="shared" si="23"/>
        <v/>
      </c>
      <c r="O149" s="19" t="str">
        <f t="shared" si="15"/>
        <v/>
      </c>
      <c r="P149" s="19" t="str">
        <f t="shared" si="16"/>
        <v/>
      </c>
      <c r="Q149" s="19" t="str">
        <f t="shared" si="17"/>
        <v/>
      </c>
      <c r="R149" s="19" t="str">
        <f t="shared" si="23"/>
        <v/>
      </c>
      <c r="S149" s="27" t="str">
        <f t="shared" si="24"/>
        <v/>
      </c>
      <c r="T149" s="28" t="str">
        <f t="shared" si="24"/>
        <v/>
      </c>
      <c r="U149" s="28" t="str">
        <f t="shared" si="24"/>
        <v/>
      </c>
      <c r="V149" s="28" t="str">
        <f t="shared" si="24"/>
        <v/>
      </c>
      <c r="W149" s="28" t="str">
        <f t="shared" si="24"/>
        <v/>
      </c>
      <c r="X149" s="29" t="str">
        <f t="shared" si="2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18"/>
        <v/>
      </c>
      <c r="L150" s="19" t="str">
        <f t="shared" si="23"/>
        <v/>
      </c>
      <c r="M150" s="19" t="str">
        <f t="shared" si="23"/>
        <v/>
      </c>
      <c r="N150" s="19" t="str">
        <f t="shared" si="23"/>
        <v/>
      </c>
      <c r="O150" s="19" t="str">
        <f t="shared" si="15"/>
        <v/>
      </c>
      <c r="P150" s="19" t="str">
        <f t="shared" si="16"/>
        <v/>
      </c>
      <c r="Q150" s="19" t="str">
        <f t="shared" si="17"/>
        <v/>
      </c>
      <c r="R150" s="19" t="str">
        <f t="shared" si="23"/>
        <v/>
      </c>
      <c r="S150" s="27" t="str">
        <f t="shared" si="24"/>
        <v/>
      </c>
      <c r="T150" s="28" t="str">
        <f t="shared" si="24"/>
        <v/>
      </c>
      <c r="U150" s="28" t="str">
        <f t="shared" si="24"/>
        <v/>
      </c>
      <c r="V150" s="28" t="str">
        <f t="shared" si="24"/>
        <v/>
      </c>
      <c r="W150" s="28" t="str">
        <f t="shared" si="24"/>
        <v/>
      </c>
      <c r="X150" s="29" t="str">
        <f t="shared" si="2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18"/>
        <v/>
      </c>
      <c r="L151" s="19" t="str">
        <f t="shared" si="23"/>
        <v/>
      </c>
      <c r="M151" s="19" t="str">
        <f t="shared" si="23"/>
        <v/>
      </c>
      <c r="N151" s="19" t="str">
        <f t="shared" si="23"/>
        <v/>
      </c>
      <c r="O151" s="19" t="str">
        <f t="shared" si="15"/>
        <v/>
      </c>
      <c r="P151" s="19" t="str">
        <f t="shared" si="16"/>
        <v/>
      </c>
      <c r="Q151" s="19" t="str">
        <f t="shared" si="17"/>
        <v/>
      </c>
      <c r="R151" s="19" t="str">
        <f t="shared" si="23"/>
        <v/>
      </c>
      <c r="S151" s="27" t="str">
        <f t="shared" si="24"/>
        <v/>
      </c>
      <c r="T151" s="28" t="str">
        <f t="shared" si="24"/>
        <v/>
      </c>
      <c r="U151" s="28" t="str">
        <f t="shared" si="24"/>
        <v/>
      </c>
      <c r="V151" s="28" t="str">
        <f t="shared" si="24"/>
        <v/>
      </c>
      <c r="W151" s="28" t="str">
        <f t="shared" si="24"/>
        <v/>
      </c>
      <c r="X151" s="29" t="str">
        <f t="shared" si="2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18"/>
        <v/>
      </c>
      <c r="L152" s="19" t="str">
        <f t="shared" si="23"/>
        <v/>
      </c>
      <c r="M152" s="19" t="str">
        <f t="shared" si="23"/>
        <v/>
      </c>
      <c r="N152" s="19" t="str">
        <f t="shared" si="23"/>
        <v/>
      </c>
      <c r="O152" s="19" t="str">
        <f t="shared" ref="O152:Q153" si="25">IF(ISBLANK(F152),"",((F152-F$23)*1000)+L$23)</f>
        <v/>
      </c>
      <c r="P152" s="19" t="str">
        <f t="shared" si="25"/>
        <v/>
      </c>
      <c r="Q152" s="19" t="str">
        <f t="shared" si="25"/>
        <v/>
      </c>
      <c r="R152" s="19" t="str">
        <f t="shared" si="23"/>
        <v/>
      </c>
      <c r="S152" s="27" t="str">
        <f t="shared" si="24"/>
        <v/>
      </c>
      <c r="T152" s="28" t="str">
        <f t="shared" si="24"/>
        <v/>
      </c>
      <c r="U152" s="28" t="str">
        <f t="shared" si="24"/>
        <v/>
      </c>
      <c r="V152" s="28" t="str">
        <f t="shared" si="24"/>
        <v/>
      </c>
      <c r="W152" s="28" t="str">
        <f t="shared" si="24"/>
        <v/>
      </c>
      <c r="X152" s="29" t="str">
        <f t="shared" si="2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18"/>
        <v/>
      </c>
      <c r="L153" s="19" t="str">
        <f t="shared" si="23"/>
        <v/>
      </c>
      <c r="M153" s="19" t="str">
        <f t="shared" si="23"/>
        <v/>
      </c>
      <c r="N153" s="19" t="str">
        <f t="shared" si="23"/>
        <v/>
      </c>
      <c r="O153" s="19" t="str">
        <f t="shared" si="25"/>
        <v/>
      </c>
      <c r="P153" s="19" t="str">
        <f t="shared" si="25"/>
        <v/>
      </c>
      <c r="Q153" s="19" t="str">
        <f t="shared" si="25"/>
        <v/>
      </c>
      <c r="R153" s="19" t="str">
        <f t="shared" si="23"/>
        <v/>
      </c>
      <c r="S153" s="27" t="str">
        <f t="shared" si="24"/>
        <v/>
      </c>
      <c r="T153" s="28" t="str">
        <f t="shared" si="24"/>
        <v/>
      </c>
      <c r="U153" s="28" t="str">
        <f t="shared" si="24"/>
        <v/>
      </c>
      <c r="V153" s="28" t="str">
        <f t="shared" si="24"/>
        <v/>
      </c>
      <c r="W153" s="28" t="str">
        <f t="shared" si="24"/>
        <v/>
      </c>
      <c r="X153" s="29" t="str">
        <f t="shared" si="24"/>
        <v/>
      </c>
      <c r="Y153" s="24"/>
    </row>
  </sheetData>
  <sheetProtection selectLockedCells="1"/>
  <mergeCells count="38"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  <mergeCell ref="A1:J1"/>
    <mergeCell ref="E2:Q2"/>
    <mergeCell ref="R2:X4"/>
    <mergeCell ref="Y2:Y4"/>
    <mergeCell ref="E3:Q3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6">
    <tabColor theme="3" tint="0.79998168889431442"/>
    <pageSetUpPr fitToPage="1"/>
  </sheetPr>
  <dimension ref="A1:AI153"/>
  <sheetViews>
    <sheetView showGridLines="0" topLeftCell="B1" zoomScale="75" zoomScaleNormal="75" zoomScaleSheetLayoutView="40" workbookViewId="0">
      <pane ySplit="8" topLeftCell="A30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TZ-34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/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/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/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/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960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/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1">
        <v>41842</v>
      </c>
      <c r="C16" s="35">
        <v>12.755000000000001</v>
      </c>
      <c r="D16" s="36">
        <v>7.8239999999999998</v>
      </c>
      <c r="E16" s="36">
        <v>8.2140000000000004</v>
      </c>
      <c r="F16" s="42"/>
      <c r="G16" s="42"/>
      <c r="H16" s="42"/>
      <c r="I16" s="41">
        <v>106.251</v>
      </c>
      <c r="J16" s="62">
        <v>970</v>
      </c>
      <c r="K16" s="55">
        <f>IF(ISBLANK(J16),"",(J16-$J$8))</f>
        <v>10</v>
      </c>
      <c r="L16" s="19">
        <f t="shared" ref="L16:Q31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41843</v>
      </c>
      <c r="C17" s="25">
        <v>12.754</v>
      </c>
      <c r="D17" s="26">
        <v>7.8220000000000001</v>
      </c>
      <c r="E17" s="26">
        <v>8.2129999999999992</v>
      </c>
      <c r="F17" s="16"/>
      <c r="G17" s="16"/>
      <c r="H17" s="16"/>
      <c r="I17" s="17">
        <v>106.25</v>
      </c>
      <c r="J17" s="58">
        <v>975</v>
      </c>
      <c r="K17" s="18">
        <f>IF(ISBLANK(J17),"",(J17-$J$8))</f>
        <v>15</v>
      </c>
      <c r="L17" s="19">
        <f t="shared" si="0"/>
        <v>-1.0000000000012221</v>
      </c>
      <c r="M17" s="19">
        <f t="shared" si="0"/>
        <v>-1.9999999999997797</v>
      </c>
      <c r="N17" s="19">
        <f t="shared" si="0"/>
        <v>-1.0000000000012221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2">IF(C17="","",((C17-C16)*1000)/($B17-$B16))</f>
        <v>-1.0000000000012221</v>
      </c>
      <c r="T17" s="28">
        <f t="shared" si="2"/>
        <v>-1.9999999999997797</v>
      </c>
      <c r="U17" s="28">
        <f t="shared" si="2"/>
        <v>-1.0000000000012221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41844</v>
      </c>
      <c r="C18" s="25">
        <v>12.754</v>
      </c>
      <c r="D18" s="26">
        <v>7.8220000000000001</v>
      </c>
      <c r="E18" s="26">
        <v>8.2129999999999992</v>
      </c>
      <c r="F18" s="16"/>
      <c r="G18" s="16"/>
      <c r="H18" s="16"/>
      <c r="I18" s="17">
        <v>106.25</v>
      </c>
      <c r="J18" s="58">
        <v>984</v>
      </c>
      <c r="K18" s="18">
        <f t="shared" ref="K18:K27" si="3">IF(ISBLANK(J18),"",(J18-$J$8))</f>
        <v>24</v>
      </c>
      <c r="L18" s="19">
        <f t="shared" si="0"/>
        <v>-1.0000000000012221</v>
      </c>
      <c r="M18" s="19">
        <f t="shared" si="0"/>
        <v>-1.9999999999997797</v>
      </c>
      <c r="N18" s="19">
        <f t="shared" si="0"/>
        <v>-1.0000000000012221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2"/>
        <v>0</v>
      </c>
      <c r="T18" s="28">
        <f t="shared" si="2"/>
        <v>0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41848</v>
      </c>
      <c r="C19" s="25">
        <v>12.754</v>
      </c>
      <c r="D19" s="26">
        <v>7.8220000000000001</v>
      </c>
      <c r="E19" s="26">
        <v>8.2129999999999992</v>
      </c>
      <c r="F19" s="16"/>
      <c r="G19" s="16"/>
      <c r="H19" s="16"/>
      <c r="I19" s="17">
        <v>106.25</v>
      </c>
      <c r="J19" s="58">
        <v>995</v>
      </c>
      <c r="K19" s="18">
        <f t="shared" si="3"/>
        <v>35</v>
      </c>
      <c r="L19" s="19">
        <f t="shared" si="0"/>
        <v>-1.0000000000012221</v>
      </c>
      <c r="M19" s="19">
        <f t="shared" si="0"/>
        <v>-1.9999999999997797</v>
      </c>
      <c r="N19" s="19">
        <f t="shared" si="0"/>
        <v>-1.0000000000012221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41849</v>
      </c>
      <c r="C20" s="25">
        <v>12.754</v>
      </c>
      <c r="D20" s="26">
        <v>7.8230000000000004</v>
      </c>
      <c r="E20" s="26">
        <v>8.2140000000000004</v>
      </c>
      <c r="F20" s="16"/>
      <c r="G20" s="16"/>
      <c r="H20" s="16"/>
      <c r="I20" s="17">
        <v>106.25</v>
      </c>
      <c r="J20" s="58">
        <v>1007</v>
      </c>
      <c r="K20" s="18">
        <f t="shared" si="3"/>
        <v>47</v>
      </c>
      <c r="L20" s="19">
        <f t="shared" si="0"/>
        <v>-1.0000000000012221</v>
      </c>
      <c r="M20" s="19">
        <f t="shared" si="0"/>
        <v>-0.99999999999944578</v>
      </c>
      <c r="N20" s="19">
        <f t="shared" si="0"/>
        <v>0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-1.0000000000047748</v>
      </c>
      <c r="S20" s="27">
        <f t="shared" si="2"/>
        <v>0</v>
      </c>
      <c r="T20" s="28">
        <f t="shared" si="2"/>
        <v>1.000000000000334</v>
      </c>
      <c r="U20" s="28">
        <f t="shared" si="2"/>
        <v>1.0000000000012221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41850</v>
      </c>
      <c r="C21" s="25">
        <v>12.755000000000001</v>
      </c>
      <c r="D21" s="26">
        <v>7.8220000000000001</v>
      </c>
      <c r="E21" s="26">
        <v>8.2140000000000004</v>
      </c>
      <c r="F21" s="16"/>
      <c r="G21" s="16"/>
      <c r="H21" s="16"/>
      <c r="I21" s="17">
        <v>106.25</v>
      </c>
      <c r="J21" s="58">
        <v>1011</v>
      </c>
      <c r="K21" s="18">
        <f t="shared" si="3"/>
        <v>51</v>
      </c>
      <c r="L21" s="19">
        <f t="shared" si="0"/>
        <v>0</v>
      </c>
      <c r="M21" s="19">
        <f t="shared" si="0"/>
        <v>-1.9999999999997797</v>
      </c>
      <c r="N21" s="19">
        <f t="shared" si="0"/>
        <v>0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-1.0000000000047748</v>
      </c>
      <c r="S21" s="27">
        <f t="shared" si="2"/>
        <v>1.0000000000012221</v>
      </c>
      <c r="T21" s="28">
        <f t="shared" si="2"/>
        <v>-1.000000000000334</v>
      </c>
      <c r="U21" s="28">
        <f t="shared" si="2"/>
        <v>0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41855</v>
      </c>
      <c r="C22" s="25">
        <v>12.754</v>
      </c>
      <c r="D22" s="26">
        <v>7.8220000000000001</v>
      </c>
      <c r="E22" s="26">
        <v>8.2129999999999992</v>
      </c>
      <c r="F22" s="16"/>
      <c r="G22" s="16"/>
      <c r="H22" s="16"/>
      <c r="I22" s="17">
        <v>106.25</v>
      </c>
      <c r="J22" s="58">
        <v>1033</v>
      </c>
      <c r="K22" s="18">
        <f t="shared" si="3"/>
        <v>73</v>
      </c>
      <c r="L22" s="19">
        <f t="shared" si="0"/>
        <v>-1.0000000000012221</v>
      </c>
      <c r="M22" s="19">
        <f t="shared" si="0"/>
        <v>-1.9999999999997797</v>
      </c>
      <c r="N22" s="19">
        <f t="shared" si="0"/>
        <v>-1.0000000000012221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-1.0000000000047748</v>
      </c>
      <c r="S22" s="27">
        <f t="shared" si="2"/>
        <v>-0.20000000000024443</v>
      </c>
      <c r="T22" s="28">
        <f t="shared" si="2"/>
        <v>0</v>
      </c>
      <c r="U22" s="28">
        <f t="shared" si="2"/>
        <v>-0.20000000000024443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41857</v>
      </c>
      <c r="C23" s="25">
        <v>12.755000000000001</v>
      </c>
      <c r="D23" s="26">
        <v>7.8230000000000004</v>
      </c>
      <c r="E23" s="26">
        <v>8.2140000000000004</v>
      </c>
      <c r="F23" s="16"/>
      <c r="G23" s="16"/>
      <c r="H23" s="16"/>
      <c r="I23" s="17">
        <v>106.25</v>
      </c>
      <c r="J23" s="58">
        <v>1043</v>
      </c>
      <c r="K23" s="18">
        <f t="shared" si="3"/>
        <v>83</v>
      </c>
      <c r="L23" s="19">
        <f t="shared" si="0"/>
        <v>0</v>
      </c>
      <c r="M23" s="19">
        <f t="shared" si="0"/>
        <v>-0.99999999999944578</v>
      </c>
      <c r="N23" s="19">
        <f t="shared" si="0"/>
        <v>0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-1.0000000000047748</v>
      </c>
      <c r="S23" s="27">
        <f t="shared" si="2"/>
        <v>0.50000000000061107</v>
      </c>
      <c r="T23" s="28">
        <f t="shared" si="2"/>
        <v>0.50000000000016698</v>
      </c>
      <c r="U23" s="28">
        <f t="shared" si="2"/>
        <v>0.50000000000061107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41862</v>
      </c>
      <c r="C24" s="25">
        <v>12.755000000000001</v>
      </c>
      <c r="D24" s="26">
        <v>7.8220000000000001</v>
      </c>
      <c r="E24" s="26">
        <v>8.2140000000000004</v>
      </c>
      <c r="F24" s="16"/>
      <c r="G24" s="16"/>
      <c r="H24" s="16"/>
      <c r="I24" s="17">
        <v>106.249</v>
      </c>
      <c r="J24" s="58">
        <v>1066</v>
      </c>
      <c r="K24" s="18">
        <f t="shared" si="3"/>
        <v>106</v>
      </c>
      <c r="L24" s="19">
        <f t="shared" si="0"/>
        <v>0</v>
      </c>
      <c r="M24" s="19">
        <f t="shared" si="0"/>
        <v>-1.9999999999997797</v>
      </c>
      <c r="N24" s="19">
        <f t="shared" si="0"/>
        <v>0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-2.0000000000095497</v>
      </c>
      <c r="S24" s="27">
        <f t="shared" si="2"/>
        <v>0</v>
      </c>
      <c r="T24" s="28">
        <f t="shared" si="2"/>
        <v>-0.20000000000006679</v>
      </c>
      <c r="U24" s="28">
        <f t="shared" si="2"/>
        <v>0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41864</v>
      </c>
      <c r="C25" s="25">
        <v>12.754</v>
      </c>
      <c r="D25" s="26">
        <v>7.8220000000000001</v>
      </c>
      <c r="E25" s="26">
        <v>8.2149999999999999</v>
      </c>
      <c r="F25" s="16"/>
      <c r="G25" s="16"/>
      <c r="H25" s="16"/>
      <c r="I25" s="17">
        <v>106.25</v>
      </c>
      <c r="J25" s="58">
        <v>1082</v>
      </c>
      <c r="K25" s="18">
        <f t="shared" si="3"/>
        <v>122</v>
      </c>
      <c r="L25" s="19">
        <f t="shared" si="0"/>
        <v>-1.0000000000012221</v>
      </c>
      <c r="M25" s="19">
        <f t="shared" si="0"/>
        <v>-1.9999999999997797</v>
      </c>
      <c r="N25" s="19">
        <f t="shared" si="0"/>
        <v>0.99999999999944578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-1.0000000000047748</v>
      </c>
      <c r="S25" s="27">
        <f t="shared" si="2"/>
        <v>-0.50000000000061107</v>
      </c>
      <c r="T25" s="28">
        <f t="shared" si="2"/>
        <v>0</v>
      </c>
      <c r="U25" s="28">
        <f t="shared" si="2"/>
        <v>0.49999999999972289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41869</v>
      </c>
      <c r="C26" s="25">
        <v>12.755000000000001</v>
      </c>
      <c r="D26" s="26">
        <v>7.8209999999999997</v>
      </c>
      <c r="E26" s="26">
        <v>8.2149999999999999</v>
      </c>
      <c r="F26" s="16"/>
      <c r="G26" s="16"/>
      <c r="H26" s="16"/>
      <c r="I26" s="17">
        <v>106.249</v>
      </c>
      <c r="J26" s="58">
        <v>1099</v>
      </c>
      <c r="K26" s="18">
        <f t="shared" si="3"/>
        <v>139</v>
      </c>
      <c r="L26" s="19">
        <f t="shared" si="0"/>
        <v>0</v>
      </c>
      <c r="M26" s="19">
        <f t="shared" si="0"/>
        <v>-3.0000000000001137</v>
      </c>
      <c r="N26" s="19">
        <f t="shared" si="0"/>
        <v>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-2.0000000000095497</v>
      </c>
      <c r="S26" s="27">
        <f t="shared" si="2"/>
        <v>0.20000000000024443</v>
      </c>
      <c r="T26" s="28">
        <f t="shared" si="2"/>
        <v>-0.20000000000006679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41879</v>
      </c>
      <c r="C27" s="25">
        <v>12.755000000000001</v>
      </c>
      <c r="D27" s="26">
        <v>7.8220000000000001</v>
      </c>
      <c r="E27" s="26">
        <v>8.2149999999999999</v>
      </c>
      <c r="F27" s="16"/>
      <c r="G27" s="16"/>
      <c r="H27" s="16"/>
      <c r="I27" s="17">
        <v>106.25</v>
      </c>
      <c r="J27" s="58">
        <v>1155</v>
      </c>
      <c r="K27" s="18">
        <f t="shared" si="3"/>
        <v>195</v>
      </c>
      <c r="L27" s="19">
        <f t="shared" si="0"/>
        <v>0</v>
      </c>
      <c r="M27" s="19">
        <f t="shared" si="0"/>
        <v>-1.9999999999997797</v>
      </c>
      <c r="N27" s="19">
        <f t="shared" si="0"/>
        <v>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0</v>
      </c>
      <c r="T27" s="28">
        <f t="shared" si="2"/>
        <v>0.1000000000000334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41913</v>
      </c>
      <c r="C28" s="25">
        <v>12.755000000000001</v>
      </c>
      <c r="D28" s="26">
        <v>7.8220000000000001</v>
      </c>
      <c r="E28" s="26">
        <v>8.2149999999999999</v>
      </c>
      <c r="F28" s="16"/>
      <c r="G28" s="16"/>
      <c r="H28" s="16"/>
      <c r="I28" s="17">
        <v>106.25</v>
      </c>
      <c r="J28" s="58">
        <v>1277</v>
      </c>
      <c r="K28" s="18">
        <f t="shared" ref="K28:K37" si="4">IF(ISBLANK(J28),"",(J28-$J$8))</f>
        <v>317</v>
      </c>
      <c r="L28" s="19">
        <f t="shared" si="0"/>
        <v>0</v>
      </c>
      <c r="M28" s="19">
        <f t="shared" si="0"/>
        <v>-1.9999999999997797</v>
      </c>
      <c r="N28" s="19">
        <f t="shared" si="0"/>
        <v>0.99999999999944578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-1.0000000000047748</v>
      </c>
      <c r="S28" s="27">
        <f t="shared" si="2"/>
        <v>0</v>
      </c>
      <c r="T28" s="28">
        <f t="shared" si="2"/>
        <v>0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42032</v>
      </c>
      <c r="C29" s="25">
        <v>12.755000000000001</v>
      </c>
      <c r="D29" s="26">
        <v>7.8209999999999997</v>
      </c>
      <c r="E29" s="26">
        <v>8.2149999999999999</v>
      </c>
      <c r="F29" s="16"/>
      <c r="G29" s="16"/>
      <c r="H29" s="16"/>
      <c r="I29" s="17">
        <v>106.249</v>
      </c>
      <c r="J29" s="58">
        <v>1597</v>
      </c>
      <c r="K29" s="18">
        <f t="shared" si="4"/>
        <v>637</v>
      </c>
      <c r="L29" s="19">
        <f t="shared" si="0"/>
        <v>0</v>
      </c>
      <c r="M29" s="19">
        <f t="shared" si="0"/>
        <v>-3.0000000000001137</v>
      </c>
      <c r="N29" s="19">
        <f t="shared" si="0"/>
        <v>0.99999999999944578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-2.0000000000095497</v>
      </c>
      <c r="S29" s="27">
        <f t="shared" si="2"/>
        <v>0</v>
      </c>
      <c r="T29" s="28">
        <f t="shared" si="2"/>
        <v>-8.4033613445406215E-3</v>
      </c>
      <c r="U29" s="28">
        <f t="shared" si="2"/>
        <v>0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42121</v>
      </c>
      <c r="C30" s="25">
        <v>12.755000000000001</v>
      </c>
      <c r="D30" s="26">
        <v>7.8220000000000001</v>
      </c>
      <c r="E30" s="26">
        <v>8.2149999999999999</v>
      </c>
      <c r="F30" s="16"/>
      <c r="G30" s="16"/>
      <c r="H30" s="16"/>
      <c r="I30" s="17">
        <v>106.25</v>
      </c>
      <c r="J30" s="58">
        <v>2011</v>
      </c>
      <c r="K30" s="18">
        <f t="shared" si="4"/>
        <v>1051</v>
      </c>
      <c r="L30" s="19">
        <f t="shared" si="0"/>
        <v>0</v>
      </c>
      <c r="M30" s="19">
        <f t="shared" si="0"/>
        <v>-1.9999999999997797</v>
      </c>
      <c r="N30" s="19">
        <f t="shared" si="0"/>
        <v>0.99999999999944578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-1.0000000000047748</v>
      </c>
      <c r="S30" s="27">
        <f t="shared" si="2"/>
        <v>0</v>
      </c>
      <c r="T30" s="28">
        <f t="shared" si="2"/>
        <v>1.1235955056183527E-2</v>
      </c>
      <c r="U30" s="28">
        <f t="shared" si="2"/>
        <v>0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42200</v>
      </c>
      <c r="C31" s="25">
        <v>12.755000000000001</v>
      </c>
      <c r="D31" s="26">
        <v>7.8220000000000001</v>
      </c>
      <c r="E31" s="26">
        <v>8.2149999999999999</v>
      </c>
      <c r="F31" s="16">
        <v>13.023999999999999</v>
      </c>
      <c r="G31" s="16">
        <v>9.7680000000000007</v>
      </c>
      <c r="H31" s="16">
        <v>10.196999999999999</v>
      </c>
      <c r="I31" s="17">
        <v>106.25</v>
      </c>
      <c r="J31" s="58">
        <v>972</v>
      </c>
      <c r="K31" s="18">
        <f t="shared" si="4"/>
        <v>12</v>
      </c>
      <c r="L31" s="19">
        <f t="shared" si="0"/>
        <v>0</v>
      </c>
      <c r="M31" s="19">
        <f t="shared" si="0"/>
        <v>-1.9999999999997797</v>
      </c>
      <c r="N31" s="19">
        <f t="shared" si="0"/>
        <v>0.99999999999944578</v>
      </c>
      <c r="O31" s="19"/>
      <c r="P31" s="19"/>
      <c r="Q31" s="19"/>
      <c r="R31" s="19">
        <f t="shared" si="1"/>
        <v>-1.0000000000047748</v>
      </c>
      <c r="S31" s="27">
        <f t="shared" si="2"/>
        <v>0</v>
      </c>
      <c r="T31" s="28">
        <f t="shared" si="2"/>
        <v>0</v>
      </c>
      <c r="U31" s="28">
        <f t="shared" si="2"/>
        <v>0</v>
      </c>
      <c r="V31" s="28"/>
      <c r="W31" s="28"/>
      <c r="X31" s="29"/>
      <c r="Y31" s="24"/>
    </row>
    <row r="32" spans="2:25" ht="15" customHeight="1" x14ac:dyDescent="0.2">
      <c r="B32" s="31">
        <v>42201</v>
      </c>
      <c r="C32" s="74">
        <v>12.287000000000001</v>
      </c>
      <c r="D32" s="70">
        <v>7.37</v>
      </c>
      <c r="E32" s="70">
        <v>7.8120000000000003</v>
      </c>
      <c r="F32" s="16">
        <v>13.023</v>
      </c>
      <c r="G32" s="16">
        <v>9.7680000000000007</v>
      </c>
      <c r="H32" s="16">
        <v>10.196999999999999</v>
      </c>
      <c r="I32" s="17">
        <v>106.249</v>
      </c>
      <c r="J32" s="58">
        <v>994</v>
      </c>
      <c r="K32" s="18">
        <f t="shared" si="4"/>
        <v>34</v>
      </c>
      <c r="L32" s="19">
        <f t="shared" ref="L32:Q32" si="5">IF(ISBLANK(C32),"",(C32-C$32)*1000)</f>
        <v>0</v>
      </c>
      <c r="M32" s="19">
        <f t="shared" si="5"/>
        <v>0</v>
      </c>
      <c r="N32" s="19">
        <f t="shared" si="5"/>
        <v>0</v>
      </c>
      <c r="O32" s="19">
        <f t="shared" si="5"/>
        <v>0</v>
      </c>
      <c r="P32" s="19">
        <f t="shared" si="5"/>
        <v>0</v>
      </c>
      <c r="Q32" s="19">
        <f t="shared" si="5"/>
        <v>0</v>
      </c>
      <c r="R32" s="19">
        <f t="shared" si="1"/>
        <v>-2.0000000000095497</v>
      </c>
      <c r="S32" s="27"/>
      <c r="T32" s="28"/>
      <c r="U32" s="28"/>
      <c r="V32" s="28">
        <f t="shared" si="2"/>
        <v>-0.99999999999944578</v>
      </c>
      <c r="W32" s="28">
        <f t="shared" si="2"/>
        <v>0</v>
      </c>
      <c r="X32" s="29">
        <f t="shared" si="2"/>
        <v>0</v>
      </c>
      <c r="Y32" s="24" t="s">
        <v>57</v>
      </c>
    </row>
    <row r="33" spans="2:25" ht="15" customHeight="1" x14ac:dyDescent="0.2">
      <c r="B33" s="31">
        <v>42215</v>
      </c>
      <c r="C33" s="73">
        <v>12.287000000000001</v>
      </c>
      <c r="D33" s="71">
        <v>7.37</v>
      </c>
      <c r="E33" s="71">
        <v>7.8120000000000003</v>
      </c>
      <c r="F33" s="16">
        <v>13.023999999999999</v>
      </c>
      <c r="G33" s="16">
        <v>9.7669999999999995</v>
      </c>
      <c r="H33" s="16">
        <v>10.198</v>
      </c>
      <c r="I33" s="17">
        <v>106.249</v>
      </c>
      <c r="J33" s="58">
        <v>999</v>
      </c>
      <c r="K33" s="18">
        <f t="shared" si="4"/>
        <v>39</v>
      </c>
      <c r="L33" s="19">
        <f t="shared" ref="L33:L96" si="6">IF(ISBLANK(C33),"",(C33-C$32)*1000)</f>
        <v>0</v>
      </c>
      <c r="M33" s="19">
        <f t="shared" ref="M33:M96" si="7">IF(ISBLANK(D33),"",(D33-D$32)*1000)</f>
        <v>0</v>
      </c>
      <c r="N33" s="19">
        <f t="shared" ref="N33:N96" si="8">IF(ISBLANK(E33),"",(E33-E$32)*1000)</f>
        <v>0</v>
      </c>
      <c r="O33" s="19">
        <f t="shared" ref="O33:O96" si="9">IF(ISBLANK(F33),"",(F33-F$32)*1000)</f>
        <v>0.99999999999944578</v>
      </c>
      <c r="P33" s="19">
        <f t="shared" ref="P33:P96" si="10">IF(ISBLANK(G33),"",(G33-G$32)*1000)</f>
        <v>-1.0000000000012221</v>
      </c>
      <c r="Q33" s="19">
        <f t="shared" ref="Q33:Q96" si="11">IF(ISBLANK(H33),"",(H33-H$32)*1000)</f>
        <v>1.0000000000012221</v>
      </c>
      <c r="R33" s="19">
        <f t="shared" si="1"/>
        <v>-2.0000000000095497</v>
      </c>
      <c r="S33" s="27">
        <f t="shared" ref="S33:X48" si="12">IF(C33="","",((C33-C32)*1000)/($B33-$B32))</f>
        <v>0</v>
      </c>
      <c r="T33" s="28">
        <f t="shared" si="12"/>
        <v>0</v>
      </c>
      <c r="U33" s="28">
        <f t="shared" si="12"/>
        <v>0</v>
      </c>
      <c r="V33" s="28">
        <f t="shared" si="12"/>
        <v>7.1428571428531845E-2</v>
      </c>
      <c r="W33" s="28">
        <f t="shared" si="12"/>
        <v>-7.142857142865873E-2</v>
      </c>
      <c r="X33" s="29">
        <f t="shared" si="12"/>
        <v>7.142857142865873E-2</v>
      </c>
      <c r="Y33" s="24"/>
    </row>
    <row r="34" spans="2:25" ht="15" customHeight="1" x14ac:dyDescent="0.2">
      <c r="B34" s="31">
        <v>42219</v>
      </c>
      <c r="C34" s="73">
        <v>12.287000000000001</v>
      </c>
      <c r="D34" s="71">
        <v>7.37</v>
      </c>
      <c r="E34" s="71">
        <v>7.8120000000000003</v>
      </c>
      <c r="F34" s="16">
        <v>13.023999999999999</v>
      </c>
      <c r="G34" s="16">
        <v>9.7680000000000007</v>
      </c>
      <c r="H34" s="16">
        <v>10.198</v>
      </c>
      <c r="I34" s="17">
        <v>106.249</v>
      </c>
      <c r="J34" s="32">
        <v>1206</v>
      </c>
      <c r="K34" s="18">
        <f t="shared" si="4"/>
        <v>246</v>
      </c>
      <c r="L34" s="19">
        <f t="shared" si="6"/>
        <v>0</v>
      </c>
      <c r="M34" s="19">
        <f t="shared" si="7"/>
        <v>0</v>
      </c>
      <c r="N34" s="19">
        <f t="shared" si="8"/>
        <v>0</v>
      </c>
      <c r="O34" s="19">
        <f t="shared" si="9"/>
        <v>0.99999999999944578</v>
      </c>
      <c r="P34" s="19">
        <f t="shared" si="10"/>
        <v>0</v>
      </c>
      <c r="Q34" s="19">
        <f t="shared" si="11"/>
        <v>1.0000000000012221</v>
      </c>
      <c r="R34" s="19">
        <f t="shared" si="1"/>
        <v>-2.0000000000095497</v>
      </c>
      <c r="S34" s="27">
        <f t="shared" si="12"/>
        <v>0</v>
      </c>
      <c r="T34" s="28">
        <f t="shared" si="12"/>
        <v>0</v>
      </c>
      <c r="U34" s="28">
        <f t="shared" si="12"/>
        <v>0</v>
      </c>
      <c r="V34" s="28">
        <f t="shared" si="12"/>
        <v>0</v>
      </c>
      <c r="W34" s="28">
        <f t="shared" si="12"/>
        <v>0.25000000000030553</v>
      </c>
      <c r="X34" s="29">
        <f t="shared" si="12"/>
        <v>0</v>
      </c>
      <c r="Y34" s="24"/>
    </row>
    <row r="35" spans="2:25" ht="15" customHeight="1" x14ac:dyDescent="0.2">
      <c r="B35" s="31">
        <v>42311</v>
      </c>
      <c r="C35" s="73">
        <v>12.287000000000001</v>
      </c>
      <c r="D35" s="71">
        <v>7.37</v>
      </c>
      <c r="E35" s="71">
        <v>7.8120000000000003</v>
      </c>
      <c r="F35" s="16">
        <v>13.023999999999999</v>
      </c>
      <c r="G35" s="16">
        <v>9.7669999999999995</v>
      </c>
      <c r="H35" s="16">
        <v>10.196999999999999</v>
      </c>
      <c r="I35" s="17">
        <v>106.248</v>
      </c>
      <c r="J35" s="58">
        <v>2203</v>
      </c>
      <c r="K35" s="59">
        <f t="shared" si="4"/>
        <v>1243</v>
      </c>
      <c r="L35" s="19">
        <f t="shared" si="6"/>
        <v>0</v>
      </c>
      <c r="M35" s="19">
        <f t="shared" si="7"/>
        <v>0</v>
      </c>
      <c r="N35" s="19">
        <f t="shared" si="8"/>
        <v>0</v>
      </c>
      <c r="O35" s="19">
        <f t="shared" si="9"/>
        <v>0.99999999999944578</v>
      </c>
      <c r="P35" s="19">
        <f t="shared" si="10"/>
        <v>-1.0000000000012221</v>
      </c>
      <c r="Q35" s="19">
        <f t="shared" si="11"/>
        <v>0</v>
      </c>
      <c r="R35" s="19">
        <f t="shared" si="1"/>
        <v>-3.0000000000001137</v>
      </c>
      <c r="S35" s="27">
        <f t="shared" si="12"/>
        <v>0</v>
      </c>
      <c r="T35" s="28">
        <f t="shared" si="12"/>
        <v>0</v>
      </c>
      <c r="U35" s="28">
        <f t="shared" si="12"/>
        <v>0</v>
      </c>
      <c r="V35" s="28">
        <f t="shared" si="12"/>
        <v>0</v>
      </c>
      <c r="W35" s="28">
        <f t="shared" si="12"/>
        <v>-1.0869565217404589E-2</v>
      </c>
      <c r="X35" s="29">
        <f t="shared" si="12"/>
        <v>-1.0869565217404589E-2</v>
      </c>
      <c r="Y35" s="24"/>
    </row>
    <row r="36" spans="2:25" ht="15" customHeight="1" x14ac:dyDescent="0.2">
      <c r="B36" s="31">
        <v>42404</v>
      </c>
      <c r="C36" s="33"/>
      <c r="D36" s="16"/>
      <c r="E36" s="16"/>
      <c r="F36" s="16">
        <v>13.023999999999999</v>
      </c>
      <c r="G36" s="16">
        <v>9.7680000000000007</v>
      </c>
      <c r="H36" s="16">
        <v>10.196</v>
      </c>
      <c r="I36" s="17">
        <v>106.249</v>
      </c>
      <c r="J36" s="58">
        <v>2484</v>
      </c>
      <c r="K36" s="18">
        <f t="shared" si="4"/>
        <v>1524</v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  <c r="O36" s="19">
        <f t="shared" si="9"/>
        <v>0.99999999999944578</v>
      </c>
      <c r="P36" s="19">
        <f t="shared" si="10"/>
        <v>0</v>
      </c>
      <c r="Q36" s="19">
        <f t="shared" si="11"/>
        <v>-0.99999999999944578</v>
      </c>
      <c r="R36" s="19">
        <f t="shared" si="1"/>
        <v>-2.0000000000095497</v>
      </c>
      <c r="S36" s="27" t="str">
        <f t="shared" si="12"/>
        <v/>
      </c>
      <c r="T36" s="28" t="str">
        <f t="shared" si="12"/>
        <v/>
      </c>
      <c r="U36" s="28" t="str">
        <f t="shared" si="12"/>
        <v/>
      </c>
      <c r="V36" s="28">
        <f t="shared" si="12"/>
        <v>0</v>
      </c>
      <c r="W36" s="28">
        <f t="shared" si="12"/>
        <v>1.0752688172056152E-2</v>
      </c>
      <c r="X36" s="29">
        <f t="shared" si="12"/>
        <v>-1.0752688172037051E-2</v>
      </c>
      <c r="Y36" s="24"/>
    </row>
    <row r="37" spans="2:25" ht="15" customHeight="1" x14ac:dyDescent="0.2">
      <c r="B37" s="31">
        <v>42530</v>
      </c>
      <c r="C37" s="26"/>
      <c r="D37" s="26"/>
      <c r="E37" s="26"/>
      <c r="F37" s="16">
        <v>13.023999999999999</v>
      </c>
      <c r="G37" s="16">
        <v>9.7680000000000007</v>
      </c>
      <c r="H37" s="16">
        <v>10.196999999999999</v>
      </c>
      <c r="I37" s="17">
        <v>106.249</v>
      </c>
      <c r="J37" s="58">
        <v>2608</v>
      </c>
      <c r="K37" s="18">
        <f t="shared" si="4"/>
        <v>1648</v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  <c r="O37" s="19">
        <f t="shared" si="9"/>
        <v>0.99999999999944578</v>
      </c>
      <c r="P37" s="19">
        <f t="shared" si="10"/>
        <v>0</v>
      </c>
      <c r="Q37" s="19">
        <f t="shared" si="11"/>
        <v>0</v>
      </c>
      <c r="R37" s="19">
        <f t="shared" si="1"/>
        <v>-2.0000000000095497</v>
      </c>
      <c r="S37" s="27" t="str">
        <f t="shared" si="12"/>
        <v/>
      </c>
      <c r="T37" s="28" t="str">
        <f t="shared" si="12"/>
        <v/>
      </c>
      <c r="U37" s="28" t="str">
        <f t="shared" si="12"/>
        <v/>
      </c>
      <c r="V37" s="28">
        <f t="shared" si="12"/>
        <v>0</v>
      </c>
      <c r="W37" s="28">
        <f t="shared" si="12"/>
        <v>0</v>
      </c>
      <c r="X37" s="29">
        <f t="shared" si="12"/>
        <v>7.9365079365035385E-3</v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59"/>
      <c r="L38" s="19" t="str">
        <f t="shared" si="6"/>
        <v/>
      </c>
      <c r="M38" s="19" t="str">
        <f t="shared" si="7"/>
        <v/>
      </c>
      <c r="N38" s="19" t="str">
        <f t="shared" si="8"/>
        <v/>
      </c>
      <c r="O38" s="19" t="str">
        <f t="shared" si="9"/>
        <v/>
      </c>
      <c r="P38" s="19" t="str">
        <f t="shared" si="10"/>
        <v/>
      </c>
      <c r="Q38" s="19" t="str">
        <f t="shared" si="11"/>
        <v/>
      </c>
      <c r="R38" s="19" t="str">
        <f t="shared" si="1"/>
        <v/>
      </c>
      <c r="S38" s="27" t="str">
        <f t="shared" si="12"/>
        <v/>
      </c>
      <c r="T38" s="28" t="str">
        <f t="shared" si="12"/>
        <v/>
      </c>
      <c r="U38" s="28" t="str">
        <f t="shared" si="12"/>
        <v/>
      </c>
      <c r="V38" s="28" t="str">
        <f t="shared" si="12"/>
        <v/>
      </c>
      <c r="W38" s="28" t="str">
        <f t="shared" si="12"/>
        <v/>
      </c>
      <c r="X38" s="29" t="str">
        <f t="shared" si="12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59"/>
      <c r="L39" s="19" t="str">
        <f t="shared" si="6"/>
        <v/>
      </c>
      <c r="M39" s="19" t="str">
        <f t="shared" si="7"/>
        <v/>
      </c>
      <c r="N39" s="19" t="str">
        <f t="shared" si="8"/>
        <v/>
      </c>
      <c r="O39" s="19" t="str">
        <f t="shared" si="9"/>
        <v/>
      </c>
      <c r="P39" s="19" t="str">
        <f t="shared" si="10"/>
        <v/>
      </c>
      <c r="Q39" s="19" t="str">
        <f t="shared" si="11"/>
        <v/>
      </c>
      <c r="R39" s="19" t="str">
        <f t="shared" si="1"/>
        <v/>
      </c>
      <c r="S39" s="27" t="str">
        <f t="shared" si="12"/>
        <v/>
      </c>
      <c r="T39" s="28" t="str">
        <f t="shared" si="12"/>
        <v/>
      </c>
      <c r="U39" s="28" t="str">
        <f t="shared" si="12"/>
        <v/>
      </c>
      <c r="V39" s="28" t="str">
        <f t="shared" si="12"/>
        <v/>
      </c>
      <c r="W39" s="28" t="str">
        <f t="shared" si="12"/>
        <v/>
      </c>
      <c r="X39" s="29" t="str">
        <f t="shared" si="12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59"/>
      <c r="L40" s="19" t="str">
        <f t="shared" si="6"/>
        <v/>
      </c>
      <c r="M40" s="19" t="str">
        <f t="shared" si="7"/>
        <v/>
      </c>
      <c r="N40" s="19" t="str">
        <f t="shared" si="8"/>
        <v/>
      </c>
      <c r="O40" s="19" t="str">
        <f t="shared" si="9"/>
        <v/>
      </c>
      <c r="P40" s="19" t="str">
        <f t="shared" si="10"/>
        <v/>
      </c>
      <c r="Q40" s="19" t="str">
        <f t="shared" si="11"/>
        <v/>
      </c>
      <c r="R40" s="19" t="str">
        <f t="shared" si="1"/>
        <v/>
      </c>
      <c r="S40" s="27" t="str">
        <f t="shared" si="12"/>
        <v/>
      </c>
      <c r="T40" s="28" t="str">
        <f t="shared" si="12"/>
        <v/>
      </c>
      <c r="U40" s="28" t="str">
        <f t="shared" si="12"/>
        <v/>
      </c>
      <c r="V40" s="28" t="str">
        <f t="shared" si="12"/>
        <v/>
      </c>
      <c r="W40" s="28" t="str">
        <f t="shared" si="12"/>
        <v/>
      </c>
      <c r="X40" s="29" t="str">
        <f t="shared" si="12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6"/>
        <v/>
      </c>
      <c r="M41" s="19" t="str">
        <f t="shared" si="7"/>
        <v/>
      </c>
      <c r="N41" s="19" t="str">
        <f t="shared" si="8"/>
        <v/>
      </c>
      <c r="O41" s="19" t="str">
        <f t="shared" si="9"/>
        <v/>
      </c>
      <c r="P41" s="19" t="str">
        <f t="shared" si="10"/>
        <v/>
      </c>
      <c r="Q41" s="19" t="str">
        <f t="shared" si="11"/>
        <v/>
      </c>
      <c r="R41" s="19" t="str">
        <f t="shared" si="1"/>
        <v/>
      </c>
      <c r="S41" s="27" t="str">
        <f t="shared" si="12"/>
        <v/>
      </c>
      <c r="T41" s="28" t="str">
        <f t="shared" si="12"/>
        <v/>
      </c>
      <c r="U41" s="28" t="str">
        <f t="shared" si="12"/>
        <v/>
      </c>
      <c r="V41" s="28" t="str">
        <f t="shared" si="12"/>
        <v/>
      </c>
      <c r="W41" s="28" t="str">
        <f t="shared" si="12"/>
        <v/>
      </c>
      <c r="X41" s="29" t="str">
        <f t="shared" si="12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6"/>
        <v/>
      </c>
      <c r="M42" s="19" t="str">
        <f t="shared" si="7"/>
        <v/>
      </c>
      <c r="N42" s="19" t="str">
        <f t="shared" si="8"/>
        <v/>
      </c>
      <c r="O42" s="19" t="str">
        <f t="shared" si="9"/>
        <v/>
      </c>
      <c r="P42" s="19" t="str">
        <f t="shared" si="10"/>
        <v/>
      </c>
      <c r="Q42" s="19" t="str">
        <f t="shared" si="11"/>
        <v/>
      </c>
      <c r="R42" s="19" t="str">
        <f t="shared" si="1"/>
        <v/>
      </c>
      <c r="S42" s="27" t="str">
        <f t="shared" si="12"/>
        <v/>
      </c>
      <c r="T42" s="28" t="str">
        <f t="shared" si="12"/>
        <v/>
      </c>
      <c r="U42" s="28" t="str">
        <f t="shared" si="12"/>
        <v/>
      </c>
      <c r="V42" s="28" t="str">
        <f t="shared" si="12"/>
        <v/>
      </c>
      <c r="W42" s="28" t="str">
        <f t="shared" si="12"/>
        <v/>
      </c>
      <c r="X42" s="29" t="str">
        <f t="shared" si="12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 t="str">
        <f t="shared" si="9"/>
        <v/>
      </c>
      <c r="P43" s="19" t="str">
        <f t="shared" si="10"/>
        <v/>
      </c>
      <c r="Q43" s="19" t="str">
        <f t="shared" si="11"/>
        <v/>
      </c>
      <c r="R43" s="19" t="str">
        <f t="shared" si="1"/>
        <v/>
      </c>
      <c r="S43" s="27" t="str">
        <f t="shared" si="12"/>
        <v/>
      </c>
      <c r="T43" s="28" t="str">
        <f t="shared" si="12"/>
        <v/>
      </c>
      <c r="U43" s="28" t="str">
        <f t="shared" si="12"/>
        <v/>
      </c>
      <c r="V43" s="28" t="str">
        <f t="shared" si="12"/>
        <v/>
      </c>
      <c r="W43" s="28" t="str">
        <f t="shared" si="12"/>
        <v/>
      </c>
      <c r="X43" s="29" t="str">
        <f t="shared" si="12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 t="str">
        <f t="shared" si="9"/>
        <v/>
      </c>
      <c r="P44" s="19" t="str">
        <f t="shared" si="10"/>
        <v/>
      </c>
      <c r="Q44" s="19" t="str">
        <f t="shared" si="11"/>
        <v/>
      </c>
      <c r="R44" s="19" t="str">
        <f t="shared" si="1"/>
        <v/>
      </c>
      <c r="S44" s="27" t="str">
        <f t="shared" si="12"/>
        <v/>
      </c>
      <c r="T44" s="28" t="str">
        <f t="shared" si="12"/>
        <v/>
      </c>
      <c r="U44" s="28" t="str">
        <f t="shared" si="12"/>
        <v/>
      </c>
      <c r="V44" s="28" t="str">
        <f t="shared" si="12"/>
        <v/>
      </c>
      <c r="W44" s="28" t="str">
        <f t="shared" si="12"/>
        <v/>
      </c>
      <c r="X44" s="29" t="str">
        <f t="shared" si="12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6"/>
        <v/>
      </c>
      <c r="M45" s="19" t="str">
        <f t="shared" si="7"/>
        <v/>
      </c>
      <c r="N45" s="19" t="str">
        <f t="shared" si="8"/>
        <v/>
      </c>
      <c r="O45" s="19" t="str">
        <f t="shared" si="9"/>
        <v/>
      </c>
      <c r="P45" s="19" t="str">
        <f t="shared" si="10"/>
        <v/>
      </c>
      <c r="Q45" s="19" t="str">
        <f t="shared" si="11"/>
        <v/>
      </c>
      <c r="R45" s="19" t="str">
        <f t="shared" si="1"/>
        <v/>
      </c>
      <c r="S45" s="27" t="str">
        <f t="shared" si="12"/>
        <v/>
      </c>
      <c r="T45" s="28" t="str">
        <f t="shared" si="12"/>
        <v/>
      </c>
      <c r="U45" s="28" t="str">
        <f t="shared" si="12"/>
        <v/>
      </c>
      <c r="V45" s="28" t="str">
        <f t="shared" si="12"/>
        <v/>
      </c>
      <c r="W45" s="28" t="str">
        <f t="shared" si="12"/>
        <v/>
      </c>
      <c r="X45" s="29" t="str">
        <f t="shared" si="12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6"/>
        <v/>
      </c>
      <c r="M46" s="19" t="str">
        <f t="shared" si="7"/>
        <v/>
      </c>
      <c r="N46" s="19" t="str">
        <f t="shared" si="8"/>
        <v/>
      </c>
      <c r="O46" s="19" t="str">
        <f t="shared" si="9"/>
        <v/>
      </c>
      <c r="P46" s="19" t="str">
        <f t="shared" si="10"/>
        <v/>
      </c>
      <c r="Q46" s="19" t="str">
        <f t="shared" si="11"/>
        <v/>
      </c>
      <c r="R46" s="19" t="str">
        <f t="shared" si="1"/>
        <v/>
      </c>
      <c r="S46" s="27" t="str">
        <f t="shared" si="12"/>
        <v/>
      </c>
      <c r="T46" s="28" t="str">
        <f t="shared" si="12"/>
        <v/>
      </c>
      <c r="U46" s="28" t="str">
        <f t="shared" si="12"/>
        <v/>
      </c>
      <c r="V46" s="28" t="str">
        <f t="shared" si="12"/>
        <v/>
      </c>
      <c r="W46" s="28" t="str">
        <f t="shared" si="12"/>
        <v/>
      </c>
      <c r="X46" s="29" t="str">
        <f t="shared" si="12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 t="str">
        <f t="shared" si="9"/>
        <v/>
      </c>
      <c r="P47" s="19" t="str">
        <f t="shared" si="10"/>
        <v/>
      </c>
      <c r="Q47" s="19" t="str">
        <f t="shared" si="11"/>
        <v/>
      </c>
      <c r="R47" s="19" t="str">
        <f t="shared" si="1"/>
        <v/>
      </c>
      <c r="S47" s="27" t="str">
        <f t="shared" si="12"/>
        <v/>
      </c>
      <c r="T47" s="28" t="str">
        <f t="shared" si="12"/>
        <v/>
      </c>
      <c r="U47" s="28" t="str">
        <f t="shared" si="12"/>
        <v/>
      </c>
      <c r="V47" s="28" t="str">
        <f t="shared" si="12"/>
        <v/>
      </c>
      <c r="W47" s="28" t="str">
        <f t="shared" si="12"/>
        <v/>
      </c>
      <c r="X47" s="29" t="str">
        <f t="shared" si="12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 t="str">
        <f t="shared" si="9"/>
        <v/>
      </c>
      <c r="P48" s="19" t="str">
        <f t="shared" si="10"/>
        <v/>
      </c>
      <c r="Q48" s="19" t="str">
        <f t="shared" si="11"/>
        <v/>
      </c>
      <c r="R48" s="19" t="str">
        <f t="shared" si="1"/>
        <v/>
      </c>
      <c r="S48" s="27" t="str">
        <f t="shared" si="12"/>
        <v/>
      </c>
      <c r="T48" s="28" t="str">
        <f t="shared" si="12"/>
        <v/>
      </c>
      <c r="U48" s="28" t="str">
        <f t="shared" si="12"/>
        <v/>
      </c>
      <c r="V48" s="28" t="str">
        <f t="shared" si="12"/>
        <v/>
      </c>
      <c r="W48" s="28" t="str">
        <f t="shared" si="12"/>
        <v/>
      </c>
      <c r="X48" s="29" t="str">
        <f t="shared" si="12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 t="str">
        <f t="shared" si="9"/>
        <v/>
      </c>
      <c r="P49" s="19" t="str">
        <f t="shared" si="10"/>
        <v/>
      </c>
      <c r="Q49" s="19" t="str">
        <f t="shared" si="11"/>
        <v/>
      </c>
      <c r="R49" s="19" t="str">
        <f t="shared" si="1"/>
        <v/>
      </c>
      <c r="S49" s="27" t="str">
        <f t="shared" ref="S49:X64" si="13">IF(C49="","",((C49-C48)*1000)/($B49-$B48))</f>
        <v/>
      </c>
      <c r="T49" s="28" t="str">
        <f t="shared" si="13"/>
        <v/>
      </c>
      <c r="U49" s="28" t="str">
        <f t="shared" si="13"/>
        <v/>
      </c>
      <c r="V49" s="28" t="str">
        <f t="shared" si="13"/>
        <v/>
      </c>
      <c r="W49" s="28" t="str">
        <f t="shared" si="13"/>
        <v/>
      </c>
      <c r="X49" s="29" t="str">
        <f t="shared" si="13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6"/>
        <v/>
      </c>
      <c r="M50" s="19" t="str">
        <f t="shared" si="7"/>
        <v/>
      </c>
      <c r="N50" s="19" t="str">
        <f t="shared" si="8"/>
        <v/>
      </c>
      <c r="O50" s="19" t="str">
        <f t="shared" si="9"/>
        <v/>
      </c>
      <c r="P50" s="19" t="str">
        <f t="shared" si="10"/>
        <v/>
      </c>
      <c r="Q50" s="19" t="str">
        <f t="shared" si="11"/>
        <v/>
      </c>
      <c r="R50" s="19" t="str">
        <f t="shared" si="1"/>
        <v/>
      </c>
      <c r="S50" s="27" t="str">
        <f t="shared" si="13"/>
        <v/>
      </c>
      <c r="T50" s="28" t="str">
        <f t="shared" si="13"/>
        <v/>
      </c>
      <c r="U50" s="28" t="str">
        <f t="shared" si="13"/>
        <v/>
      </c>
      <c r="V50" s="28" t="str">
        <f t="shared" si="13"/>
        <v/>
      </c>
      <c r="W50" s="28" t="str">
        <f t="shared" si="13"/>
        <v/>
      </c>
      <c r="X50" s="29" t="str">
        <f t="shared" si="13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 t="str">
        <f t="shared" si="9"/>
        <v/>
      </c>
      <c r="P51" s="19" t="str">
        <f t="shared" si="10"/>
        <v/>
      </c>
      <c r="Q51" s="19" t="str">
        <f t="shared" si="11"/>
        <v/>
      </c>
      <c r="R51" s="19" t="str">
        <f t="shared" si="1"/>
        <v/>
      </c>
      <c r="S51" s="27" t="str">
        <f t="shared" si="13"/>
        <v/>
      </c>
      <c r="T51" s="28" t="str">
        <f t="shared" si="13"/>
        <v/>
      </c>
      <c r="U51" s="28" t="str">
        <f t="shared" si="13"/>
        <v/>
      </c>
      <c r="V51" s="28" t="str">
        <f t="shared" si="13"/>
        <v/>
      </c>
      <c r="W51" s="28" t="str">
        <f t="shared" si="13"/>
        <v/>
      </c>
      <c r="X51" s="29" t="str">
        <f t="shared" si="13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9"/>
        <v/>
      </c>
      <c r="P52" s="19" t="str">
        <f t="shared" si="10"/>
        <v/>
      </c>
      <c r="Q52" s="19" t="str">
        <f t="shared" si="11"/>
        <v/>
      </c>
      <c r="R52" s="19" t="str">
        <f t="shared" si="1"/>
        <v/>
      </c>
      <c r="S52" s="27" t="str">
        <f t="shared" si="13"/>
        <v/>
      </c>
      <c r="T52" s="28" t="str">
        <f t="shared" si="13"/>
        <v/>
      </c>
      <c r="U52" s="28" t="str">
        <f t="shared" si="13"/>
        <v/>
      </c>
      <c r="V52" s="28" t="str">
        <f t="shared" si="13"/>
        <v/>
      </c>
      <c r="W52" s="28" t="str">
        <f t="shared" si="13"/>
        <v/>
      </c>
      <c r="X52" s="29" t="str">
        <f t="shared" si="13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9"/>
        <v/>
      </c>
      <c r="P53" s="19" t="str">
        <f t="shared" si="10"/>
        <v/>
      </c>
      <c r="Q53" s="19" t="str">
        <f t="shared" si="11"/>
        <v/>
      </c>
      <c r="R53" s="19" t="str">
        <f t="shared" si="1"/>
        <v/>
      </c>
      <c r="S53" s="27" t="str">
        <f t="shared" si="13"/>
        <v/>
      </c>
      <c r="T53" s="28" t="str">
        <f t="shared" si="13"/>
        <v/>
      </c>
      <c r="U53" s="28" t="str">
        <f t="shared" si="13"/>
        <v/>
      </c>
      <c r="V53" s="28" t="str">
        <f t="shared" si="13"/>
        <v/>
      </c>
      <c r="W53" s="28" t="str">
        <f t="shared" si="13"/>
        <v/>
      </c>
      <c r="X53" s="29" t="str">
        <f t="shared" si="13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9"/>
        <v/>
      </c>
      <c r="P54" s="19" t="str">
        <f t="shared" si="10"/>
        <v/>
      </c>
      <c r="Q54" s="19" t="str">
        <f t="shared" si="11"/>
        <v/>
      </c>
      <c r="R54" s="19" t="str">
        <f t="shared" si="1"/>
        <v/>
      </c>
      <c r="S54" s="27" t="str">
        <f t="shared" si="13"/>
        <v/>
      </c>
      <c r="T54" s="28" t="str">
        <f t="shared" si="13"/>
        <v/>
      </c>
      <c r="U54" s="28" t="str">
        <f t="shared" si="13"/>
        <v/>
      </c>
      <c r="V54" s="28" t="str">
        <f t="shared" si="13"/>
        <v/>
      </c>
      <c r="W54" s="28" t="str">
        <f t="shared" si="13"/>
        <v/>
      </c>
      <c r="X54" s="29" t="str">
        <f t="shared" si="13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9"/>
        <v/>
      </c>
      <c r="P55" s="19" t="str">
        <f t="shared" si="10"/>
        <v/>
      </c>
      <c r="Q55" s="19" t="str">
        <f t="shared" si="11"/>
        <v/>
      </c>
      <c r="R55" s="19" t="str">
        <f t="shared" si="1"/>
        <v/>
      </c>
      <c r="S55" s="27" t="str">
        <f t="shared" si="13"/>
        <v/>
      </c>
      <c r="T55" s="28" t="str">
        <f t="shared" si="13"/>
        <v/>
      </c>
      <c r="U55" s="28" t="str">
        <f t="shared" si="13"/>
        <v/>
      </c>
      <c r="V55" s="28" t="str">
        <f t="shared" si="13"/>
        <v/>
      </c>
      <c r="W55" s="28" t="str">
        <f t="shared" si="13"/>
        <v/>
      </c>
      <c r="X55" s="29" t="str">
        <f t="shared" si="13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9"/>
        <v/>
      </c>
      <c r="P56" s="19" t="str">
        <f t="shared" si="10"/>
        <v/>
      </c>
      <c r="Q56" s="19" t="str">
        <f t="shared" si="11"/>
        <v/>
      </c>
      <c r="R56" s="19" t="str">
        <f t="shared" si="1"/>
        <v/>
      </c>
      <c r="S56" s="27" t="str">
        <f t="shared" si="13"/>
        <v/>
      </c>
      <c r="T56" s="28" t="str">
        <f t="shared" si="13"/>
        <v/>
      </c>
      <c r="U56" s="28" t="str">
        <f t="shared" si="13"/>
        <v/>
      </c>
      <c r="V56" s="28" t="str">
        <f t="shared" si="13"/>
        <v/>
      </c>
      <c r="W56" s="28" t="str">
        <f t="shared" si="13"/>
        <v/>
      </c>
      <c r="X56" s="29" t="str">
        <f t="shared" si="13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9"/>
        <v/>
      </c>
      <c r="P57" s="19" t="str">
        <f t="shared" si="10"/>
        <v/>
      </c>
      <c r="Q57" s="19" t="str">
        <f t="shared" si="11"/>
        <v/>
      </c>
      <c r="R57" s="19" t="str">
        <f t="shared" si="1"/>
        <v/>
      </c>
      <c r="S57" s="27" t="str">
        <f t="shared" si="13"/>
        <v/>
      </c>
      <c r="T57" s="28" t="str">
        <f t="shared" si="13"/>
        <v/>
      </c>
      <c r="U57" s="28" t="str">
        <f t="shared" si="13"/>
        <v/>
      </c>
      <c r="V57" s="28" t="str">
        <f t="shared" si="13"/>
        <v/>
      </c>
      <c r="W57" s="28" t="str">
        <f t="shared" si="13"/>
        <v/>
      </c>
      <c r="X57" s="29" t="str">
        <f t="shared" si="13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9"/>
        <v/>
      </c>
      <c r="P58" s="19" t="str">
        <f t="shared" si="10"/>
        <v/>
      </c>
      <c r="Q58" s="19" t="str">
        <f t="shared" si="11"/>
        <v/>
      </c>
      <c r="R58" s="19" t="str">
        <f t="shared" si="1"/>
        <v/>
      </c>
      <c r="S58" s="27" t="str">
        <f t="shared" si="13"/>
        <v/>
      </c>
      <c r="T58" s="28" t="str">
        <f t="shared" si="13"/>
        <v/>
      </c>
      <c r="U58" s="28" t="str">
        <f t="shared" si="13"/>
        <v/>
      </c>
      <c r="V58" s="28" t="str">
        <f t="shared" si="13"/>
        <v/>
      </c>
      <c r="W58" s="28" t="str">
        <f t="shared" si="13"/>
        <v/>
      </c>
      <c r="X58" s="29" t="str">
        <f t="shared" si="13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9"/>
        <v/>
      </c>
      <c r="P59" s="19" t="str">
        <f t="shared" si="10"/>
        <v/>
      </c>
      <c r="Q59" s="19" t="str">
        <f t="shared" si="11"/>
        <v/>
      </c>
      <c r="R59" s="19" t="str">
        <f t="shared" si="1"/>
        <v/>
      </c>
      <c r="S59" s="27" t="str">
        <f t="shared" si="13"/>
        <v/>
      </c>
      <c r="T59" s="28" t="str">
        <f t="shared" si="13"/>
        <v/>
      </c>
      <c r="U59" s="28" t="str">
        <f t="shared" si="13"/>
        <v/>
      </c>
      <c r="V59" s="28" t="str">
        <f t="shared" si="13"/>
        <v/>
      </c>
      <c r="W59" s="28" t="str">
        <f t="shared" si="13"/>
        <v/>
      </c>
      <c r="X59" s="29" t="str">
        <f t="shared" si="13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9"/>
        <v/>
      </c>
      <c r="P60" s="19" t="str">
        <f t="shared" si="10"/>
        <v/>
      </c>
      <c r="Q60" s="19" t="str">
        <f t="shared" si="11"/>
        <v/>
      </c>
      <c r="R60" s="19" t="str">
        <f t="shared" si="1"/>
        <v/>
      </c>
      <c r="S60" s="27" t="str">
        <f t="shared" si="13"/>
        <v/>
      </c>
      <c r="T60" s="28" t="str">
        <f t="shared" si="13"/>
        <v/>
      </c>
      <c r="U60" s="28" t="str">
        <f t="shared" si="13"/>
        <v/>
      </c>
      <c r="V60" s="28" t="str">
        <f t="shared" si="13"/>
        <v/>
      </c>
      <c r="W60" s="28" t="str">
        <f t="shared" si="13"/>
        <v/>
      </c>
      <c r="X60" s="29" t="str">
        <f t="shared" si="13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9"/>
        <v/>
      </c>
      <c r="P61" s="19" t="str">
        <f t="shared" si="10"/>
        <v/>
      </c>
      <c r="Q61" s="19" t="str">
        <f t="shared" si="11"/>
        <v/>
      </c>
      <c r="R61" s="19" t="str">
        <f t="shared" si="1"/>
        <v/>
      </c>
      <c r="S61" s="27" t="str">
        <f t="shared" si="13"/>
        <v/>
      </c>
      <c r="T61" s="28" t="str">
        <f t="shared" si="13"/>
        <v/>
      </c>
      <c r="U61" s="28" t="str">
        <f t="shared" si="13"/>
        <v/>
      </c>
      <c r="V61" s="28" t="str">
        <f t="shared" si="13"/>
        <v/>
      </c>
      <c r="W61" s="28" t="str">
        <f t="shared" si="13"/>
        <v/>
      </c>
      <c r="X61" s="29" t="str">
        <f t="shared" si="13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9"/>
        <v/>
      </c>
      <c r="P62" s="19" t="str">
        <f t="shared" si="10"/>
        <v/>
      </c>
      <c r="Q62" s="19" t="str">
        <f t="shared" si="11"/>
        <v/>
      </c>
      <c r="R62" s="19" t="str">
        <f t="shared" si="1"/>
        <v/>
      </c>
      <c r="S62" s="27" t="str">
        <f t="shared" si="13"/>
        <v/>
      </c>
      <c r="T62" s="28" t="str">
        <f t="shared" si="13"/>
        <v/>
      </c>
      <c r="U62" s="28" t="str">
        <f t="shared" si="13"/>
        <v/>
      </c>
      <c r="V62" s="28" t="str">
        <f t="shared" si="13"/>
        <v/>
      </c>
      <c r="W62" s="28" t="str">
        <f t="shared" si="13"/>
        <v/>
      </c>
      <c r="X62" s="29" t="str">
        <f t="shared" si="13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6"/>
        <v/>
      </c>
      <c r="M63" s="19" t="str">
        <f t="shared" si="7"/>
        <v/>
      </c>
      <c r="N63" s="19" t="str">
        <f t="shared" si="8"/>
        <v/>
      </c>
      <c r="O63" s="19" t="str">
        <f t="shared" si="9"/>
        <v/>
      </c>
      <c r="P63" s="19" t="str">
        <f t="shared" si="10"/>
        <v/>
      </c>
      <c r="Q63" s="19" t="str">
        <f t="shared" si="11"/>
        <v/>
      </c>
      <c r="R63" s="19" t="str">
        <f t="shared" si="1"/>
        <v/>
      </c>
      <c r="S63" s="27" t="str">
        <f t="shared" si="13"/>
        <v/>
      </c>
      <c r="T63" s="28" t="str">
        <f t="shared" si="13"/>
        <v/>
      </c>
      <c r="U63" s="28" t="str">
        <f t="shared" si="13"/>
        <v/>
      </c>
      <c r="V63" s="28" t="str">
        <f t="shared" si="13"/>
        <v/>
      </c>
      <c r="W63" s="28" t="str">
        <f t="shared" si="13"/>
        <v/>
      </c>
      <c r="X63" s="29" t="str">
        <f t="shared" si="13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6"/>
        <v/>
      </c>
      <c r="M64" s="19" t="str">
        <f t="shared" si="7"/>
        <v/>
      </c>
      <c r="N64" s="19" t="str">
        <f t="shared" si="8"/>
        <v/>
      </c>
      <c r="O64" s="19" t="str">
        <f t="shared" si="9"/>
        <v/>
      </c>
      <c r="P64" s="19" t="str">
        <f t="shared" si="10"/>
        <v/>
      </c>
      <c r="Q64" s="19" t="str">
        <f t="shared" si="11"/>
        <v/>
      </c>
      <c r="R64" s="19" t="str">
        <f t="shared" si="1"/>
        <v/>
      </c>
      <c r="S64" s="27" t="str">
        <f t="shared" si="13"/>
        <v/>
      </c>
      <c r="T64" s="28" t="str">
        <f t="shared" si="13"/>
        <v/>
      </c>
      <c r="U64" s="28" t="str">
        <f t="shared" si="13"/>
        <v/>
      </c>
      <c r="V64" s="28" t="str">
        <f t="shared" si="13"/>
        <v/>
      </c>
      <c r="W64" s="28" t="str">
        <f t="shared" si="13"/>
        <v/>
      </c>
      <c r="X64" s="29" t="str">
        <f t="shared" si="13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6"/>
        <v/>
      </c>
      <c r="M65" s="19" t="str">
        <f t="shared" si="7"/>
        <v/>
      </c>
      <c r="N65" s="19" t="str">
        <f t="shared" si="8"/>
        <v/>
      </c>
      <c r="O65" s="19" t="str">
        <f t="shared" si="9"/>
        <v/>
      </c>
      <c r="P65" s="19" t="str">
        <f t="shared" si="10"/>
        <v/>
      </c>
      <c r="Q65" s="19" t="str">
        <f t="shared" si="11"/>
        <v/>
      </c>
      <c r="R65" s="19" t="str">
        <f t="shared" si="1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6"/>
        <v/>
      </c>
      <c r="M66" s="19" t="str">
        <f t="shared" si="7"/>
        <v/>
      </c>
      <c r="N66" s="19" t="str">
        <f t="shared" si="8"/>
        <v/>
      </c>
      <c r="O66" s="19" t="str">
        <f t="shared" si="9"/>
        <v/>
      </c>
      <c r="P66" s="19" t="str">
        <f t="shared" si="10"/>
        <v/>
      </c>
      <c r="Q66" s="19" t="str">
        <f t="shared" si="11"/>
        <v/>
      </c>
      <c r="R66" s="19" t="str">
        <f t="shared" si="1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6"/>
        <v/>
      </c>
      <c r="M67" s="19" t="str">
        <f t="shared" si="7"/>
        <v/>
      </c>
      <c r="N67" s="19" t="str">
        <f t="shared" si="8"/>
        <v/>
      </c>
      <c r="O67" s="19" t="str">
        <f t="shared" si="9"/>
        <v/>
      </c>
      <c r="P67" s="19" t="str">
        <f t="shared" si="10"/>
        <v/>
      </c>
      <c r="Q67" s="19" t="str">
        <f t="shared" si="11"/>
        <v/>
      </c>
      <c r="R67" s="19" t="str">
        <f t="shared" si="1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6"/>
        <v/>
      </c>
      <c r="M68" s="19" t="str">
        <f t="shared" si="7"/>
        <v/>
      </c>
      <c r="N68" s="19" t="str">
        <f t="shared" si="8"/>
        <v/>
      </c>
      <c r="O68" s="19" t="str">
        <f t="shared" si="9"/>
        <v/>
      </c>
      <c r="P68" s="19" t="str">
        <f t="shared" si="10"/>
        <v/>
      </c>
      <c r="Q68" s="19" t="str">
        <f t="shared" si="11"/>
        <v/>
      </c>
      <c r="R68" s="19" t="str">
        <f t="shared" si="1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6"/>
        <v/>
      </c>
      <c r="M69" s="19" t="str">
        <f t="shared" si="7"/>
        <v/>
      </c>
      <c r="N69" s="19" t="str">
        <f t="shared" si="8"/>
        <v/>
      </c>
      <c r="O69" s="19" t="str">
        <f t="shared" si="9"/>
        <v/>
      </c>
      <c r="P69" s="19" t="str">
        <f t="shared" si="10"/>
        <v/>
      </c>
      <c r="Q69" s="19" t="str">
        <f t="shared" si="11"/>
        <v/>
      </c>
      <c r="R69" s="19" t="str">
        <f t="shared" si="1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6"/>
        <v/>
      </c>
      <c r="M70" s="19" t="str">
        <f t="shared" si="7"/>
        <v/>
      </c>
      <c r="N70" s="19" t="str">
        <f t="shared" si="8"/>
        <v/>
      </c>
      <c r="O70" s="19" t="str">
        <f t="shared" si="9"/>
        <v/>
      </c>
      <c r="P70" s="19" t="str">
        <f t="shared" si="10"/>
        <v/>
      </c>
      <c r="Q70" s="19" t="str">
        <f t="shared" si="11"/>
        <v/>
      </c>
      <c r="R70" s="19" t="str">
        <f t="shared" si="1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6"/>
        <v/>
      </c>
      <c r="M71" s="19" t="str">
        <f t="shared" si="7"/>
        <v/>
      </c>
      <c r="N71" s="19" t="str">
        <f t="shared" si="8"/>
        <v/>
      </c>
      <c r="O71" s="19" t="str">
        <f t="shared" si="9"/>
        <v/>
      </c>
      <c r="P71" s="19" t="str">
        <f t="shared" si="10"/>
        <v/>
      </c>
      <c r="Q71" s="19" t="str">
        <f t="shared" si="11"/>
        <v/>
      </c>
      <c r="R71" s="19" t="str">
        <f t="shared" si="1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6"/>
        <v/>
      </c>
      <c r="M72" s="19" t="str">
        <f t="shared" si="7"/>
        <v/>
      </c>
      <c r="N72" s="19" t="str">
        <f t="shared" si="8"/>
        <v/>
      </c>
      <c r="O72" s="19" t="str">
        <f t="shared" si="9"/>
        <v/>
      </c>
      <c r="P72" s="19" t="str">
        <f t="shared" si="10"/>
        <v/>
      </c>
      <c r="Q72" s="19" t="str">
        <f t="shared" si="11"/>
        <v/>
      </c>
      <c r="R72" s="19" t="str">
        <f t="shared" si="1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6"/>
        <v/>
      </c>
      <c r="M73" s="19" t="str">
        <f t="shared" si="7"/>
        <v/>
      </c>
      <c r="N73" s="19" t="str">
        <f t="shared" si="8"/>
        <v/>
      </c>
      <c r="O73" s="19" t="str">
        <f t="shared" si="9"/>
        <v/>
      </c>
      <c r="P73" s="19" t="str">
        <f t="shared" si="10"/>
        <v/>
      </c>
      <c r="Q73" s="19" t="str">
        <f t="shared" si="11"/>
        <v/>
      </c>
      <c r="R73" s="19" t="str">
        <f t="shared" si="1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6"/>
        <v/>
      </c>
      <c r="M74" s="19" t="str">
        <f t="shared" si="7"/>
        <v/>
      </c>
      <c r="N74" s="19" t="str">
        <f t="shared" si="8"/>
        <v/>
      </c>
      <c r="O74" s="19" t="str">
        <f t="shared" si="9"/>
        <v/>
      </c>
      <c r="P74" s="19" t="str">
        <f t="shared" si="10"/>
        <v/>
      </c>
      <c r="Q74" s="19" t="str">
        <f t="shared" si="11"/>
        <v/>
      </c>
      <c r="R74" s="19" t="str">
        <f t="shared" si="1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6"/>
        <v/>
      </c>
      <c r="M75" s="19" t="str">
        <f t="shared" si="7"/>
        <v/>
      </c>
      <c r="N75" s="19" t="str">
        <f t="shared" si="8"/>
        <v/>
      </c>
      <c r="O75" s="19" t="str">
        <f t="shared" si="9"/>
        <v/>
      </c>
      <c r="P75" s="19" t="str">
        <f t="shared" si="10"/>
        <v/>
      </c>
      <c r="Q75" s="19" t="str">
        <f t="shared" si="11"/>
        <v/>
      </c>
      <c r="R75" s="19" t="str">
        <f t="shared" si="1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6"/>
        <v/>
      </c>
      <c r="M76" s="19" t="str">
        <f t="shared" si="7"/>
        <v/>
      </c>
      <c r="N76" s="19" t="str">
        <f t="shared" si="8"/>
        <v/>
      </c>
      <c r="O76" s="19" t="str">
        <f t="shared" si="9"/>
        <v/>
      </c>
      <c r="P76" s="19" t="str">
        <f t="shared" si="10"/>
        <v/>
      </c>
      <c r="Q76" s="19" t="str">
        <f t="shared" si="11"/>
        <v/>
      </c>
      <c r="R76" s="19" t="str">
        <f t="shared" si="1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6"/>
        <v/>
      </c>
      <c r="M77" s="19" t="str">
        <f t="shared" si="7"/>
        <v/>
      </c>
      <c r="N77" s="19" t="str">
        <f t="shared" si="8"/>
        <v/>
      </c>
      <c r="O77" s="19" t="str">
        <f t="shared" si="9"/>
        <v/>
      </c>
      <c r="P77" s="19" t="str">
        <f t="shared" si="10"/>
        <v/>
      </c>
      <c r="Q77" s="19" t="str">
        <f t="shared" si="11"/>
        <v/>
      </c>
      <c r="R77" s="19" t="str">
        <f t="shared" si="1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6"/>
        <v/>
      </c>
      <c r="M78" s="19" t="str">
        <f t="shared" si="7"/>
        <v/>
      </c>
      <c r="N78" s="19" t="str">
        <f t="shared" si="8"/>
        <v/>
      </c>
      <c r="O78" s="19" t="str">
        <f t="shared" si="9"/>
        <v/>
      </c>
      <c r="P78" s="19" t="str">
        <f t="shared" si="10"/>
        <v/>
      </c>
      <c r="Q78" s="19" t="str">
        <f t="shared" si="11"/>
        <v/>
      </c>
      <c r="R78" s="19" t="str">
        <f t="shared" si="1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6"/>
        <v/>
      </c>
      <c r="M79" s="19" t="str">
        <f t="shared" si="7"/>
        <v/>
      </c>
      <c r="N79" s="19" t="str">
        <f t="shared" si="8"/>
        <v/>
      </c>
      <c r="O79" s="19" t="str">
        <f t="shared" si="9"/>
        <v/>
      </c>
      <c r="P79" s="19" t="str">
        <f t="shared" si="10"/>
        <v/>
      </c>
      <c r="Q79" s="19" t="str">
        <f t="shared" si="11"/>
        <v/>
      </c>
      <c r="R79" s="19" t="str">
        <f t="shared" si="1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6"/>
        <v/>
      </c>
      <c r="M80" s="19" t="str">
        <f t="shared" si="7"/>
        <v/>
      </c>
      <c r="N80" s="19" t="str">
        <f t="shared" si="8"/>
        <v/>
      </c>
      <c r="O80" s="19" t="str">
        <f t="shared" si="9"/>
        <v/>
      </c>
      <c r="P80" s="19" t="str">
        <f t="shared" si="10"/>
        <v/>
      </c>
      <c r="Q80" s="19" t="str">
        <f t="shared" si="11"/>
        <v/>
      </c>
      <c r="R80" s="19" t="str">
        <f t="shared" ref="R80:R111" si="15">IF(ISBLANK(I80),"",(I80-I$16)*1000)</f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6"/>
        <v/>
      </c>
      <c r="M81" s="19" t="str">
        <f t="shared" si="7"/>
        <v/>
      </c>
      <c r="N81" s="19" t="str">
        <f t="shared" si="8"/>
        <v/>
      </c>
      <c r="O81" s="19" t="str">
        <f t="shared" si="9"/>
        <v/>
      </c>
      <c r="P81" s="19" t="str">
        <f t="shared" si="10"/>
        <v/>
      </c>
      <c r="Q81" s="19" t="str">
        <f t="shared" si="11"/>
        <v/>
      </c>
      <c r="R81" s="19" t="str">
        <f t="shared" si="15"/>
        <v/>
      </c>
      <c r="S81" s="27" t="str">
        <f t="shared" ref="S81:X96" si="16">IF(C81="","",((C81-C80)*1000)/($B81-$B80))</f>
        <v/>
      </c>
      <c r="T81" s="28" t="str">
        <f t="shared" si="16"/>
        <v/>
      </c>
      <c r="U81" s="28" t="str">
        <f t="shared" si="16"/>
        <v/>
      </c>
      <c r="V81" s="28" t="str">
        <f t="shared" si="16"/>
        <v/>
      </c>
      <c r="W81" s="28" t="str">
        <f t="shared" si="16"/>
        <v/>
      </c>
      <c r="X81" s="29" t="str">
        <f t="shared" si="16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6"/>
        <v/>
      </c>
      <c r="M82" s="19" t="str">
        <f t="shared" si="7"/>
        <v/>
      </c>
      <c r="N82" s="19" t="str">
        <f t="shared" si="8"/>
        <v/>
      </c>
      <c r="O82" s="19" t="str">
        <f t="shared" si="9"/>
        <v/>
      </c>
      <c r="P82" s="19" t="str">
        <f t="shared" si="10"/>
        <v/>
      </c>
      <c r="Q82" s="19" t="str">
        <f t="shared" si="11"/>
        <v/>
      </c>
      <c r="R82" s="19" t="str">
        <f t="shared" si="15"/>
        <v/>
      </c>
      <c r="S82" s="27" t="str">
        <f t="shared" si="16"/>
        <v/>
      </c>
      <c r="T82" s="28" t="str">
        <f t="shared" si="16"/>
        <v/>
      </c>
      <c r="U82" s="28" t="str">
        <f t="shared" si="16"/>
        <v/>
      </c>
      <c r="V82" s="28" t="str">
        <f t="shared" si="16"/>
        <v/>
      </c>
      <c r="W82" s="28" t="str">
        <f t="shared" si="16"/>
        <v/>
      </c>
      <c r="X82" s="29" t="str">
        <f t="shared" si="16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6"/>
        <v/>
      </c>
      <c r="M83" s="19" t="str">
        <f t="shared" si="7"/>
        <v/>
      </c>
      <c r="N83" s="19" t="str">
        <f t="shared" si="8"/>
        <v/>
      </c>
      <c r="O83" s="19" t="str">
        <f t="shared" si="9"/>
        <v/>
      </c>
      <c r="P83" s="19" t="str">
        <f t="shared" si="10"/>
        <v/>
      </c>
      <c r="Q83" s="19" t="str">
        <f t="shared" si="11"/>
        <v/>
      </c>
      <c r="R83" s="19" t="str">
        <f t="shared" si="15"/>
        <v/>
      </c>
      <c r="S83" s="27" t="str">
        <f t="shared" si="16"/>
        <v/>
      </c>
      <c r="T83" s="28" t="str">
        <f t="shared" si="16"/>
        <v/>
      </c>
      <c r="U83" s="28" t="str">
        <f t="shared" si="16"/>
        <v/>
      </c>
      <c r="V83" s="28" t="str">
        <f t="shared" si="16"/>
        <v/>
      </c>
      <c r="W83" s="28" t="str">
        <f t="shared" si="16"/>
        <v/>
      </c>
      <c r="X83" s="29" t="str">
        <f t="shared" si="16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6"/>
        <v/>
      </c>
      <c r="M84" s="19" t="str">
        <f t="shared" si="7"/>
        <v/>
      </c>
      <c r="N84" s="19" t="str">
        <f t="shared" si="8"/>
        <v/>
      </c>
      <c r="O84" s="19" t="str">
        <f t="shared" si="9"/>
        <v/>
      </c>
      <c r="P84" s="19" t="str">
        <f t="shared" si="10"/>
        <v/>
      </c>
      <c r="Q84" s="19" t="str">
        <f t="shared" si="11"/>
        <v/>
      </c>
      <c r="R84" s="19" t="str">
        <f t="shared" si="15"/>
        <v/>
      </c>
      <c r="S84" s="27" t="str">
        <f t="shared" si="16"/>
        <v/>
      </c>
      <c r="T84" s="28" t="str">
        <f t="shared" si="16"/>
        <v/>
      </c>
      <c r="U84" s="28" t="str">
        <f t="shared" si="16"/>
        <v/>
      </c>
      <c r="V84" s="28" t="str">
        <f t="shared" si="16"/>
        <v/>
      </c>
      <c r="W84" s="28" t="str">
        <f t="shared" si="16"/>
        <v/>
      </c>
      <c r="X84" s="29" t="str">
        <f t="shared" si="16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6"/>
        <v/>
      </c>
      <c r="M85" s="19" t="str">
        <f t="shared" si="7"/>
        <v/>
      </c>
      <c r="N85" s="19" t="str">
        <f t="shared" si="8"/>
        <v/>
      </c>
      <c r="O85" s="19" t="str">
        <f t="shared" si="9"/>
        <v/>
      </c>
      <c r="P85" s="19" t="str">
        <f t="shared" si="10"/>
        <v/>
      </c>
      <c r="Q85" s="19" t="str">
        <f t="shared" si="11"/>
        <v/>
      </c>
      <c r="R85" s="19" t="str">
        <f t="shared" si="15"/>
        <v/>
      </c>
      <c r="S85" s="27" t="str">
        <f t="shared" si="16"/>
        <v/>
      </c>
      <c r="T85" s="28" t="str">
        <f t="shared" si="16"/>
        <v/>
      </c>
      <c r="U85" s="28" t="str">
        <f t="shared" si="16"/>
        <v/>
      </c>
      <c r="V85" s="28" t="str">
        <f t="shared" si="16"/>
        <v/>
      </c>
      <c r="W85" s="28" t="str">
        <f t="shared" si="16"/>
        <v/>
      </c>
      <c r="X85" s="29" t="str">
        <f t="shared" si="16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6"/>
        <v/>
      </c>
      <c r="M86" s="19" t="str">
        <f t="shared" si="7"/>
        <v/>
      </c>
      <c r="N86" s="19" t="str">
        <f t="shared" si="8"/>
        <v/>
      </c>
      <c r="O86" s="19" t="str">
        <f t="shared" si="9"/>
        <v/>
      </c>
      <c r="P86" s="19" t="str">
        <f t="shared" si="10"/>
        <v/>
      </c>
      <c r="Q86" s="19" t="str">
        <f t="shared" si="11"/>
        <v/>
      </c>
      <c r="R86" s="19" t="str">
        <f t="shared" si="15"/>
        <v/>
      </c>
      <c r="S86" s="27" t="str">
        <f t="shared" si="16"/>
        <v/>
      </c>
      <c r="T86" s="28" t="str">
        <f t="shared" si="16"/>
        <v/>
      </c>
      <c r="U86" s="28" t="str">
        <f t="shared" si="16"/>
        <v/>
      </c>
      <c r="V86" s="28" t="str">
        <f t="shared" si="16"/>
        <v/>
      </c>
      <c r="W86" s="28" t="str">
        <f t="shared" si="16"/>
        <v/>
      </c>
      <c r="X86" s="29" t="str">
        <f t="shared" si="16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6"/>
        <v/>
      </c>
      <c r="M87" s="19" t="str">
        <f t="shared" si="7"/>
        <v/>
      </c>
      <c r="N87" s="19" t="str">
        <f t="shared" si="8"/>
        <v/>
      </c>
      <c r="O87" s="19" t="str">
        <f t="shared" si="9"/>
        <v/>
      </c>
      <c r="P87" s="19" t="str">
        <f t="shared" si="10"/>
        <v/>
      </c>
      <c r="Q87" s="19" t="str">
        <f t="shared" si="11"/>
        <v/>
      </c>
      <c r="R87" s="19" t="str">
        <f t="shared" si="15"/>
        <v/>
      </c>
      <c r="S87" s="27" t="str">
        <f t="shared" si="16"/>
        <v/>
      </c>
      <c r="T87" s="28" t="str">
        <f t="shared" si="16"/>
        <v/>
      </c>
      <c r="U87" s="28" t="str">
        <f t="shared" si="16"/>
        <v/>
      </c>
      <c r="V87" s="28" t="str">
        <f t="shared" si="16"/>
        <v/>
      </c>
      <c r="W87" s="28" t="str">
        <f t="shared" si="16"/>
        <v/>
      </c>
      <c r="X87" s="29" t="str">
        <f t="shared" si="16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6"/>
        <v/>
      </c>
      <c r="M88" s="19" t="str">
        <f t="shared" si="7"/>
        <v/>
      </c>
      <c r="N88" s="19" t="str">
        <f t="shared" si="8"/>
        <v/>
      </c>
      <c r="O88" s="19" t="str">
        <f t="shared" si="9"/>
        <v/>
      </c>
      <c r="P88" s="19" t="str">
        <f t="shared" si="10"/>
        <v/>
      </c>
      <c r="Q88" s="19" t="str">
        <f t="shared" si="11"/>
        <v/>
      </c>
      <c r="R88" s="19" t="str">
        <f t="shared" si="15"/>
        <v/>
      </c>
      <c r="S88" s="27" t="str">
        <f t="shared" si="16"/>
        <v/>
      </c>
      <c r="T88" s="28" t="str">
        <f t="shared" si="16"/>
        <v/>
      </c>
      <c r="U88" s="28" t="str">
        <f t="shared" si="16"/>
        <v/>
      </c>
      <c r="V88" s="28" t="str">
        <f t="shared" si="16"/>
        <v/>
      </c>
      <c r="W88" s="28" t="str">
        <f t="shared" si="16"/>
        <v/>
      </c>
      <c r="X88" s="29" t="str">
        <f t="shared" si="16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6"/>
        <v/>
      </c>
      <c r="M89" s="19" t="str">
        <f t="shared" si="7"/>
        <v/>
      </c>
      <c r="N89" s="19" t="str">
        <f t="shared" si="8"/>
        <v/>
      </c>
      <c r="O89" s="19" t="str">
        <f t="shared" si="9"/>
        <v/>
      </c>
      <c r="P89" s="19" t="str">
        <f t="shared" si="10"/>
        <v/>
      </c>
      <c r="Q89" s="19" t="str">
        <f t="shared" si="11"/>
        <v/>
      </c>
      <c r="R89" s="19" t="str">
        <f t="shared" si="15"/>
        <v/>
      </c>
      <c r="S89" s="27" t="str">
        <f t="shared" si="16"/>
        <v/>
      </c>
      <c r="T89" s="28" t="str">
        <f t="shared" si="16"/>
        <v/>
      </c>
      <c r="U89" s="28" t="str">
        <f t="shared" si="16"/>
        <v/>
      </c>
      <c r="V89" s="28" t="str">
        <f t="shared" si="16"/>
        <v/>
      </c>
      <c r="W89" s="28" t="str">
        <f t="shared" si="16"/>
        <v/>
      </c>
      <c r="X89" s="29" t="str">
        <f t="shared" si="16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6"/>
        <v/>
      </c>
      <c r="M90" s="19" t="str">
        <f t="shared" si="7"/>
        <v/>
      </c>
      <c r="N90" s="19" t="str">
        <f t="shared" si="8"/>
        <v/>
      </c>
      <c r="O90" s="19" t="str">
        <f t="shared" si="9"/>
        <v/>
      </c>
      <c r="P90" s="19" t="str">
        <f t="shared" si="10"/>
        <v/>
      </c>
      <c r="Q90" s="19" t="str">
        <f t="shared" si="11"/>
        <v/>
      </c>
      <c r="R90" s="19" t="str">
        <f t="shared" si="15"/>
        <v/>
      </c>
      <c r="S90" s="27" t="str">
        <f t="shared" si="16"/>
        <v/>
      </c>
      <c r="T90" s="28" t="str">
        <f t="shared" si="16"/>
        <v/>
      </c>
      <c r="U90" s="28" t="str">
        <f t="shared" si="16"/>
        <v/>
      </c>
      <c r="V90" s="28" t="str">
        <f t="shared" si="16"/>
        <v/>
      </c>
      <c r="W90" s="28" t="str">
        <f t="shared" si="16"/>
        <v/>
      </c>
      <c r="X90" s="29" t="str">
        <f t="shared" si="16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6"/>
        <v/>
      </c>
      <c r="M91" s="19" t="str">
        <f t="shared" si="7"/>
        <v/>
      </c>
      <c r="N91" s="19" t="str">
        <f t="shared" si="8"/>
        <v/>
      </c>
      <c r="O91" s="19" t="str">
        <f t="shared" si="9"/>
        <v/>
      </c>
      <c r="P91" s="19" t="str">
        <f t="shared" si="10"/>
        <v/>
      </c>
      <c r="Q91" s="19" t="str">
        <f t="shared" si="11"/>
        <v/>
      </c>
      <c r="R91" s="19" t="str">
        <f t="shared" si="15"/>
        <v/>
      </c>
      <c r="S91" s="27" t="str">
        <f t="shared" si="16"/>
        <v/>
      </c>
      <c r="T91" s="28" t="str">
        <f t="shared" si="16"/>
        <v/>
      </c>
      <c r="U91" s="28" t="str">
        <f t="shared" si="16"/>
        <v/>
      </c>
      <c r="V91" s="28" t="str">
        <f t="shared" si="16"/>
        <v/>
      </c>
      <c r="W91" s="28" t="str">
        <f t="shared" si="16"/>
        <v/>
      </c>
      <c r="X91" s="29" t="str">
        <f t="shared" si="16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6"/>
        <v/>
      </c>
      <c r="M92" s="19" t="str">
        <f t="shared" si="7"/>
        <v/>
      </c>
      <c r="N92" s="19" t="str">
        <f t="shared" si="8"/>
        <v/>
      </c>
      <c r="O92" s="19" t="str">
        <f t="shared" si="9"/>
        <v/>
      </c>
      <c r="P92" s="19" t="str">
        <f t="shared" si="10"/>
        <v/>
      </c>
      <c r="Q92" s="19" t="str">
        <f t="shared" si="11"/>
        <v/>
      </c>
      <c r="R92" s="19" t="str">
        <f t="shared" si="15"/>
        <v/>
      </c>
      <c r="S92" s="27" t="str">
        <f t="shared" si="16"/>
        <v/>
      </c>
      <c r="T92" s="28" t="str">
        <f t="shared" si="16"/>
        <v/>
      </c>
      <c r="U92" s="28" t="str">
        <f t="shared" si="16"/>
        <v/>
      </c>
      <c r="V92" s="28" t="str">
        <f t="shared" si="16"/>
        <v/>
      </c>
      <c r="W92" s="28" t="str">
        <f t="shared" si="16"/>
        <v/>
      </c>
      <c r="X92" s="29" t="str">
        <f t="shared" si="16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6"/>
        <v/>
      </c>
      <c r="M93" s="19" t="str">
        <f t="shared" si="7"/>
        <v/>
      </c>
      <c r="N93" s="19" t="str">
        <f t="shared" si="8"/>
        <v/>
      </c>
      <c r="O93" s="19" t="str">
        <f t="shared" si="9"/>
        <v/>
      </c>
      <c r="P93" s="19" t="str">
        <f t="shared" si="10"/>
        <v/>
      </c>
      <c r="Q93" s="19" t="str">
        <f t="shared" si="11"/>
        <v/>
      </c>
      <c r="R93" s="19" t="str">
        <f t="shared" si="15"/>
        <v/>
      </c>
      <c r="S93" s="27" t="str">
        <f t="shared" si="16"/>
        <v/>
      </c>
      <c r="T93" s="28" t="str">
        <f t="shared" si="16"/>
        <v/>
      </c>
      <c r="U93" s="28" t="str">
        <f t="shared" si="16"/>
        <v/>
      </c>
      <c r="V93" s="28" t="str">
        <f t="shared" si="16"/>
        <v/>
      </c>
      <c r="W93" s="28" t="str">
        <f t="shared" si="16"/>
        <v/>
      </c>
      <c r="X93" s="29" t="str">
        <f t="shared" si="16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6"/>
        <v/>
      </c>
      <c r="M94" s="19" t="str">
        <f t="shared" si="7"/>
        <v/>
      </c>
      <c r="N94" s="19" t="str">
        <f t="shared" si="8"/>
        <v/>
      </c>
      <c r="O94" s="19" t="str">
        <f t="shared" si="9"/>
        <v/>
      </c>
      <c r="P94" s="19" t="str">
        <f t="shared" si="10"/>
        <v/>
      </c>
      <c r="Q94" s="19" t="str">
        <f t="shared" si="11"/>
        <v/>
      </c>
      <c r="R94" s="19" t="str">
        <f t="shared" si="15"/>
        <v/>
      </c>
      <c r="S94" s="27" t="str">
        <f t="shared" si="16"/>
        <v/>
      </c>
      <c r="T94" s="28" t="str">
        <f t="shared" si="16"/>
        <v/>
      </c>
      <c r="U94" s="28" t="str">
        <f t="shared" si="16"/>
        <v/>
      </c>
      <c r="V94" s="28" t="str">
        <f t="shared" si="16"/>
        <v/>
      </c>
      <c r="W94" s="28" t="str">
        <f t="shared" si="16"/>
        <v/>
      </c>
      <c r="X94" s="29" t="str">
        <f t="shared" si="16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6"/>
        <v/>
      </c>
      <c r="M95" s="19" t="str">
        <f t="shared" si="7"/>
        <v/>
      </c>
      <c r="N95" s="19" t="str">
        <f t="shared" si="8"/>
        <v/>
      </c>
      <c r="O95" s="19" t="str">
        <f t="shared" si="9"/>
        <v/>
      </c>
      <c r="P95" s="19" t="str">
        <f t="shared" si="10"/>
        <v/>
      </c>
      <c r="Q95" s="19" t="str">
        <f t="shared" si="11"/>
        <v/>
      </c>
      <c r="R95" s="19" t="str">
        <f t="shared" si="15"/>
        <v/>
      </c>
      <c r="S95" s="27" t="str">
        <f t="shared" si="16"/>
        <v/>
      </c>
      <c r="T95" s="28" t="str">
        <f t="shared" si="16"/>
        <v/>
      </c>
      <c r="U95" s="28" t="str">
        <f t="shared" si="16"/>
        <v/>
      </c>
      <c r="V95" s="28" t="str">
        <f t="shared" si="16"/>
        <v/>
      </c>
      <c r="W95" s="28" t="str">
        <f t="shared" si="16"/>
        <v/>
      </c>
      <c r="X95" s="29" t="str">
        <f t="shared" si="16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6"/>
        <v/>
      </c>
      <c r="M96" s="19" t="str">
        <f t="shared" si="7"/>
        <v/>
      </c>
      <c r="N96" s="19" t="str">
        <f t="shared" si="8"/>
        <v/>
      </c>
      <c r="O96" s="19" t="str">
        <f t="shared" si="9"/>
        <v/>
      </c>
      <c r="P96" s="19" t="str">
        <f t="shared" si="10"/>
        <v/>
      </c>
      <c r="Q96" s="19" t="str">
        <f t="shared" si="11"/>
        <v/>
      </c>
      <c r="R96" s="19" t="str">
        <f t="shared" si="15"/>
        <v/>
      </c>
      <c r="S96" s="27" t="str">
        <f t="shared" si="16"/>
        <v/>
      </c>
      <c r="T96" s="28" t="str">
        <f t="shared" si="16"/>
        <v/>
      </c>
      <c r="U96" s="28" t="str">
        <f t="shared" si="16"/>
        <v/>
      </c>
      <c r="V96" s="28" t="str">
        <f t="shared" si="16"/>
        <v/>
      </c>
      <c r="W96" s="28" t="str">
        <f t="shared" si="16"/>
        <v/>
      </c>
      <c r="X96" s="29" t="str">
        <f t="shared" si="16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ref="L97:L153" si="17">IF(ISBLANK(C97),"",(C97-C$32)*1000)</f>
        <v/>
      </c>
      <c r="M97" s="19" t="str">
        <f t="shared" ref="M97:M153" si="18">IF(ISBLANK(D97),"",(D97-D$32)*1000)</f>
        <v/>
      </c>
      <c r="N97" s="19" t="str">
        <f t="shared" ref="N97:N153" si="19">IF(ISBLANK(E97),"",(E97-E$32)*1000)</f>
        <v/>
      </c>
      <c r="O97" s="19" t="str">
        <f t="shared" ref="O97:O153" si="20">IF(ISBLANK(F97),"",(F97-F$32)*1000)</f>
        <v/>
      </c>
      <c r="P97" s="19" t="str">
        <f t="shared" ref="P97:P153" si="21">IF(ISBLANK(G97),"",(G97-G$32)*1000)</f>
        <v/>
      </c>
      <c r="Q97" s="19" t="str">
        <f t="shared" ref="Q97:Q153" si="22">IF(ISBLANK(H97),"",(H97-H$32)*1000)</f>
        <v/>
      </c>
      <c r="R97" s="19" t="str">
        <f t="shared" si="15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7"/>
        <v/>
      </c>
      <c r="M98" s="19" t="str">
        <f t="shared" si="18"/>
        <v/>
      </c>
      <c r="N98" s="19" t="str">
        <f t="shared" si="19"/>
        <v/>
      </c>
      <c r="O98" s="19" t="str">
        <f t="shared" si="20"/>
        <v/>
      </c>
      <c r="P98" s="19" t="str">
        <f t="shared" si="21"/>
        <v/>
      </c>
      <c r="Q98" s="19" t="str">
        <f t="shared" si="22"/>
        <v/>
      </c>
      <c r="R98" s="19" t="str">
        <f t="shared" si="15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7"/>
        <v/>
      </c>
      <c r="M99" s="19" t="str">
        <f t="shared" si="18"/>
        <v/>
      </c>
      <c r="N99" s="19" t="str">
        <f t="shared" si="19"/>
        <v/>
      </c>
      <c r="O99" s="19" t="str">
        <f t="shared" si="20"/>
        <v/>
      </c>
      <c r="P99" s="19" t="str">
        <f t="shared" si="21"/>
        <v/>
      </c>
      <c r="Q99" s="19" t="str">
        <f t="shared" si="22"/>
        <v/>
      </c>
      <c r="R99" s="19" t="str">
        <f t="shared" si="15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7"/>
        <v/>
      </c>
      <c r="M100" s="19" t="str">
        <f t="shared" si="18"/>
        <v/>
      </c>
      <c r="N100" s="19" t="str">
        <f t="shared" si="19"/>
        <v/>
      </c>
      <c r="O100" s="19" t="str">
        <f t="shared" si="20"/>
        <v/>
      </c>
      <c r="P100" s="19" t="str">
        <f t="shared" si="21"/>
        <v/>
      </c>
      <c r="Q100" s="19" t="str">
        <f t="shared" si="22"/>
        <v/>
      </c>
      <c r="R100" s="19" t="str">
        <f t="shared" si="15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7"/>
        <v/>
      </c>
      <c r="M101" s="19" t="str">
        <f t="shared" si="18"/>
        <v/>
      </c>
      <c r="N101" s="19" t="str">
        <f t="shared" si="19"/>
        <v/>
      </c>
      <c r="O101" s="19" t="str">
        <f t="shared" si="20"/>
        <v/>
      </c>
      <c r="P101" s="19" t="str">
        <f t="shared" si="21"/>
        <v/>
      </c>
      <c r="Q101" s="19" t="str">
        <f t="shared" si="22"/>
        <v/>
      </c>
      <c r="R101" s="19" t="str">
        <f t="shared" si="15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7"/>
        <v/>
      </c>
      <c r="M102" s="19" t="str">
        <f t="shared" si="18"/>
        <v/>
      </c>
      <c r="N102" s="19" t="str">
        <f t="shared" si="19"/>
        <v/>
      </c>
      <c r="O102" s="19" t="str">
        <f t="shared" si="20"/>
        <v/>
      </c>
      <c r="P102" s="19" t="str">
        <f t="shared" si="21"/>
        <v/>
      </c>
      <c r="Q102" s="19" t="str">
        <f t="shared" si="22"/>
        <v/>
      </c>
      <c r="R102" s="19" t="str">
        <f t="shared" si="15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7"/>
        <v/>
      </c>
      <c r="M103" s="19" t="str">
        <f t="shared" si="18"/>
        <v/>
      </c>
      <c r="N103" s="19" t="str">
        <f t="shared" si="19"/>
        <v/>
      </c>
      <c r="O103" s="19" t="str">
        <f t="shared" si="20"/>
        <v/>
      </c>
      <c r="P103" s="19" t="str">
        <f t="shared" si="21"/>
        <v/>
      </c>
      <c r="Q103" s="19" t="str">
        <f t="shared" si="22"/>
        <v/>
      </c>
      <c r="R103" s="19" t="str">
        <f t="shared" si="15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7"/>
        <v/>
      </c>
      <c r="M104" s="19" t="str">
        <f t="shared" si="18"/>
        <v/>
      </c>
      <c r="N104" s="19" t="str">
        <f t="shared" si="19"/>
        <v/>
      </c>
      <c r="O104" s="19" t="str">
        <f t="shared" si="20"/>
        <v/>
      </c>
      <c r="P104" s="19" t="str">
        <f t="shared" si="21"/>
        <v/>
      </c>
      <c r="Q104" s="19" t="str">
        <f t="shared" si="22"/>
        <v/>
      </c>
      <c r="R104" s="19" t="str">
        <f t="shared" si="15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7"/>
        <v/>
      </c>
      <c r="M105" s="19" t="str">
        <f t="shared" si="18"/>
        <v/>
      </c>
      <c r="N105" s="19" t="str">
        <f t="shared" si="19"/>
        <v/>
      </c>
      <c r="O105" s="19" t="str">
        <f t="shared" si="20"/>
        <v/>
      </c>
      <c r="P105" s="19" t="str">
        <f t="shared" si="21"/>
        <v/>
      </c>
      <c r="Q105" s="19" t="str">
        <f t="shared" si="22"/>
        <v/>
      </c>
      <c r="R105" s="19" t="str">
        <f t="shared" si="15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7"/>
        <v/>
      </c>
      <c r="M106" s="19" t="str">
        <f t="shared" si="18"/>
        <v/>
      </c>
      <c r="N106" s="19" t="str">
        <f t="shared" si="19"/>
        <v/>
      </c>
      <c r="O106" s="19" t="str">
        <f t="shared" si="20"/>
        <v/>
      </c>
      <c r="P106" s="19" t="str">
        <f t="shared" si="21"/>
        <v/>
      </c>
      <c r="Q106" s="19" t="str">
        <f t="shared" si="22"/>
        <v/>
      </c>
      <c r="R106" s="19" t="str">
        <f t="shared" si="15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7"/>
        <v/>
      </c>
      <c r="M107" s="19" t="str">
        <f t="shared" si="18"/>
        <v/>
      </c>
      <c r="N107" s="19" t="str">
        <f t="shared" si="19"/>
        <v/>
      </c>
      <c r="O107" s="19" t="str">
        <f t="shared" si="20"/>
        <v/>
      </c>
      <c r="P107" s="19" t="str">
        <f t="shared" si="21"/>
        <v/>
      </c>
      <c r="Q107" s="19" t="str">
        <f t="shared" si="22"/>
        <v/>
      </c>
      <c r="R107" s="19" t="str">
        <f t="shared" si="15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7"/>
        <v/>
      </c>
      <c r="M108" s="19" t="str">
        <f t="shared" si="18"/>
        <v/>
      </c>
      <c r="N108" s="19" t="str">
        <f t="shared" si="19"/>
        <v/>
      </c>
      <c r="O108" s="19" t="str">
        <f t="shared" si="20"/>
        <v/>
      </c>
      <c r="P108" s="19" t="str">
        <f t="shared" si="21"/>
        <v/>
      </c>
      <c r="Q108" s="19" t="str">
        <f t="shared" si="22"/>
        <v/>
      </c>
      <c r="R108" s="19" t="str">
        <f t="shared" si="15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7"/>
        <v/>
      </c>
      <c r="M109" s="19" t="str">
        <f t="shared" si="18"/>
        <v/>
      </c>
      <c r="N109" s="19" t="str">
        <f t="shared" si="19"/>
        <v/>
      </c>
      <c r="O109" s="19" t="str">
        <f t="shared" si="20"/>
        <v/>
      </c>
      <c r="P109" s="19" t="str">
        <f t="shared" si="21"/>
        <v/>
      </c>
      <c r="Q109" s="19" t="str">
        <f t="shared" si="22"/>
        <v/>
      </c>
      <c r="R109" s="19" t="str">
        <f t="shared" si="15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7"/>
        <v/>
      </c>
      <c r="M110" s="19" t="str">
        <f t="shared" si="18"/>
        <v/>
      </c>
      <c r="N110" s="19" t="str">
        <f t="shared" si="19"/>
        <v/>
      </c>
      <c r="O110" s="19" t="str">
        <f t="shared" si="20"/>
        <v/>
      </c>
      <c r="P110" s="19" t="str">
        <f t="shared" si="21"/>
        <v/>
      </c>
      <c r="Q110" s="19" t="str">
        <f t="shared" si="22"/>
        <v/>
      </c>
      <c r="R110" s="19" t="str">
        <f t="shared" si="15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7"/>
        <v/>
      </c>
      <c r="M111" s="19" t="str">
        <f t="shared" si="18"/>
        <v/>
      </c>
      <c r="N111" s="19" t="str">
        <f t="shared" si="19"/>
        <v/>
      </c>
      <c r="O111" s="19" t="str">
        <f t="shared" si="20"/>
        <v/>
      </c>
      <c r="P111" s="19" t="str">
        <f t="shared" si="21"/>
        <v/>
      </c>
      <c r="Q111" s="19" t="str">
        <f t="shared" si="22"/>
        <v/>
      </c>
      <c r="R111" s="19" t="str">
        <f t="shared" si="15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7"/>
        <v/>
      </c>
      <c r="M112" s="19" t="str">
        <f t="shared" si="18"/>
        <v/>
      </c>
      <c r="N112" s="19" t="str">
        <f t="shared" si="19"/>
        <v/>
      </c>
      <c r="O112" s="19" t="str">
        <f t="shared" si="20"/>
        <v/>
      </c>
      <c r="P112" s="19" t="str">
        <f t="shared" si="21"/>
        <v/>
      </c>
      <c r="Q112" s="19" t="str">
        <f t="shared" si="22"/>
        <v/>
      </c>
      <c r="R112" s="19" t="str">
        <f t="shared" ref="R112:R143" si="24">IF(ISBLANK(I112),"",(I112-I$16)*1000)</f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7"/>
        <v/>
      </c>
      <c r="M113" s="19" t="str">
        <f t="shared" si="18"/>
        <v/>
      </c>
      <c r="N113" s="19" t="str">
        <f t="shared" si="19"/>
        <v/>
      </c>
      <c r="O113" s="19" t="str">
        <f t="shared" si="20"/>
        <v/>
      </c>
      <c r="P113" s="19" t="str">
        <f t="shared" si="21"/>
        <v/>
      </c>
      <c r="Q113" s="19" t="str">
        <f t="shared" si="22"/>
        <v/>
      </c>
      <c r="R113" s="19" t="str">
        <f t="shared" si="24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7"/>
        <v/>
      </c>
      <c r="M114" s="19" t="str">
        <f t="shared" si="18"/>
        <v/>
      </c>
      <c r="N114" s="19" t="str">
        <f t="shared" si="19"/>
        <v/>
      </c>
      <c r="O114" s="19" t="str">
        <f t="shared" si="20"/>
        <v/>
      </c>
      <c r="P114" s="19" t="str">
        <f t="shared" si="21"/>
        <v/>
      </c>
      <c r="Q114" s="19" t="str">
        <f t="shared" si="22"/>
        <v/>
      </c>
      <c r="R114" s="19" t="str">
        <f t="shared" si="24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7"/>
        <v/>
      </c>
      <c r="M115" s="19" t="str">
        <f t="shared" si="18"/>
        <v/>
      </c>
      <c r="N115" s="19" t="str">
        <f t="shared" si="19"/>
        <v/>
      </c>
      <c r="O115" s="19" t="str">
        <f t="shared" si="20"/>
        <v/>
      </c>
      <c r="P115" s="19" t="str">
        <f t="shared" si="21"/>
        <v/>
      </c>
      <c r="Q115" s="19" t="str">
        <f t="shared" si="22"/>
        <v/>
      </c>
      <c r="R115" s="19" t="str">
        <f t="shared" si="24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7"/>
        <v/>
      </c>
      <c r="M116" s="19" t="str">
        <f t="shared" si="18"/>
        <v/>
      </c>
      <c r="N116" s="19" t="str">
        <f t="shared" si="19"/>
        <v/>
      </c>
      <c r="O116" s="19" t="str">
        <f t="shared" si="20"/>
        <v/>
      </c>
      <c r="P116" s="19" t="str">
        <f t="shared" si="21"/>
        <v/>
      </c>
      <c r="Q116" s="19" t="str">
        <f t="shared" si="22"/>
        <v/>
      </c>
      <c r="R116" s="19" t="str">
        <f t="shared" si="24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7"/>
        <v/>
      </c>
      <c r="M117" s="19" t="str">
        <f t="shared" si="18"/>
        <v/>
      </c>
      <c r="N117" s="19" t="str">
        <f t="shared" si="19"/>
        <v/>
      </c>
      <c r="O117" s="19" t="str">
        <f t="shared" si="20"/>
        <v/>
      </c>
      <c r="P117" s="19" t="str">
        <f t="shared" si="21"/>
        <v/>
      </c>
      <c r="Q117" s="19" t="str">
        <f t="shared" si="22"/>
        <v/>
      </c>
      <c r="R117" s="19" t="str">
        <f t="shared" si="24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7"/>
        <v/>
      </c>
      <c r="M118" s="19" t="str">
        <f t="shared" si="18"/>
        <v/>
      </c>
      <c r="N118" s="19" t="str">
        <f t="shared" si="19"/>
        <v/>
      </c>
      <c r="O118" s="19" t="str">
        <f t="shared" si="20"/>
        <v/>
      </c>
      <c r="P118" s="19" t="str">
        <f t="shared" si="21"/>
        <v/>
      </c>
      <c r="Q118" s="19" t="str">
        <f t="shared" si="22"/>
        <v/>
      </c>
      <c r="R118" s="19" t="str">
        <f t="shared" si="24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7"/>
        <v/>
      </c>
      <c r="M119" s="19" t="str">
        <f t="shared" si="18"/>
        <v/>
      </c>
      <c r="N119" s="19" t="str">
        <f t="shared" si="19"/>
        <v/>
      </c>
      <c r="O119" s="19" t="str">
        <f t="shared" si="20"/>
        <v/>
      </c>
      <c r="P119" s="19" t="str">
        <f t="shared" si="21"/>
        <v/>
      </c>
      <c r="Q119" s="19" t="str">
        <f t="shared" si="22"/>
        <v/>
      </c>
      <c r="R119" s="19" t="str">
        <f t="shared" si="24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7"/>
        <v/>
      </c>
      <c r="M120" s="19" t="str">
        <f t="shared" si="18"/>
        <v/>
      </c>
      <c r="N120" s="19" t="str">
        <f t="shared" si="19"/>
        <v/>
      </c>
      <c r="O120" s="19" t="str">
        <f t="shared" si="20"/>
        <v/>
      </c>
      <c r="P120" s="19" t="str">
        <f t="shared" si="21"/>
        <v/>
      </c>
      <c r="Q120" s="19" t="str">
        <f t="shared" si="22"/>
        <v/>
      </c>
      <c r="R120" s="19" t="str">
        <f t="shared" si="24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7"/>
        <v/>
      </c>
      <c r="M121" s="19" t="str">
        <f t="shared" si="18"/>
        <v/>
      </c>
      <c r="N121" s="19" t="str">
        <f t="shared" si="19"/>
        <v/>
      </c>
      <c r="O121" s="19" t="str">
        <f t="shared" si="20"/>
        <v/>
      </c>
      <c r="P121" s="19" t="str">
        <f t="shared" si="21"/>
        <v/>
      </c>
      <c r="Q121" s="19" t="str">
        <f t="shared" si="22"/>
        <v/>
      </c>
      <c r="R121" s="19" t="str">
        <f t="shared" si="24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7"/>
        <v/>
      </c>
      <c r="M122" s="19" t="str">
        <f t="shared" si="18"/>
        <v/>
      </c>
      <c r="N122" s="19" t="str">
        <f t="shared" si="19"/>
        <v/>
      </c>
      <c r="O122" s="19" t="str">
        <f t="shared" si="20"/>
        <v/>
      </c>
      <c r="P122" s="19" t="str">
        <f t="shared" si="21"/>
        <v/>
      </c>
      <c r="Q122" s="19" t="str">
        <f t="shared" si="22"/>
        <v/>
      </c>
      <c r="R122" s="19" t="str">
        <f t="shared" si="24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7"/>
        <v/>
      </c>
      <c r="M123" s="19" t="str">
        <f t="shared" si="18"/>
        <v/>
      </c>
      <c r="N123" s="19" t="str">
        <f t="shared" si="19"/>
        <v/>
      </c>
      <c r="O123" s="19" t="str">
        <f t="shared" si="20"/>
        <v/>
      </c>
      <c r="P123" s="19" t="str">
        <f t="shared" si="21"/>
        <v/>
      </c>
      <c r="Q123" s="19" t="str">
        <f t="shared" si="22"/>
        <v/>
      </c>
      <c r="R123" s="19" t="str">
        <f t="shared" si="24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7"/>
        <v/>
      </c>
      <c r="M124" s="19" t="str">
        <f t="shared" si="18"/>
        <v/>
      </c>
      <c r="N124" s="19" t="str">
        <f t="shared" si="19"/>
        <v/>
      </c>
      <c r="O124" s="19" t="str">
        <f t="shared" si="20"/>
        <v/>
      </c>
      <c r="P124" s="19" t="str">
        <f t="shared" si="21"/>
        <v/>
      </c>
      <c r="Q124" s="19" t="str">
        <f t="shared" si="22"/>
        <v/>
      </c>
      <c r="R124" s="19" t="str">
        <f t="shared" si="24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7"/>
        <v/>
      </c>
      <c r="M125" s="19" t="str">
        <f t="shared" si="18"/>
        <v/>
      </c>
      <c r="N125" s="19" t="str">
        <f t="shared" si="19"/>
        <v/>
      </c>
      <c r="O125" s="19" t="str">
        <f t="shared" si="20"/>
        <v/>
      </c>
      <c r="P125" s="19" t="str">
        <f t="shared" si="21"/>
        <v/>
      </c>
      <c r="Q125" s="19" t="str">
        <f t="shared" si="22"/>
        <v/>
      </c>
      <c r="R125" s="19" t="str">
        <f t="shared" si="24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7"/>
        <v/>
      </c>
      <c r="M126" s="19" t="str">
        <f t="shared" si="18"/>
        <v/>
      </c>
      <c r="N126" s="19" t="str">
        <f t="shared" si="19"/>
        <v/>
      </c>
      <c r="O126" s="19" t="str">
        <f t="shared" si="20"/>
        <v/>
      </c>
      <c r="P126" s="19" t="str">
        <f t="shared" si="21"/>
        <v/>
      </c>
      <c r="Q126" s="19" t="str">
        <f t="shared" si="22"/>
        <v/>
      </c>
      <c r="R126" s="19" t="str">
        <f t="shared" si="24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7"/>
        <v/>
      </c>
      <c r="M127" s="19" t="str">
        <f t="shared" si="18"/>
        <v/>
      </c>
      <c r="N127" s="19" t="str">
        <f t="shared" si="19"/>
        <v/>
      </c>
      <c r="O127" s="19" t="str">
        <f t="shared" si="20"/>
        <v/>
      </c>
      <c r="P127" s="19" t="str">
        <f t="shared" si="21"/>
        <v/>
      </c>
      <c r="Q127" s="19" t="str">
        <f t="shared" si="22"/>
        <v/>
      </c>
      <c r="R127" s="19" t="str">
        <f t="shared" si="24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7"/>
        <v/>
      </c>
      <c r="M128" s="19" t="str">
        <f t="shared" si="18"/>
        <v/>
      </c>
      <c r="N128" s="19" t="str">
        <f t="shared" si="19"/>
        <v/>
      </c>
      <c r="O128" s="19" t="str">
        <f t="shared" si="20"/>
        <v/>
      </c>
      <c r="P128" s="19" t="str">
        <f t="shared" si="21"/>
        <v/>
      </c>
      <c r="Q128" s="19" t="str">
        <f t="shared" si="22"/>
        <v/>
      </c>
      <c r="R128" s="19" t="str">
        <f t="shared" si="24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7"/>
        <v/>
      </c>
      <c r="M129" s="19" t="str">
        <f t="shared" si="18"/>
        <v/>
      </c>
      <c r="N129" s="19" t="str">
        <f t="shared" si="19"/>
        <v/>
      </c>
      <c r="O129" s="19" t="str">
        <f t="shared" si="20"/>
        <v/>
      </c>
      <c r="P129" s="19" t="str">
        <f t="shared" si="21"/>
        <v/>
      </c>
      <c r="Q129" s="19" t="str">
        <f t="shared" si="22"/>
        <v/>
      </c>
      <c r="R129" s="19" t="str">
        <f t="shared" si="24"/>
        <v/>
      </c>
      <c r="S129" s="27" t="str">
        <f t="shared" ref="S129:X144" si="26">IF(C129="","",((C129-C128)*1000)/($B129-$B128))</f>
        <v/>
      </c>
      <c r="T129" s="28" t="str">
        <f t="shared" si="26"/>
        <v/>
      </c>
      <c r="U129" s="28" t="str">
        <f t="shared" si="26"/>
        <v/>
      </c>
      <c r="V129" s="28" t="str">
        <f t="shared" si="26"/>
        <v/>
      </c>
      <c r="W129" s="28" t="str">
        <f t="shared" si="26"/>
        <v/>
      </c>
      <c r="X129" s="29" t="str">
        <f t="shared" si="26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7"/>
        <v/>
      </c>
      <c r="M130" s="19" t="str">
        <f t="shared" si="18"/>
        <v/>
      </c>
      <c r="N130" s="19" t="str">
        <f t="shared" si="19"/>
        <v/>
      </c>
      <c r="O130" s="19" t="str">
        <f t="shared" si="20"/>
        <v/>
      </c>
      <c r="P130" s="19" t="str">
        <f t="shared" si="21"/>
        <v/>
      </c>
      <c r="Q130" s="19" t="str">
        <f t="shared" si="22"/>
        <v/>
      </c>
      <c r="R130" s="19" t="str">
        <f t="shared" si="24"/>
        <v/>
      </c>
      <c r="S130" s="27" t="str">
        <f t="shared" si="26"/>
        <v/>
      </c>
      <c r="T130" s="28" t="str">
        <f t="shared" si="26"/>
        <v/>
      </c>
      <c r="U130" s="28" t="str">
        <f t="shared" si="26"/>
        <v/>
      </c>
      <c r="V130" s="28" t="str">
        <f t="shared" si="26"/>
        <v/>
      </c>
      <c r="W130" s="28" t="str">
        <f t="shared" si="26"/>
        <v/>
      </c>
      <c r="X130" s="29" t="str">
        <f t="shared" si="26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7"/>
        <v/>
      </c>
      <c r="M131" s="19" t="str">
        <f t="shared" si="18"/>
        <v/>
      </c>
      <c r="N131" s="19" t="str">
        <f t="shared" si="19"/>
        <v/>
      </c>
      <c r="O131" s="19" t="str">
        <f t="shared" si="20"/>
        <v/>
      </c>
      <c r="P131" s="19" t="str">
        <f t="shared" si="21"/>
        <v/>
      </c>
      <c r="Q131" s="19" t="str">
        <f t="shared" si="22"/>
        <v/>
      </c>
      <c r="R131" s="19" t="str">
        <f t="shared" si="24"/>
        <v/>
      </c>
      <c r="S131" s="27" t="str">
        <f t="shared" si="26"/>
        <v/>
      </c>
      <c r="T131" s="28" t="str">
        <f t="shared" si="26"/>
        <v/>
      </c>
      <c r="U131" s="28" t="str">
        <f t="shared" si="26"/>
        <v/>
      </c>
      <c r="V131" s="28" t="str">
        <f t="shared" si="26"/>
        <v/>
      </c>
      <c r="W131" s="28" t="str">
        <f t="shared" si="26"/>
        <v/>
      </c>
      <c r="X131" s="29" t="str">
        <f t="shared" si="26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7"/>
        <v/>
      </c>
      <c r="M132" s="19" t="str">
        <f t="shared" si="18"/>
        <v/>
      </c>
      <c r="N132" s="19" t="str">
        <f t="shared" si="19"/>
        <v/>
      </c>
      <c r="O132" s="19" t="str">
        <f t="shared" si="20"/>
        <v/>
      </c>
      <c r="P132" s="19" t="str">
        <f t="shared" si="21"/>
        <v/>
      </c>
      <c r="Q132" s="19" t="str">
        <f t="shared" si="22"/>
        <v/>
      </c>
      <c r="R132" s="19" t="str">
        <f t="shared" si="24"/>
        <v/>
      </c>
      <c r="S132" s="27" t="str">
        <f t="shared" si="26"/>
        <v/>
      </c>
      <c r="T132" s="28" t="str">
        <f t="shared" si="26"/>
        <v/>
      </c>
      <c r="U132" s="28" t="str">
        <f t="shared" si="26"/>
        <v/>
      </c>
      <c r="V132" s="28" t="str">
        <f t="shared" si="26"/>
        <v/>
      </c>
      <c r="W132" s="28" t="str">
        <f t="shared" si="26"/>
        <v/>
      </c>
      <c r="X132" s="29" t="str">
        <f t="shared" si="26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17"/>
        <v/>
      </c>
      <c r="M133" s="19" t="str">
        <f t="shared" si="18"/>
        <v/>
      </c>
      <c r="N133" s="19" t="str">
        <f t="shared" si="19"/>
        <v/>
      </c>
      <c r="O133" s="19" t="str">
        <f t="shared" si="20"/>
        <v/>
      </c>
      <c r="P133" s="19" t="str">
        <f t="shared" si="21"/>
        <v/>
      </c>
      <c r="Q133" s="19" t="str">
        <f t="shared" si="22"/>
        <v/>
      </c>
      <c r="R133" s="19" t="str">
        <f t="shared" si="24"/>
        <v/>
      </c>
      <c r="S133" s="27" t="str">
        <f t="shared" si="26"/>
        <v/>
      </c>
      <c r="T133" s="28" t="str">
        <f t="shared" si="26"/>
        <v/>
      </c>
      <c r="U133" s="28" t="str">
        <f t="shared" si="26"/>
        <v/>
      </c>
      <c r="V133" s="28" t="str">
        <f t="shared" si="26"/>
        <v/>
      </c>
      <c r="W133" s="28" t="str">
        <f t="shared" si="26"/>
        <v/>
      </c>
      <c r="X133" s="29" t="str">
        <f t="shared" si="26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17"/>
        <v/>
      </c>
      <c r="M134" s="19" t="str">
        <f t="shared" si="18"/>
        <v/>
      </c>
      <c r="N134" s="19" t="str">
        <f t="shared" si="19"/>
        <v/>
      </c>
      <c r="O134" s="19" t="str">
        <f t="shared" si="20"/>
        <v/>
      </c>
      <c r="P134" s="19" t="str">
        <f t="shared" si="21"/>
        <v/>
      </c>
      <c r="Q134" s="19" t="str">
        <f t="shared" si="22"/>
        <v/>
      </c>
      <c r="R134" s="19" t="str">
        <f t="shared" si="24"/>
        <v/>
      </c>
      <c r="S134" s="27" t="str">
        <f t="shared" si="26"/>
        <v/>
      </c>
      <c r="T134" s="28" t="str">
        <f t="shared" si="26"/>
        <v/>
      </c>
      <c r="U134" s="28" t="str">
        <f t="shared" si="26"/>
        <v/>
      </c>
      <c r="V134" s="28" t="str">
        <f t="shared" si="26"/>
        <v/>
      </c>
      <c r="W134" s="28" t="str">
        <f t="shared" si="26"/>
        <v/>
      </c>
      <c r="X134" s="29" t="str">
        <f t="shared" si="26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17"/>
        <v/>
      </c>
      <c r="M135" s="19" t="str">
        <f t="shared" si="18"/>
        <v/>
      </c>
      <c r="N135" s="19" t="str">
        <f t="shared" si="19"/>
        <v/>
      </c>
      <c r="O135" s="19" t="str">
        <f t="shared" si="20"/>
        <v/>
      </c>
      <c r="P135" s="19" t="str">
        <f t="shared" si="21"/>
        <v/>
      </c>
      <c r="Q135" s="19" t="str">
        <f t="shared" si="22"/>
        <v/>
      </c>
      <c r="R135" s="19" t="str">
        <f t="shared" si="24"/>
        <v/>
      </c>
      <c r="S135" s="27" t="str">
        <f t="shared" si="26"/>
        <v/>
      </c>
      <c r="T135" s="28" t="str">
        <f t="shared" si="26"/>
        <v/>
      </c>
      <c r="U135" s="28" t="str">
        <f t="shared" si="26"/>
        <v/>
      </c>
      <c r="V135" s="28" t="str">
        <f t="shared" si="26"/>
        <v/>
      </c>
      <c r="W135" s="28" t="str">
        <f t="shared" si="26"/>
        <v/>
      </c>
      <c r="X135" s="29" t="str">
        <f t="shared" si="26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17"/>
        <v/>
      </c>
      <c r="M136" s="19" t="str">
        <f t="shared" si="18"/>
        <v/>
      </c>
      <c r="N136" s="19" t="str">
        <f t="shared" si="19"/>
        <v/>
      </c>
      <c r="O136" s="19" t="str">
        <f t="shared" si="20"/>
        <v/>
      </c>
      <c r="P136" s="19" t="str">
        <f t="shared" si="21"/>
        <v/>
      </c>
      <c r="Q136" s="19" t="str">
        <f t="shared" si="22"/>
        <v/>
      </c>
      <c r="R136" s="19" t="str">
        <f t="shared" si="24"/>
        <v/>
      </c>
      <c r="S136" s="27" t="str">
        <f t="shared" si="26"/>
        <v/>
      </c>
      <c r="T136" s="28" t="str">
        <f t="shared" si="26"/>
        <v/>
      </c>
      <c r="U136" s="28" t="str">
        <f t="shared" si="26"/>
        <v/>
      </c>
      <c r="V136" s="28" t="str">
        <f t="shared" si="26"/>
        <v/>
      </c>
      <c r="W136" s="28" t="str">
        <f t="shared" si="26"/>
        <v/>
      </c>
      <c r="X136" s="29" t="str">
        <f t="shared" si="26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17"/>
        <v/>
      </c>
      <c r="M137" s="19" t="str">
        <f t="shared" si="18"/>
        <v/>
      </c>
      <c r="N137" s="19" t="str">
        <f t="shared" si="19"/>
        <v/>
      </c>
      <c r="O137" s="19" t="str">
        <f t="shared" si="20"/>
        <v/>
      </c>
      <c r="P137" s="19" t="str">
        <f t="shared" si="21"/>
        <v/>
      </c>
      <c r="Q137" s="19" t="str">
        <f t="shared" si="22"/>
        <v/>
      </c>
      <c r="R137" s="19" t="str">
        <f t="shared" si="24"/>
        <v/>
      </c>
      <c r="S137" s="27" t="str">
        <f t="shared" si="26"/>
        <v/>
      </c>
      <c r="T137" s="28" t="str">
        <f t="shared" si="26"/>
        <v/>
      </c>
      <c r="U137" s="28" t="str">
        <f t="shared" si="26"/>
        <v/>
      </c>
      <c r="V137" s="28" t="str">
        <f t="shared" si="26"/>
        <v/>
      </c>
      <c r="W137" s="28" t="str">
        <f t="shared" si="26"/>
        <v/>
      </c>
      <c r="X137" s="29" t="str">
        <f t="shared" si="26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17"/>
        <v/>
      </c>
      <c r="M138" s="19" t="str">
        <f t="shared" si="18"/>
        <v/>
      </c>
      <c r="N138" s="19" t="str">
        <f t="shared" si="19"/>
        <v/>
      </c>
      <c r="O138" s="19" t="str">
        <f t="shared" si="20"/>
        <v/>
      </c>
      <c r="P138" s="19" t="str">
        <f t="shared" si="21"/>
        <v/>
      </c>
      <c r="Q138" s="19" t="str">
        <f t="shared" si="22"/>
        <v/>
      </c>
      <c r="R138" s="19" t="str">
        <f t="shared" si="24"/>
        <v/>
      </c>
      <c r="S138" s="27" t="str">
        <f t="shared" si="26"/>
        <v/>
      </c>
      <c r="T138" s="28" t="str">
        <f t="shared" si="26"/>
        <v/>
      </c>
      <c r="U138" s="28" t="str">
        <f t="shared" si="26"/>
        <v/>
      </c>
      <c r="V138" s="28" t="str">
        <f t="shared" si="26"/>
        <v/>
      </c>
      <c r="W138" s="28" t="str">
        <f t="shared" si="26"/>
        <v/>
      </c>
      <c r="X138" s="29" t="str">
        <f t="shared" si="26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17"/>
        <v/>
      </c>
      <c r="M139" s="19" t="str">
        <f t="shared" si="18"/>
        <v/>
      </c>
      <c r="N139" s="19" t="str">
        <f t="shared" si="19"/>
        <v/>
      </c>
      <c r="O139" s="19" t="str">
        <f t="shared" si="20"/>
        <v/>
      </c>
      <c r="P139" s="19" t="str">
        <f t="shared" si="21"/>
        <v/>
      </c>
      <c r="Q139" s="19" t="str">
        <f t="shared" si="22"/>
        <v/>
      </c>
      <c r="R139" s="19" t="str">
        <f t="shared" si="24"/>
        <v/>
      </c>
      <c r="S139" s="27" t="str">
        <f t="shared" si="26"/>
        <v/>
      </c>
      <c r="T139" s="28" t="str">
        <f t="shared" si="26"/>
        <v/>
      </c>
      <c r="U139" s="28" t="str">
        <f t="shared" si="26"/>
        <v/>
      </c>
      <c r="V139" s="28" t="str">
        <f t="shared" si="26"/>
        <v/>
      </c>
      <c r="W139" s="28" t="str">
        <f t="shared" si="26"/>
        <v/>
      </c>
      <c r="X139" s="29" t="str">
        <f t="shared" si="26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17"/>
        <v/>
      </c>
      <c r="M140" s="19" t="str">
        <f t="shared" si="18"/>
        <v/>
      </c>
      <c r="N140" s="19" t="str">
        <f t="shared" si="19"/>
        <v/>
      </c>
      <c r="O140" s="19" t="str">
        <f t="shared" si="20"/>
        <v/>
      </c>
      <c r="P140" s="19" t="str">
        <f t="shared" si="21"/>
        <v/>
      </c>
      <c r="Q140" s="19" t="str">
        <f t="shared" si="22"/>
        <v/>
      </c>
      <c r="R140" s="19" t="str">
        <f t="shared" si="24"/>
        <v/>
      </c>
      <c r="S140" s="27" t="str">
        <f t="shared" si="26"/>
        <v/>
      </c>
      <c r="T140" s="28" t="str">
        <f t="shared" si="26"/>
        <v/>
      </c>
      <c r="U140" s="28" t="str">
        <f t="shared" si="26"/>
        <v/>
      </c>
      <c r="V140" s="28" t="str">
        <f t="shared" si="26"/>
        <v/>
      </c>
      <c r="W140" s="28" t="str">
        <f t="shared" si="26"/>
        <v/>
      </c>
      <c r="X140" s="29" t="str">
        <f t="shared" si="26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17"/>
        <v/>
      </c>
      <c r="M141" s="19" t="str">
        <f t="shared" si="18"/>
        <v/>
      </c>
      <c r="N141" s="19" t="str">
        <f t="shared" si="19"/>
        <v/>
      </c>
      <c r="O141" s="19" t="str">
        <f t="shared" si="20"/>
        <v/>
      </c>
      <c r="P141" s="19" t="str">
        <f t="shared" si="21"/>
        <v/>
      </c>
      <c r="Q141" s="19" t="str">
        <f t="shared" si="22"/>
        <v/>
      </c>
      <c r="R141" s="19" t="str">
        <f t="shared" si="24"/>
        <v/>
      </c>
      <c r="S141" s="27" t="str">
        <f t="shared" si="26"/>
        <v/>
      </c>
      <c r="T141" s="28" t="str">
        <f t="shared" si="26"/>
        <v/>
      </c>
      <c r="U141" s="28" t="str">
        <f t="shared" si="26"/>
        <v/>
      </c>
      <c r="V141" s="28" t="str">
        <f t="shared" si="26"/>
        <v/>
      </c>
      <c r="W141" s="28" t="str">
        <f t="shared" si="26"/>
        <v/>
      </c>
      <c r="X141" s="29" t="str">
        <f t="shared" si="26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17"/>
        <v/>
      </c>
      <c r="M142" s="19" t="str">
        <f t="shared" si="18"/>
        <v/>
      </c>
      <c r="N142" s="19" t="str">
        <f t="shared" si="19"/>
        <v/>
      </c>
      <c r="O142" s="19" t="str">
        <f t="shared" si="20"/>
        <v/>
      </c>
      <c r="P142" s="19" t="str">
        <f t="shared" si="21"/>
        <v/>
      </c>
      <c r="Q142" s="19" t="str">
        <f t="shared" si="22"/>
        <v/>
      </c>
      <c r="R142" s="19" t="str">
        <f t="shared" si="24"/>
        <v/>
      </c>
      <c r="S142" s="27" t="str">
        <f t="shared" si="26"/>
        <v/>
      </c>
      <c r="T142" s="28" t="str">
        <f t="shared" si="26"/>
        <v/>
      </c>
      <c r="U142" s="28" t="str">
        <f t="shared" si="26"/>
        <v/>
      </c>
      <c r="V142" s="28" t="str">
        <f t="shared" si="26"/>
        <v/>
      </c>
      <c r="W142" s="28" t="str">
        <f t="shared" si="26"/>
        <v/>
      </c>
      <c r="X142" s="29" t="str">
        <f t="shared" si="26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17"/>
        <v/>
      </c>
      <c r="M143" s="19" t="str">
        <f t="shared" si="18"/>
        <v/>
      </c>
      <c r="N143" s="19" t="str">
        <f t="shared" si="19"/>
        <v/>
      </c>
      <c r="O143" s="19" t="str">
        <f t="shared" si="20"/>
        <v/>
      </c>
      <c r="P143" s="19" t="str">
        <f t="shared" si="21"/>
        <v/>
      </c>
      <c r="Q143" s="19" t="str">
        <f t="shared" si="22"/>
        <v/>
      </c>
      <c r="R143" s="19" t="str">
        <f t="shared" si="24"/>
        <v/>
      </c>
      <c r="S143" s="27" t="str">
        <f t="shared" si="26"/>
        <v/>
      </c>
      <c r="T143" s="28" t="str">
        <f t="shared" si="26"/>
        <v/>
      </c>
      <c r="U143" s="28" t="str">
        <f t="shared" si="26"/>
        <v/>
      </c>
      <c r="V143" s="28" t="str">
        <f t="shared" si="26"/>
        <v/>
      </c>
      <c r="W143" s="28" t="str">
        <f t="shared" si="26"/>
        <v/>
      </c>
      <c r="X143" s="29" t="str">
        <f t="shared" si="26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17"/>
        <v/>
      </c>
      <c r="M144" s="19" t="str">
        <f t="shared" si="18"/>
        <v/>
      </c>
      <c r="N144" s="19" t="str">
        <f t="shared" si="19"/>
        <v/>
      </c>
      <c r="O144" s="19" t="str">
        <f t="shared" si="20"/>
        <v/>
      </c>
      <c r="P144" s="19" t="str">
        <f t="shared" si="21"/>
        <v/>
      </c>
      <c r="Q144" s="19" t="str">
        <f t="shared" si="22"/>
        <v/>
      </c>
      <c r="R144" s="19" t="str">
        <f t="shared" ref="R144:R153" si="27">IF(ISBLANK(I144),"",(I144-I$16)*1000)</f>
        <v/>
      </c>
      <c r="S144" s="27" t="str">
        <f t="shared" si="26"/>
        <v/>
      </c>
      <c r="T144" s="28" t="str">
        <f t="shared" si="26"/>
        <v/>
      </c>
      <c r="U144" s="28" t="str">
        <f t="shared" si="26"/>
        <v/>
      </c>
      <c r="V144" s="28" t="str">
        <f t="shared" si="26"/>
        <v/>
      </c>
      <c r="W144" s="28" t="str">
        <f t="shared" si="26"/>
        <v/>
      </c>
      <c r="X144" s="29" t="str">
        <f t="shared" si="26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17"/>
        <v/>
      </c>
      <c r="M145" s="19" t="str">
        <f t="shared" si="18"/>
        <v/>
      </c>
      <c r="N145" s="19" t="str">
        <f t="shared" si="19"/>
        <v/>
      </c>
      <c r="O145" s="19" t="str">
        <f t="shared" si="20"/>
        <v/>
      </c>
      <c r="P145" s="19" t="str">
        <f t="shared" si="21"/>
        <v/>
      </c>
      <c r="Q145" s="19" t="str">
        <f t="shared" si="22"/>
        <v/>
      </c>
      <c r="R145" s="19" t="str">
        <f t="shared" si="27"/>
        <v/>
      </c>
      <c r="S145" s="27" t="str">
        <f t="shared" ref="S145:X153" si="28">IF(C145="","",((C145-C144)*1000)/($B145-$B144))</f>
        <v/>
      </c>
      <c r="T145" s="28" t="str">
        <f t="shared" si="28"/>
        <v/>
      </c>
      <c r="U145" s="28" t="str">
        <f t="shared" si="28"/>
        <v/>
      </c>
      <c r="V145" s="28" t="str">
        <f t="shared" si="28"/>
        <v/>
      </c>
      <c r="W145" s="28" t="str">
        <f t="shared" si="28"/>
        <v/>
      </c>
      <c r="X145" s="29" t="str">
        <f t="shared" si="28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17"/>
        <v/>
      </c>
      <c r="M146" s="19" t="str">
        <f t="shared" si="18"/>
        <v/>
      </c>
      <c r="N146" s="19" t="str">
        <f t="shared" si="19"/>
        <v/>
      </c>
      <c r="O146" s="19" t="str">
        <f t="shared" si="20"/>
        <v/>
      </c>
      <c r="P146" s="19" t="str">
        <f t="shared" si="21"/>
        <v/>
      </c>
      <c r="Q146" s="19" t="str">
        <f t="shared" si="22"/>
        <v/>
      </c>
      <c r="R146" s="19" t="str">
        <f t="shared" si="27"/>
        <v/>
      </c>
      <c r="S146" s="27" t="str">
        <f t="shared" si="28"/>
        <v/>
      </c>
      <c r="T146" s="28" t="str">
        <f t="shared" si="28"/>
        <v/>
      </c>
      <c r="U146" s="28" t="str">
        <f t="shared" si="28"/>
        <v/>
      </c>
      <c r="V146" s="28" t="str">
        <f t="shared" si="28"/>
        <v/>
      </c>
      <c r="W146" s="28" t="str">
        <f t="shared" si="28"/>
        <v/>
      </c>
      <c r="X146" s="29" t="str">
        <f t="shared" si="28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17"/>
        <v/>
      </c>
      <c r="M147" s="19" t="str">
        <f t="shared" si="18"/>
        <v/>
      </c>
      <c r="N147" s="19" t="str">
        <f t="shared" si="19"/>
        <v/>
      </c>
      <c r="O147" s="19" t="str">
        <f t="shared" si="20"/>
        <v/>
      </c>
      <c r="P147" s="19" t="str">
        <f t="shared" si="21"/>
        <v/>
      </c>
      <c r="Q147" s="19" t="str">
        <f t="shared" si="22"/>
        <v/>
      </c>
      <c r="R147" s="19" t="str">
        <f t="shared" si="27"/>
        <v/>
      </c>
      <c r="S147" s="27" t="str">
        <f t="shared" si="28"/>
        <v/>
      </c>
      <c r="T147" s="28" t="str">
        <f t="shared" si="28"/>
        <v/>
      </c>
      <c r="U147" s="28" t="str">
        <f t="shared" si="28"/>
        <v/>
      </c>
      <c r="V147" s="28" t="str">
        <f t="shared" si="28"/>
        <v/>
      </c>
      <c r="W147" s="28" t="str">
        <f t="shared" si="28"/>
        <v/>
      </c>
      <c r="X147" s="29" t="str">
        <f t="shared" si="28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17"/>
        <v/>
      </c>
      <c r="M148" s="19" t="str">
        <f t="shared" si="18"/>
        <v/>
      </c>
      <c r="N148" s="19" t="str">
        <f t="shared" si="19"/>
        <v/>
      </c>
      <c r="O148" s="19" t="str">
        <f t="shared" si="20"/>
        <v/>
      </c>
      <c r="P148" s="19" t="str">
        <f t="shared" si="21"/>
        <v/>
      </c>
      <c r="Q148" s="19" t="str">
        <f t="shared" si="22"/>
        <v/>
      </c>
      <c r="R148" s="19" t="str">
        <f t="shared" si="27"/>
        <v/>
      </c>
      <c r="S148" s="27" t="str">
        <f t="shared" si="28"/>
        <v/>
      </c>
      <c r="T148" s="28" t="str">
        <f t="shared" si="28"/>
        <v/>
      </c>
      <c r="U148" s="28" t="str">
        <f t="shared" si="28"/>
        <v/>
      </c>
      <c r="V148" s="28" t="str">
        <f t="shared" si="28"/>
        <v/>
      </c>
      <c r="W148" s="28" t="str">
        <f t="shared" si="28"/>
        <v/>
      </c>
      <c r="X148" s="29" t="str">
        <f t="shared" si="28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17"/>
        <v/>
      </c>
      <c r="M149" s="19" t="str">
        <f t="shared" si="18"/>
        <v/>
      </c>
      <c r="N149" s="19" t="str">
        <f t="shared" si="19"/>
        <v/>
      </c>
      <c r="O149" s="19" t="str">
        <f t="shared" si="20"/>
        <v/>
      </c>
      <c r="P149" s="19" t="str">
        <f t="shared" si="21"/>
        <v/>
      </c>
      <c r="Q149" s="19" t="str">
        <f t="shared" si="22"/>
        <v/>
      </c>
      <c r="R149" s="19" t="str">
        <f t="shared" si="27"/>
        <v/>
      </c>
      <c r="S149" s="27" t="str">
        <f t="shared" si="28"/>
        <v/>
      </c>
      <c r="T149" s="28" t="str">
        <f t="shared" si="28"/>
        <v/>
      </c>
      <c r="U149" s="28" t="str">
        <f t="shared" si="28"/>
        <v/>
      </c>
      <c r="V149" s="28" t="str">
        <f t="shared" si="28"/>
        <v/>
      </c>
      <c r="W149" s="28" t="str">
        <f t="shared" si="28"/>
        <v/>
      </c>
      <c r="X149" s="29" t="str">
        <f t="shared" si="28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17"/>
        <v/>
      </c>
      <c r="M150" s="19" t="str">
        <f t="shared" si="18"/>
        <v/>
      </c>
      <c r="N150" s="19" t="str">
        <f t="shared" si="19"/>
        <v/>
      </c>
      <c r="O150" s="19" t="str">
        <f t="shared" si="20"/>
        <v/>
      </c>
      <c r="P150" s="19" t="str">
        <f t="shared" si="21"/>
        <v/>
      </c>
      <c r="Q150" s="19" t="str">
        <f t="shared" si="22"/>
        <v/>
      </c>
      <c r="R150" s="19" t="str">
        <f t="shared" si="27"/>
        <v/>
      </c>
      <c r="S150" s="27" t="str">
        <f t="shared" si="28"/>
        <v/>
      </c>
      <c r="T150" s="28" t="str">
        <f t="shared" si="28"/>
        <v/>
      </c>
      <c r="U150" s="28" t="str">
        <f t="shared" si="28"/>
        <v/>
      </c>
      <c r="V150" s="28" t="str">
        <f t="shared" si="28"/>
        <v/>
      </c>
      <c r="W150" s="28" t="str">
        <f t="shared" si="28"/>
        <v/>
      </c>
      <c r="X150" s="29" t="str">
        <f t="shared" si="28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17"/>
        <v/>
      </c>
      <c r="M151" s="19" t="str">
        <f t="shared" si="18"/>
        <v/>
      </c>
      <c r="N151" s="19" t="str">
        <f t="shared" si="19"/>
        <v/>
      </c>
      <c r="O151" s="19" t="str">
        <f t="shared" si="20"/>
        <v/>
      </c>
      <c r="P151" s="19" t="str">
        <f t="shared" si="21"/>
        <v/>
      </c>
      <c r="Q151" s="19" t="str">
        <f t="shared" si="22"/>
        <v/>
      </c>
      <c r="R151" s="19" t="str">
        <f t="shared" si="27"/>
        <v/>
      </c>
      <c r="S151" s="27" t="str">
        <f t="shared" si="28"/>
        <v/>
      </c>
      <c r="T151" s="28" t="str">
        <f t="shared" si="28"/>
        <v/>
      </c>
      <c r="U151" s="28" t="str">
        <f t="shared" si="28"/>
        <v/>
      </c>
      <c r="V151" s="28" t="str">
        <f t="shared" si="28"/>
        <v/>
      </c>
      <c r="W151" s="28" t="str">
        <f t="shared" si="28"/>
        <v/>
      </c>
      <c r="X151" s="29" t="str">
        <f t="shared" si="28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17"/>
        <v/>
      </c>
      <c r="M152" s="19" t="str">
        <f t="shared" si="18"/>
        <v/>
      </c>
      <c r="N152" s="19" t="str">
        <f t="shared" si="19"/>
        <v/>
      </c>
      <c r="O152" s="19" t="str">
        <f t="shared" si="20"/>
        <v/>
      </c>
      <c r="P152" s="19" t="str">
        <f t="shared" si="21"/>
        <v/>
      </c>
      <c r="Q152" s="19" t="str">
        <f t="shared" si="22"/>
        <v/>
      </c>
      <c r="R152" s="19" t="str">
        <f t="shared" si="27"/>
        <v/>
      </c>
      <c r="S152" s="27" t="str">
        <f t="shared" si="28"/>
        <v/>
      </c>
      <c r="T152" s="28" t="str">
        <f t="shared" si="28"/>
        <v/>
      </c>
      <c r="U152" s="28" t="str">
        <f t="shared" si="28"/>
        <v/>
      </c>
      <c r="V152" s="28" t="str">
        <f t="shared" si="28"/>
        <v/>
      </c>
      <c r="W152" s="28" t="str">
        <f t="shared" si="28"/>
        <v/>
      </c>
      <c r="X152" s="29" t="str">
        <f t="shared" si="28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17"/>
        <v/>
      </c>
      <c r="M153" s="19" t="str">
        <f t="shared" si="18"/>
        <v/>
      </c>
      <c r="N153" s="19" t="str">
        <f t="shared" si="19"/>
        <v/>
      </c>
      <c r="O153" s="19" t="str">
        <f t="shared" si="20"/>
        <v/>
      </c>
      <c r="P153" s="19" t="str">
        <f t="shared" si="21"/>
        <v/>
      </c>
      <c r="Q153" s="19" t="str">
        <f t="shared" si="22"/>
        <v/>
      </c>
      <c r="R153" s="19" t="str">
        <f t="shared" si="27"/>
        <v/>
      </c>
      <c r="S153" s="27" t="str">
        <f t="shared" si="28"/>
        <v/>
      </c>
      <c r="T153" s="28" t="str">
        <f t="shared" si="28"/>
        <v/>
      </c>
      <c r="U153" s="28" t="str">
        <f t="shared" si="28"/>
        <v/>
      </c>
      <c r="V153" s="28" t="str">
        <f t="shared" si="28"/>
        <v/>
      </c>
      <c r="W153" s="28" t="str">
        <f t="shared" si="28"/>
        <v/>
      </c>
      <c r="X153" s="29" t="str">
        <f t="shared" si="28"/>
        <v/>
      </c>
      <c r="Y153" s="24"/>
    </row>
  </sheetData>
  <sheetProtection selectLockedCells="1"/>
  <mergeCells count="38"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  <mergeCell ref="A1:J1"/>
    <mergeCell ref="E2:Q2"/>
    <mergeCell ref="R2:X4"/>
    <mergeCell ref="Y2:Y4"/>
    <mergeCell ref="E3:Q3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3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5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TZ-36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35"/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41855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55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41858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782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1040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55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43">
        <v>41858</v>
      </c>
      <c r="C16" s="14">
        <v>12.355</v>
      </c>
      <c r="D16" s="15">
        <v>6.9459999999999997</v>
      </c>
      <c r="E16" s="15">
        <v>8.0120000000000005</v>
      </c>
      <c r="F16" s="42"/>
      <c r="G16" s="42"/>
      <c r="H16" s="42"/>
      <c r="I16" s="41">
        <v>106.65600000000001</v>
      </c>
      <c r="J16" s="62">
        <v>1055</v>
      </c>
      <c r="K16" s="55">
        <f>IF(ISBLANK(J16),"",(J16-$J$8))</f>
        <v>15</v>
      </c>
      <c r="L16" s="19">
        <f t="shared" ref="L16:Q34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41859</v>
      </c>
      <c r="C17" s="25">
        <v>12.353999999999999</v>
      </c>
      <c r="D17" s="26">
        <v>6.944</v>
      </c>
      <c r="E17" s="26">
        <v>8.0109999999999992</v>
      </c>
      <c r="F17" s="16"/>
      <c r="G17" s="16"/>
      <c r="H17" s="16"/>
      <c r="I17" s="17">
        <v>106.655</v>
      </c>
      <c r="J17" s="58">
        <v>1059</v>
      </c>
      <c r="K17" s="18">
        <f t="shared" ref="K17:K28" si="2">IF(ISBLANK(J17),"",(J17-$J$8))</f>
        <v>19</v>
      </c>
      <c r="L17" s="19">
        <f t="shared" si="0"/>
        <v>-1.0000000000012221</v>
      </c>
      <c r="M17" s="19">
        <f t="shared" si="0"/>
        <v>-1.9999999999997797</v>
      </c>
      <c r="N17" s="19">
        <f t="shared" si="0"/>
        <v>-1.0000000000012221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3">IF(C17="","",((C17-C16)*1000)/($B17-$B16))</f>
        <v>-1.0000000000012221</v>
      </c>
      <c r="T17" s="28">
        <f t="shared" si="3"/>
        <v>-1.9999999999997797</v>
      </c>
      <c r="U17" s="28">
        <f t="shared" si="3"/>
        <v>-1.0000000000012221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41862</v>
      </c>
      <c r="C18" s="25">
        <v>12.353999999999999</v>
      </c>
      <c r="D18" s="26">
        <v>6.944</v>
      </c>
      <c r="E18" s="26">
        <v>8.0120000000000005</v>
      </c>
      <c r="F18" s="16"/>
      <c r="G18" s="16"/>
      <c r="H18" s="16"/>
      <c r="I18" s="17">
        <v>106.655</v>
      </c>
      <c r="J18" s="58">
        <v>1066</v>
      </c>
      <c r="K18" s="18">
        <f t="shared" si="2"/>
        <v>26</v>
      </c>
      <c r="L18" s="19">
        <f t="shared" si="0"/>
        <v>-1.0000000000012221</v>
      </c>
      <c r="M18" s="19">
        <f t="shared" si="0"/>
        <v>-1.9999999999997797</v>
      </c>
      <c r="N18" s="19">
        <f t="shared" si="0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3"/>
        <v>0</v>
      </c>
      <c r="T18" s="28">
        <f t="shared" si="3"/>
        <v>0</v>
      </c>
      <c r="U18" s="28">
        <f t="shared" si="3"/>
        <v>0.33333333333374071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41863</v>
      </c>
      <c r="C19" s="25">
        <v>12.353999999999999</v>
      </c>
      <c r="D19" s="26">
        <v>6.9429999999999996</v>
      </c>
      <c r="E19" s="26">
        <v>8.0109999999999992</v>
      </c>
      <c r="F19" s="16"/>
      <c r="G19" s="16"/>
      <c r="H19" s="16"/>
      <c r="I19" s="17">
        <v>106.655</v>
      </c>
      <c r="J19" s="58">
        <v>1074</v>
      </c>
      <c r="K19" s="18">
        <f t="shared" si="2"/>
        <v>34</v>
      </c>
      <c r="L19" s="19">
        <f t="shared" si="0"/>
        <v>-1.0000000000012221</v>
      </c>
      <c r="M19" s="19">
        <f t="shared" si="0"/>
        <v>-3.0000000000001137</v>
      </c>
      <c r="N19" s="19">
        <f t="shared" si="0"/>
        <v>-1.0000000000012221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3"/>
        <v>0</v>
      </c>
      <c r="T19" s="28">
        <f t="shared" si="3"/>
        <v>-1.000000000000334</v>
      </c>
      <c r="U19" s="28">
        <f t="shared" si="3"/>
        <v>-1.0000000000012221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41864</v>
      </c>
      <c r="C20" s="25">
        <v>12.353999999999999</v>
      </c>
      <c r="D20" s="26">
        <v>6.9429999999999996</v>
      </c>
      <c r="E20" s="26">
        <v>8.0109999999999992</v>
      </c>
      <c r="F20" s="16"/>
      <c r="G20" s="16"/>
      <c r="H20" s="16"/>
      <c r="I20" s="17">
        <v>106.654</v>
      </c>
      <c r="J20" s="58">
        <v>1082</v>
      </c>
      <c r="K20" s="18">
        <f t="shared" si="2"/>
        <v>42</v>
      </c>
      <c r="L20" s="19">
        <f t="shared" si="0"/>
        <v>-1.0000000000012221</v>
      </c>
      <c r="M20" s="19">
        <f t="shared" si="0"/>
        <v>-3.0000000000001137</v>
      </c>
      <c r="N20" s="19">
        <f t="shared" si="0"/>
        <v>-1.0000000000012221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-2.0000000000095497</v>
      </c>
      <c r="S20" s="27">
        <f t="shared" si="3"/>
        <v>0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41865</v>
      </c>
      <c r="C21" s="25">
        <v>12.353</v>
      </c>
      <c r="D21" s="26">
        <v>6.9429999999999996</v>
      </c>
      <c r="E21" s="26">
        <v>8.0109999999999992</v>
      </c>
      <c r="F21" s="16"/>
      <c r="G21" s="16"/>
      <c r="H21" s="16"/>
      <c r="I21" s="17">
        <v>106.654</v>
      </c>
      <c r="J21" s="58">
        <v>1090</v>
      </c>
      <c r="K21" s="18">
        <f t="shared" si="2"/>
        <v>50</v>
      </c>
      <c r="L21" s="19">
        <f t="shared" si="0"/>
        <v>-2.0000000000006679</v>
      </c>
      <c r="M21" s="19">
        <f t="shared" si="0"/>
        <v>-3.0000000000001137</v>
      </c>
      <c r="N21" s="19">
        <f t="shared" si="0"/>
        <v>-1.0000000000012221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-2.0000000000095497</v>
      </c>
      <c r="S21" s="27">
        <f t="shared" si="3"/>
        <v>-0.99999999999944578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41869</v>
      </c>
      <c r="C22" s="25">
        <v>12.353999999999999</v>
      </c>
      <c r="D22" s="26">
        <v>6.9429999999999996</v>
      </c>
      <c r="E22" s="26">
        <v>8.01</v>
      </c>
      <c r="F22" s="16"/>
      <c r="G22" s="16"/>
      <c r="H22" s="16"/>
      <c r="I22" s="17">
        <v>106.654</v>
      </c>
      <c r="J22" s="58">
        <v>1099</v>
      </c>
      <c r="K22" s="18">
        <f t="shared" si="2"/>
        <v>59</v>
      </c>
      <c r="L22" s="19">
        <f t="shared" si="0"/>
        <v>-1.0000000000012221</v>
      </c>
      <c r="M22" s="19">
        <f t="shared" si="0"/>
        <v>-3.0000000000001137</v>
      </c>
      <c r="N22" s="19">
        <f t="shared" si="0"/>
        <v>-2.0000000000006679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-2.0000000000095497</v>
      </c>
      <c r="S22" s="27">
        <f t="shared" si="3"/>
        <v>0.24999999999986144</v>
      </c>
      <c r="T22" s="28">
        <f t="shared" si="3"/>
        <v>0</v>
      </c>
      <c r="U22" s="28">
        <f t="shared" si="3"/>
        <v>-0.24999999999986144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41870</v>
      </c>
      <c r="C23" s="25">
        <v>12.353999999999999</v>
      </c>
      <c r="D23" s="26">
        <v>6.9429999999999996</v>
      </c>
      <c r="E23" s="26">
        <v>8.01</v>
      </c>
      <c r="F23" s="16"/>
      <c r="G23" s="16"/>
      <c r="H23" s="16"/>
      <c r="I23" s="17">
        <v>106.65300000000001</v>
      </c>
      <c r="J23" s="58">
        <v>1105</v>
      </c>
      <c r="K23" s="18">
        <f t="shared" si="2"/>
        <v>65</v>
      </c>
      <c r="L23" s="19">
        <f t="shared" si="0"/>
        <v>-1.0000000000012221</v>
      </c>
      <c r="M23" s="19">
        <f t="shared" si="0"/>
        <v>-3.0000000000001137</v>
      </c>
      <c r="N23" s="19">
        <f t="shared" si="0"/>
        <v>-2.0000000000006679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-3.0000000000001137</v>
      </c>
      <c r="S23" s="27">
        <f t="shared" si="3"/>
        <v>0</v>
      </c>
      <c r="T23" s="28">
        <f t="shared" si="3"/>
        <v>0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41871</v>
      </c>
      <c r="C24" s="25">
        <v>12.353</v>
      </c>
      <c r="D24" s="26">
        <v>6.9429999999999996</v>
      </c>
      <c r="E24" s="26">
        <v>8.01</v>
      </c>
      <c r="F24" s="16"/>
      <c r="G24" s="16"/>
      <c r="H24" s="16"/>
      <c r="I24" s="17">
        <v>106.65300000000001</v>
      </c>
      <c r="J24" s="58">
        <v>1111</v>
      </c>
      <c r="K24" s="18">
        <f t="shared" si="2"/>
        <v>71</v>
      </c>
      <c r="L24" s="19">
        <f t="shared" si="0"/>
        <v>-2.0000000000006679</v>
      </c>
      <c r="M24" s="19">
        <f t="shared" si="0"/>
        <v>-3.0000000000001137</v>
      </c>
      <c r="N24" s="19">
        <f t="shared" si="0"/>
        <v>-2.0000000000006679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-3.0000000000001137</v>
      </c>
      <c r="S24" s="27">
        <f t="shared" si="3"/>
        <v>-0.99999999999944578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41872</v>
      </c>
      <c r="C25" s="25">
        <v>12.353999999999999</v>
      </c>
      <c r="D25" s="26">
        <v>6.9420000000000002</v>
      </c>
      <c r="E25" s="26">
        <v>8.01</v>
      </c>
      <c r="F25" s="16"/>
      <c r="G25" s="16"/>
      <c r="H25" s="16"/>
      <c r="I25" s="17">
        <v>106.65300000000001</v>
      </c>
      <c r="J25" s="58">
        <v>1113</v>
      </c>
      <c r="K25" s="18">
        <f t="shared" si="2"/>
        <v>73</v>
      </c>
      <c r="L25" s="19">
        <f t="shared" si="0"/>
        <v>-1.0000000000012221</v>
      </c>
      <c r="M25" s="19">
        <f t="shared" si="0"/>
        <v>-3.9999999999995595</v>
      </c>
      <c r="N25" s="19">
        <f t="shared" si="0"/>
        <v>-2.0000000000006679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-3.0000000000001137</v>
      </c>
      <c r="S25" s="27">
        <f t="shared" si="3"/>
        <v>0.99999999999944578</v>
      </c>
      <c r="T25" s="28">
        <f t="shared" si="3"/>
        <v>-0.99999999999944578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41873</v>
      </c>
      <c r="C26" s="25">
        <v>12.353</v>
      </c>
      <c r="D26" s="26">
        <v>6.9420000000000002</v>
      </c>
      <c r="E26" s="26">
        <v>8.01</v>
      </c>
      <c r="F26" s="16"/>
      <c r="G26" s="16"/>
      <c r="H26" s="16"/>
      <c r="I26" s="17">
        <v>106.65300000000001</v>
      </c>
      <c r="J26" s="58">
        <v>1118</v>
      </c>
      <c r="K26" s="18">
        <f t="shared" si="2"/>
        <v>78</v>
      </c>
      <c r="L26" s="19">
        <f t="shared" si="0"/>
        <v>-2.0000000000006679</v>
      </c>
      <c r="M26" s="19">
        <f t="shared" si="0"/>
        <v>-3.9999999999995595</v>
      </c>
      <c r="N26" s="19">
        <f t="shared" si="0"/>
        <v>-2.0000000000006679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-3.0000000000001137</v>
      </c>
      <c r="S26" s="27">
        <f t="shared" si="3"/>
        <v>-0.99999999999944578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41876</v>
      </c>
      <c r="C27" s="25">
        <v>12.353</v>
      </c>
      <c r="D27" s="26">
        <v>6.9420000000000002</v>
      </c>
      <c r="E27" s="26">
        <v>8.01</v>
      </c>
      <c r="F27" s="16"/>
      <c r="G27" s="16"/>
      <c r="H27" s="16"/>
      <c r="I27" s="17">
        <v>106.65300000000001</v>
      </c>
      <c r="J27" s="32">
        <v>1130</v>
      </c>
      <c r="K27" s="18">
        <f t="shared" si="2"/>
        <v>90</v>
      </c>
      <c r="L27" s="19">
        <f t="shared" si="0"/>
        <v>-2.0000000000006679</v>
      </c>
      <c r="M27" s="19">
        <f t="shared" si="0"/>
        <v>-3.9999999999995595</v>
      </c>
      <c r="N27" s="19">
        <f t="shared" si="0"/>
        <v>-2.0000000000006679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-3.0000000000001137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41883</v>
      </c>
      <c r="C28" s="25">
        <v>12.353</v>
      </c>
      <c r="D28" s="26">
        <v>6.9420000000000002</v>
      </c>
      <c r="E28" s="26">
        <v>8.01</v>
      </c>
      <c r="F28" s="16"/>
      <c r="G28" s="16"/>
      <c r="H28" s="16"/>
      <c r="I28" s="17">
        <v>106.65300000000001</v>
      </c>
      <c r="J28" s="32">
        <v>1170</v>
      </c>
      <c r="K28" s="18">
        <f t="shared" si="2"/>
        <v>130</v>
      </c>
      <c r="L28" s="19">
        <f t="shared" si="0"/>
        <v>-2.0000000000006679</v>
      </c>
      <c r="M28" s="19">
        <f t="shared" si="0"/>
        <v>-3.9999999999995595</v>
      </c>
      <c r="N28" s="19">
        <f t="shared" si="0"/>
        <v>-2.0000000000006679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-3.0000000000001137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41890</v>
      </c>
      <c r="C29" s="25">
        <v>12.353</v>
      </c>
      <c r="D29" s="26">
        <v>6.9420000000000002</v>
      </c>
      <c r="E29" s="26">
        <v>8.01</v>
      </c>
      <c r="F29" s="16"/>
      <c r="G29" s="16"/>
      <c r="H29" s="16"/>
      <c r="I29" s="17">
        <v>106.652</v>
      </c>
      <c r="J29" s="58">
        <v>1177</v>
      </c>
      <c r="K29" s="18">
        <f>IF(ISBLANK(J29),"",(J29-$J$8))</f>
        <v>137</v>
      </c>
      <c r="L29" s="19">
        <f t="shared" si="0"/>
        <v>-2.0000000000006679</v>
      </c>
      <c r="M29" s="19">
        <f t="shared" si="0"/>
        <v>-3.9999999999995595</v>
      </c>
      <c r="N29" s="19">
        <f t="shared" si="0"/>
        <v>-2.0000000000006679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41897</v>
      </c>
      <c r="C30" s="25">
        <v>12.353999999999999</v>
      </c>
      <c r="D30" s="26">
        <v>6.9420000000000002</v>
      </c>
      <c r="E30" s="26">
        <v>8.0109999999999992</v>
      </c>
      <c r="F30" s="16"/>
      <c r="G30" s="16"/>
      <c r="H30" s="16"/>
      <c r="I30" s="17">
        <v>106.652</v>
      </c>
      <c r="J30" s="58">
        <v>1191</v>
      </c>
      <c r="K30" s="18">
        <f>IF(ISBLANK(J30),"",(J30-$J$8))</f>
        <v>151</v>
      </c>
      <c r="L30" s="19">
        <f t="shared" si="0"/>
        <v>-1.0000000000012221</v>
      </c>
      <c r="M30" s="19">
        <f t="shared" si="0"/>
        <v>-3.9999999999995595</v>
      </c>
      <c r="N30" s="19">
        <f t="shared" si="0"/>
        <v>-1.0000000000012221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-4.0000000000048885</v>
      </c>
      <c r="S30" s="27">
        <f t="shared" si="3"/>
        <v>0.14285714285706369</v>
      </c>
      <c r="T30" s="28">
        <f t="shared" si="3"/>
        <v>0</v>
      </c>
      <c r="U30" s="28">
        <f t="shared" si="3"/>
        <v>0.14285714285706369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41913</v>
      </c>
      <c r="C31" s="25">
        <v>12.353</v>
      </c>
      <c r="D31" s="26">
        <v>6.9409999999999998</v>
      </c>
      <c r="E31" s="26">
        <v>8.0109999999999992</v>
      </c>
      <c r="F31" s="16"/>
      <c r="G31" s="16"/>
      <c r="H31" s="16"/>
      <c r="I31" s="17">
        <v>106.652</v>
      </c>
      <c r="J31" s="58">
        <v>1277</v>
      </c>
      <c r="K31" s="18">
        <f>IF(ISBLANK(J31),"",(J31-$J$8))</f>
        <v>237</v>
      </c>
      <c r="L31" s="19">
        <f t="shared" si="0"/>
        <v>-2.0000000000006679</v>
      </c>
      <c r="M31" s="19">
        <f t="shared" si="0"/>
        <v>-4.9999999999998934</v>
      </c>
      <c r="N31" s="19">
        <f t="shared" si="0"/>
        <v>-1.0000000000012221</v>
      </c>
      <c r="O31" s="19" t="str">
        <f t="shared" si="0"/>
        <v/>
      </c>
      <c r="P31" s="19" t="str">
        <f t="shared" si="0"/>
        <v/>
      </c>
      <c r="Q31" s="19" t="str">
        <f t="shared" si="0"/>
        <v/>
      </c>
      <c r="R31" s="19">
        <f t="shared" si="1"/>
        <v>-4.0000000000048885</v>
      </c>
      <c r="S31" s="27">
        <f t="shared" si="3"/>
        <v>-6.2499999999965361E-2</v>
      </c>
      <c r="T31" s="28">
        <f t="shared" si="3"/>
        <v>-6.2500000000020872E-2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42032</v>
      </c>
      <c r="C32" s="25">
        <v>12.353</v>
      </c>
      <c r="D32" s="26">
        <v>6.9420000000000002</v>
      </c>
      <c r="E32" s="26">
        <v>8.0109999999999992</v>
      </c>
      <c r="F32" s="16"/>
      <c r="G32" s="16"/>
      <c r="H32" s="16"/>
      <c r="I32" s="17">
        <v>106.65300000000001</v>
      </c>
      <c r="J32" s="58">
        <v>1597</v>
      </c>
      <c r="K32" s="18">
        <f>IF(ISBLANK(J32),"",(J32-$J$8))</f>
        <v>557</v>
      </c>
      <c r="L32" s="19">
        <f t="shared" si="0"/>
        <v>-2.0000000000006679</v>
      </c>
      <c r="M32" s="19">
        <f t="shared" si="0"/>
        <v>-3.9999999999995595</v>
      </c>
      <c r="N32" s="19">
        <f t="shared" si="0"/>
        <v>-1.0000000000012221</v>
      </c>
      <c r="O32" s="19" t="str">
        <f t="shared" si="0"/>
        <v/>
      </c>
      <c r="P32" s="19" t="str">
        <f t="shared" si="0"/>
        <v/>
      </c>
      <c r="Q32" s="19" t="str">
        <f t="shared" si="0"/>
        <v/>
      </c>
      <c r="R32" s="19">
        <f t="shared" si="1"/>
        <v>-3.0000000000001137</v>
      </c>
      <c r="S32" s="27">
        <f t="shared" si="3"/>
        <v>0</v>
      </c>
      <c r="T32" s="28">
        <f t="shared" si="3"/>
        <v>8.4033613445406215E-3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42121</v>
      </c>
      <c r="C33" s="25">
        <v>12.353</v>
      </c>
      <c r="D33" s="26">
        <v>6.9420000000000002</v>
      </c>
      <c r="E33" s="26">
        <v>8.0109999999999992</v>
      </c>
      <c r="F33" s="16"/>
      <c r="G33" s="16"/>
      <c r="H33" s="16"/>
      <c r="I33" s="17">
        <v>106.652</v>
      </c>
      <c r="J33" s="58">
        <v>2011</v>
      </c>
      <c r="K33" s="18">
        <f>IF(ISBLANK(J33),"",(J33-$J$8))</f>
        <v>971</v>
      </c>
      <c r="L33" s="19">
        <f t="shared" si="0"/>
        <v>-2.0000000000006679</v>
      </c>
      <c r="M33" s="19">
        <f t="shared" si="0"/>
        <v>-3.9999999999995595</v>
      </c>
      <c r="N33" s="19">
        <f t="shared" si="0"/>
        <v>-1.0000000000012221</v>
      </c>
      <c r="O33" s="19" t="str">
        <f t="shared" si="0"/>
        <v/>
      </c>
      <c r="P33" s="19" t="str">
        <f t="shared" si="0"/>
        <v/>
      </c>
      <c r="Q33" s="19" t="str">
        <f t="shared" si="0"/>
        <v/>
      </c>
      <c r="R33" s="19">
        <f t="shared" si="1"/>
        <v>-4.0000000000048885</v>
      </c>
      <c r="S33" s="27">
        <f t="shared" ref="S33:X48" si="4">IF(C33="","",((C33-C32)*1000)/($B33-$B32))</f>
        <v>0</v>
      </c>
      <c r="T33" s="28">
        <f t="shared" si="4"/>
        <v>0</v>
      </c>
      <c r="U33" s="28">
        <f t="shared" si="4"/>
        <v>0</v>
      </c>
      <c r="V33" s="28" t="str">
        <f t="shared" si="4"/>
        <v/>
      </c>
      <c r="W33" s="28" t="str">
        <f t="shared" si="4"/>
        <v/>
      </c>
      <c r="X33" s="29" t="str">
        <f t="shared" si="4"/>
        <v/>
      </c>
      <c r="Y33" s="24"/>
    </row>
    <row r="34" spans="2:25" ht="15" customHeight="1" x14ac:dyDescent="0.2">
      <c r="B34" s="31">
        <v>42205</v>
      </c>
      <c r="C34" s="74">
        <v>12.388</v>
      </c>
      <c r="D34" s="26">
        <v>6.9420000000000002</v>
      </c>
      <c r="E34" s="70">
        <v>8.0820000000000007</v>
      </c>
      <c r="F34" s="16">
        <v>13.387</v>
      </c>
      <c r="G34" s="16">
        <v>9.6620000000000008</v>
      </c>
      <c r="H34" s="16">
        <v>10.449</v>
      </c>
      <c r="I34" s="17">
        <v>106.652</v>
      </c>
      <c r="J34" s="58">
        <v>1057</v>
      </c>
      <c r="K34" s="18">
        <f t="shared" ref="K34:K36" si="5">IF(ISBLANK(J34),"",(J34-$J$8))</f>
        <v>17</v>
      </c>
      <c r="L34" s="19">
        <f>IF(ISBLANK(C34),"",((C34-C$34)*1000)+L$33)</f>
        <v>-2.0000000000006679</v>
      </c>
      <c r="M34" s="19">
        <f t="shared" si="0"/>
        <v>-3.9999999999995595</v>
      </c>
      <c r="N34" s="19">
        <f>IF(ISBLANK(E34),"",(E34-E$34)*1000)</f>
        <v>0</v>
      </c>
      <c r="O34" s="19">
        <f>IF(ISBLANK(F34),"",((F34-F$34)*1000)+L$34)</f>
        <v>-2.0000000000006679</v>
      </c>
      <c r="P34" s="19">
        <f>IF(ISBLANK(G34),"",((G34-G$34)*1000)+M$34)</f>
        <v>-3.9999999999995595</v>
      </c>
      <c r="Q34" s="19">
        <f>IF(ISBLANK(H34),"",(H34-H$34)*1000)</f>
        <v>0</v>
      </c>
      <c r="R34" s="19">
        <f t="shared" si="1"/>
        <v>-4.0000000000048885</v>
      </c>
      <c r="S34" s="27">
        <f t="shared" si="4"/>
        <v>0.41666666666666835</v>
      </c>
      <c r="T34" s="28">
        <f t="shared" si="4"/>
        <v>0</v>
      </c>
      <c r="U34" s="28">
        <f t="shared" si="4"/>
        <v>0.84523809523811322</v>
      </c>
      <c r="V34" s="28"/>
      <c r="W34" s="28"/>
      <c r="X34" s="29"/>
      <c r="Y34" s="24" t="s">
        <v>53</v>
      </c>
    </row>
    <row r="35" spans="2:25" ht="15" customHeight="1" x14ac:dyDescent="0.2">
      <c r="B35" s="31">
        <v>42206</v>
      </c>
      <c r="C35" s="25">
        <v>12.388999999999999</v>
      </c>
      <c r="D35" s="26">
        <v>6.94</v>
      </c>
      <c r="E35" s="26">
        <v>8.0820000000000007</v>
      </c>
      <c r="F35" s="16">
        <v>13.387</v>
      </c>
      <c r="G35" s="16">
        <v>9.6609999999999996</v>
      </c>
      <c r="H35" s="16">
        <v>10.449</v>
      </c>
      <c r="I35" s="17">
        <v>106.651</v>
      </c>
      <c r="J35" s="58">
        <v>1081</v>
      </c>
      <c r="K35" s="18">
        <f t="shared" si="5"/>
        <v>41</v>
      </c>
      <c r="L35" s="19">
        <f t="shared" ref="L35:L98" si="6">IF(ISBLANK(C35),"",((C35-C$34)*1000)+L$33)</f>
        <v>-1.0000000000012221</v>
      </c>
      <c r="M35" s="19">
        <f t="shared" ref="M35:M98" si="7">IF(ISBLANK(D35),"",(D35-D$16)*1000)</f>
        <v>-5.9999999999993392</v>
      </c>
      <c r="N35" s="19">
        <f t="shared" ref="N35:N98" si="8">IF(ISBLANK(E35),"",(E35-E$34)*1000)</f>
        <v>0</v>
      </c>
      <c r="O35" s="19">
        <f t="shared" ref="O35:O98" si="9">IF(ISBLANK(F35),"",((F35-F$34)*1000)+L$34)</f>
        <v>-2.0000000000006679</v>
      </c>
      <c r="P35" s="19">
        <f t="shared" ref="P35:P98" si="10">IF(ISBLANK(G35),"",((G35-G$34)*1000)+M$34)</f>
        <v>-5.0000000000007816</v>
      </c>
      <c r="Q35" s="19">
        <f t="shared" ref="Q35:Q98" si="11">IF(ISBLANK(H35),"",(H35-H$34)*1000)</f>
        <v>0</v>
      </c>
      <c r="R35" s="19">
        <f t="shared" si="1"/>
        <v>-5.0000000000096634</v>
      </c>
      <c r="S35" s="27">
        <f t="shared" si="4"/>
        <v>0.99999999999944578</v>
      </c>
      <c r="T35" s="28">
        <f t="shared" si="4"/>
        <v>-1.9999999999997797</v>
      </c>
      <c r="U35" s="28">
        <f t="shared" si="4"/>
        <v>0</v>
      </c>
      <c r="V35" s="28">
        <f t="shared" si="4"/>
        <v>0</v>
      </c>
      <c r="W35" s="28">
        <f t="shared" si="4"/>
        <v>-1.0000000000012221</v>
      </c>
      <c r="X35" s="29">
        <f t="shared" si="4"/>
        <v>0</v>
      </c>
      <c r="Y35" s="24"/>
    </row>
    <row r="36" spans="2:25" ht="15" customHeight="1" x14ac:dyDescent="0.2">
      <c r="B36" s="31">
        <v>42209</v>
      </c>
      <c r="C36" s="25">
        <v>12.388999999999999</v>
      </c>
      <c r="D36" s="26">
        <v>6.94</v>
      </c>
      <c r="E36" s="26">
        <v>8.0820000000000007</v>
      </c>
      <c r="F36" s="16">
        <v>13.387</v>
      </c>
      <c r="G36" s="16">
        <v>9.6609999999999996</v>
      </c>
      <c r="H36" s="16">
        <v>10.448</v>
      </c>
      <c r="I36" s="17">
        <v>106.652</v>
      </c>
      <c r="J36" s="58">
        <v>1149</v>
      </c>
      <c r="K36" s="18">
        <f t="shared" si="5"/>
        <v>109</v>
      </c>
      <c r="L36" s="19">
        <f t="shared" si="6"/>
        <v>-1.0000000000012221</v>
      </c>
      <c r="M36" s="19">
        <f t="shared" si="7"/>
        <v>-5.9999999999993392</v>
      </c>
      <c r="N36" s="19">
        <f t="shared" si="8"/>
        <v>0</v>
      </c>
      <c r="O36" s="19">
        <f t="shared" si="9"/>
        <v>-2.0000000000006679</v>
      </c>
      <c r="P36" s="19">
        <f t="shared" si="10"/>
        <v>-5.0000000000007816</v>
      </c>
      <c r="Q36" s="19">
        <f t="shared" si="11"/>
        <v>-0.99999999999944578</v>
      </c>
      <c r="R36" s="19">
        <f t="shared" si="1"/>
        <v>-4.0000000000048885</v>
      </c>
      <c r="S36" s="27">
        <f t="shared" si="4"/>
        <v>0</v>
      </c>
      <c r="T36" s="28">
        <f t="shared" si="4"/>
        <v>0</v>
      </c>
      <c r="U36" s="28">
        <f t="shared" si="4"/>
        <v>0</v>
      </c>
      <c r="V36" s="28">
        <f t="shared" si="4"/>
        <v>0</v>
      </c>
      <c r="W36" s="28">
        <f t="shared" si="4"/>
        <v>0</v>
      </c>
      <c r="X36" s="29">
        <f t="shared" si="4"/>
        <v>-0.33333333333314857</v>
      </c>
      <c r="Y36" s="24"/>
    </row>
    <row r="37" spans="2:25" ht="15" customHeight="1" x14ac:dyDescent="0.2">
      <c r="B37" s="31">
        <v>42212</v>
      </c>
      <c r="C37" s="25">
        <v>12.388999999999999</v>
      </c>
      <c r="D37" s="26">
        <v>6.94</v>
      </c>
      <c r="E37" s="26">
        <v>8.0820000000000007</v>
      </c>
      <c r="F37" s="16">
        <v>13.385999999999999</v>
      </c>
      <c r="G37" s="16">
        <v>9.6609999999999996</v>
      </c>
      <c r="H37" s="16">
        <v>10.449</v>
      </c>
      <c r="I37" s="17">
        <v>106.652</v>
      </c>
      <c r="J37" s="58">
        <v>1175</v>
      </c>
      <c r="K37" s="18">
        <f t="shared" ref="K37:K39" si="12">IF(ISBLANK(J37),"",(J37-$J$8))</f>
        <v>135</v>
      </c>
      <c r="L37" s="19">
        <f t="shared" si="6"/>
        <v>-1.0000000000012221</v>
      </c>
      <c r="M37" s="19">
        <f t="shared" si="7"/>
        <v>-5.9999999999993392</v>
      </c>
      <c r="N37" s="19">
        <f t="shared" si="8"/>
        <v>0</v>
      </c>
      <c r="O37" s="19">
        <f t="shared" si="9"/>
        <v>-3.00000000000189</v>
      </c>
      <c r="P37" s="19">
        <f t="shared" si="10"/>
        <v>-5.0000000000007816</v>
      </c>
      <c r="Q37" s="19">
        <f t="shared" si="11"/>
        <v>0</v>
      </c>
      <c r="R37" s="19">
        <f t="shared" si="1"/>
        <v>-4.0000000000048885</v>
      </c>
      <c r="S37" s="27">
        <f t="shared" si="4"/>
        <v>0</v>
      </c>
      <c r="T37" s="28">
        <f t="shared" si="4"/>
        <v>0</v>
      </c>
      <c r="U37" s="28">
        <f t="shared" si="4"/>
        <v>0</v>
      </c>
      <c r="V37" s="28">
        <f t="shared" si="4"/>
        <v>-0.33333333333374071</v>
      </c>
      <c r="W37" s="28">
        <f t="shared" si="4"/>
        <v>0</v>
      </c>
      <c r="X37" s="29">
        <f t="shared" si="4"/>
        <v>0.33333333333314857</v>
      </c>
      <c r="Y37" s="24"/>
    </row>
    <row r="38" spans="2:25" ht="15" customHeight="1" x14ac:dyDescent="0.2">
      <c r="B38" s="31">
        <v>42213</v>
      </c>
      <c r="C38" s="25">
        <v>12.388999999999999</v>
      </c>
      <c r="D38" s="26">
        <v>6.94</v>
      </c>
      <c r="E38" s="26">
        <v>8.0820000000000007</v>
      </c>
      <c r="F38" s="16">
        <v>13.387</v>
      </c>
      <c r="G38" s="16">
        <v>9.6609999999999996</v>
      </c>
      <c r="H38" s="16">
        <v>10.449</v>
      </c>
      <c r="I38" s="17">
        <v>106.651</v>
      </c>
      <c r="J38" s="58">
        <v>1179</v>
      </c>
      <c r="K38" s="18">
        <f t="shared" si="12"/>
        <v>139</v>
      </c>
      <c r="L38" s="19">
        <f t="shared" si="6"/>
        <v>-1.0000000000012221</v>
      </c>
      <c r="M38" s="19">
        <f t="shared" si="7"/>
        <v>-5.9999999999993392</v>
      </c>
      <c r="N38" s="19">
        <f t="shared" si="8"/>
        <v>0</v>
      </c>
      <c r="O38" s="19">
        <f t="shared" si="9"/>
        <v>-2.0000000000006679</v>
      </c>
      <c r="P38" s="19">
        <f t="shared" si="10"/>
        <v>-5.0000000000007816</v>
      </c>
      <c r="Q38" s="19">
        <f t="shared" si="11"/>
        <v>0</v>
      </c>
      <c r="R38" s="19">
        <f t="shared" si="1"/>
        <v>-5.0000000000096634</v>
      </c>
      <c r="S38" s="27">
        <f t="shared" si="4"/>
        <v>0</v>
      </c>
      <c r="T38" s="28">
        <f t="shared" si="4"/>
        <v>0</v>
      </c>
      <c r="U38" s="28">
        <f t="shared" si="4"/>
        <v>0</v>
      </c>
      <c r="V38" s="28">
        <f t="shared" si="4"/>
        <v>1.0000000000012221</v>
      </c>
      <c r="W38" s="28">
        <f t="shared" si="4"/>
        <v>0</v>
      </c>
      <c r="X38" s="29">
        <f t="shared" si="4"/>
        <v>0</v>
      </c>
      <c r="Y38" s="24"/>
    </row>
    <row r="39" spans="2:25" ht="15" customHeight="1" x14ac:dyDescent="0.2">
      <c r="B39" s="31">
        <v>42214</v>
      </c>
      <c r="C39" s="25">
        <v>12.388999999999999</v>
      </c>
      <c r="D39" s="26">
        <v>6.9409999999999998</v>
      </c>
      <c r="E39" s="26">
        <v>8.0820000000000007</v>
      </c>
      <c r="F39" s="16">
        <v>13.387</v>
      </c>
      <c r="G39" s="16">
        <v>9.6620000000000008</v>
      </c>
      <c r="H39" s="16">
        <v>10.448</v>
      </c>
      <c r="I39" s="17">
        <v>106.652</v>
      </c>
      <c r="J39" s="58">
        <v>1183</v>
      </c>
      <c r="K39" s="18">
        <f t="shared" si="12"/>
        <v>143</v>
      </c>
      <c r="L39" s="19">
        <f t="shared" si="6"/>
        <v>-1.0000000000012221</v>
      </c>
      <c r="M39" s="19">
        <f t="shared" si="7"/>
        <v>-4.9999999999998934</v>
      </c>
      <c r="N39" s="19">
        <f t="shared" si="8"/>
        <v>0</v>
      </c>
      <c r="O39" s="19">
        <f t="shared" si="9"/>
        <v>-2.0000000000006679</v>
      </c>
      <c r="P39" s="19">
        <f t="shared" si="10"/>
        <v>-3.9999999999995595</v>
      </c>
      <c r="Q39" s="19">
        <f t="shared" si="11"/>
        <v>-0.99999999999944578</v>
      </c>
      <c r="R39" s="19">
        <f t="shared" si="1"/>
        <v>-4.0000000000048885</v>
      </c>
      <c r="S39" s="27">
        <f t="shared" si="4"/>
        <v>0</v>
      </c>
      <c r="T39" s="28">
        <f t="shared" si="4"/>
        <v>0.99999999999944578</v>
      </c>
      <c r="U39" s="28">
        <f t="shared" si="4"/>
        <v>0</v>
      </c>
      <c r="V39" s="28">
        <f t="shared" si="4"/>
        <v>0</v>
      </c>
      <c r="W39" s="28">
        <f t="shared" si="4"/>
        <v>1.0000000000012221</v>
      </c>
      <c r="X39" s="29">
        <f t="shared" si="4"/>
        <v>-0.99999999999944578</v>
      </c>
      <c r="Y39" s="24"/>
    </row>
    <row r="40" spans="2:25" ht="15" customHeight="1" x14ac:dyDescent="0.2">
      <c r="B40" s="31">
        <v>42215</v>
      </c>
      <c r="C40" s="25">
        <v>12.388</v>
      </c>
      <c r="D40" s="26">
        <v>6.9409999999999998</v>
      </c>
      <c r="E40" s="26">
        <v>8.0820000000000007</v>
      </c>
      <c r="F40" s="16">
        <v>13.385</v>
      </c>
      <c r="G40" s="16">
        <v>9.6609999999999996</v>
      </c>
      <c r="H40" s="16">
        <v>10.449</v>
      </c>
      <c r="I40" s="17">
        <v>106.652</v>
      </c>
      <c r="J40" s="58">
        <v>999</v>
      </c>
      <c r="K40" s="18">
        <f>IF(ISBLANK(J40),"",(J40-$J$8))</f>
        <v>-41</v>
      </c>
      <c r="L40" s="19">
        <f t="shared" si="6"/>
        <v>-2.0000000000006679</v>
      </c>
      <c r="M40" s="19">
        <f t="shared" si="7"/>
        <v>-4.9999999999998934</v>
      </c>
      <c r="N40" s="19">
        <f t="shared" si="8"/>
        <v>0</v>
      </c>
      <c r="O40" s="19">
        <f t="shared" si="9"/>
        <v>-4.0000000000013358</v>
      </c>
      <c r="P40" s="19">
        <f t="shared" si="10"/>
        <v>-5.0000000000007816</v>
      </c>
      <c r="Q40" s="19">
        <f t="shared" si="11"/>
        <v>0</v>
      </c>
      <c r="R40" s="19">
        <f t="shared" si="1"/>
        <v>-4.0000000000048885</v>
      </c>
      <c r="S40" s="27">
        <f t="shared" si="4"/>
        <v>-0.99999999999944578</v>
      </c>
      <c r="T40" s="28">
        <f t="shared" si="4"/>
        <v>0</v>
      </c>
      <c r="U40" s="28">
        <f t="shared" si="4"/>
        <v>0</v>
      </c>
      <c r="V40" s="28">
        <f t="shared" si="4"/>
        <v>-2.0000000000006679</v>
      </c>
      <c r="W40" s="28">
        <f t="shared" si="4"/>
        <v>-1.0000000000012221</v>
      </c>
      <c r="X40" s="29">
        <f t="shared" si="4"/>
        <v>0.99999999999944578</v>
      </c>
      <c r="Y40" s="24"/>
    </row>
    <row r="41" spans="2:25" ht="15" customHeight="1" x14ac:dyDescent="0.2">
      <c r="B41" s="31">
        <v>42219</v>
      </c>
      <c r="C41" s="25">
        <v>12.388999999999999</v>
      </c>
      <c r="D41" s="26">
        <v>6.94</v>
      </c>
      <c r="E41" s="26">
        <v>8.0820000000000007</v>
      </c>
      <c r="F41" s="16">
        <v>13.385999999999999</v>
      </c>
      <c r="G41" s="16">
        <v>9.6609999999999996</v>
      </c>
      <c r="H41" s="16">
        <v>10.449</v>
      </c>
      <c r="I41" s="17">
        <v>106.652</v>
      </c>
      <c r="J41" s="58">
        <v>1206</v>
      </c>
      <c r="K41" s="18">
        <f>IF(ISBLANK(J41),"",(J41-$J$8))</f>
        <v>166</v>
      </c>
      <c r="L41" s="19">
        <f t="shared" si="6"/>
        <v>-1.0000000000012221</v>
      </c>
      <c r="M41" s="19">
        <f t="shared" si="7"/>
        <v>-5.9999999999993392</v>
      </c>
      <c r="N41" s="19">
        <f t="shared" si="8"/>
        <v>0</v>
      </c>
      <c r="O41" s="19">
        <f t="shared" si="9"/>
        <v>-3.00000000000189</v>
      </c>
      <c r="P41" s="19">
        <f t="shared" si="10"/>
        <v>-5.0000000000007816</v>
      </c>
      <c r="Q41" s="19">
        <f t="shared" si="11"/>
        <v>0</v>
      </c>
      <c r="R41" s="19">
        <f t="shared" si="1"/>
        <v>-4.0000000000048885</v>
      </c>
      <c r="S41" s="27">
        <f t="shared" si="4"/>
        <v>0.24999999999986144</v>
      </c>
      <c r="T41" s="28">
        <f t="shared" si="4"/>
        <v>-0.24999999999986144</v>
      </c>
      <c r="U41" s="28">
        <f t="shared" si="4"/>
        <v>0</v>
      </c>
      <c r="V41" s="28">
        <f t="shared" si="4"/>
        <v>0.24999999999986144</v>
      </c>
      <c r="W41" s="28">
        <f t="shared" si="4"/>
        <v>0</v>
      </c>
      <c r="X41" s="29">
        <f t="shared" si="4"/>
        <v>0</v>
      </c>
      <c r="Y41" s="24"/>
    </row>
    <row r="42" spans="2:25" ht="15" customHeight="1" x14ac:dyDescent="0.2">
      <c r="B42" s="31">
        <v>42311</v>
      </c>
      <c r="C42" s="25">
        <v>12.388</v>
      </c>
      <c r="D42" s="26">
        <v>6.94</v>
      </c>
      <c r="E42" s="26">
        <v>8.0820000000000007</v>
      </c>
      <c r="F42" s="16">
        <v>13.385999999999999</v>
      </c>
      <c r="G42" s="16">
        <v>9.6609999999999996</v>
      </c>
      <c r="H42" s="16">
        <v>10.449</v>
      </c>
      <c r="I42" s="17">
        <v>106.652</v>
      </c>
      <c r="J42" s="58">
        <v>2203</v>
      </c>
      <c r="K42" s="59">
        <f t="shared" ref="K42:K44" si="13">IF(ISBLANK(J42),"",(J42-$J$8))</f>
        <v>1163</v>
      </c>
      <c r="L42" s="19">
        <f t="shared" si="6"/>
        <v>-2.0000000000006679</v>
      </c>
      <c r="M42" s="19">
        <f t="shared" si="7"/>
        <v>-5.9999999999993392</v>
      </c>
      <c r="N42" s="19">
        <f t="shared" si="8"/>
        <v>0</v>
      </c>
      <c r="O42" s="19">
        <f t="shared" si="9"/>
        <v>-3.00000000000189</v>
      </c>
      <c r="P42" s="19">
        <f t="shared" si="10"/>
        <v>-5.0000000000007816</v>
      </c>
      <c r="Q42" s="19">
        <f t="shared" si="11"/>
        <v>0</v>
      </c>
      <c r="R42" s="19">
        <f t="shared" si="1"/>
        <v>-4.0000000000048885</v>
      </c>
      <c r="S42" s="27">
        <f t="shared" si="4"/>
        <v>-1.0869565217385279E-2</v>
      </c>
      <c r="T42" s="28">
        <f t="shared" si="4"/>
        <v>0</v>
      </c>
      <c r="U42" s="28">
        <f t="shared" si="4"/>
        <v>0</v>
      </c>
      <c r="V42" s="28">
        <f t="shared" si="4"/>
        <v>0</v>
      </c>
      <c r="W42" s="28">
        <f t="shared" si="4"/>
        <v>0</v>
      </c>
      <c r="X42" s="29">
        <f t="shared" si="4"/>
        <v>0</v>
      </c>
      <c r="Y42" s="24"/>
    </row>
    <row r="43" spans="2:25" ht="15" customHeight="1" x14ac:dyDescent="0.2">
      <c r="B43" s="31">
        <v>42404</v>
      </c>
      <c r="C43" s="33"/>
      <c r="D43" s="16"/>
      <c r="E43" s="16"/>
      <c r="F43" s="16">
        <v>13.387</v>
      </c>
      <c r="G43" s="16">
        <v>9.6620000000000008</v>
      </c>
      <c r="H43" s="16">
        <v>10.449</v>
      </c>
      <c r="I43" s="17">
        <v>106.652</v>
      </c>
      <c r="J43" s="58">
        <v>2484</v>
      </c>
      <c r="K43" s="18">
        <f t="shared" si="13"/>
        <v>1444</v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>
        <f t="shared" si="9"/>
        <v>-2.0000000000006679</v>
      </c>
      <c r="P43" s="19">
        <f t="shared" si="10"/>
        <v>-3.9999999999995595</v>
      </c>
      <c r="Q43" s="19">
        <f t="shared" si="11"/>
        <v>0</v>
      </c>
      <c r="R43" s="19">
        <f t="shared" si="1"/>
        <v>-4.0000000000048885</v>
      </c>
      <c r="S43" s="27" t="str">
        <f t="shared" si="4"/>
        <v/>
      </c>
      <c r="T43" s="28" t="str">
        <f t="shared" si="4"/>
        <v/>
      </c>
      <c r="U43" s="28" t="str">
        <f t="shared" si="4"/>
        <v/>
      </c>
      <c r="V43" s="28">
        <f t="shared" si="4"/>
        <v>1.0752688172056152E-2</v>
      </c>
      <c r="W43" s="28">
        <f t="shared" si="4"/>
        <v>1.0752688172056152E-2</v>
      </c>
      <c r="X43" s="29">
        <f t="shared" si="4"/>
        <v>0</v>
      </c>
      <c r="Y43" s="24"/>
    </row>
    <row r="44" spans="2:25" ht="15" customHeight="1" x14ac:dyDescent="0.2">
      <c r="B44" s="31">
        <v>42530</v>
      </c>
      <c r="C44" s="26"/>
      <c r="D44" s="26"/>
      <c r="E44" s="26"/>
      <c r="F44" s="16">
        <v>13.387</v>
      </c>
      <c r="G44" s="16">
        <v>9.6609999999999996</v>
      </c>
      <c r="H44" s="16">
        <v>10.45</v>
      </c>
      <c r="I44" s="17">
        <v>106.651</v>
      </c>
      <c r="J44" s="58">
        <v>2608</v>
      </c>
      <c r="K44" s="18">
        <f t="shared" si="13"/>
        <v>1568</v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>
        <f t="shared" si="9"/>
        <v>-2.0000000000006679</v>
      </c>
      <c r="P44" s="19">
        <f t="shared" si="10"/>
        <v>-5.0000000000007816</v>
      </c>
      <c r="Q44" s="19">
        <f t="shared" si="11"/>
        <v>0.99999999999944578</v>
      </c>
      <c r="R44" s="19">
        <f t="shared" si="1"/>
        <v>-5.0000000000096634</v>
      </c>
      <c r="S44" s="27" t="str">
        <f t="shared" si="4"/>
        <v/>
      </c>
      <c r="T44" s="28" t="str">
        <f t="shared" si="4"/>
        <v/>
      </c>
      <c r="U44" s="28" t="str">
        <f t="shared" si="4"/>
        <v/>
      </c>
      <c r="V44" s="28">
        <f t="shared" si="4"/>
        <v>0</v>
      </c>
      <c r="W44" s="28">
        <f t="shared" si="4"/>
        <v>-7.9365079365176366E-3</v>
      </c>
      <c r="X44" s="29">
        <f t="shared" si="4"/>
        <v>7.9365079365035385E-3</v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6"/>
        <v/>
      </c>
      <c r="M45" s="19" t="str">
        <f t="shared" si="7"/>
        <v/>
      </c>
      <c r="N45" s="19" t="str">
        <f t="shared" si="8"/>
        <v/>
      </c>
      <c r="O45" s="19" t="str">
        <f t="shared" si="9"/>
        <v/>
      </c>
      <c r="P45" s="19" t="str">
        <f t="shared" si="10"/>
        <v/>
      </c>
      <c r="Q45" s="19" t="str">
        <f t="shared" si="11"/>
        <v/>
      </c>
      <c r="R45" s="19" t="str">
        <f t="shared" si="1"/>
        <v/>
      </c>
      <c r="S45" s="27" t="str">
        <f t="shared" si="4"/>
        <v/>
      </c>
      <c r="T45" s="28" t="str">
        <f t="shared" si="4"/>
        <v/>
      </c>
      <c r="U45" s="28" t="str">
        <f t="shared" si="4"/>
        <v/>
      </c>
      <c r="V45" s="28" t="str">
        <f t="shared" si="4"/>
        <v/>
      </c>
      <c r="W45" s="28" t="str">
        <f t="shared" si="4"/>
        <v/>
      </c>
      <c r="X45" s="29" t="str">
        <f t="shared" si="4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6"/>
        <v/>
      </c>
      <c r="M46" s="19" t="str">
        <f t="shared" si="7"/>
        <v/>
      </c>
      <c r="N46" s="19" t="str">
        <f t="shared" si="8"/>
        <v/>
      </c>
      <c r="O46" s="19" t="str">
        <f t="shared" si="9"/>
        <v/>
      </c>
      <c r="P46" s="19" t="str">
        <f t="shared" si="10"/>
        <v/>
      </c>
      <c r="Q46" s="19" t="str">
        <f t="shared" si="11"/>
        <v/>
      </c>
      <c r="R46" s="19" t="str">
        <f t="shared" si="1"/>
        <v/>
      </c>
      <c r="S46" s="27" t="str">
        <f t="shared" si="4"/>
        <v/>
      </c>
      <c r="T46" s="28" t="str">
        <f t="shared" si="4"/>
        <v/>
      </c>
      <c r="U46" s="28" t="str">
        <f t="shared" si="4"/>
        <v/>
      </c>
      <c r="V46" s="28" t="str">
        <f t="shared" si="4"/>
        <v/>
      </c>
      <c r="W46" s="28" t="str">
        <f t="shared" si="4"/>
        <v/>
      </c>
      <c r="X46" s="29" t="str">
        <f t="shared" si="4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 t="str">
        <f t="shared" si="9"/>
        <v/>
      </c>
      <c r="P47" s="19" t="str">
        <f t="shared" si="10"/>
        <v/>
      </c>
      <c r="Q47" s="19" t="str">
        <f t="shared" si="11"/>
        <v/>
      </c>
      <c r="R47" s="19" t="str">
        <f t="shared" si="1"/>
        <v/>
      </c>
      <c r="S47" s="27" t="str">
        <f t="shared" si="4"/>
        <v/>
      </c>
      <c r="T47" s="28" t="str">
        <f t="shared" si="4"/>
        <v/>
      </c>
      <c r="U47" s="28" t="str">
        <f t="shared" si="4"/>
        <v/>
      </c>
      <c r="V47" s="28" t="str">
        <f t="shared" si="4"/>
        <v/>
      </c>
      <c r="W47" s="28" t="str">
        <f t="shared" si="4"/>
        <v/>
      </c>
      <c r="X47" s="29" t="str">
        <f t="shared" si="4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 t="str">
        <f t="shared" si="9"/>
        <v/>
      </c>
      <c r="P48" s="19" t="str">
        <f t="shared" si="10"/>
        <v/>
      </c>
      <c r="Q48" s="19" t="str">
        <f t="shared" si="11"/>
        <v/>
      </c>
      <c r="R48" s="19" t="str">
        <f t="shared" si="1"/>
        <v/>
      </c>
      <c r="S48" s="27" t="str">
        <f t="shared" si="4"/>
        <v/>
      </c>
      <c r="T48" s="28" t="str">
        <f t="shared" si="4"/>
        <v/>
      </c>
      <c r="U48" s="28" t="str">
        <f t="shared" si="4"/>
        <v/>
      </c>
      <c r="V48" s="28" t="str">
        <f t="shared" si="4"/>
        <v/>
      </c>
      <c r="W48" s="28" t="str">
        <f t="shared" si="4"/>
        <v/>
      </c>
      <c r="X48" s="29" t="str">
        <f t="shared" si="4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 t="str">
        <f t="shared" si="9"/>
        <v/>
      </c>
      <c r="P49" s="19" t="str">
        <f t="shared" si="10"/>
        <v/>
      </c>
      <c r="Q49" s="19" t="str">
        <f t="shared" si="11"/>
        <v/>
      </c>
      <c r="R49" s="19" t="str">
        <f t="shared" si="1"/>
        <v/>
      </c>
      <c r="S49" s="27" t="str">
        <f t="shared" ref="S49:X64" si="14">IF(C49="","",((C49-C48)*1000)/($B49-$B48))</f>
        <v/>
      </c>
      <c r="T49" s="28" t="str">
        <f t="shared" si="14"/>
        <v/>
      </c>
      <c r="U49" s="28" t="str">
        <f t="shared" si="14"/>
        <v/>
      </c>
      <c r="V49" s="28" t="str">
        <f t="shared" si="14"/>
        <v/>
      </c>
      <c r="W49" s="28" t="str">
        <f t="shared" si="14"/>
        <v/>
      </c>
      <c r="X49" s="29" t="str">
        <f t="shared" si="14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6"/>
        <v/>
      </c>
      <c r="M50" s="19" t="str">
        <f t="shared" si="7"/>
        <v/>
      </c>
      <c r="N50" s="19" t="str">
        <f t="shared" si="8"/>
        <v/>
      </c>
      <c r="O50" s="19" t="str">
        <f t="shared" si="9"/>
        <v/>
      </c>
      <c r="P50" s="19" t="str">
        <f t="shared" si="10"/>
        <v/>
      </c>
      <c r="Q50" s="19" t="str">
        <f t="shared" si="11"/>
        <v/>
      </c>
      <c r="R50" s="19" t="str">
        <f t="shared" si="1"/>
        <v/>
      </c>
      <c r="S50" s="27" t="str">
        <f t="shared" si="14"/>
        <v/>
      </c>
      <c r="T50" s="28" t="str">
        <f t="shared" si="14"/>
        <v/>
      </c>
      <c r="U50" s="28" t="str">
        <f t="shared" si="14"/>
        <v/>
      </c>
      <c r="V50" s="28" t="str">
        <f t="shared" si="14"/>
        <v/>
      </c>
      <c r="W50" s="28" t="str">
        <f t="shared" si="14"/>
        <v/>
      </c>
      <c r="X50" s="29" t="str">
        <f t="shared" si="14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 t="str">
        <f t="shared" si="9"/>
        <v/>
      </c>
      <c r="P51" s="19" t="str">
        <f t="shared" si="10"/>
        <v/>
      </c>
      <c r="Q51" s="19" t="str">
        <f t="shared" si="11"/>
        <v/>
      </c>
      <c r="R51" s="19" t="str">
        <f t="shared" si="1"/>
        <v/>
      </c>
      <c r="S51" s="27" t="str">
        <f t="shared" si="14"/>
        <v/>
      </c>
      <c r="T51" s="28" t="str">
        <f t="shared" si="14"/>
        <v/>
      </c>
      <c r="U51" s="28" t="str">
        <f t="shared" si="14"/>
        <v/>
      </c>
      <c r="V51" s="28" t="str">
        <f t="shared" si="14"/>
        <v/>
      </c>
      <c r="W51" s="28" t="str">
        <f t="shared" si="14"/>
        <v/>
      </c>
      <c r="X51" s="29" t="str">
        <f t="shared" si="14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9"/>
        <v/>
      </c>
      <c r="P52" s="19" t="str">
        <f t="shared" si="10"/>
        <v/>
      </c>
      <c r="Q52" s="19" t="str">
        <f t="shared" si="11"/>
        <v/>
      </c>
      <c r="R52" s="19" t="str">
        <f t="shared" si="1"/>
        <v/>
      </c>
      <c r="S52" s="27" t="str">
        <f t="shared" si="14"/>
        <v/>
      </c>
      <c r="T52" s="28" t="str">
        <f t="shared" si="14"/>
        <v/>
      </c>
      <c r="U52" s="28" t="str">
        <f t="shared" si="14"/>
        <v/>
      </c>
      <c r="V52" s="28" t="str">
        <f t="shared" si="14"/>
        <v/>
      </c>
      <c r="W52" s="28" t="str">
        <f t="shared" si="14"/>
        <v/>
      </c>
      <c r="X52" s="29" t="str">
        <f t="shared" si="14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9"/>
        <v/>
      </c>
      <c r="P53" s="19" t="str">
        <f t="shared" si="10"/>
        <v/>
      </c>
      <c r="Q53" s="19" t="str">
        <f t="shared" si="11"/>
        <v/>
      </c>
      <c r="R53" s="19" t="str">
        <f t="shared" si="1"/>
        <v/>
      </c>
      <c r="S53" s="27" t="str">
        <f t="shared" si="14"/>
        <v/>
      </c>
      <c r="T53" s="28" t="str">
        <f t="shared" si="14"/>
        <v/>
      </c>
      <c r="U53" s="28" t="str">
        <f t="shared" si="14"/>
        <v/>
      </c>
      <c r="V53" s="28" t="str">
        <f t="shared" si="14"/>
        <v/>
      </c>
      <c r="W53" s="28" t="str">
        <f t="shared" si="14"/>
        <v/>
      </c>
      <c r="X53" s="29" t="str">
        <f t="shared" si="14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9"/>
        <v/>
      </c>
      <c r="P54" s="19" t="str">
        <f t="shared" si="10"/>
        <v/>
      </c>
      <c r="Q54" s="19" t="str">
        <f t="shared" si="11"/>
        <v/>
      </c>
      <c r="R54" s="19" t="str">
        <f t="shared" si="1"/>
        <v/>
      </c>
      <c r="S54" s="27" t="str">
        <f t="shared" si="14"/>
        <v/>
      </c>
      <c r="T54" s="28" t="str">
        <f t="shared" si="14"/>
        <v/>
      </c>
      <c r="U54" s="28" t="str">
        <f t="shared" si="14"/>
        <v/>
      </c>
      <c r="V54" s="28" t="str">
        <f t="shared" si="14"/>
        <v/>
      </c>
      <c r="W54" s="28" t="str">
        <f t="shared" si="14"/>
        <v/>
      </c>
      <c r="X54" s="29" t="str">
        <f t="shared" si="14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9"/>
        <v/>
      </c>
      <c r="P55" s="19" t="str">
        <f t="shared" si="10"/>
        <v/>
      </c>
      <c r="Q55" s="19" t="str">
        <f t="shared" si="11"/>
        <v/>
      </c>
      <c r="R55" s="19" t="str">
        <f t="shared" si="1"/>
        <v/>
      </c>
      <c r="S55" s="27" t="str">
        <f t="shared" si="14"/>
        <v/>
      </c>
      <c r="T55" s="28" t="str">
        <f t="shared" si="14"/>
        <v/>
      </c>
      <c r="U55" s="28" t="str">
        <f t="shared" si="14"/>
        <v/>
      </c>
      <c r="V55" s="28" t="str">
        <f t="shared" si="14"/>
        <v/>
      </c>
      <c r="W55" s="28" t="str">
        <f t="shared" si="14"/>
        <v/>
      </c>
      <c r="X55" s="29" t="str">
        <f t="shared" si="14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9"/>
        <v/>
      </c>
      <c r="P56" s="19" t="str">
        <f t="shared" si="10"/>
        <v/>
      </c>
      <c r="Q56" s="19" t="str">
        <f t="shared" si="11"/>
        <v/>
      </c>
      <c r="R56" s="19" t="str">
        <f t="shared" si="1"/>
        <v/>
      </c>
      <c r="S56" s="27" t="str">
        <f t="shared" si="14"/>
        <v/>
      </c>
      <c r="T56" s="28" t="str">
        <f t="shared" si="14"/>
        <v/>
      </c>
      <c r="U56" s="28" t="str">
        <f t="shared" si="14"/>
        <v/>
      </c>
      <c r="V56" s="28" t="str">
        <f t="shared" si="14"/>
        <v/>
      </c>
      <c r="W56" s="28" t="str">
        <f t="shared" si="14"/>
        <v/>
      </c>
      <c r="X56" s="29" t="str">
        <f t="shared" si="14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9"/>
        <v/>
      </c>
      <c r="P57" s="19" t="str">
        <f t="shared" si="10"/>
        <v/>
      </c>
      <c r="Q57" s="19" t="str">
        <f t="shared" si="11"/>
        <v/>
      </c>
      <c r="R57" s="19" t="str">
        <f t="shared" si="1"/>
        <v/>
      </c>
      <c r="S57" s="27" t="str">
        <f t="shared" si="14"/>
        <v/>
      </c>
      <c r="T57" s="28" t="str">
        <f t="shared" si="14"/>
        <v/>
      </c>
      <c r="U57" s="28" t="str">
        <f t="shared" si="14"/>
        <v/>
      </c>
      <c r="V57" s="28" t="str">
        <f t="shared" si="14"/>
        <v/>
      </c>
      <c r="W57" s="28" t="str">
        <f t="shared" si="14"/>
        <v/>
      </c>
      <c r="X57" s="29" t="str">
        <f t="shared" si="14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9"/>
        <v/>
      </c>
      <c r="P58" s="19" t="str">
        <f t="shared" si="10"/>
        <v/>
      </c>
      <c r="Q58" s="19" t="str">
        <f t="shared" si="11"/>
        <v/>
      </c>
      <c r="R58" s="19" t="str">
        <f t="shared" si="1"/>
        <v/>
      </c>
      <c r="S58" s="27" t="str">
        <f t="shared" si="14"/>
        <v/>
      </c>
      <c r="T58" s="28" t="str">
        <f t="shared" si="14"/>
        <v/>
      </c>
      <c r="U58" s="28" t="str">
        <f t="shared" si="14"/>
        <v/>
      </c>
      <c r="V58" s="28" t="str">
        <f t="shared" si="14"/>
        <v/>
      </c>
      <c r="W58" s="28" t="str">
        <f t="shared" si="14"/>
        <v/>
      </c>
      <c r="X58" s="29" t="str">
        <f t="shared" si="14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9"/>
        <v/>
      </c>
      <c r="P59" s="19" t="str">
        <f t="shared" si="10"/>
        <v/>
      </c>
      <c r="Q59" s="19" t="str">
        <f t="shared" si="11"/>
        <v/>
      </c>
      <c r="R59" s="19" t="str">
        <f t="shared" si="1"/>
        <v/>
      </c>
      <c r="S59" s="27" t="str">
        <f t="shared" si="14"/>
        <v/>
      </c>
      <c r="T59" s="28" t="str">
        <f t="shared" si="14"/>
        <v/>
      </c>
      <c r="U59" s="28" t="str">
        <f t="shared" si="14"/>
        <v/>
      </c>
      <c r="V59" s="28" t="str">
        <f t="shared" si="14"/>
        <v/>
      </c>
      <c r="W59" s="28" t="str">
        <f t="shared" si="14"/>
        <v/>
      </c>
      <c r="X59" s="29" t="str">
        <f t="shared" si="14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9"/>
        <v/>
      </c>
      <c r="P60" s="19" t="str">
        <f t="shared" si="10"/>
        <v/>
      </c>
      <c r="Q60" s="19" t="str">
        <f t="shared" si="11"/>
        <v/>
      </c>
      <c r="R60" s="19" t="str">
        <f t="shared" si="1"/>
        <v/>
      </c>
      <c r="S60" s="27" t="str">
        <f t="shared" si="14"/>
        <v/>
      </c>
      <c r="T60" s="28" t="str">
        <f t="shared" si="14"/>
        <v/>
      </c>
      <c r="U60" s="28" t="str">
        <f t="shared" si="14"/>
        <v/>
      </c>
      <c r="V60" s="28" t="str">
        <f t="shared" si="14"/>
        <v/>
      </c>
      <c r="W60" s="28" t="str">
        <f t="shared" si="14"/>
        <v/>
      </c>
      <c r="X60" s="29" t="str">
        <f t="shared" si="14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9"/>
        <v/>
      </c>
      <c r="P61" s="19" t="str">
        <f t="shared" si="10"/>
        <v/>
      </c>
      <c r="Q61" s="19" t="str">
        <f t="shared" si="11"/>
        <v/>
      </c>
      <c r="R61" s="19" t="str">
        <f t="shared" si="1"/>
        <v/>
      </c>
      <c r="S61" s="27" t="str">
        <f t="shared" si="14"/>
        <v/>
      </c>
      <c r="T61" s="28" t="str">
        <f t="shared" si="14"/>
        <v/>
      </c>
      <c r="U61" s="28" t="str">
        <f t="shared" si="14"/>
        <v/>
      </c>
      <c r="V61" s="28" t="str">
        <f t="shared" si="14"/>
        <v/>
      </c>
      <c r="W61" s="28" t="str">
        <f t="shared" si="14"/>
        <v/>
      </c>
      <c r="X61" s="29" t="str">
        <f t="shared" si="14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9"/>
        <v/>
      </c>
      <c r="P62" s="19" t="str">
        <f t="shared" si="10"/>
        <v/>
      </c>
      <c r="Q62" s="19" t="str">
        <f t="shared" si="11"/>
        <v/>
      </c>
      <c r="R62" s="19" t="str">
        <f t="shared" si="1"/>
        <v/>
      </c>
      <c r="S62" s="27" t="str">
        <f t="shared" si="14"/>
        <v/>
      </c>
      <c r="T62" s="28" t="str">
        <f t="shared" si="14"/>
        <v/>
      </c>
      <c r="U62" s="28" t="str">
        <f t="shared" si="14"/>
        <v/>
      </c>
      <c r="V62" s="28" t="str">
        <f t="shared" si="14"/>
        <v/>
      </c>
      <c r="W62" s="28" t="str">
        <f t="shared" si="14"/>
        <v/>
      </c>
      <c r="X62" s="29" t="str">
        <f t="shared" si="14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6"/>
        <v/>
      </c>
      <c r="M63" s="19" t="str">
        <f t="shared" si="7"/>
        <v/>
      </c>
      <c r="N63" s="19" t="str">
        <f t="shared" si="8"/>
        <v/>
      </c>
      <c r="O63" s="19" t="str">
        <f t="shared" si="9"/>
        <v/>
      </c>
      <c r="P63" s="19" t="str">
        <f t="shared" si="10"/>
        <v/>
      </c>
      <c r="Q63" s="19" t="str">
        <f t="shared" si="11"/>
        <v/>
      </c>
      <c r="R63" s="19" t="str">
        <f t="shared" si="1"/>
        <v/>
      </c>
      <c r="S63" s="27" t="str">
        <f t="shared" si="14"/>
        <v/>
      </c>
      <c r="T63" s="28" t="str">
        <f t="shared" si="14"/>
        <v/>
      </c>
      <c r="U63" s="28" t="str">
        <f t="shared" si="14"/>
        <v/>
      </c>
      <c r="V63" s="28" t="str">
        <f t="shared" si="14"/>
        <v/>
      </c>
      <c r="W63" s="28" t="str">
        <f t="shared" si="14"/>
        <v/>
      </c>
      <c r="X63" s="29" t="str">
        <f t="shared" si="14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6"/>
        <v/>
      </c>
      <c r="M64" s="19" t="str">
        <f t="shared" si="7"/>
        <v/>
      </c>
      <c r="N64" s="19" t="str">
        <f t="shared" si="8"/>
        <v/>
      </c>
      <c r="O64" s="19" t="str">
        <f t="shared" si="9"/>
        <v/>
      </c>
      <c r="P64" s="19" t="str">
        <f t="shared" si="10"/>
        <v/>
      </c>
      <c r="Q64" s="19" t="str">
        <f t="shared" si="11"/>
        <v/>
      </c>
      <c r="R64" s="19" t="str">
        <f t="shared" si="1"/>
        <v/>
      </c>
      <c r="S64" s="27" t="str">
        <f t="shared" si="14"/>
        <v/>
      </c>
      <c r="T64" s="28" t="str">
        <f t="shared" si="14"/>
        <v/>
      </c>
      <c r="U64" s="28" t="str">
        <f t="shared" si="14"/>
        <v/>
      </c>
      <c r="V64" s="28" t="str">
        <f t="shared" si="14"/>
        <v/>
      </c>
      <c r="W64" s="28" t="str">
        <f t="shared" si="14"/>
        <v/>
      </c>
      <c r="X64" s="29" t="str">
        <f t="shared" si="14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6"/>
        <v/>
      </c>
      <c r="M65" s="19" t="str">
        <f t="shared" si="7"/>
        <v/>
      </c>
      <c r="N65" s="19" t="str">
        <f t="shared" si="8"/>
        <v/>
      </c>
      <c r="O65" s="19" t="str">
        <f t="shared" si="9"/>
        <v/>
      </c>
      <c r="P65" s="19" t="str">
        <f t="shared" si="10"/>
        <v/>
      </c>
      <c r="Q65" s="19" t="str">
        <f t="shared" si="11"/>
        <v/>
      </c>
      <c r="R65" s="19" t="str">
        <f t="shared" si="1"/>
        <v/>
      </c>
      <c r="S65" s="27" t="str">
        <f t="shared" ref="S65:X80" si="15">IF(C65="","",((C65-C64)*1000)/($B65-$B64))</f>
        <v/>
      </c>
      <c r="T65" s="28" t="str">
        <f t="shared" si="15"/>
        <v/>
      </c>
      <c r="U65" s="28" t="str">
        <f t="shared" si="15"/>
        <v/>
      </c>
      <c r="V65" s="28" t="str">
        <f t="shared" si="15"/>
        <v/>
      </c>
      <c r="W65" s="28" t="str">
        <f t="shared" si="15"/>
        <v/>
      </c>
      <c r="X65" s="29" t="str">
        <f t="shared" si="15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6"/>
        <v/>
      </c>
      <c r="M66" s="19" t="str">
        <f t="shared" si="7"/>
        <v/>
      </c>
      <c r="N66" s="19" t="str">
        <f t="shared" si="8"/>
        <v/>
      </c>
      <c r="O66" s="19" t="str">
        <f t="shared" si="9"/>
        <v/>
      </c>
      <c r="P66" s="19" t="str">
        <f t="shared" si="10"/>
        <v/>
      </c>
      <c r="Q66" s="19" t="str">
        <f t="shared" si="11"/>
        <v/>
      </c>
      <c r="R66" s="19" t="str">
        <f t="shared" si="1"/>
        <v/>
      </c>
      <c r="S66" s="27" t="str">
        <f t="shared" si="15"/>
        <v/>
      </c>
      <c r="T66" s="28" t="str">
        <f t="shared" si="15"/>
        <v/>
      </c>
      <c r="U66" s="28" t="str">
        <f t="shared" si="15"/>
        <v/>
      </c>
      <c r="V66" s="28" t="str">
        <f t="shared" si="15"/>
        <v/>
      </c>
      <c r="W66" s="28" t="str">
        <f t="shared" si="15"/>
        <v/>
      </c>
      <c r="X66" s="29" t="str">
        <f t="shared" si="15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6"/>
        <v/>
      </c>
      <c r="M67" s="19" t="str">
        <f t="shared" si="7"/>
        <v/>
      </c>
      <c r="N67" s="19" t="str">
        <f t="shared" si="8"/>
        <v/>
      </c>
      <c r="O67" s="19" t="str">
        <f t="shared" si="9"/>
        <v/>
      </c>
      <c r="P67" s="19" t="str">
        <f t="shared" si="10"/>
        <v/>
      </c>
      <c r="Q67" s="19" t="str">
        <f t="shared" si="11"/>
        <v/>
      </c>
      <c r="R67" s="19" t="str">
        <f t="shared" si="1"/>
        <v/>
      </c>
      <c r="S67" s="27" t="str">
        <f t="shared" si="15"/>
        <v/>
      </c>
      <c r="T67" s="28" t="str">
        <f t="shared" si="15"/>
        <v/>
      </c>
      <c r="U67" s="28" t="str">
        <f t="shared" si="15"/>
        <v/>
      </c>
      <c r="V67" s="28" t="str">
        <f t="shared" si="15"/>
        <v/>
      </c>
      <c r="W67" s="28" t="str">
        <f t="shared" si="15"/>
        <v/>
      </c>
      <c r="X67" s="29" t="str">
        <f t="shared" si="15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6"/>
        <v/>
      </c>
      <c r="M68" s="19" t="str">
        <f t="shared" si="7"/>
        <v/>
      </c>
      <c r="N68" s="19" t="str">
        <f t="shared" si="8"/>
        <v/>
      </c>
      <c r="O68" s="19" t="str">
        <f t="shared" si="9"/>
        <v/>
      </c>
      <c r="P68" s="19" t="str">
        <f t="shared" si="10"/>
        <v/>
      </c>
      <c r="Q68" s="19" t="str">
        <f t="shared" si="11"/>
        <v/>
      </c>
      <c r="R68" s="19" t="str">
        <f t="shared" si="1"/>
        <v/>
      </c>
      <c r="S68" s="27" t="str">
        <f t="shared" si="15"/>
        <v/>
      </c>
      <c r="T68" s="28" t="str">
        <f t="shared" si="15"/>
        <v/>
      </c>
      <c r="U68" s="28" t="str">
        <f t="shared" si="15"/>
        <v/>
      </c>
      <c r="V68" s="28" t="str">
        <f t="shared" si="15"/>
        <v/>
      </c>
      <c r="W68" s="28" t="str">
        <f t="shared" si="15"/>
        <v/>
      </c>
      <c r="X68" s="29" t="str">
        <f t="shared" si="15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6"/>
        <v/>
      </c>
      <c r="M69" s="19" t="str">
        <f t="shared" si="7"/>
        <v/>
      </c>
      <c r="N69" s="19" t="str">
        <f t="shared" si="8"/>
        <v/>
      </c>
      <c r="O69" s="19" t="str">
        <f t="shared" si="9"/>
        <v/>
      </c>
      <c r="P69" s="19" t="str">
        <f t="shared" si="10"/>
        <v/>
      </c>
      <c r="Q69" s="19" t="str">
        <f t="shared" si="11"/>
        <v/>
      </c>
      <c r="R69" s="19" t="str">
        <f t="shared" si="1"/>
        <v/>
      </c>
      <c r="S69" s="27" t="str">
        <f t="shared" si="15"/>
        <v/>
      </c>
      <c r="T69" s="28" t="str">
        <f t="shared" si="15"/>
        <v/>
      </c>
      <c r="U69" s="28" t="str">
        <f t="shared" si="15"/>
        <v/>
      </c>
      <c r="V69" s="28" t="str">
        <f t="shared" si="15"/>
        <v/>
      </c>
      <c r="W69" s="28" t="str">
        <f t="shared" si="15"/>
        <v/>
      </c>
      <c r="X69" s="29" t="str">
        <f t="shared" si="15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6"/>
        <v/>
      </c>
      <c r="M70" s="19" t="str">
        <f t="shared" si="7"/>
        <v/>
      </c>
      <c r="N70" s="19" t="str">
        <f t="shared" si="8"/>
        <v/>
      </c>
      <c r="O70" s="19" t="str">
        <f t="shared" si="9"/>
        <v/>
      </c>
      <c r="P70" s="19" t="str">
        <f t="shared" si="10"/>
        <v/>
      </c>
      <c r="Q70" s="19" t="str">
        <f t="shared" si="11"/>
        <v/>
      </c>
      <c r="R70" s="19" t="str">
        <f t="shared" si="1"/>
        <v/>
      </c>
      <c r="S70" s="27" t="str">
        <f t="shared" si="15"/>
        <v/>
      </c>
      <c r="T70" s="28" t="str">
        <f t="shared" si="15"/>
        <v/>
      </c>
      <c r="U70" s="28" t="str">
        <f t="shared" si="15"/>
        <v/>
      </c>
      <c r="V70" s="28" t="str">
        <f t="shared" si="15"/>
        <v/>
      </c>
      <c r="W70" s="28" t="str">
        <f t="shared" si="15"/>
        <v/>
      </c>
      <c r="X70" s="29" t="str">
        <f t="shared" si="15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6"/>
        <v/>
      </c>
      <c r="M71" s="19" t="str">
        <f t="shared" si="7"/>
        <v/>
      </c>
      <c r="N71" s="19" t="str">
        <f t="shared" si="8"/>
        <v/>
      </c>
      <c r="O71" s="19" t="str">
        <f t="shared" si="9"/>
        <v/>
      </c>
      <c r="P71" s="19" t="str">
        <f t="shared" si="10"/>
        <v/>
      </c>
      <c r="Q71" s="19" t="str">
        <f t="shared" si="11"/>
        <v/>
      </c>
      <c r="R71" s="19" t="str">
        <f t="shared" si="1"/>
        <v/>
      </c>
      <c r="S71" s="27" t="str">
        <f t="shared" si="15"/>
        <v/>
      </c>
      <c r="T71" s="28" t="str">
        <f t="shared" si="15"/>
        <v/>
      </c>
      <c r="U71" s="28" t="str">
        <f t="shared" si="15"/>
        <v/>
      </c>
      <c r="V71" s="28" t="str">
        <f t="shared" si="15"/>
        <v/>
      </c>
      <c r="W71" s="28" t="str">
        <f t="shared" si="15"/>
        <v/>
      </c>
      <c r="X71" s="29" t="str">
        <f t="shared" si="15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6"/>
        <v/>
      </c>
      <c r="M72" s="19" t="str">
        <f t="shared" si="7"/>
        <v/>
      </c>
      <c r="N72" s="19" t="str">
        <f t="shared" si="8"/>
        <v/>
      </c>
      <c r="O72" s="19" t="str">
        <f t="shared" si="9"/>
        <v/>
      </c>
      <c r="P72" s="19" t="str">
        <f t="shared" si="10"/>
        <v/>
      </c>
      <c r="Q72" s="19" t="str">
        <f t="shared" si="11"/>
        <v/>
      </c>
      <c r="R72" s="19" t="str">
        <f t="shared" si="1"/>
        <v/>
      </c>
      <c r="S72" s="27" t="str">
        <f t="shared" si="15"/>
        <v/>
      </c>
      <c r="T72" s="28" t="str">
        <f t="shared" si="15"/>
        <v/>
      </c>
      <c r="U72" s="28" t="str">
        <f t="shared" si="15"/>
        <v/>
      </c>
      <c r="V72" s="28" t="str">
        <f t="shared" si="15"/>
        <v/>
      </c>
      <c r="W72" s="28" t="str">
        <f t="shared" si="15"/>
        <v/>
      </c>
      <c r="X72" s="29" t="str">
        <f t="shared" si="15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6"/>
        <v/>
      </c>
      <c r="M73" s="19" t="str">
        <f t="shared" si="7"/>
        <v/>
      </c>
      <c r="N73" s="19" t="str">
        <f t="shared" si="8"/>
        <v/>
      </c>
      <c r="O73" s="19" t="str">
        <f t="shared" si="9"/>
        <v/>
      </c>
      <c r="P73" s="19" t="str">
        <f t="shared" si="10"/>
        <v/>
      </c>
      <c r="Q73" s="19" t="str">
        <f t="shared" si="11"/>
        <v/>
      </c>
      <c r="R73" s="19" t="str">
        <f t="shared" si="1"/>
        <v/>
      </c>
      <c r="S73" s="27" t="str">
        <f t="shared" si="15"/>
        <v/>
      </c>
      <c r="T73" s="28" t="str">
        <f t="shared" si="15"/>
        <v/>
      </c>
      <c r="U73" s="28" t="str">
        <f t="shared" si="15"/>
        <v/>
      </c>
      <c r="V73" s="28" t="str">
        <f t="shared" si="15"/>
        <v/>
      </c>
      <c r="W73" s="28" t="str">
        <f t="shared" si="15"/>
        <v/>
      </c>
      <c r="X73" s="29" t="str">
        <f t="shared" si="15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6"/>
        <v/>
      </c>
      <c r="M74" s="19" t="str">
        <f t="shared" si="7"/>
        <v/>
      </c>
      <c r="N74" s="19" t="str">
        <f t="shared" si="8"/>
        <v/>
      </c>
      <c r="O74" s="19" t="str">
        <f t="shared" si="9"/>
        <v/>
      </c>
      <c r="P74" s="19" t="str">
        <f t="shared" si="10"/>
        <v/>
      </c>
      <c r="Q74" s="19" t="str">
        <f t="shared" si="11"/>
        <v/>
      </c>
      <c r="R74" s="19" t="str">
        <f t="shared" si="1"/>
        <v/>
      </c>
      <c r="S74" s="27" t="str">
        <f t="shared" si="15"/>
        <v/>
      </c>
      <c r="T74" s="28" t="str">
        <f t="shared" si="15"/>
        <v/>
      </c>
      <c r="U74" s="28" t="str">
        <f t="shared" si="15"/>
        <v/>
      </c>
      <c r="V74" s="28" t="str">
        <f t="shared" si="15"/>
        <v/>
      </c>
      <c r="W74" s="28" t="str">
        <f t="shared" si="15"/>
        <v/>
      </c>
      <c r="X74" s="29" t="str">
        <f t="shared" si="15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6"/>
        <v/>
      </c>
      <c r="M75" s="19" t="str">
        <f t="shared" si="7"/>
        <v/>
      </c>
      <c r="N75" s="19" t="str">
        <f t="shared" si="8"/>
        <v/>
      </c>
      <c r="O75" s="19" t="str">
        <f t="shared" si="9"/>
        <v/>
      </c>
      <c r="P75" s="19" t="str">
        <f t="shared" si="10"/>
        <v/>
      </c>
      <c r="Q75" s="19" t="str">
        <f t="shared" si="11"/>
        <v/>
      </c>
      <c r="R75" s="19" t="str">
        <f t="shared" si="1"/>
        <v/>
      </c>
      <c r="S75" s="27" t="str">
        <f t="shared" si="15"/>
        <v/>
      </c>
      <c r="T75" s="28" t="str">
        <f t="shared" si="15"/>
        <v/>
      </c>
      <c r="U75" s="28" t="str">
        <f t="shared" si="15"/>
        <v/>
      </c>
      <c r="V75" s="28" t="str">
        <f t="shared" si="15"/>
        <v/>
      </c>
      <c r="W75" s="28" t="str">
        <f t="shared" si="15"/>
        <v/>
      </c>
      <c r="X75" s="29" t="str">
        <f t="shared" si="15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6"/>
        <v/>
      </c>
      <c r="M76" s="19" t="str">
        <f t="shared" si="7"/>
        <v/>
      </c>
      <c r="N76" s="19" t="str">
        <f t="shared" si="8"/>
        <v/>
      </c>
      <c r="O76" s="19" t="str">
        <f t="shared" si="9"/>
        <v/>
      </c>
      <c r="P76" s="19" t="str">
        <f t="shared" si="10"/>
        <v/>
      </c>
      <c r="Q76" s="19" t="str">
        <f t="shared" si="11"/>
        <v/>
      </c>
      <c r="R76" s="19" t="str">
        <f t="shared" si="1"/>
        <v/>
      </c>
      <c r="S76" s="27" t="str">
        <f t="shared" si="15"/>
        <v/>
      </c>
      <c r="T76" s="28" t="str">
        <f t="shared" si="15"/>
        <v/>
      </c>
      <c r="U76" s="28" t="str">
        <f t="shared" si="15"/>
        <v/>
      </c>
      <c r="V76" s="28" t="str">
        <f t="shared" si="15"/>
        <v/>
      </c>
      <c r="W76" s="28" t="str">
        <f t="shared" si="15"/>
        <v/>
      </c>
      <c r="X76" s="29" t="str">
        <f t="shared" si="15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6"/>
        <v/>
      </c>
      <c r="M77" s="19" t="str">
        <f t="shared" si="7"/>
        <v/>
      </c>
      <c r="N77" s="19" t="str">
        <f t="shared" si="8"/>
        <v/>
      </c>
      <c r="O77" s="19" t="str">
        <f t="shared" si="9"/>
        <v/>
      </c>
      <c r="P77" s="19" t="str">
        <f t="shared" si="10"/>
        <v/>
      </c>
      <c r="Q77" s="19" t="str">
        <f t="shared" si="11"/>
        <v/>
      </c>
      <c r="R77" s="19" t="str">
        <f t="shared" si="1"/>
        <v/>
      </c>
      <c r="S77" s="27" t="str">
        <f t="shared" si="15"/>
        <v/>
      </c>
      <c r="T77" s="28" t="str">
        <f t="shared" si="15"/>
        <v/>
      </c>
      <c r="U77" s="28" t="str">
        <f t="shared" si="15"/>
        <v/>
      </c>
      <c r="V77" s="28" t="str">
        <f t="shared" si="15"/>
        <v/>
      </c>
      <c r="W77" s="28" t="str">
        <f t="shared" si="15"/>
        <v/>
      </c>
      <c r="X77" s="29" t="str">
        <f t="shared" si="15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6"/>
        <v/>
      </c>
      <c r="M78" s="19" t="str">
        <f t="shared" si="7"/>
        <v/>
      </c>
      <c r="N78" s="19" t="str">
        <f t="shared" si="8"/>
        <v/>
      </c>
      <c r="O78" s="19" t="str">
        <f t="shared" si="9"/>
        <v/>
      </c>
      <c r="P78" s="19" t="str">
        <f t="shared" si="10"/>
        <v/>
      </c>
      <c r="Q78" s="19" t="str">
        <f t="shared" si="11"/>
        <v/>
      </c>
      <c r="R78" s="19" t="str">
        <f t="shared" si="1"/>
        <v/>
      </c>
      <c r="S78" s="27" t="str">
        <f t="shared" si="15"/>
        <v/>
      </c>
      <c r="T78" s="28" t="str">
        <f t="shared" si="15"/>
        <v/>
      </c>
      <c r="U78" s="28" t="str">
        <f t="shared" si="15"/>
        <v/>
      </c>
      <c r="V78" s="28" t="str">
        <f t="shared" si="15"/>
        <v/>
      </c>
      <c r="W78" s="28" t="str">
        <f t="shared" si="15"/>
        <v/>
      </c>
      <c r="X78" s="29" t="str">
        <f t="shared" si="15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6"/>
        <v/>
      </c>
      <c r="M79" s="19" t="str">
        <f t="shared" si="7"/>
        <v/>
      </c>
      <c r="N79" s="19" t="str">
        <f t="shared" si="8"/>
        <v/>
      </c>
      <c r="O79" s="19" t="str">
        <f t="shared" si="9"/>
        <v/>
      </c>
      <c r="P79" s="19" t="str">
        <f t="shared" si="10"/>
        <v/>
      </c>
      <c r="Q79" s="19" t="str">
        <f t="shared" si="11"/>
        <v/>
      </c>
      <c r="R79" s="19" t="str">
        <f t="shared" si="1"/>
        <v/>
      </c>
      <c r="S79" s="27" t="str">
        <f t="shared" si="15"/>
        <v/>
      </c>
      <c r="T79" s="28" t="str">
        <f t="shared" si="15"/>
        <v/>
      </c>
      <c r="U79" s="28" t="str">
        <f t="shared" si="15"/>
        <v/>
      </c>
      <c r="V79" s="28" t="str">
        <f t="shared" si="15"/>
        <v/>
      </c>
      <c r="W79" s="28" t="str">
        <f t="shared" si="15"/>
        <v/>
      </c>
      <c r="X79" s="29" t="str">
        <f t="shared" si="15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6"/>
        <v/>
      </c>
      <c r="M80" s="19" t="str">
        <f t="shared" si="7"/>
        <v/>
      </c>
      <c r="N80" s="19" t="str">
        <f t="shared" si="8"/>
        <v/>
      </c>
      <c r="O80" s="19" t="str">
        <f t="shared" si="9"/>
        <v/>
      </c>
      <c r="P80" s="19" t="str">
        <f t="shared" si="10"/>
        <v/>
      </c>
      <c r="Q80" s="19" t="str">
        <f t="shared" si="11"/>
        <v/>
      </c>
      <c r="R80" s="19" t="str">
        <f t="shared" ref="R80:R111" si="16">IF(ISBLANK(I80),"",(I80-I$16)*1000)</f>
        <v/>
      </c>
      <c r="S80" s="27" t="str">
        <f t="shared" si="15"/>
        <v/>
      </c>
      <c r="T80" s="28" t="str">
        <f t="shared" si="15"/>
        <v/>
      </c>
      <c r="U80" s="28" t="str">
        <f t="shared" si="15"/>
        <v/>
      </c>
      <c r="V80" s="28" t="str">
        <f t="shared" si="15"/>
        <v/>
      </c>
      <c r="W80" s="28" t="str">
        <f t="shared" si="15"/>
        <v/>
      </c>
      <c r="X80" s="29" t="str">
        <f t="shared" si="15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6"/>
        <v/>
      </c>
      <c r="M81" s="19" t="str">
        <f t="shared" si="7"/>
        <v/>
      </c>
      <c r="N81" s="19" t="str">
        <f t="shared" si="8"/>
        <v/>
      </c>
      <c r="O81" s="19" t="str">
        <f t="shared" si="9"/>
        <v/>
      </c>
      <c r="P81" s="19" t="str">
        <f t="shared" si="10"/>
        <v/>
      </c>
      <c r="Q81" s="19" t="str">
        <f t="shared" si="11"/>
        <v/>
      </c>
      <c r="R81" s="19" t="str">
        <f t="shared" si="16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6"/>
        <v/>
      </c>
      <c r="M82" s="19" t="str">
        <f t="shared" si="7"/>
        <v/>
      </c>
      <c r="N82" s="19" t="str">
        <f t="shared" si="8"/>
        <v/>
      </c>
      <c r="O82" s="19" t="str">
        <f t="shared" si="9"/>
        <v/>
      </c>
      <c r="P82" s="19" t="str">
        <f t="shared" si="10"/>
        <v/>
      </c>
      <c r="Q82" s="19" t="str">
        <f t="shared" si="11"/>
        <v/>
      </c>
      <c r="R82" s="19" t="str">
        <f t="shared" si="16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6"/>
        <v/>
      </c>
      <c r="M83" s="19" t="str">
        <f t="shared" si="7"/>
        <v/>
      </c>
      <c r="N83" s="19" t="str">
        <f t="shared" si="8"/>
        <v/>
      </c>
      <c r="O83" s="19" t="str">
        <f t="shared" si="9"/>
        <v/>
      </c>
      <c r="P83" s="19" t="str">
        <f t="shared" si="10"/>
        <v/>
      </c>
      <c r="Q83" s="19" t="str">
        <f t="shared" si="11"/>
        <v/>
      </c>
      <c r="R83" s="19" t="str">
        <f t="shared" si="16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6"/>
        <v/>
      </c>
      <c r="M84" s="19" t="str">
        <f t="shared" si="7"/>
        <v/>
      </c>
      <c r="N84" s="19" t="str">
        <f t="shared" si="8"/>
        <v/>
      </c>
      <c r="O84" s="19" t="str">
        <f t="shared" si="9"/>
        <v/>
      </c>
      <c r="P84" s="19" t="str">
        <f t="shared" si="10"/>
        <v/>
      </c>
      <c r="Q84" s="19" t="str">
        <f t="shared" si="11"/>
        <v/>
      </c>
      <c r="R84" s="19" t="str">
        <f t="shared" si="16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6"/>
        <v/>
      </c>
      <c r="M85" s="19" t="str">
        <f t="shared" si="7"/>
        <v/>
      </c>
      <c r="N85" s="19" t="str">
        <f t="shared" si="8"/>
        <v/>
      </c>
      <c r="O85" s="19" t="str">
        <f t="shared" si="9"/>
        <v/>
      </c>
      <c r="P85" s="19" t="str">
        <f t="shared" si="10"/>
        <v/>
      </c>
      <c r="Q85" s="19" t="str">
        <f t="shared" si="11"/>
        <v/>
      </c>
      <c r="R85" s="19" t="str">
        <f t="shared" si="16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6"/>
        <v/>
      </c>
      <c r="M86" s="19" t="str">
        <f t="shared" si="7"/>
        <v/>
      </c>
      <c r="N86" s="19" t="str">
        <f t="shared" si="8"/>
        <v/>
      </c>
      <c r="O86" s="19" t="str">
        <f t="shared" si="9"/>
        <v/>
      </c>
      <c r="P86" s="19" t="str">
        <f t="shared" si="10"/>
        <v/>
      </c>
      <c r="Q86" s="19" t="str">
        <f t="shared" si="11"/>
        <v/>
      </c>
      <c r="R86" s="19" t="str">
        <f t="shared" si="16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6"/>
        <v/>
      </c>
      <c r="M87" s="19" t="str">
        <f t="shared" si="7"/>
        <v/>
      </c>
      <c r="N87" s="19" t="str">
        <f t="shared" si="8"/>
        <v/>
      </c>
      <c r="O87" s="19" t="str">
        <f t="shared" si="9"/>
        <v/>
      </c>
      <c r="P87" s="19" t="str">
        <f t="shared" si="10"/>
        <v/>
      </c>
      <c r="Q87" s="19" t="str">
        <f t="shared" si="11"/>
        <v/>
      </c>
      <c r="R87" s="19" t="str">
        <f t="shared" si="16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6"/>
        <v/>
      </c>
      <c r="M88" s="19" t="str">
        <f t="shared" si="7"/>
        <v/>
      </c>
      <c r="N88" s="19" t="str">
        <f t="shared" si="8"/>
        <v/>
      </c>
      <c r="O88" s="19" t="str">
        <f t="shared" si="9"/>
        <v/>
      </c>
      <c r="P88" s="19" t="str">
        <f t="shared" si="10"/>
        <v/>
      </c>
      <c r="Q88" s="19" t="str">
        <f t="shared" si="11"/>
        <v/>
      </c>
      <c r="R88" s="19" t="str">
        <f t="shared" si="16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6"/>
        <v/>
      </c>
      <c r="M89" s="19" t="str">
        <f t="shared" si="7"/>
        <v/>
      </c>
      <c r="N89" s="19" t="str">
        <f t="shared" si="8"/>
        <v/>
      </c>
      <c r="O89" s="19" t="str">
        <f t="shared" si="9"/>
        <v/>
      </c>
      <c r="P89" s="19" t="str">
        <f t="shared" si="10"/>
        <v/>
      </c>
      <c r="Q89" s="19" t="str">
        <f t="shared" si="11"/>
        <v/>
      </c>
      <c r="R89" s="19" t="str">
        <f t="shared" si="16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6"/>
        <v/>
      </c>
      <c r="M90" s="19" t="str">
        <f t="shared" si="7"/>
        <v/>
      </c>
      <c r="N90" s="19" t="str">
        <f t="shared" si="8"/>
        <v/>
      </c>
      <c r="O90" s="19" t="str">
        <f t="shared" si="9"/>
        <v/>
      </c>
      <c r="P90" s="19" t="str">
        <f t="shared" si="10"/>
        <v/>
      </c>
      <c r="Q90" s="19" t="str">
        <f t="shared" si="11"/>
        <v/>
      </c>
      <c r="R90" s="19" t="str">
        <f t="shared" si="16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6"/>
        <v/>
      </c>
      <c r="M91" s="19" t="str">
        <f t="shared" si="7"/>
        <v/>
      </c>
      <c r="N91" s="19" t="str">
        <f t="shared" si="8"/>
        <v/>
      </c>
      <c r="O91" s="19" t="str">
        <f t="shared" si="9"/>
        <v/>
      </c>
      <c r="P91" s="19" t="str">
        <f t="shared" si="10"/>
        <v/>
      </c>
      <c r="Q91" s="19" t="str">
        <f t="shared" si="11"/>
        <v/>
      </c>
      <c r="R91" s="19" t="str">
        <f t="shared" si="16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6"/>
        <v/>
      </c>
      <c r="M92" s="19" t="str">
        <f t="shared" si="7"/>
        <v/>
      </c>
      <c r="N92" s="19" t="str">
        <f t="shared" si="8"/>
        <v/>
      </c>
      <c r="O92" s="19" t="str">
        <f t="shared" si="9"/>
        <v/>
      </c>
      <c r="P92" s="19" t="str">
        <f t="shared" si="10"/>
        <v/>
      </c>
      <c r="Q92" s="19" t="str">
        <f t="shared" si="11"/>
        <v/>
      </c>
      <c r="R92" s="19" t="str">
        <f t="shared" si="16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6"/>
        <v/>
      </c>
      <c r="M93" s="19" t="str">
        <f t="shared" si="7"/>
        <v/>
      </c>
      <c r="N93" s="19" t="str">
        <f t="shared" si="8"/>
        <v/>
      </c>
      <c r="O93" s="19" t="str">
        <f t="shared" si="9"/>
        <v/>
      </c>
      <c r="P93" s="19" t="str">
        <f t="shared" si="10"/>
        <v/>
      </c>
      <c r="Q93" s="19" t="str">
        <f t="shared" si="11"/>
        <v/>
      </c>
      <c r="R93" s="19" t="str">
        <f t="shared" si="16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6"/>
        <v/>
      </c>
      <c r="M94" s="19" t="str">
        <f t="shared" si="7"/>
        <v/>
      </c>
      <c r="N94" s="19" t="str">
        <f t="shared" si="8"/>
        <v/>
      </c>
      <c r="O94" s="19" t="str">
        <f t="shared" si="9"/>
        <v/>
      </c>
      <c r="P94" s="19" t="str">
        <f t="shared" si="10"/>
        <v/>
      </c>
      <c r="Q94" s="19" t="str">
        <f t="shared" si="11"/>
        <v/>
      </c>
      <c r="R94" s="19" t="str">
        <f t="shared" si="16"/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6"/>
        <v/>
      </c>
      <c r="M95" s="19" t="str">
        <f t="shared" si="7"/>
        <v/>
      </c>
      <c r="N95" s="19" t="str">
        <f t="shared" si="8"/>
        <v/>
      </c>
      <c r="O95" s="19" t="str">
        <f t="shared" si="9"/>
        <v/>
      </c>
      <c r="P95" s="19" t="str">
        <f t="shared" si="10"/>
        <v/>
      </c>
      <c r="Q95" s="19" t="str">
        <f t="shared" si="11"/>
        <v/>
      </c>
      <c r="R95" s="19" t="str">
        <f t="shared" si="16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6"/>
        <v/>
      </c>
      <c r="M96" s="19" t="str">
        <f t="shared" si="7"/>
        <v/>
      </c>
      <c r="N96" s="19" t="str">
        <f t="shared" si="8"/>
        <v/>
      </c>
      <c r="O96" s="19" t="str">
        <f t="shared" si="9"/>
        <v/>
      </c>
      <c r="P96" s="19" t="str">
        <f t="shared" si="10"/>
        <v/>
      </c>
      <c r="Q96" s="19" t="str">
        <f t="shared" si="11"/>
        <v/>
      </c>
      <c r="R96" s="19" t="str">
        <f t="shared" si="16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6"/>
        <v/>
      </c>
      <c r="M97" s="19" t="str">
        <f t="shared" si="7"/>
        <v/>
      </c>
      <c r="N97" s="19" t="str">
        <f t="shared" si="8"/>
        <v/>
      </c>
      <c r="O97" s="19" t="str">
        <f t="shared" si="9"/>
        <v/>
      </c>
      <c r="P97" s="19" t="str">
        <f t="shared" si="10"/>
        <v/>
      </c>
      <c r="Q97" s="19" t="str">
        <f t="shared" si="11"/>
        <v/>
      </c>
      <c r="R97" s="19" t="str">
        <f t="shared" si="16"/>
        <v/>
      </c>
      <c r="S97" s="27" t="str">
        <f t="shared" ref="S97:X112" si="18">IF(C97="","",((C97-C96)*1000)/($B97-$B96))</f>
        <v/>
      </c>
      <c r="T97" s="28" t="str">
        <f t="shared" si="18"/>
        <v/>
      </c>
      <c r="U97" s="28" t="str">
        <f t="shared" si="18"/>
        <v/>
      </c>
      <c r="V97" s="28" t="str">
        <f t="shared" si="18"/>
        <v/>
      </c>
      <c r="W97" s="28" t="str">
        <f t="shared" si="18"/>
        <v/>
      </c>
      <c r="X97" s="29" t="str">
        <f t="shared" si="18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6"/>
        <v/>
      </c>
      <c r="M98" s="19" t="str">
        <f t="shared" si="7"/>
        <v/>
      </c>
      <c r="N98" s="19" t="str">
        <f t="shared" si="8"/>
        <v/>
      </c>
      <c r="O98" s="19" t="str">
        <f t="shared" si="9"/>
        <v/>
      </c>
      <c r="P98" s="19" t="str">
        <f t="shared" si="10"/>
        <v/>
      </c>
      <c r="Q98" s="19" t="str">
        <f t="shared" si="11"/>
        <v/>
      </c>
      <c r="R98" s="19" t="str">
        <f t="shared" si="16"/>
        <v/>
      </c>
      <c r="S98" s="27" t="str">
        <f t="shared" si="18"/>
        <v/>
      </c>
      <c r="T98" s="28" t="str">
        <f t="shared" si="18"/>
        <v/>
      </c>
      <c r="U98" s="28" t="str">
        <f t="shared" si="18"/>
        <v/>
      </c>
      <c r="V98" s="28" t="str">
        <f t="shared" si="18"/>
        <v/>
      </c>
      <c r="W98" s="28" t="str">
        <f t="shared" si="18"/>
        <v/>
      </c>
      <c r="X98" s="29" t="str">
        <f t="shared" si="18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ref="L99:L153" si="19">IF(ISBLANK(C99),"",((C99-C$34)*1000)+L$33)</f>
        <v/>
      </c>
      <c r="M99" s="19" t="str">
        <f t="shared" ref="M99:M153" si="20">IF(ISBLANK(D99),"",(D99-D$16)*1000)</f>
        <v/>
      </c>
      <c r="N99" s="19" t="str">
        <f t="shared" ref="N99:N153" si="21">IF(ISBLANK(E99),"",(E99-E$34)*1000)</f>
        <v/>
      </c>
      <c r="O99" s="19" t="str">
        <f t="shared" ref="O99:O153" si="22">IF(ISBLANK(F99),"",((F99-F$34)*1000)+L$34)</f>
        <v/>
      </c>
      <c r="P99" s="19" t="str">
        <f t="shared" ref="P99:P153" si="23">IF(ISBLANK(G99),"",((G99-G$34)*1000)+M$34)</f>
        <v/>
      </c>
      <c r="Q99" s="19" t="str">
        <f t="shared" ref="Q99:Q153" si="24">IF(ISBLANK(H99),"",(H99-H$34)*1000)</f>
        <v/>
      </c>
      <c r="R99" s="19" t="str">
        <f t="shared" si="16"/>
        <v/>
      </c>
      <c r="S99" s="27" t="str">
        <f t="shared" si="18"/>
        <v/>
      </c>
      <c r="T99" s="28" t="str">
        <f t="shared" si="18"/>
        <v/>
      </c>
      <c r="U99" s="28" t="str">
        <f t="shared" si="18"/>
        <v/>
      </c>
      <c r="V99" s="28" t="str">
        <f t="shared" si="18"/>
        <v/>
      </c>
      <c r="W99" s="28" t="str">
        <f t="shared" si="18"/>
        <v/>
      </c>
      <c r="X99" s="29" t="str">
        <f t="shared" si="18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22"/>
        <v/>
      </c>
      <c r="P100" s="19" t="str">
        <f t="shared" si="23"/>
        <v/>
      </c>
      <c r="Q100" s="19" t="str">
        <f t="shared" si="24"/>
        <v/>
      </c>
      <c r="R100" s="19" t="str">
        <f t="shared" si="16"/>
        <v/>
      </c>
      <c r="S100" s="27" t="str">
        <f t="shared" si="18"/>
        <v/>
      </c>
      <c r="T100" s="28" t="str">
        <f t="shared" si="18"/>
        <v/>
      </c>
      <c r="U100" s="28" t="str">
        <f t="shared" si="18"/>
        <v/>
      </c>
      <c r="V100" s="28" t="str">
        <f t="shared" si="18"/>
        <v/>
      </c>
      <c r="W100" s="28" t="str">
        <f t="shared" si="18"/>
        <v/>
      </c>
      <c r="X100" s="29" t="str">
        <f t="shared" si="18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22"/>
        <v/>
      </c>
      <c r="P101" s="19" t="str">
        <f t="shared" si="23"/>
        <v/>
      </c>
      <c r="Q101" s="19" t="str">
        <f t="shared" si="24"/>
        <v/>
      </c>
      <c r="R101" s="19" t="str">
        <f t="shared" si="16"/>
        <v/>
      </c>
      <c r="S101" s="27" t="str">
        <f t="shared" si="18"/>
        <v/>
      </c>
      <c r="T101" s="28" t="str">
        <f t="shared" si="18"/>
        <v/>
      </c>
      <c r="U101" s="28" t="str">
        <f t="shared" si="18"/>
        <v/>
      </c>
      <c r="V101" s="28" t="str">
        <f t="shared" si="18"/>
        <v/>
      </c>
      <c r="W101" s="28" t="str">
        <f t="shared" si="18"/>
        <v/>
      </c>
      <c r="X101" s="29" t="str">
        <f t="shared" si="18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22"/>
        <v/>
      </c>
      <c r="P102" s="19" t="str">
        <f t="shared" si="23"/>
        <v/>
      </c>
      <c r="Q102" s="19" t="str">
        <f t="shared" si="24"/>
        <v/>
      </c>
      <c r="R102" s="19" t="str">
        <f t="shared" si="16"/>
        <v/>
      </c>
      <c r="S102" s="27" t="str">
        <f t="shared" si="18"/>
        <v/>
      </c>
      <c r="T102" s="28" t="str">
        <f t="shared" si="18"/>
        <v/>
      </c>
      <c r="U102" s="28" t="str">
        <f t="shared" si="18"/>
        <v/>
      </c>
      <c r="V102" s="28" t="str">
        <f t="shared" si="18"/>
        <v/>
      </c>
      <c r="W102" s="28" t="str">
        <f t="shared" si="18"/>
        <v/>
      </c>
      <c r="X102" s="29" t="str">
        <f t="shared" si="18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22"/>
        <v/>
      </c>
      <c r="P103" s="19" t="str">
        <f t="shared" si="23"/>
        <v/>
      </c>
      <c r="Q103" s="19" t="str">
        <f t="shared" si="24"/>
        <v/>
      </c>
      <c r="R103" s="19" t="str">
        <f t="shared" si="16"/>
        <v/>
      </c>
      <c r="S103" s="27" t="str">
        <f t="shared" si="18"/>
        <v/>
      </c>
      <c r="T103" s="28" t="str">
        <f t="shared" si="18"/>
        <v/>
      </c>
      <c r="U103" s="28" t="str">
        <f t="shared" si="18"/>
        <v/>
      </c>
      <c r="V103" s="28" t="str">
        <f t="shared" si="18"/>
        <v/>
      </c>
      <c r="W103" s="28" t="str">
        <f t="shared" si="18"/>
        <v/>
      </c>
      <c r="X103" s="29" t="str">
        <f t="shared" si="18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si="22"/>
        <v/>
      </c>
      <c r="P104" s="19" t="str">
        <f t="shared" si="23"/>
        <v/>
      </c>
      <c r="Q104" s="19" t="str">
        <f t="shared" si="24"/>
        <v/>
      </c>
      <c r="R104" s="19" t="str">
        <f t="shared" si="16"/>
        <v/>
      </c>
      <c r="S104" s="27" t="str">
        <f t="shared" si="18"/>
        <v/>
      </c>
      <c r="T104" s="28" t="str">
        <f t="shared" si="18"/>
        <v/>
      </c>
      <c r="U104" s="28" t="str">
        <f t="shared" si="18"/>
        <v/>
      </c>
      <c r="V104" s="28" t="str">
        <f t="shared" si="18"/>
        <v/>
      </c>
      <c r="W104" s="28" t="str">
        <f t="shared" si="18"/>
        <v/>
      </c>
      <c r="X104" s="29" t="str">
        <f t="shared" si="18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2"/>
        <v/>
      </c>
      <c r="P105" s="19" t="str">
        <f t="shared" si="23"/>
        <v/>
      </c>
      <c r="Q105" s="19" t="str">
        <f t="shared" si="24"/>
        <v/>
      </c>
      <c r="R105" s="19" t="str">
        <f t="shared" si="16"/>
        <v/>
      </c>
      <c r="S105" s="27" t="str">
        <f t="shared" si="18"/>
        <v/>
      </c>
      <c r="T105" s="28" t="str">
        <f t="shared" si="18"/>
        <v/>
      </c>
      <c r="U105" s="28" t="str">
        <f t="shared" si="18"/>
        <v/>
      </c>
      <c r="V105" s="28" t="str">
        <f t="shared" si="18"/>
        <v/>
      </c>
      <c r="W105" s="28" t="str">
        <f t="shared" si="18"/>
        <v/>
      </c>
      <c r="X105" s="29" t="str">
        <f t="shared" si="18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2"/>
        <v/>
      </c>
      <c r="P106" s="19" t="str">
        <f t="shared" si="23"/>
        <v/>
      </c>
      <c r="Q106" s="19" t="str">
        <f t="shared" si="24"/>
        <v/>
      </c>
      <c r="R106" s="19" t="str">
        <f t="shared" si="16"/>
        <v/>
      </c>
      <c r="S106" s="27" t="str">
        <f t="shared" si="18"/>
        <v/>
      </c>
      <c r="T106" s="28" t="str">
        <f t="shared" si="18"/>
        <v/>
      </c>
      <c r="U106" s="28" t="str">
        <f t="shared" si="18"/>
        <v/>
      </c>
      <c r="V106" s="28" t="str">
        <f t="shared" si="18"/>
        <v/>
      </c>
      <c r="W106" s="28" t="str">
        <f t="shared" si="18"/>
        <v/>
      </c>
      <c r="X106" s="29" t="str">
        <f t="shared" si="18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2"/>
        <v/>
      </c>
      <c r="P107" s="19" t="str">
        <f t="shared" si="23"/>
        <v/>
      </c>
      <c r="Q107" s="19" t="str">
        <f t="shared" si="24"/>
        <v/>
      </c>
      <c r="R107" s="19" t="str">
        <f t="shared" si="16"/>
        <v/>
      </c>
      <c r="S107" s="27" t="str">
        <f t="shared" si="18"/>
        <v/>
      </c>
      <c r="T107" s="28" t="str">
        <f t="shared" si="18"/>
        <v/>
      </c>
      <c r="U107" s="28" t="str">
        <f t="shared" si="18"/>
        <v/>
      </c>
      <c r="V107" s="28" t="str">
        <f t="shared" si="18"/>
        <v/>
      </c>
      <c r="W107" s="28" t="str">
        <f t="shared" si="18"/>
        <v/>
      </c>
      <c r="X107" s="29" t="str">
        <f t="shared" si="18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2"/>
        <v/>
      </c>
      <c r="P108" s="19" t="str">
        <f t="shared" si="23"/>
        <v/>
      </c>
      <c r="Q108" s="19" t="str">
        <f t="shared" si="24"/>
        <v/>
      </c>
      <c r="R108" s="19" t="str">
        <f t="shared" si="16"/>
        <v/>
      </c>
      <c r="S108" s="27" t="str">
        <f t="shared" si="18"/>
        <v/>
      </c>
      <c r="T108" s="28" t="str">
        <f t="shared" si="18"/>
        <v/>
      </c>
      <c r="U108" s="28" t="str">
        <f t="shared" si="18"/>
        <v/>
      </c>
      <c r="V108" s="28" t="str">
        <f t="shared" si="18"/>
        <v/>
      </c>
      <c r="W108" s="28" t="str">
        <f t="shared" si="18"/>
        <v/>
      </c>
      <c r="X108" s="29" t="str">
        <f t="shared" si="18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2"/>
        <v/>
      </c>
      <c r="P109" s="19" t="str">
        <f t="shared" si="23"/>
        <v/>
      </c>
      <c r="Q109" s="19" t="str">
        <f t="shared" si="24"/>
        <v/>
      </c>
      <c r="R109" s="19" t="str">
        <f t="shared" si="16"/>
        <v/>
      </c>
      <c r="S109" s="27" t="str">
        <f t="shared" si="18"/>
        <v/>
      </c>
      <c r="T109" s="28" t="str">
        <f t="shared" si="18"/>
        <v/>
      </c>
      <c r="U109" s="28" t="str">
        <f t="shared" si="18"/>
        <v/>
      </c>
      <c r="V109" s="28" t="str">
        <f t="shared" si="18"/>
        <v/>
      </c>
      <c r="W109" s="28" t="str">
        <f t="shared" si="18"/>
        <v/>
      </c>
      <c r="X109" s="29" t="str">
        <f t="shared" si="18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2"/>
        <v/>
      </c>
      <c r="P110" s="19" t="str">
        <f t="shared" si="23"/>
        <v/>
      </c>
      <c r="Q110" s="19" t="str">
        <f t="shared" si="24"/>
        <v/>
      </c>
      <c r="R110" s="19" t="str">
        <f t="shared" si="16"/>
        <v/>
      </c>
      <c r="S110" s="27" t="str">
        <f t="shared" si="18"/>
        <v/>
      </c>
      <c r="T110" s="28" t="str">
        <f t="shared" si="18"/>
        <v/>
      </c>
      <c r="U110" s="28" t="str">
        <f t="shared" si="18"/>
        <v/>
      </c>
      <c r="V110" s="28" t="str">
        <f t="shared" si="18"/>
        <v/>
      </c>
      <c r="W110" s="28" t="str">
        <f t="shared" si="18"/>
        <v/>
      </c>
      <c r="X110" s="29" t="str">
        <f t="shared" si="18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2"/>
        <v/>
      </c>
      <c r="P111" s="19" t="str">
        <f t="shared" si="23"/>
        <v/>
      </c>
      <c r="Q111" s="19" t="str">
        <f t="shared" si="24"/>
        <v/>
      </c>
      <c r="R111" s="19" t="str">
        <f t="shared" si="16"/>
        <v/>
      </c>
      <c r="S111" s="27" t="str">
        <f t="shared" si="18"/>
        <v/>
      </c>
      <c r="T111" s="28" t="str">
        <f t="shared" si="18"/>
        <v/>
      </c>
      <c r="U111" s="28" t="str">
        <f t="shared" si="18"/>
        <v/>
      </c>
      <c r="V111" s="28" t="str">
        <f t="shared" si="18"/>
        <v/>
      </c>
      <c r="W111" s="28" t="str">
        <f t="shared" si="18"/>
        <v/>
      </c>
      <c r="X111" s="29" t="str">
        <f t="shared" si="18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2"/>
        <v/>
      </c>
      <c r="P112" s="19" t="str">
        <f t="shared" si="23"/>
        <v/>
      </c>
      <c r="Q112" s="19" t="str">
        <f t="shared" si="24"/>
        <v/>
      </c>
      <c r="R112" s="19" t="str">
        <f t="shared" ref="R112:R143" si="25">IF(ISBLANK(I112),"",(I112-I$16)*1000)</f>
        <v/>
      </c>
      <c r="S112" s="27" t="str">
        <f t="shared" si="18"/>
        <v/>
      </c>
      <c r="T112" s="28" t="str">
        <f t="shared" si="18"/>
        <v/>
      </c>
      <c r="U112" s="28" t="str">
        <f t="shared" si="18"/>
        <v/>
      </c>
      <c r="V112" s="28" t="str">
        <f t="shared" si="18"/>
        <v/>
      </c>
      <c r="W112" s="28" t="str">
        <f t="shared" si="18"/>
        <v/>
      </c>
      <c r="X112" s="29" t="str">
        <f t="shared" si="18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2"/>
        <v/>
      </c>
      <c r="P113" s="19" t="str">
        <f t="shared" si="23"/>
        <v/>
      </c>
      <c r="Q113" s="19" t="str">
        <f t="shared" si="24"/>
        <v/>
      </c>
      <c r="R113" s="19" t="str">
        <f t="shared" si="25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2"/>
        <v/>
      </c>
      <c r="P114" s="19" t="str">
        <f t="shared" si="23"/>
        <v/>
      </c>
      <c r="Q114" s="19" t="str">
        <f t="shared" si="24"/>
        <v/>
      </c>
      <c r="R114" s="19" t="str">
        <f t="shared" si="25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2"/>
        <v/>
      </c>
      <c r="P115" s="19" t="str">
        <f t="shared" si="23"/>
        <v/>
      </c>
      <c r="Q115" s="19" t="str">
        <f t="shared" si="24"/>
        <v/>
      </c>
      <c r="R115" s="19" t="str">
        <f t="shared" si="25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2"/>
        <v/>
      </c>
      <c r="P116" s="19" t="str">
        <f t="shared" si="23"/>
        <v/>
      </c>
      <c r="Q116" s="19" t="str">
        <f t="shared" si="24"/>
        <v/>
      </c>
      <c r="R116" s="19" t="str">
        <f t="shared" si="25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9"/>
        <v/>
      </c>
      <c r="M117" s="19" t="str">
        <f t="shared" si="20"/>
        <v/>
      </c>
      <c r="N117" s="19" t="str">
        <f t="shared" si="21"/>
        <v/>
      </c>
      <c r="O117" s="19" t="str">
        <f t="shared" si="22"/>
        <v/>
      </c>
      <c r="P117" s="19" t="str">
        <f t="shared" si="23"/>
        <v/>
      </c>
      <c r="Q117" s="19" t="str">
        <f t="shared" si="24"/>
        <v/>
      </c>
      <c r="R117" s="19" t="str">
        <f t="shared" si="25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9"/>
        <v/>
      </c>
      <c r="M118" s="19" t="str">
        <f t="shared" si="20"/>
        <v/>
      </c>
      <c r="N118" s="19" t="str">
        <f t="shared" si="21"/>
        <v/>
      </c>
      <c r="O118" s="19" t="str">
        <f t="shared" si="22"/>
        <v/>
      </c>
      <c r="P118" s="19" t="str">
        <f t="shared" si="23"/>
        <v/>
      </c>
      <c r="Q118" s="19" t="str">
        <f t="shared" si="24"/>
        <v/>
      </c>
      <c r="R118" s="19" t="str">
        <f t="shared" si="25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9"/>
        <v/>
      </c>
      <c r="M119" s="19" t="str">
        <f t="shared" si="20"/>
        <v/>
      </c>
      <c r="N119" s="19" t="str">
        <f t="shared" si="21"/>
        <v/>
      </c>
      <c r="O119" s="19" t="str">
        <f t="shared" si="22"/>
        <v/>
      </c>
      <c r="P119" s="19" t="str">
        <f t="shared" si="23"/>
        <v/>
      </c>
      <c r="Q119" s="19" t="str">
        <f t="shared" si="24"/>
        <v/>
      </c>
      <c r="R119" s="19" t="str">
        <f t="shared" si="25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9"/>
        <v/>
      </c>
      <c r="M120" s="19" t="str">
        <f t="shared" si="20"/>
        <v/>
      </c>
      <c r="N120" s="19" t="str">
        <f t="shared" si="21"/>
        <v/>
      </c>
      <c r="O120" s="19" t="str">
        <f t="shared" si="22"/>
        <v/>
      </c>
      <c r="P120" s="19" t="str">
        <f t="shared" si="23"/>
        <v/>
      </c>
      <c r="Q120" s="19" t="str">
        <f t="shared" si="24"/>
        <v/>
      </c>
      <c r="R120" s="19" t="str">
        <f t="shared" si="25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9"/>
        <v/>
      </c>
      <c r="M121" s="19" t="str">
        <f t="shared" si="20"/>
        <v/>
      </c>
      <c r="N121" s="19" t="str">
        <f t="shared" si="21"/>
        <v/>
      </c>
      <c r="O121" s="19" t="str">
        <f t="shared" si="22"/>
        <v/>
      </c>
      <c r="P121" s="19" t="str">
        <f t="shared" si="23"/>
        <v/>
      </c>
      <c r="Q121" s="19" t="str">
        <f t="shared" si="24"/>
        <v/>
      </c>
      <c r="R121" s="19" t="str">
        <f t="shared" si="25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9"/>
        <v/>
      </c>
      <c r="M122" s="19" t="str">
        <f t="shared" si="20"/>
        <v/>
      </c>
      <c r="N122" s="19" t="str">
        <f t="shared" si="21"/>
        <v/>
      </c>
      <c r="O122" s="19" t="str">
        <f t="shared" si="22"/>
        <v/>
      </c>
      <c r="P122" s="19" t="str">
        <f t="shared" si="23"/>
        <v/>
      </c>
      <c r="Q122" s="19" t="str">
        <f t="shared" si="24"/>
        <v/>
      </c>
      <c r="R122" s="19" t="str">
        <f t="shared" si="25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9"/>
        <v/>
      </c>
      <c r="M123" s="19" t="str">
        <f t="shared" si="20"/>
        <v/>
      </c>
      <c r="N123" s="19" t="str">
        <f t="shared" si="21"/>
        <v/>
      </c>
      <c r="O123" s="19" t="str">
        <f t="shared" si="22"/>
        <v/>
      </c>
      <c r="P123" s="19" t="str">
        <f t="shared" si="23"/>
        <v/>
      </c>
      <c r="Q123" s="19" t="str">
        <f t="shared" si="24"/>
        <v/>
      </c>
      <c r="R123" s="19" t="str">
        <f t="shared" si="25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9"/>
        <v/>
      </c>
      <c r="M124" s="19" t="str">
        <f t="shared" si="20"/>
        <v/>
      </c>
      <c r="N124" s="19" t="str">
        <f t="shared" si="21"/>
        <v/>
      </c>
      <c r="O124" s="19" t="str">
        <f t="shared" si="22"/>
        <v/>
      </c>
      <c r="P124" s="19" t="str">
        <f t="shared" si="23"/>
        <v/>
      </c>
      <c r="Q124" s="19" t="str">
        <f t="shared" si="24"/>
        <v/>
      </c>
      <c r="R124" s="19" t="str">
        <f t="shared" si="25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9"/>
        <v/>
      </c>
      <c r="M125" s="19" t="str">
        <f t="shared" si="20"/>
        <v/>
      </c>
      <c r="N125" s="19" t="str">
        <f t="shared" si="21"/>
        <v/>
      </c>
      <c r="O125" s="19" t="str">
        <f t="shared" si="22"/>
        <v/>
      </c>
      <c r="P125" s="19" t="str">
        <f t="shared" si="23"/>
        <v/>
      </c>
      <c r="Q125" s="19" t="str">
        <f t="shared" si="24"/>
        <v/>
      </c>
      <c r="R125" s="19" t="str">
        <f t="shared" si="25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9"/>
        <v/>
      </c>
      <c r="M126" s="19" t="str">
        <f t="shared" si="20"/>
        <v/>
      </c>
      <c r="N126" s="19" t="str">
        <f t="shared" si="21"/>
        <v/>
      </c>
      <c r="O126" s="19" t="str">
        <f t="shared" si="22"/>
        <v/>
      </c>
      <c r="P126" s="19" t="str">
        <f t="shared" si="23"/>
        <v/>
      </c>
      <c r="Q126" s="19" t="str">
        <f t="shared" si="24"/>
        <v/>
      </c>
      <c r="R126" s="19" t="str">
        <f t="shared" si="25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9"/>
        <v/>
      </c>
      <c r="M127" s="19" t="str">
        <f t="shared" si="20"/>
        <v/>
      </c>
      <c r="N127" s="19" t="str">
        <f t="shared" si="21"/>
        <v/>
      </c>
      <c r="O127" s="19" t="str">
        <f t="shared" si="22"/>
        <v/>
      </c>
      <c r="P127" s="19" t="str">
        <f t="shared" si="23"/>
        <v/>
      </c>
      <c r="Q127" s="19" t="str">
        <f t="shared" si="24"/>
        <v/>
      </c>
      <c r="R127" s="19" t="str">
        <f t="shared" si="25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9"/>
        <v/>
      </c>
      <c r="M128" s="19" t="str">
        <f t="shared" si="20"/>
        <v/>
      </c>
      <c r="N128" s="19" t="str">
        <f t="shared" si="21"/>
        <v/>
      </c>
      <c r="O128" s="19" t="str">
        <f t="shared" si="22"/>
        <v/>
      </c>
      <c r="P128" s="19" t="str">
        <f t="shared" si="23"/>
        <v/>
      </c>
      <c r="Q128" s="19" t="str">
        <f t="shared" si="24"/>
        <v/>
      </c>
      <c r="R128" s="19" t="str">
        <f t="shared" si="25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9"/>
        <v/>
      </c>
      <c r="M129" s="19" t="str">
        <f t="shared" si="20"/>
        <v/>
      </c>
      <c r="N129" s="19" t="str">
        <f t="shared" si="21"/>
        <v/>
      </c>
      <c r="O129" s="19" t="str">
        <f t="shared" si="22"/>
        <v/>
      </c>
      <c r="P129" s="19" t="str">
        <f t="shared" si="23"/>
        <v/>
      </c>
      <c r="Q129" s="19" t="str">
        <f t="shared" si="24"/>
        <v/>
      </c>
      <c r="R129" s="19" t="str">
        <f t="shared" si="25"/>
        <v/>
      </c>
      <c r="S129" s="27" t="str">
        <f t="shared" ref="S129:X144" si="27">IF(C129="","",((C129-C128)*1000)/($B129-$B128))</f>
        <v/>
      </c>
      <c r="T129" s="28" t="str">
        <f t="shared" si="27"/>
        <v/>
      </c>
      <c r="U129" s="28" t="str">
        <f t="shared" si="27"/>
        <v/>
      </c>
      <c r="V129" s="28" t="str">
        <f t="shared" si="27"/>
        <v/>
      </c>
      <c r="W129" s="28" t="str">
        <f t="shared" si="27"/>
        <v/>
      </c>
      <c r="X129" s="29" t="str">
        <f t="shared" si="2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9"/>
        <v/>
      </c>
      <c r="M130" s="19" t="str">
        <f t="shared" si="20"/>
        <v/>
      </c>
      <c r="N130" s="19" t="str">
        <f t="shared" si="21"/>
        <v/>
      </c>
      <c r="O130" s="19" t="str">
        <f t="shared" si="22"/>
        <v/>
      </c>
      <c r="P130" s="19" t="str">
        <f t="shared" si="23"/>
        <v/>
      </c>
      <c r="Q130" s="19" t="str">
        <f t="shared" si="24"/>
        <v/>
      </c>
      <c r="R130" s="19" t="str">
        <f t="shared" si="25"/>
        <v/>
      </c>
      <c r="S130" s="27" t="str">
        <f t="shared" si="27"/>
        <v/>
      </c>
      <c r="T130" s="28" t="str">
        <f t="shared" si="27"/>
        <v/>
      </c>
      <c r="U130" s="28" t="str">
        <f t="shared" si="27"/>
        <v/>
      </c>
      <c r="V130" s="28" t="str">
        <f t="shared" si="27"/>
        <v/>
      </c>
      <c r="W130" s="28" t="str">
        <f t="shared" si="27"/>
        <v/>
      </c>
      <c r="X130" s="29" t="str">
        <f t="shared" si="2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9"/>
        <v/>
      </c>
      <c r="M131" s="19" t="str">
        <f t="shared" si="20"/>
        <v/>
      </c>
      <c r="N131" s="19" t="str">
        <f t="shared" si="21"/>
        <v/>
      </c>
      <c r="O131" s="19" t="str">
        <f t="shared" si="22"/>
        <v/>
      </c>
      <c r="P131" s="19" t="str">
        <f t="shared" si="23"/>
        <v/>
      </c>
      <c r="Q131" s="19" t="str">
        <f t="shared" si="24"/>
        <v/>
      </c>
      <c r="R131" s="19" t="str">
        <f t="shared" si="25"/>
        <v/>
      </c>
      <c r="S131" s="27" t="str">
        <f t="shared" si="27"/>
        <v/>
      </c>
      <c r="T131" s="28" t="str">
        <f t="shared" si="27"/>
        <v/>
      </c>
      <c r="U131" s="28" t="str">
        <f t="shared" si="27"/>
        <v/>
      </c>
      <c r="V131" s="28" t="str">
        <f t="shared" si="27"/>
        <v/>
      </c>
      <c r="W131" s="28" t="str">
        <f t="shared" si="27"/>
        <v/>
      </c>
      <c r="X131" s="29" t="str">
        <f t="shared" si="2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9"/>
        <v/>
      </c>
      <c r="M132" s="19" t="str">
        <f t="shared" si="20"/>
        <v/>
      </c>
      <c r="N132" s="19" t="str">
        <f t="shared" si="21"/>
        <v/>
      </c>
      <c r="O132" s="19" t="str">
        <f t="shared" si="22"/>
        <v/>
      </c>
      <c r="P132" s="19" t="str">
        <f t="shared" si="23"/>
        <v/>
      </c>
      <c r="Q132" s="19" t="str">
        <f t="shared" si="24"/>
        <v/>
      </c>
      <c r="R132" s="19" t="str">
        <f t="shared" si="25"/>
        <v/>
      </c>
      <c r="S132" s="27" t="str">
        <f t="shared" si="27"/>
        <v/>
      </c>
      <c r="T132" s="28" t="str">
        <f t="shared" si="27"/>
        <v/>
      </c>
      <c r="U132" s="28" t="str">
        <f t="shared" si="27"/>
        <v/>
      </c>
      <c r="V132" s="28" t="str">
        <f t="shared" si="27"/>
        <v/>
      </c>
      <c r="W132" s="28" t="str">
        <f t="shared" si="27"/>
        <v/>
      </c>
      <c r="X132" s="29" t="str">
        <f t="shared" si="2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19"/>
        <v/>
      </c>
      <c r="M133" s="19" t="str">
        <f t="shared" si="20"/>
        <v/>
      </c>
      <c r="N133" s="19" t="str">
        <f t="shared" si="21"/>
        <v/>
      </c>
      <c r="O133" s="19" t="str">
        <f t="shared" si="22"/>
        <v/>
      </c>
      <c r="P133" s="19" t="str">
        <f t="shared" si="23"/>
        <v/>
      </c>
      <c r="Q133" s="19" t="str">
        <f t="shared" si="24"/>
        <v/>
      </c>
      <c r="R133" s="19" t="str">
        <f t="shared" si="25"/>
        <v/>
      </c>
      <c r="S133" s="27" t="str">
        <f t="shared" si="27"/>
        <v/>
      </c>
      <c r="T133" s="28" t="str">
        <f t="shared" si="27"/>
        <v/>
      </c>
      <c r="U133" s="28" t="str">
        <f t="shared" si="27"/>
        <v/>
      </c>
      <c r="V133" s="28" t="str">
        <f t="shared" si="27"/>
        <v/>
      </c>
      <c r="W133" s="28" t="str">
        <f t="shared" si="27"/>
        <v/>
      </c>
      <c r="X133" s="29" t="str">
        <f t="shared" si="2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19"/>
        <v/>
      </c>
      <c r="M134" s="19" t="str">
        <f t="shared" si="20"/>
        <v/>
      </c>
      <c r="N134" s="19" t="str">
        <f t="shared" si="21"/>
        <v/>
      </c>
      <c r="O134" s="19" t="str">
        <f t="shared" si="22"/>
        <v/>
      </c>
      <c r="P134" s="19" t="str">
        <f t="shared" si="23"/>
        <v/>
      </c>
      <c r="Q134" s="19" t="str">
        <f t="shared" si="24"/>
        <v/>
      </c>
      <c r="R134" s="19" t="str">
        <f t="shared" si="25"/>
        <v/>
      </c>
      <c r="S134" s="27" t="str">
        <f t="shared" si="27"/>
        <v/>
      </c>
      <c r="T134" s="28" t="str">
        <f t="shared" si="27"/>
        <v/>
      </c>
      <c r="U134" s="28" t="str">
        <f t="shared" si="27"/>
        <v/>
      </c>
      <c r="V134" s="28" t="str">
        <f t="shared" si="27"/>
        <v/>
      </c>
      <c r="W134" s="28" t="str">
        <f t="shared" si="27"/>
        <v/>
      </c>
      <c r="X134" s="29" t="str">
        <f t="shared" si="2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19"/>
        <v/>
      </c>
      <c r="M135" s="19" t="str">
        <f t="shared" si="20"/>
        <v/>
      </c>
      <c r="N135" s="19" t="str">
        <f t="shared" si="21"/>
        <v/>
      </c>
      <c r="O135" s="19" t="str">
        <f t="shared" si="22"/>
        <v/>
      </c>
      <c r="P135" s="19" t="str">
        <f t="shared" si="23"/>
        <v/>
      </c>
      <c r="Q135" s="19" t="str">
        <f t="shared" si="24"/>
        <v/>
      </c>
      <c r="R135" s="19" t="str">
        <f t="shared" si="25"/>
        <v/>
      </c>
      <c r="S135" s="27" t="str">
        <f t="shared" si="27"/>
        <v/>
      </c>
      <c r="T135" s="28" t="str">
        <f t="shared" si="27"/>
        <v/>
      </c>
      <c r="U135" s="28" t="str">
        <f t="shared" si="27"/>
        <v/>
      </c>
      <c r="V135" s="28" t="str">
        <f t="shared" si="27"/>
        <v/>
      </c>
      <c r="W135" s="28" t="str">
        <f t="shared" si="27"/>
        <v/>
      </c>
      <c r="X135" s="29" t="str">
        <f t="shared" si="2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19"/>
        <v/>
      </c>
      <c r="M136" s="19" t="str">
        <f t="shared" si="20"/>
        <v/>
      </c>
      <c r="N136" s="19" t="str">
        <f t="shared" si="21"/>
        <v/>
      </c>
      <c r="O136" s="19" t="str">
        <f t="shared" si="22"/>
        <v/>
      </c>
      <c r="P136" s="19" t="str">
        <f t="shared" si="23"/>
        <v/>
      </c>
      <c r="Q136" s="19" t="str">
        <f t="shared" si="24"/>
        <v/>
      </c>
      <c r="R136" s="19" t="str">
        <f t="shared" si="25"/>
        <v/>
      </c>
      <c r="S136" s="27" t="str">
        <f t="shared" si="27"/>
        <v/>
      </c>
      <c r="T136" s="28" t="str">
        <f t="shared" si="27"/>
        <v/>
      </c>
      <c r="U136" s="28" t="str">
        <f t="shared" si="27"/>
        <v/>
      </c>
      <c r="V136" s="28" t="str">
        <f t="shared" si="27"/>
        <v/>
      </c>
      <c r="W136" s="28" t="str">
        <f t="shared" si="27"/>
        <v/>
      </c>
      <c r="X136" s="29" t="str">
        <f t="shared" si="2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19"/>
        <v/>
      </c>
      <c r="M137" s="19" t="str">
        <f t="shared" si="20"/>
        <v/>
      </c>
      <c r="N137" s="19" t="str">
        <f t="shared" si="21"/>
        <v/>
      </c>
      <c r="O137" s="19" t="str">
        <f t="shared" si="22"/>
        <v/>
      </c>
      <c r="P137" s="19" t="str">
        <f t="shared" si="23"/>
        <v/>
      </c>
      <c r="Q137" s="19" t="str">
        <f t="shared" si="24"/>
        <v/>
      </c>
      <c r="R137" s="19" t="str">
        <f t="shared" si="25"/>
        <v/>
      </c>
      <c r="S137" s="27" t="str">
        <f t="shared" si="27"/>
        <v/>
      </c>
      <c r="T137" s="28" t="str">
        <f t="shared" si="27"/>
        <v/>
      </c>
      <c r="U137" s="28" t="str">
        <f t="shared" si="27"/>
        <v/>
      </c>
      <c r="V137" s="28" t="str">
        <f t="shared" si="27"/>
        <v/>
      </c>
      <c r="W137" s="28" t="str">
        <f t="shared" si="27"/>
        <v/>
      </c>
      <c r="X137" s="29" t="str">
        <f t="shared" si="2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19"/>
        <v/>
      </c>
      <c r="M138" s="19" t="str">
        <f t="shared" si="20"/>
        <v/>
      </c>
      <c r="N138" s="19" t="str">
        <f t="shared" si="21"/>
        <v/>
      </c>
      <c r="O138" s="19" t="str">
        <f t="shared" si="22"/>
        <v/>
      </c>
      <c r="P138" s="19" t="str">
        <f t="shared" si="23"/>
        <v/>
      </c>
      <c r="Q138" s="19" t="str">
        <f t="shared" si="24"/>
        <v/>
      </c>
      <c r="R138" s="19" t="str">
        <f t="shared" si="25"/>
        <v/>
      </c>
      <c r="S138" s="27" t="str">
        <f t="shared" si="27"/>
        <v/>
      </c>
      <c r="T138" s="28" t="str">
        <f t="shared" si="27"/>
        <v/>
      </c>
      <c r="U138" s="28" t="str">
        <f t="shared" si="27"/>
        <v/>
      </c>
      <c r="V138" s="28" t="str">
        <f t="shared" si="27"/>
        <v/>
      </c>
      <c r="W138" s="28" t="str">
        <f t="shared" si="27"/>
        <v/>
      </c>
      <c r="X138" s="29" t="str">
        <f t="shared" si="2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19"/>
        <v/>
      </c>
      <c r="M139" s="19" t="str">
        <f t="shared" si="20"/>
        <v/>
      </c>
      <c r="N139" s="19" t="str">
        <f t="shared" si="21"/>
        <v/>
      </c>
      <c r="O139" s="19" t="str">
        <f t="shared" si="22"/>
        <v/>
      </c>
      <c r="P139" s="19" t="str">
        <f t="shared" si="23"/>
        <v/>
      </c>
      <c r="Q139" s="19" t="str">
        <f t="shared" si="24"/>
        <v/>
      </c>
      <c r="R139" s="19" t="str">
        <f t="shared" si="25"/>
        <v/>
      </c>
      <c r="S139" s="27" t="str">
        <f t="shared" si="27"/>
        <v/>
      </c>
      <c r="T139" s="28" t="str">
        <f t="shared" si="27"/>
        <v/>
      </c>
      <c r="U139" s="28" t="str">
        <f t="shared" si="27"/>
        <v/>
      </c>
      <c r="V139" s="28" t="str">
        <f t="shared" si="27"/>
        <v/>
      </c>
      <c r="W139" s="28" t="str">
        <f t="shared" si="27"/>
        <v/>
      </c>
      <c r="X139" s="29" t="str">
        <f t="shared" si="2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19"/>
        <v/>
      </c>
      <c r="M140" s="19" t="str">
        <f t="shared" si="20"/>
        <v/>
      </c>
      <c r="N140" s="19" t="str">
        <f t="shared" si="21"/>
        <v/>
      </c>
      <c r="O140" s="19" t="str">
        <f t="shared" si="22"/>
        <v/>
      </c>
      <c r="P140" s="19" t="str">
        <f t="shared" si="23"/>
        <v/>
      </c>
      <c r="Q140" s="19" t="str">
        <f t="shared" si="24"/>
        <v/>
      </c>
      <c r="R140" s="19" t="str">
        <f t="shared" si="25"/>
        <v/>
      </c>
      <c r="S140" s="27" t="str">
        <f t="shared" si="27"/>
        <v/>
      </c>
      <c r="T140" s="28" t="str">
        <f t="shared" si="27"/>
        <v/>
      </c>
      <c r="U140" s="28" t="str">
        <f t="shared" si="27"/>
        <v/>
      </c>
      <c r="V140" s="28" t="str">
        <f t="shared" si="27"/>
        <v/>
      </c>
      <c r="W140" s="28" t="str">
        <f t="shared" si="27"/>
        <v/>
      </c>
      <c r="X140" s="29" t="str">
        <f t="shared" si="2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19"/>
        <v/>
      </c>
      <c r="M141" s="19" t="str">
        <f t="shared" si="20"/>
        <v/>
      </c>
      <c r="N141" s="19" t="str">
        <f t="shared" si="21"/>
        <v/>
      </c>
      <c r="O141" s="19" t="str">
        <f t="shared" si="22"/>
        <v/>
      </c>
      <c r="P141" s="19" t="str">
        <f t="shared" si="23"/>
        <v/>
      </c>
      <c r="Q141" s="19" t="str">
        <f t="shared" si="24"/>
        <v/>
      </c>
      <c r="R141" s="19" t="str">
        <f t="shared" si="25"/>
        <v/>
      </c>
      <c r="S141" s="27" t="str">
        <f t="shared" si="27"/>
        <v/>
      </c>
      <c r="T141" s="28" t="str">
        <f t="shared" si="27"/>
        <v/>
      </c>
      <c r="U141" s="28" t="str">
        <f t="shared" si="27"/>
        <v/>
      </c>
      <c r="V141" s="28" t="str">
        <f t="shared" si="27"/>
        <v/>
      </c>
      <c r="W141" s="28" t="str">
        <f t="shared" si="27"/>
        <v/>
      </c>
      <c r="X141" s="29" t="str">
        <f t="shared" si="2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19"/>
        <v/>
      </c>
      <c r="M142" s="19" t="str">
        <f t="shared" si="20"/>
        <v/>
      </c>
      <c r="N142" s="19" t="str">
        <f t="shared" si="21"/>
        <v/>
      </c>
      <c r="O142" s="19" t="str">
        <f t="shared" si="22"/>
        <v/>
      </c>
      <c r="P142" s="19" t="str">
        <f t="shared" si="23"/>
        <v/>
      </c>
      <c r="Q142" s="19" t="str">
        <f t="shared" si="24"/>
        <v/>
      </c>
      <c r="R142" s="19" t="str">
        <f t="shared" si="25"/>
        <v/>
      </c>
      <c r="S142" s="27" t="str">
        <f t="shared" si="27"/>
        <v/>
      </c>
      <c r="T142" s="28" t="str">
        <f t="shared" si="27"/>
        <v/>
      </c>
      <c r="U142" s="28" t="str">
        <f t="shared" si="27"/>
        <v/>
      </c>
      <c r="V142" s="28" t="str">
        <f t="shared" si="27"/>
        <v/>
      </c>
      <c r="W142" s="28" t="str">
        <f t="shared" si="27"/>
        <v/>
      </c>
      <c r="X142" s="29" t="str">
        <f t="shared" si="2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19"/>
        <v/>
      </c>
      <c r="M143" s="19" t="str">
        <f t="shared" si="20"/>
        <v/>
      </c>
      <c r="N143" s="19" t="str">
        <f t="shared" si="21"/>
        <v/>
      </c>
      <c r="O143" s="19" t="str">
        <f t="shared" si="22"/>
        <v/>
      </c>
      <c r="P143" s="19" t="str">
        <f t="shared" si="23"/>
        <v/>
      </c>
      <c r="Q143" s="19" t="str">
        <f t="shared" si="24"/>
        <v/>
      </c>
      <c r="R143" s="19" t="str">
        <f t="shared" si="25"/>
        <v/>
      </c>
      <c r="S143" s="27" t="str">
        <f t="shared" si="27"/>
        <v/>
      </c>
      <c r="T143" s="28" t="str">
        <f t="shared" si="27"/>
        <v/>
      </c>
      <c r="U143" s="28" t="str">
        <f t="shared" si="27"/>
        <v/>
      </c>
      <c r="V143" s="28" t="str">
        <f t="shared" si="27"/>
        <v/>
      </c>
      <c r="W143" s="28" t="str">
        <f t="shared" si="27"/>
        <v/>
      </c>
      <c r="X143" s="29" t="str">
        <f t="shared" si="2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19"/>
        <v/>
      </c>
      <c r="M144" s="19" t="str">
        <f t="shared" si="20"/>
        <v/>
      </c>
      <c r="N144" s="19" t="str">
        <f t="shared" si="21"/>
        <v/>
      </c>
      <c r="O144" s="19" t="str">
        <f t="shared" si="22"/>
        <v/>
      </c>
      <c r="P144" s="19" t="str">
        <f t="shared" si="23"/>
        <v/>
      </c>
      <c r="Q144" s="19" t="str">
        <f t="shared" si="24"/>
        <v/>
      </c>
      <c r="R144" s="19" t="str">
        <f t="shared" ref="R144:R153" si="28">IF(ISBLANK(I144),"",(I144-I$16)*1000)</f>
        <v/>
      </c>
      <c r="S144" s="27" t="str">
        <f t="shared" si="27"/>
        <v/>
      </c>
      <c r="T144" s="28" t="str">
        <f t="shared" si="27"/>
        <v/>
      </c>
      <c r="U144" s="28" t="str">
        <f t="shared" si="27"/>
        <v/>
      </c>
      <c r="V144" s="28" t="str">
        <f t="shared" si="27"/>
        <v/>
      </c>
      <c r="W144" s="28" t="str">
        <f t="shared" si="27"/>
        <v/>
      </c>
      <c r="X144" s="29" t="str">
        <f t="shared" si="2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19"/>
        <v/>
      </c>
      <c r="M145" s="19" t="str">
        <f t="shared" si="20"/>
        <v/>
      </c>
      <c r="N145" s="19" t="str">
        <f t="shared" si="21"/>
        <v/>
      </c>
      <c r="O145" s="19" t="str">
        <f t="shared" si="22"/>
        <v/>
      </c>
      <c r="P145" s="19" t="str">
        <f t="shared" si="23"/>
        <v/>
      </c>
      <c r="Q145" s="19" t="str">
        <f t="shared" si="24"/>
        <v/>
      </c>
      <c r="R145" s="19" t="str">
        <f t="shared" si="28"/>
        <v/>
      </c>
      <c r="S145" s="27" t="str">
        <f t="shared" ref="S145:X153" si="29">IF(C145="","",((C145-C144)*1000)/($B145-$B144))</f>
        <v/>
      </c>
      <c r="T145" s="28" t="str">
        <f t="shared" si="29"/>
        <v/>
      </c>
      <c r="U145" s="28" t="str">
        <f t="shared" si="29"/>
        <v/>
      </c>
      <c r="V145" s="28" t="str">
        <f t="shared" si="29"/>
        <v/>
      </c>
      <c r="W145" s="28" t="str">
        <f t="shared" si="29"/>
        <v/>
      </c>
      <c r="X145" s="29" t="str">
        <f t="shared" si="29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19"/>
        <v/>
      </c>
      <c r="M146" s="19" t="str">
        <f t="shared" si="20"/>
        <v/>
      </c>
      <c r="N146" s="19" t="str">
        <f t="shared" si="21"/>
        <v/>
      </c>
      <c r="O146" s="19" t="str">
        <f t="shared" si="22"/>
        <v/>
      </c>
      <c r="P146" s="19" t="str">
        <f t="shared" si="23"/>
        <v/>
      </c>
      <c r="Q146" s="19" t="str">
        <f t="shared" si="24"/>
        <v/>
      </c>
      <c r="R146" s="19" t="str">
        <f t="shared" si="28"/>
        <v/>
      </c>
      <c r="S146" s="27" t="str">
        <f t="shared" si="29"/>
        <v/>
      </c>
      <c r="T146" s="28" t="str">
        <f t="shared" si="29"/>
        <v/>
      </c>
      <c r="U146" s="28" t="str">
        <f t="shared" si="29"/>
        <v/>
      </c>
      <c r="V146" s="28" t="str">
        <f t="shared" si="29"/>
        <v/>
      </c>
      <c r="W146" s="28" t="str">
        <f t="shared" si="29"/>
        <v/>
      </c>
      <c r="X146" s="29" t="str">
        <f t="shared" si="29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19"/>
        <v/>
      </c>
      <c r="M147" s="19" t="str">
        <f t="shared" si="20"/>
        <v/>
      </c>
      <c r="N147" s="19" t="str">
        <f t="shared" si="21"/>
        <v/>
      </c>
      <c r="O147" s="19" t="str">
        <f t="shared" si="22"/>
        <v/>
      </c>
      <c r="P147" s="19" t="str">
        <f t="shared" si="23"/>
        <v/>
      </c>
      <c r="Q147" s="19" t="str">
        <f t="shared" si="24"/>
        <v/>
      </c>
      <c r="R147" s="19" t="str">
        <f t="shared" si="28"/>
        <v/>
      </c>
      <c r="S147" s="27" t="str">
        <f t="shared" si="29"/>
        <v/>
      </c>
      <c r="T147" s="28" t="str">
        <f t="shared" si="29"/>
        <v/>
      </c>
      <c r="U147" s="28" t="str">
        <f t="shared" si="29"/>
        <v/>
      </c>
      <c r="V147" s="28" t="str">
        <f t="shared" si="29"/>
        <v/>
      </c>
      <c r="W147" s="28" t="str">
        <f t="shared" si="29"/>
        <v/>
      </c>
      <c r="X147" s="29" t="str">
        <f t="shared" si="29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19"/>
        <v/>
      </c>
      <c r="M148" s="19" t="str">
        <f t="shared" si="20"/>
        <v/>
      </c>
      <c r="N148" s="19" t="str">
        <f t="shared" si="21"/>
        <v/>
      </c>
      <c r="O148" s="19" t="str">
        <f t="shared" si="22"/>
        <v/>
      </c>
      <c r="P148" s="19" t="str">
        <f t="shared" si="23"/>
        <v/>
      </c>
      <c r="Q148" s="19" t="str">
        <f t="shared" si="24"/>
        <v/>
      </c>
      <c r="R148" s="19" t="str">
        <f t="shared" si="28"/>
        <v/>
      </c>
      <c r="S148" s="27" t="str">
        <f t="shared" si="29"/>
        <v/>
      </c>
      <c r="T148" s="28" t="str">
        <f t="shared" si="29"/>
        <v/>
      </c>
      <c r="U148" s="28" t="str">
        <f t="shared" si="29"/>
        <v/>
      </c>
      <c r="V148" s="28" t="str">
        <f t="shared" si="29"/>
        <v/>
      </c>
      <c r="W148" s="28" t="str">
        <f t="shared" si="29"/>
        <v/>
      </c>
      <c r="X148" s="29" t="str">
        <f t="shared" si="29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19"/>
        <v/>
      </c>
      <c r="M149" s="19" t="str">
        <f t="shared" si="20"/>
        <v/>
      </c>
      <c r="N149" s="19" t="str">
        <f t="shared" si="21"/>
        <v/>
      </c>
      <c r="O149" s="19" t="str">
        <f t="shared" si="22"/>
        <v/>
      </c>
      <c r="P149" s="19" t="str">
        <f t="shared" si="23"/>
        <v/>
      </c>
      <c r="Q149" s="19" t="str">
        <f t="shared" si="24"/>
        <v/>
      </c>
      <c r="R149" s="19" t="str">
        <f t="shared" si="28"/>
        <v/>
      </c>
      <c r="S149" s="27" t="str">
        <f t="shared" si="29"/>
        <v/>
      </c>
      <c r="T149" s="28" t="str">
        <f t="shared" si="29"/>
        <v/>
      </c>
      <c r="U149" s="28" t="str">
        <f t="shared" si="29"/>
        <v/>
      </c>
      <c r="V149" s="28" t="str">
        <f t="shared" si="29"/>
        <v/>
      </c>
      <c r="W149" s="28" t="str">
        <f t="shared" si="29"/>
        <v/>
      </c>
      <c r="X149" s="29" t="str">
        <f t="shared" si="29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19"/>
        <v/>
      </c>
      <c r="M150" s="19" t="str">
        <f t="shared" si="20"/>
        <v/>
      </c>
      <c r="N150" s="19" t="str">
        <f t="shared" si="21"/>
        <v/>
      </c>
      <c r="O150" s="19" t="str">
        <f t="shared" si="22"/>
        <v/>
      </c>
      <c r="P150" s="19" t="str">
        <f t="shared" si="23"/>
        <v/>
      </c>
      <c r="Q150" s="19" t="str">
        <f t="shared" si="24"/>
        <v/>
      </c>
      <c r="R150" s="19" t="str">
        <f t="shared" si="28"/>
        <v/>
      </c>
      <c r="S150" s="27" t="str">
        <f t="shared" si="29"/>
        <v/>
      </c>
      <c r="T150" s="28" t="str">
        <f t="shared" si="29"/>
        <v/>
      </c>
      <c r="U150" s="28" t="str">
        <f t="shared" si="29"/>
        <v/>
      </c>
      <c r="V150" s="28" t="str">
        <f t="shared" si="29"/>
        <v/>
      </c>
      <c r="W150" s="28" t="str">
        <f t="shared" si="29"/>
        <v/>
      </c>
      <c r="X150" s="29" t="str">
        <f t="shared" si="29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19"/>
        <v/>
      </c>
      <c r="M151" s="19" t="str">
        <f t="shared" si="20"/>
        <v/>
      </c>
      <c r="N151" s="19" t="str">
        <f t="shared" si="21"/>
        <v/>
      </c>
      <c r="O151" s="19" t="str">
        <f t="shared" si="22"/>
        <v/>
      </c>
      <c r="P151" s="19" t="str">
        <f t="shared" si="23"/>
        <v/>
      </c>
      <c r="Q151" s="19" t="str">
        <f t="shared" si="24"/>
        <v/>
      </c>
      <c r="R151" s="19" t="str">
        <f t="shared" si="28"/>
        <v/>
      </c>
      <c r="S151" s="27" t="str">
        <f t="shared" si="29"/>
        <v/>
      </c>
      <c r="T151" s="28" t="str">
        <f t="shared" si="29"/>
        <v/>
      </c>
      <c r="U151" s="28" t="str">
        <f t="shared" si="29"/>
        <v/>
      </c>
      <c r="V151" s="28" t="str">
        <f t="shared" si="29"/>
        <v/>
      </c>
      <c r="W151" s="28" t="str">
        <f t="shared" si="29"/>
        <v/>
      </c>
      <c r="X151" s="29" t="str">
        <f t="shared" si="29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19"/>
        <v/>
      </c>
      <c r="M152" s="19" t="str">
        <f t="shared" si="20"/>
        <v/>
      </c>
      <c r="N152" s="19" t="str">
        <f t="shared" si="21"/>
        <v/>
      </c>
      <c r="O152" s="19" t="str">
        <f t="shared" si="22"/>
        <v/>
      </c>
      <c r="P152" s="19" t="str">
        <f t="shared" si="23"/>
        <v/>
      </c>
      <c r="Q152" s="19" t="str">
        <f t="shared" si="24"/>
        <v/>
      </c>
      <c r="R152" s="19" t="str">
        <f t="shared" si="28"/>
        <v/>
      </c>
      <c r="S152" s="27" t="str">
        <f t="shared" si="29"/>
        <v/>
      </c>
      <c r="T152" s="28" t="str">
        <f t="shared" si="29"/>
        <v/>
      </c>
      <c r="U152" s="28" t="str">
        <f t="shared" si="29"/>
        <v/>
      </c>
      <c r="V152" s="28" t="str">
        <f t="shared" si="29"/>
        <v/>
      </c>
      <c r="W152" s="28" t="str">
        <f t="shared" si="29"/>
        <v/>
      </c>
      <c r="X152" s="29" t="str">
        <f t="shared" si="29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19"/>
        <v/>
      </c>
      <c r="M153" s="19" t="str">
        <f t="shared" si="20"/>
        <v/>
      </c>
      <c r="N153" s="19" t="str">
        <f t="shared" si="21"/>
        <v/>
      </c>
      <c r="O153" s="19" t="str">
        <f t="shared" si="22"/>
        <v/>
      </c>
      <c r="P153" s="19" t="str">
        <f t="shared" si="23"/>
        <v/>
      </c>
      <c r="Q153" s="19" t="str">
        <f t="shared" si="24"/>
        <v/>
      </c>
      <c r="R153" s="19" t="str">
        <f t="shared" si="28"/>
        <v/>
      </c>
      <c r="S153" s="27" t="str">
        <f t="shared" si="29"/>
        <v/>
      </c>
      <c r="T153" s="28" t="str">
        <f t="shared" si="29"/>
        <v/>
      </c>
      <c r="U153" s="28" t="str">
        <f t="shared" si="29"/>
        <v/>
      </c>
      <c r="V153" s="28" t="str">
        <f t="shared" si="29"/>
        <v/>
      </c>
      <c r="W153" s="28" t="str">
        <f t="shared" si="29"/>
        <v/>
      </c>
      <c r="X153" s="29" t="str">
        <f t="shared" si="29"/>
        <v/>
      </c>
      <c r="Y153" s="24"/>
    </row>
  </sheetData>
  <sheetProtection selectLockedCells="1"/>
  <mergeCells count="38"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  <mergeCell ref="A1:J1"/>
    <mergeCell ref="E2:Q2"/>
    <mergeCell ref="R2:X4"/>
    <mergeCell ref="Y2:Y4"/>
    <mergeCell ref="E3:Q3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1672-253E-49AA-9E9A-5B0D1A62D49A}">
  <dimension ref="A1:D1934"/>
  <sheetViews>
    <sheetView topLeftCell="A40" zoomScaleNormal="100" workbookViewId="0">
      <selection activeCell="G59" sqref="G59"/>
    </sheetView>
  </sheetViews>
  <sheetFormatPr baseColWidth="10" defaultRowHeight="15" x14ac:dyDescent="0.25"/>
  <cols>
    <col min="1" max="3" width="11.42578125" style="88"/>
  </cols>
  <sheetData>
    <row r="1" spans="1:4" x14ac:dyDescent="0.25">
      <c r="A1" s="85" t="s">
        <v>17</v>
      </c>
      <c r="B1" s="85" t="s">
        <v>83</v>
      </c>
      <c r="C1" s="87" t="s">
        <v>68</v>
      </c>
    </row>
    <row r="2" spans="1:4" x14ac:dyDescent="0.25">
      <c r="A2" s="111">
        <v>46169</v>
      </c>
      <c r="B2" s="88" t="s">
        <v>223</v>
      </c>
      <c r="C2" s="88">
        <v>69.986800000000002</v>
      </c>
    </row>
    <row r="3" spans="1:4" x14ac:dyDescent="0.25">
      <c r="A3" s="111">
        <v>46169</v>
      </c>
      <c r="B3" s="88" t="s">
        <v>224</v>
      </c>
      <c r="C3" s="88">
        <v>70.278099999999995</v>
      </c>
    </row>
    <row r="4" spans="1:4" x14ac:dyDescent="0.25">
      <c r="A4" s="111">
        <v>46169</v>
      </c>
      <c r="B4" s="88" t="s">
        <v>225</v>
      </c>
      <c r="C4" s="88">
        <v>70.349100000000007</v>
      </c>
    </row>
    <row r="5" spans="1:4" x14ac:dyDescent="0.25">
      <c r="A5" s="111">
        <v>46169</v>
      </c>
      <c r="B5" s="88" t="s">
        <v>226</v>
      </c>
      <c r="C5" s="88">
        <v>72.221900000000005</v>
      </c>
    </row>
    <row r="6" spans="1:4" x14ac:dyDescent="0.25">
      <c r="A6" s="111">
        <v>46170</v>
      </c>
      <c r="B6" s="88" t="s">
        <v>223</v>
      </c>
      <c r="C6" s="88">
        <v>69.986900000000006</v>
      </c>
    </row>
    <row r="7" spans="1:4" x14ac:dyDescent="0.25">
      <c r="A7" s="111">
        <v>46170</v>
      </c>
      <c r="B7" s="88" t="s">
        <v>224</v>
      </c>
      <c r="C7" s="88">
        <v>70.278099999999995</v>
      </c>
    </row>
    <row r="8" spans="1:4" x14ac:dyDescent="0.25">
      <c r="A8" s="111">
        <v>46170</v>
      </c>
      <c r="B8" s="88" t="s">
        <v>225</v>
      </c>
      <c r="C8" s="88">
        <v>70.3489</v>
      </c>
    </row>
    <row r="9" spans="1:4" x14ac:dyDescent="0.25">
      <c r="A9" s="111">
        <v>46170</v>
      </c>
      <c r="B9" s="88" t="s">
        <v>226</v>
      </c>
      <c r="C9" s="88">
        <v>72.221599999999995</v>
      </c>
    </row>
    <row r="10" spans="1:4" x14ac:dyDescent="0.25">
      <c r="A10" s="111">
        <v>46170</v>
      </c>
      <c r="B10" s="88" t="s">
        <v>227</v>
      </c>
      <c r="C10" s="88">
        <v>70.573499999999996</v>
      </c>
    </row>
    <row r="11" spans="1:4" x14ac:dyDescent="0.25">
      <c r="A11" s="111">
        <v>46170</v>
      </c>
      <c r="B11" s="88" t="s">
        <v>228</v>
      </c>
      <c r="C11" s="88">
        <v>70.585800000000006</v>
      </c>
    </row>
    <row r="12" spans="1:4" x14ac:dyDescent="0.25">
      <c r="A12" s="111">
        <v>46171</v>
      </c>
      <c r="B12" s="88" t="s">
        <v>223</v>
      </c>
      <c r="C12" s="88">
        <v>69.987300000000005</v>
      </c>
      <c r="D12" s="104"/>
    </row>
    <row r="13" spans="1:4" x14ac:dyDescent="0.25">
      <c r="A13" s="111">
        <v>46171</v>
      </c>
      <c r="B13" s="88" t="s">
        <v>224</v>
      </c>
      <c r="C13" s="88">
        <v>70.278300000000002</v>
      </c>
      <c r="D13" s="104"/>
    </row>
    <row r="14" spans="1:4" x14ac:dyDescent="0.25">
      <c r="A14" s="111">
        <v>46171</v>
      </c>
      <c r="B14" s="88" t="s">
        <v>225</v>
      </c>
      <c r="C14" s="88">
        <v>70.348600000000005</v>
      </c>
      <c r="D14" s="104"/>
    </row>
    <row r="15" spans="1:4" x14ac:dyDescent="0.25">
      <c r="A15" s="111">
        <v>46171</v>
      </c>
      <c r="B15" s="88" t="s">
        <v>226</v>
      </c>
      <c r="C15" s="88">
        <v>72.221500000000006</v>
      </c>
      <c r="D15" s="104"/>
    </row>
    <row r="16" spans="1:4" x14ac:dyDescent="0.25">
      <c r="A16" s="111">
        <v>46171</v>
      </c>
      <c r="B16" s="88" t="s">
        <v>227</v>
      </c>
      <c r="C16" s="88">
        <v>70.572599999999994</v>
      </c>
      <c r="D16" s="104"/>
    </row>
    <row r="17" spans="1:4" x14ac:dyDescent="0.25">
      <c r="A17" s="111">
        <v>46171</v>
      </c>
      <c r="B17" s="88" t="s">
        <v>228</v>
      </c>
      <c r="C17" s="88">
        <v>70.5852</v>
      </c>
      <c r="D17" s="104"/>
    </row>
    <row r="18" spans="1:4" x14ac:dyDescent="0.25">
      <c r="A18" s="111">
        <v>46174</v>
      </c>
      <c r="B18" s="88" t="s">
        <v>223</v>
      </c>
      <c r="C18" s="88">
        <v>69.987300000000005</v>
      </c>
    </row>
    <row r="19" spans="1:4" x14ac:dyDescent="0.25">
      <c r="A19" s="111">
        <v>46174</v>
      </c>
      <c r="B19" s="88" t="s">
        <v>224</v>
      </c>
      <c r="C19" s="88">
        <v>70.278400000000005</v>
      </c>
    </row>
    <row r="20" spans="1:4" x14ac:dyDescent="0.25">
      <c r="A20" s="111">
        <v>46174</v>
      </c>
      <c r="B20" s="88" t="s">
        <v>225</v>
      </c>
      <c r="C20" s="88">
        <v>70.349000000000004</v>
      </c>
    </row>
    <row r="21" spans="1:4" x14ac:dyDescent="0.25">
      <c r="A21" s="111">
        <v>46174</v>
      </c>
      <c r="B21" s="88" t="s">
        <v>226</v>
      </c>
      <c r="C21" s="88">
        <v>72.221500000000006</v>
      </c>
    </row>
    <row r="22" spans="1:4" x14ac:dyDescent="0.25">
      <c r="A22" s="111">
        <v>46174</v>
      </c>
      <c r="B22" s="88" t="s">
        <v>227</v>
      </c>
      <c r="C22" s="88">
        <v>70.572699999999998</v>
      </c>
    </row>
    <row r="23" spans="1:4" x14ac:dyDescent="0.25">
      <c r="A23" s="111">
        <v>46174</v>
      </c>
      <c r="B23" s="88" t="s">
        <v>228</v>
      </c>
      <c r="C23" s="88">
        <v>70.5852</v>
      </c>
    </row>
    <row r="24" spans="1:4" x14ac:dyDescent="0.25">
      <c r="A24" s="111">
        <v>46176</v>
      </c>
      <c r="B24" s="88" t="s">
        <v>229</v>
      </c>
      <c r="C24" s="88">
        <v>57.889499999999998</v>
      </c>
    </row>
    <row r="25" spans="1:4" x14ac:dyDescent="0.25">
      <c r="A25" s="111">
        <v>46176</v>
      </c>
      <c r="B25" s="88" t="s">
        <v>230</v>
      </c>
      <c r="C25" s="88">
        <v>59.255600000000001</v>
      </c>
    </row>
    <row r="26" spans="1:4" x14ac:dyDescent="0.25">
      <c r="A26" s="111">
        <v>46176</v>
      </c>
      <c r="B26" s="88" t="s">
        <v>231</v>
      </c>
      <c r="C26" s="88">
        <v>59.09</v>
      </c>
    </row>
    <row r="27" spans="1:4" x14ac:dyDescent="0.25">
      <c r="A27" s="111">
        <v>46176</v>
      </c>
      <c r="B27" s="88" t="s">
        <v>232</v>
      </c>
      <c r="C27" s="88">
        <v>59.427700000000002</v>
      </c>
    </row>
    <row r="28" spans="1:4" x14ac:dyDescent="0.25">
      <c r="A28" s="111">
        <v>46176</v>
      </c>
      <c r="B28" s="88" t="s">
        <v>233</v>
      </c>
      <c r="C28" s="88">
        <v>59.219700000000003</v>
      </c>
    </row>
    <row r="29" spans="1:4" x14ac:dyDescent="0.25">
      <c r="A29" s="111">
        <v>46176</v>
      </c>
      <c r="B29" s="88" t="s">
        <v>234</v>
      </c>
      <c r="C29" s="88">
        <v>59.044199999999996</v>
      </c>
    </row>
    <row r="30" spans="1:4" x14ac:dyDescent="0.25">
      <c r="A30" s="111">
        <v>46176</v>
      </c>
      <c r="B30" s="88" t="s">
        <v>235</v>
      </c>
      <c r="C30" s="88">
        <v>59.293700000000001</v>
      </c>
    </row>
    <row r="31" spans="1:4" x14ac:dyDescent="0.25">
      <c r="A31" s="111">
        <v>46177</v>
      </c>
      <c r="B31" t="s">
        <v>223</v>
      </c>
      <c r="C31">
        <v>69.987899999999996</v>
      </c>
    </row>
    <row r="32" spans="1:4" x14ac:dyDescent="0.25">
      <c r="A32" s="111">
        <v>46177</v>
      </c>
      <c r="B32" t="s">
        <v>224</v>
      </c>
      <c r="C32">
        <v>70.278700000000001</v>
      </c>
    </row>
    <row r="33" spans="1:4" x14ac:dyDescent="0.25">
      <c r="A33" s="111">
        <v>46177</v>
      </c>
      <c r="B33" t="s">
        <v>225</v>
      </c>
      <c r="C33">
        <v>70.348799999999997</v>
      </c>
    </row>
    <row r="34" spans="1:4" x14ac:dyDescent="0.25">
      <c r="A34" s="111">
        <v>46177</v>
      </c>
      <c r="B34" t="s">
        <v>226</v>
      </c>
      <c r="C34">
        <v>72.221199999999996</v>
      </c>
    </row>
    <row r="35" spans="1:4" x14ac:dyDescent="0.25">
      <c r="A35" s="111">
        <v>46177</v>
      </c>
      <c r="B35" t="s">
        <v>227</v>
      </c>
      <c r="C35">
        <v>70.5732</v>
      </c>
    </row>
    <row r="36" spans="1:4" x14ac:dyDescent="0.25">
      <c r="A36" s="111">
        <v>46177</v>
      </c>
      <c r="B36" t="s">
        <v>228</v>
      </c>
      <c r="C36">
        <v>70.585599999999999</v>
      </c>
    </row>
    <row r="37" spans="1:4" x14ac:dyDescent="0.25">
      <c r="A37" s="111">
        <v>46181</v>
      </c>
      <c r="B37" t="s">
        <v>223</v>
      </c>
      <c r="C37">
        <v>69.987399999999994</v>
      </c>
    </row>
    <row r="38" spans="1:4" x14ac:dyDescent="0.25">
      <c r="A38" s="111">
        <v>46181</v>
      </c>
      <c r="B38" t="s">
        <v>224</v>
      </c>
      <c r="C38">
        <v>70.278700000000001</v>
      </c>
    </row>
    <row r="39" spans="1:4" x14ac:dyDescent="0.25">
      <c r="A39" s="111">
        <v>46181</v>
      </c>
      <c r="B39" t="s">
        <v>225</v>
      </c>
      <c r="C39">
        <v>70.349199999999996</v>
      </c>
    </row>
    <row r="40" spans="1:4" x14ac:dyDescent="0.25">
      <c r="A40" s="111">
        <v>46181</v>
      </c>
      <c r="B40" t="s">
        <v>226</v>
      </c>
      <c r="C40">
        <v>72.221599999999995</v>
      </c>
    </row>
    <row r="41" spans="1:4" x14ac:dyDescent="0.25">
      <c r="A41" s="111">
        <v>46181</v>
      </c>
      <c r="B41" t="s">
        <v>227</v>
      </c>
      <c r="C41">
        <v>70.572999999999993</v>
      </c>
    </row>
    <row r="42" spans="1:4" x14ac:dyDescent="0.25">
      <c r="A42" s="111">
        <v>46181</v>
      </c>
      <c r="B42" t="s">
        <v>228</v>
      </c>
      <c r="C42">
        <v>70.585400000000007</v>
      </c>
    </row>
    <row r="43" spans="1:4" x14ac:dyDescent="0.25">
      <c r="A43" s="111">
        <v>46183</v>
      </c>
      <c r="B43" t="s">
        <v>229</v>
      </c>
      <c r="C43">
        <v>57.889499999999998</v>
      </c>
      <c r="D43" s="104"/>
    </row>
    <row r="44" spans="1:4" x14ac:dyDescent="0.25">
      <c r="A44" s="111">
        <v>46183</v>
      </c>
      <c r="B44" t="s">
        <v>230</v>
      </c>
      <c r="C44">
        <v>59.255499999999998</v>
      </c>
      <c r="D44" s="104"/>
    </row>
    <row r="45" spans="1:4" x14ac:dyDescent="0.25">
      <c r="A45" s="111">
        <v>46183</v>
      </c>
      <c r="B45" t="s">
        <v>231</v>
      </c>
      <c r="C45">
        <v>59.090299999999999</v>
      </c>
      <c r="D45" s="104"/>
    </row>
    <row r="46" spans="1:4" x14ac:dyDescent="0.25">
      <c r="A46" s="111">
        <v>46183</v>
      </c>
      <c r="B46" t="s">
        <v>232</v>
      </c>
      <c r="C46">
        <v>59.427700000000002</v>
      </c>
      <c r="D46" s="104"/>
    </row>
    <row r="47" spans="1:4" x14ac:dyDescent="0.25">
      <c r="A47" s="111">
        <v>46183</v>
      </c>
      <c r="B47" t="s">
        <v>233</v>
      </c>
      <c r="C47">
        <v>59.219799999999999</v>
      </c>
      <c r="D47" s="104"/>
    </row>
    <row r="48" spans="1:4" x14ac:dyDescent="0.25">
      <c r="A48" s="111">
        <v>46183</v>
      </c>
      <c r="B48" t="s">
        <v>234</v>
      </c>
      <c r="C48">
        <v>59.0441</v>
      </c>
      <c r="D48" s="104"/>
    </row>
    <row r="49" spans="1:4" x14ac:dyDescent="0.25">
      <c r="A49" s="111">
        <v>46183</v>
      </c>
      <c r="B49" t="s">
        <v>235</v>
      </c>
      <c r="C49">
        <v>59.293599999999998</v>
      </c>
      <c r="D49" s="104"/>
    </row>
    <row r="50" spans="1:4" x14ac:dyDescent="0.25">
      <c r="A50" s="111">
        <v>46183</v>
      </c>
      <c r="B50" t="s">
        <v>250</v>
      </c>
      <c r="C50">
        <v>57.638100000000001</v>
      </c>
    </row>
    <row r="51" spans="1:4" x14ac:dyDescent="0.25">
      <c r="A51" s="111">
        <v>46183</v>
      </c>
      <c r="B51" t="s">
        <v>251</v>
      </c>
      <c r="C51">
        <v>59.033099999999997</v>
      </c>
    </row>
    <row r="52" spans="1:4" x14ac:dyDescent="0.25">
      <c r="A52" s="111">
        <v>46183</v>
      </c>
      <c r="B52" t="s">
        <v>252</v>
      </c>
      <c r="C52">
        <v>56.869700000000002</v>
      </c>
    </row>
    <row r="53" spans="1:4" x14ac:dyDescent="0.25">
      <c r="A53" s="111">
        <v>46183</v>
      </c>
      <c r="B53" t="s">
        <v>253</v>
      </c>
      <c r="C53">
        <v>58.6952</v>
      </c>
    </row>
    <row r="54" spans="1:4" x14ac:dyDescent="0.25">
      <c r="A54" s="111">
        <v>46183</v>
      </c>
      <c r="B54" t="s">
        <v>254</v>
      </c>
      <c r="C54">
        <v>57.2136</v>
      </c>
    </row>
    <row r="55" spans="1:4" x14ac:dyDescent="0.25">
      <c r="A55" s="111">
        <v>46183</v>
      </c>
      <c r="B55" t="s">
        <v>255</v>
      </c>
      <c r="C55">
        <v>58.418500000000002</v>
      </c>
    </row>
    <row r="56" spans="1:4" x14ac:dyDescent="0.25">
      <c r="A56" s="111">
        <v>46183</v>
      </c>
      <c r="B56" t="s">
        <v>256</v>
      </c>
      <c r="C56">
        <v>57.187600000000003</v>
      </c>
    </row>
    <row r="57" spans="1:4" x14ac:dyDescent="0.25">
      <c r="A57" s="111">
        <v>46183</v>
      </c>
      <c r="B57" t="s">
        <v>257</v>
      </c>
      <c r="C57">
        <v>58.763100000000001</v>
      </c>
    </row>
    <row r="58" spans="1:4" x14ac:dyDescent="0.25">
      <c r="A58" s="111">
        <v>46185</v>
      </c>
      <c r="B58" t="s">
        <v>251</v>
      </c>
      <c r="C58">
        <v>59.033299999999997</v>
      </c>
    </row>
    <row r="59" spans="1:4" x14ac:dyDescent="0.25">
      <c r="A59" s="111">
        <v>46185</v>
      </c>
      <c r="B59" t="s">
        <v>252</v>
      </c>
      <c r="C59">
        <v>56.869799999999998</v>
      </c>
    </row>
    <row r="60" spans="1:4" x14ac:dyDescent="0.25">
      <c r="A60" s="111">
        <v>46185</v>
      </c>
      <c r="B60" t="s">
        <v>253</v>
      </c>
      <c r="C60">
        <v>58.695300000000003</v>
      </c>
    </row>
    <row r="61" spans="1:4" x14ac:dyDescent="0.25">
      <c r="A61" s="111">
        <v>46185</v>
      </c>
      <c r="B61" t="s">
        <v>254</v>
      </c>
      <c r="C61">
        <v>57.213900000000002</v>
      </c>
    </row>
    <row r="62" spans="1:4" x14ac:dyDescent="0.25">
      <c r="A62" s="111">
        <v>46185</v>
      </c>
      <c r="B62" t="s">
        <v>255</v>
      </c>
      <c r="C62">
        <v>58.418999999999997</v>
      </c>
    </row>
    <row r="63" spans="1:4" x14ac:dyDescent="0.25">
      <c r="A63" s="111">
        <v>46185</v>
      </c>
      <c r="B63" t="s">
        <v>256</v>
      </c>
      <c r="C63">
        <v>57.187800000000003</v>
      </c>
    </row>
    <row r="64" spans="1:4" x14ac:dyDescent="0.25">
      <c r="A64" s="111">
        <v>46185</v>
      </c>
      <c r="B64" t="s">
        <v>257</v>
      </c>
      <c r="C64">
        <v>58.763500000000001</v>
      </c>
    </row>
    <row r="634" spans="1:1" x14ac:dyDescent="0.25">
      <c r="A634" s="91"/>
    </row>
    <row r="635" spans="1:1" x14ac:dyDescent="0.25">
      <c r="A635" s="91"/>
    </row>
    <row r="636" spans="1:1" x14ac:dyDescent="0.25">
      <c r="A636" s="91"/>
    </row>
    <row r="637" spans="1:1" x14ac:dyDescent="0.25">
      <c r="A637" s="91"/>
    </row>
    <row r="638" spans="1:1" x14ac:dyDescent="0.25">
      <c r="A638" s="91"/>
    </row>
    <row r="662" spans="1:1" x14ac:dyDescent="0.25">
      <c r="A662" s="91"/>
    </row>
    <row r="666" spans="1:1" x14ac:dyDescent="0.25">
      <c r="A666" s="91"/>
    </row>
    <row r="862" spans="1:1" x14ac:dyDescent="0.25">
      <c r="A862" s="91"/>
    </row>
    <row r="863" spans="1:1" x14ac:dyDescent="0.25">
      <c r="A863" s="91"/>
    </row>
    <row r="864" spans="1:1" x14ac:dyDescent="0.25">
      <c r="A864" s="91"/>
    </row>
    <row r="865" spans="1:1" x14ac:dyDescent="0.25">
      <c r="A865" s="91"/>
    </row>
    <row r="866" spans="1:1" x14ac:dyDescent="0.25">
      <c r="A866" s="91"/>
    </row>
    <row r="867" spans="1:1" x14ac:dyDescent="0.25">
      <c r="A867" s="91"/>
    </row>
    <row r="868" spans="1:1" x14ac:dyDescent="0.25">
      <c r="A868" s="91"/>
    </row>
    <row r="869" spans="1:1" x14ac:dyDescent="0.25">
      <c r="A869" s="91"/>
    </row>
    <row r="870" spans="1:1" x14ac:dyDescent="0.25">
      <c r="A870" s="91"/>
    </row>
    <row r="871" spans="1:1" x14ac:dyDescent="0.25">
      <c r="A871" s="91"/>
    </row>
    <row r="872" spans="1:1" x14ac:dyDescent="0.25">
      <c r="A872" s="91"/>
    </row>
    <row r="873" spans="1:1" x14ac:dyDescent="0.25">
      <c r="A873" s="91"/>
    </row>
    <row r="874" spans="1:1" x14ac:dyDescent="0.25">
      <c r="A874" s="91"/>
    </row>
    <row r="875" spans="1:1" x14ac:dyDescent="0.25">
      <c r="A875" s="91"/>
    </row>
    <row r="876" spans="1:1" x14ac:dyDescent="0.25">
      <c r="A876" s="91"/>
    </row>
    <row r="877" spans="1:1" x14ac:dyDescent="0.25">
      <c r="A877" s="91"/>
    </row>
    <row r="878" spans="1:1" x14ac:dyDescent="0.25">
      <c r="A878" s="91"/>
    </row>
    <row r="879" spans="1:1" x14ac:dyDescent="0.25">
      <c r="A879" s="91"/>
    </row>
    <row r="880" spans="1:1" x14ac:dyDescent="0.25">
      <c r="A880" s="91"/>
    </row>
    <row r="881" spans="1:1" x14ac:dyDescent="0.25">
      <c r="A881" s="91"/>
    </row>
    <row r="882" spans="1:1" x14ac:dyDescent="0.25">
      <c r="A882" s="91"/>
    </row>
    <row r="883" spans="1:1" x14ac:dyDescent="0.25">
      <c r="A883" s="91"/>
    </row>
    <row r="884" spans="1:1" x14ac:dyDescent="0.25">
      <c r="A884" s="91"/>
    </row>
    <row r="885" spans="1:1" x14ac:dyDescent="0.25">
      <c r="A885" s="91"/>
    </row>
    <row r="886" spans="1:1" x14ac:dyDescent="0.25">
      <c r="A886" s="91"/>
    </row>
    <row r="887" spans="1:1" x14ac:dyDescent="0.25">
      <c r="A887" s="91"/>
    </row>
    <row r="888" spans="1:1" x14ac:dyDescent="0.25">
      <c r="A888" s="91"/>
    </row>
    <row r="889" spans="1:1" x14ac:dyDescent="0.25">
      <c r="A889" s="91"/>
    </row>
    <row r="890" spans="1:1" x14ac:dyDescent="0.25">
      <c r="A890" s="91"/>
    </row>
    <row r="891" spans="1:1" x14ac:dyDescent="0.25">
      <c r="A891" s="91"/>
    </row>
    <row r="892" spans="1:1" x14ac:dyDescent="0.25">
      <c r="A892" s="91"/>
    </row>
    <row r="893" spans="1:1" x14ac:dyDescent="0.25">
      <c r="A893" s="91"/>
    </row>
    <row r="894" spans="1:1" x14ac:dyDescent="0.25">
      <c r="A894" s="91"/>
    </row>
    <row r="895" spans="1:1" x14ac:dyDescent="0.25">
      <c r="A895" s="91"/>
    </row>
    <row r="896" spans="1:1" x14ac:dyDescent="0.25">
      <c r="A896" s="91"/>
    </row>
    <row r="897" spans="1:1" x14ac:dyDescent="0.25">
      <c r="A897" s="91"/>
    </row>
    <row r="898" spans="1:1" x14ac:dyDescent="0.25">
      <c r="A898" s="91"/>
    </row>
    <row r="899" spans="1:1" x14ac:dyDescent="0.25">
      <c r="A899" s="91"/>
    </row>
    <row r="900" spans="1:1" x14ac:dyDescent="0.25">
      <c r="A900" s="91"/>
    </row>
    <row r="901" spans="1:1" x14ac:dyDescent="0.25">
      <c r="A901" s="91"/>
    </row>
    <row r="902" spans="1:1" x14ac:dyDescent="0.25">
      <c r="A902" s="91"/>
    </row>
    <row r="903" spans="1:1" x14ac:dyDescent="0.25">
      <c r="A903" s="91"/>
    </row>
    <row r="904" spans="1:1" x14ac:dyDescent="0.25">
      <c r="A904" s="91"/>
    </row>
    <row r="905" spans="1:1" x14ac:dyDescent="0.25">
      <c r="A905" s="91"/>
    </row>
    <row r="906" spans="1:1" x14ac:dyDescent="0.25">
      <c r="A906" s="91"/>
    </row>
    <row r="907" spans="1:1" x14ac:dyDescent="0.25">
      <c r="A907" s="91"/>
    </row>
    <row r="908" spans="1:1" x14ac:dyDescent="0.25">
      <c r="A908" s="91"/>
    </row>
    <row r="909" spans="1:1" x14ac:dyDescent="0.25">
      <c r="A909" s="91"/>
    </row>
    <row r="910" spans="1:1" x14ac:dyDescent="0.25">
      <c r="A910" s="91"/>
    </row>
    <row r="911" spans="1:1" x14ac:dyDescent="0.25">
      <c r="A911" s="91"/>
    </row>
    <row r="912" spans="1:1" x14ac:dyDescent="0.25">
      <c r="A912" s="91"/>
    </row>
    <row r="913" spans="1:1" x14ac:dyDescent="0.25">
      <c r="A913" s="91"/>
    </row>
    <row r="914" spans="1:1" x14ac:dyDescent="0.25">
      <c r="A914" s="91"/>
    </row>
    <row r="915" spans="1:1" x14ac:dyDescent="0.25">
      <c r="A915" s="91"/>
    </row>
    <row r="916" spans="1:1" x14ac:dyDescent="0.25">
      <c r="A916" s="91"/>
    </row>
    <row r="917" spans="1:1" x14ac:dyDescent="0.25">
      <c r="A917" s="91"/>
    </row>
    <row r="918" spans="1:1" x14ac:dyDescent="0.25">
      <c r="A918" s="91"/>
    </row>
    <row r="919" spans="1:1" x14ac:dyDescent="0.25">
      <c r="A919" s="91"/>
    </row>
    <row r="920" spans="1:1" x14ac:dyDescent="0.25">
      <c r="A920" s="91"/>
    </row>
    <row r="921" spans="1:1" x14ac:dyDescent="0.25">
      <c r="A921" s="91"/>
    </row>
    <row r="922" spans="1:1" x14ac:dyDescent="0.25">
      <c r="A922" s="91"/>
    </row>
    <row r="923" spans="1:1" x14ac:dyDescent="0.25">
      <c r="A923" s="91"/>
    </row>
    <row r="924" spans="1:1" x14ac:dyDescent="0.25">
      <c r="A924" s="91"/>
    </row>
    <row r="925" spans="1:1" x14ac:dyDescent="0.25">
      <c r="A925" s="91"/>
    </row>
    <row r="926" spans="1:1" x14ac:dyDescent="0.25">
      <c r="A926" s="91"/>
    </row>
    <row r="927" spans="1:1" x14ac:dyDescent="0.25">
      <c r="A927" s="91"/>
    </row>
    <row r="928" spans="1:1" x14ac:dyDescent="0.25">
      <c r="A928" s="91"/>
    </row>
    <row r="929" spans="1:1" x14ac:dyDescent="0.25">
      <c r="A929" s="91"/>
    </row>
    <row r="930" spans="1:1" x14ac:dyDescent="0.25">
      <c r="A930" s="91"/>
    </row>
    <row r="931" spans="1:1" x14ac:dyDescent="0.25">
      <c r="A931" s="91"/>
    </row>
    <row r="932" spans="1:1" x14ac:dyDescent="0.25">
      <c r="A932" s="91"/>
    </row>
    <row r="933" spans="1:1" x14ac:dyDescent="0.25">
      <c r="A933" s="91"/>
    </row>
    <row r="934" spans="1:1" x14ac:dyDescent="0.25">
      <c r="A934" s="91"/>
    </row>
    <row r="935" spans="1:1" x14ac:dyDescent="0.25">
      <c r="A935" s="91"/>
    </row>
    <row r="936" spans="1:1" x14ac:dyDescent="0.25">
      <c r="A936" s="91"/>
    </row>
    <row r="937" spans="1:1" x14ac:dyDescent="0.25">
      <c r="A937" s="91"/>
    </row>
    <row r="938" spans="1:1" x14ac:dyDescent="0.25">
      <c r="A938" s="91"/>
    </row>
    <row r="939" spans="1:1" x14ac:dyDescent="0.25">
      <c r="A939" s="91"/>
    </row>
    <row r="940" spans="1:1" x14ac:dyDescent="0.25">
      <c r="A940" s="91"/>
    </row>
    <row r="941" spans="1:1" x14ac:dyDescent="0.25">
      <c r="A941" s="91"/>
    </row>
    <row r="942" spans="1:1" x14ac:dyDescent="0.25">
      <c r="A942" s="91"/>
    </row>
    <row r="943" spans="1:1" x14ac:dyDescent="0.25">
      <c r="A943" s="91"/>
    </row>
    <row r="944" spans="1:1" x14ac:dyDescent="0.25">
      <c r="A944" s="91"/>
    </row>
    <row r="945" spans="1:1" x14ac:dyDescent="0.25">
      <c r="A945" s="91"/>
    </row>
    <row r="946" spans="1:1" x14ac:dyDescent="0.25">
      <c r="A946" s="91"/>
    </row>
    <row r="947" spans="1:1" x14ac:dyDescent="0.25">
      <c r="A947" s="91"/>
    </row>
    <row r="948" spans="1:1" x14ac:dyDescent="0.25">
      <c r="A948" s="91"/>
    </row>
    <row r="949" spans="1:1" x14ac:dyDescent="0.25">
      <c r="A949" s="91"/>
    </row>
    <row r="950" spans="1:1" x14ac:dyDescent="0.25">
      <c r="A950" s="91"/>
    </row>
    <row r="951" spans="1:1" x14ac:dyDescent="0.25">
      <c r="A951" s="91"/>
    </row>
    <row r="952" spans="1:1" x14ac:dyDescent="0.25">
      <c r="A952" s="91"/>
    </row>
    <row r="953" spans="1:1" x14ac:dyDescent="0.25">
      <c r="A953" s="91"/>
    </row>
    <row r="954" spans="1:1" x14ac:dyDescent="0.25">
      <c r="A954" s="91"/>
    </row>
    <row r="955" spans="1:1" x14ac:dyDescent="0.25">
      <c r="A955" s="91"/>
    </row>
    <row r="956" spans="1:1" x14ac:dyDescent="0.25">
      <c r="A956" s="91"/>
    </row>
    <row r="991" spans="1:1" x14ac:dyDescent="0.25">
      <c r="A991" s="91"/>
    </row>
    <row r="992" spans="1:1" x14ac:dyDescent="0.25">
      <c r="A992" s="91"/>
    </row>
    <row r="993" spans="1:1" x14ac:dyDescent="0.25">
      <c r="A993" s="91"/>
    </row>
    <row r="994" spans="1:1" x14ac:dyDescent="0.25">
      <c r="A994" s="91"/>
    </row>
    <row r="995" spans="1:1" x14ac:dyDescent="0.25">
      <c r="A995" s="91"/>
    </row>
    <row r="996" spans="1:1" x14ac:dyDescent="0.25">
      <c r="A996" s="91"/>
    </row>
    <row r="997" spans="1:1" x14ac:dyDescent="0.25">
      <c r="A997" s="91"/>
    </row>
    <row r="998" spans="1:1" x14ac:dyDescent="0.25">
      <c r="A998" s="91"/>
    </row>
    <row r="999" spans="1:1" x14ac:dyDescent="0.25">
      <c r="A999" s="91"/>
    </row>
    <row r="1000" spans="1:1" x14ac:dyDescent="0.25">
      <c r="A1000" s="91"/>
    </row>
    <row r="1001" spans="1:1" x14ac:dyDescent="0.25">
      <c r="A1001" s="91"/>
    </row>
    <row r="1002" spans="1:1" x14ac:dyDescent="0.25">
      <c r="A1002" s="91"/>
    </row>
    <row r="1003" spans="1:1" x14ac:dyDescent="0.25">
      <c r="A1003" s="91"/>
    </row>
    <row r="1004" spans="1:1" x14ac:dyDescent="0.25">
      <c r="A1004" s="91"/>
    </row>
    <row r="1005" spans="1:1" x14ac:dyDescent="0.25">
      <c r="A1005" s="91"/>
    </row>
    <row r="1006" spans="1:1" x14ac:dyDescent="0.25">
      <c r="A1006" s="91"/>
    </row>
    <row r="1007" spans="1:1" x14ac:dyDescent="0.25">
      <c r="A1007" s="91"/>
    </row>
    <row r="1008" spans="1:1" x14ac:dyDescent="0.25">
      <c r="A1008" s="91"/>
    </row>
    <row r="1009" spans="1:1" x14ac:dyDescent="0.25">
      <c r="A1009" s="91"/>
    </row>
    <row r="1010" spans="1:1" x14ac:dyDescent="0.25">
      <c r="A1010" s="91"/>
    </row>
    <row r="1011" spans="1:1" x14ac:dyDescent="0.25">
      <c r="A1011" s="91"/>
    </row>
    <row r="1012" spans="1:1" x14ac:dyDescent="0.25">
      <c r="A1012" s="91"/>
    </row>
    <row r="1013" spans="1:1" x14ac:dyDescent="0.25">
      <c r="A1013" s="91"/>
    </row>
    <row r="1014" spans="1:1" x14ac:dyDescent="0.25">
      <c r="A1014" s="91"/>
    </row>
    <row r="1015" spans="1:1" x14ac:dyDescent="0.25">
      <c r="A1015" s="91"/>
    </row>
    <row r="1016" spans="1:1" x14ac:dyDescent="0.25">
      <c r="A1016" s="91"/>
    </row>
    <row r="1017" spans="1:1" x14ac:dyDescent="0.25">
      <c r="A1017" s="91"/>
    </row>
    <row r="1018" spans="1:1" x14ac:dyDescent="0.25">
      <c r="A1018" s="91"/>
    </row>
    <row r="1019" spans="1:1" x14ac:dyDescent="0.25">
      <c r="A1019" s="91"/>
    </row>
    <row r="1020" spans="1:1" x14ac:dyDescent="0.25">
      <c r="A1020" s="91"/>
    </row>
    <row r="1021" spans="1:1" x14ac:dyDescent="0.25">
      <c r="A1021" s="91"/>
    </row>
    <row r="1022" spans="1:1" x14ac:dyDescent="0.25">
      <c r="A1022" s="91"/>
    </row>
    <row r="1023" spans="1:1" x14ac:dyDescent="0.25">
      <c r="A1023" s="91"/>
    </row>
    <row r="1024" spans="1:1" x14ac:dyDescent="0.25">
      <c r="A1024" s="91"/>
    </row>
    <row r="1059" spans="1:1" x14ac:dyDescent="0.25">
      <c r="A1059" s="91"/>
    </row>
    <row r="1060" spans="1:1" x14ac:dyDescent="0.25">
      <c r="A1060" s="91"/>
    </row>
    <row r="1061" spans="1:1" x14ac:dyDescent="0.25">
      <c r="A1061" s="91"/>
    </row>
    <row r="1062" spans="1:1" x14ac:dyDescent="0.25">
      <c r="A1062" s="91"/>
    </row>
    <row r="1063" spans="1:1" x14ac:dyDescent="0.25">
      <c r="A1063" s="91"/>
    </row>
    <row r="1064" spans="1:1" x14ac:dyDescent="0.25">
      <c r="A1064" s="91"/>
    </row>
    <row r="1065" spans="1:1" x14ac:dyDescent="0.25">
      <c r="A1065" s="91"/>
    </row>
    <row r="1066" spans="1:1" x14ac:dyDescent="0.25">
      <c r="A1066" s="91"/>
    </row>
    <row r="1067" spans="1:1" x14ac:dyDescent="0.25">
      <c r="A1067" s="91"/>
    </row>
    <row r="1068" spans="1:1" x14ac:dyDescent="0.25">
      <c r="A1068" s="91"/>
    </row>
    <row r="1069" spans="1:1" x14ac:dyDescent="0.25">
      <c r="A1069" s="91"/>
    </row>
    <row r="1070" spans="1:1" x14ac:dyDescent="0.25">
      <c r="A1070" s="91"/>
    </row>
    <row r="1071" spans="1:1" x14ac:dyDescent="0.25">
      <c r="A1071" s="91"/>
    </row>
    <row r="1072" spans="1:1" x14ac:dyDescent="0.25">
      <c r="A1072" s="91"/>
    </row>
    <row r="1073" spans="1:1" x14ac:dyDescent="0.25">
      <c r="A1073" s="91"/>
    </row>
    <row r="1074" spans="1:1" x14ac:dyDescent="0.25">
      <c r="A1074" s="91"/>
    </row>
    <row r="1075" spans="1:1" x14ac:dyDescent="0.25">
      <c r="A1075" s="91"/>
    </row>
    <row r="1076" spans="1:1" x14ac:dyDescent="0.25">
      <c r="A1076" s="91"/>
    </row>
    <row r="1077" spans="1:1" x14ac:dyDescent="0.25">
      <c r="A1077" s="91"/>
    </row>
    <row r="1078" spans="1:1" x14ac:dyDescent="0.25">
      <c r="A1078" s="91"/>
    </row>
    <row r="1079" spans="1:1" x14ac:dyDescent="0.25">
      <c r="A1079" s="91"/>
    </row>
    <row r="1080" spans="1:1" x14ac:dyDescent="0.25">
      <c r="A1080" s="91"/>
    </row>
    <row r="1081" spans="1:1" x14ac:dyDescent="0.25">
      <c r="A1081" s="91"/>
    </row>
    <row r="1082" spans="1:1" x14ac:dyDescent="0.25">
      <c r="A1082" s="91"/>
    </row>
    <row r="1083" spans="1:1" x14ac:dyDescent="0.25">
      <c r="A1083" s="91"/>
    </row>
    <row r="1084" spans="1:1" x14ac:dyDescent="0.25">
      <c r="A1084" s="91"/>
    </row>
    <row r="1085" spans="1:1" x14ac:dyDescent="0.25">
      <c r="A1085" s="91"/>
    </row>
    <row r="1086" spans="1:1" x14ac:dyDescent="0.25">
      <c r="A1086" s="91"/>
    </row>
    <row r="1087" spans="1:1" x14ac:dyDescent="0.25">
      <c r="A1087" s="91"/>
    </row>
    <row r="1088" spans="1:1" x14ac:dyDescent="0.25">
      <c r="A1088" s="91"/>
    </row>
    <row r="1089" spans="1:1" x14ac:dyDescent="0.25">
      <c r="A1089" s="91"/>
    </row>
    <row r="1090" spans="1:1" x14ac:dyDescent="0.25">
      <c r="A1090" s="91"/>
    </row>
    <row r="1091" spans="1:1" x14ac:dyDescent="0.25">
      <c r="A1091" s="91"/>
    </row>
    <row r="1092" spans="1:1" x14ac:dyDescent="0.25">
      <c r="A1092" s="91"/>
    </row>
    <row r="1146" spans="1:1" x14ac:dyDescent="0.25">
      <c r="A1146" s="91"/>
    </row>
    <row r="1147" spans="1:1" x14ac:dyDescent="0.25">
      <c r="A1147" s="91"/>
    </row>
    <row r="1148" spans="1:1" x14ac:dyDescent="0.25">
      <c r="A1148" s="91"/>
    </row>
    <row r="1149" spans="1:1" x14ac:dyDescent="0.25">
      <c r="A1149" s="91"/>
    </row>
    <row r="1150" spans="1:1" x14ac:dyDescent="0.25">
      <c r="A1150" s="91"/>
    </row>
    <row r="1151" spans="1:1" x14ac:dyDescent="0.25">
      <c r="A1151" s="91"/>
    </row>
    <row r="1152" spans="1:1" x14ac:dyDescent="0.25">
      <c r="A1152" s="91"/>
    </row>
    <row r="1153" spans="1:1" x14ac:dyDescent="0.25">
      <c r="A1153" s="91"/>
    </row>
    <row r="1154" spans="1:1" x14ac:dyDescent="0.25">
      <c r="A1154" s="91"/>
    </row>
    <row r="1155" spans="1:1" x14ac:dyDescent="0.25">
      <c r="A1155" s="91"/>
    </row>
    <row r="1156" spans="1:1" x14ac:dyDescent="0.25">
      <c r="A1156" s="91"/>
    </row>
    <row r="1157" spans="1:1" x14ac:dyDescent="0.25">
      <c r="A1157" s="91"/>
    </row>
    <row r="1158" spans="1:1" x14ac:dyDescent="0.25">
      <c r="A1158" s="91"/>
    </row>
    <row r="1159" spans="1:1" x14ac:dyDescent="0.25">
      <c r="A1159" s="91"/>
    </row>
    <row r="1160" spans="1:1" x14ac:dyDescent="0.25">
      <c r="A1160" s="91"/>
    </row>
    <row r="1161" spans="1:1" x14ac:dyDescent="0.25">
      <c r="A1161" s="91"/>
    </row>
    <row r="1162" spans="1:1" x14ac:dyDescent="0.25">
      <c r="A1162" s="91"/>
    </row>
    <row r="1163" spans="1:1" x14ac:dyDescent="0.25">
      <c r="A1163" s="91"/>
    </row>
    <row r="1164" spans="1:1" x14ac:dyDescent="0.25">
      <c r="A1164" s="91"/>
    </row>
    <row r="1165" spans="1:1" x14ac:dyDescent="0.25">
      <c r="A1165" s="91"/>
    </row>
    <row r="1166" spans="1:1" x14ac:dyDescent="0.25">
      <c r="A1166" s="91"/>
    </row>
    <row r="1167" spans="1:1" x14ac:dyDescent="0.25">
      <c r="A1167" s="91"/>
    </row>
    <row r="1168" spans="1:1" x14ac:dyDescent="0.25">
      <c r="A1168" s="91"/>
    </row>
    <row r="1169" spans="1:1" x14ac:dyDescent="0.25">
      <c r="A1169" s="91"/>
    </row>
    <row r="1170" spans="1:1" x14ac:dyDescent="0.25">
      <c r="A1170" s="91"/>
    </row>
    <row r="1171" spans="1:1" x14ac:dyDescent="0.25">
      <c r="A1171" s="91"/>
    </row>
    <row r="1172" spans="1:1" x14ac:dyDescent="0.25">
      <c r="A1172" s="91"/>
    </row>
    <row r="1173" spans="1:1" x14ac:dyDescent="0.25">
      <c r="A1173" s="91"/>
    </row>
    <row r="1174" spans="1:1" x14ac:dyDescent="0.25">
      <c r="A1174" s="91"/>
    </row>
    <row r="1175" spans="1:1" x14ac:dyDescent="0.25">
      <c r="A1175" s="91"/>
    </row>
    <row r="1176" spans="1:1" x14ac:dyDescent="0.25">
      <c r="A1176" s="91"/>
    </row>
    <row r="1177" spans="1:1" x14ac:dyDescent="0.25">
      <c r="A1177" s="91"/>
    </row>
    <row r="1178" spans="1:1" x14ac:dyDescent="0.25">
      <c r="A1178" s="91"/>
    </row>
    <row r="1179" spans="1:1" x14ac:dyDescent="0.25">
      <c r="A1179" s="91"/>
    </row>
    <row r="1180" spans="1:1" x14ac:dyDescent="0.25">
      <c r="A1180" s="91"/>
    </row>
    <row r="1181" spans="1:1" x14ac:dyDescent="0.25">
      <c r="A1181" s="91"/>
    </row>
    <row r="1182" spans="1:1" x14ac:dyDescent="0.25">
      <c r="A1182" s="91"/>
    </row>
    <row r="1183" spans="1:1" x14ac:dyDescent="0.25">
      <c r="A1183" s="91"/>
    </row>
    <row r="1184" spans="1:1" x14ac:dyDescent="0.25">
      <c r="A1184" s="91"/>
    </row>
    <row r="1185" spans="1:1" x14ac:dyDescent="0.25">
      <c r="A1185" s="91"/>
    </row>
    <row r="1186" spans="1:1" x14ac:dyDescent="0.25">
      <c r="A1186" s="91"/>
    </row>
    <row r="1187" spans="1:1" x14ac:dyDescent="0.25">
      <c r="A1187" s="91"/>
    </row>
    <row r="1188" spans="1:1" x14ac:dyDescent="0.25">
      <c r="A1188" s="91"/>
    </row>
    <row r="1189" spans="1:1" x14ac:dyDescent="0.25">
      <c r="A1189" s="91"/>
    </row>
    <row r="1190" spans="1:1" x14ac:dyDescent="0.25">
      <c r="A1190" s="91"/>
    </row>
    <row r="1191" spans="1:1" x14ac:dyDescent="0.25">
      <c r="A1191" s="91"/>
    </row>
    <row r="1192" spans="1:1" x14ac:dyDescent="0.25">
      <c r="A1192" s="91"/>
    </row>
    <row r="1193" spans="1:1" x14ac:dyDescent="0.25">
      <c r="A1193" s="91"/>
    </row>
    <row r="1194" spans="1:1" x14ac:dyDescent="0.25">
      <c r="A1194" s="91"/>
    </row>
    <row r="1195" spans="1:1" x14ac:dyDescent="0.25">
      <c r="A1195" s="91"/>
    </row>
    <row r="1196" spans="1:1" x14ac:dyDescent="0.25">
      <c r="A1196" s="91"/>
    </row>
    <row r="1197" spans="1:1" x14ac:dyDescent="0.25">
      <c r="A1197" s="91"/>
    </row>
    <row r="1198" spans="1:1" x14ac:dyDescent="0.25">
      <c r="A1198" s="91"/>
    </row>
    <row r="1199" spans="1:1" x14ac:dyDescent="0.25">
      <c r="A1199" s="91"/>
    </row>
    <row r="1200" spans="1:1" x14ac:dyDescent="0.25">
      <c r="A1200" s="91"/>
    </row>
    <row r="1201" spans="1:1" x14ac:dyDescent="0.25">
      <c r="A1201" s="91"/>
    </row>
    <row r="1202" spans="1:1" x14ac:dyDescent="0.25">
      <c r="A1202" s="91"/>
    </row>
    <row r="1203" spans="1:1" x14ac:dyDescent="0.25">
      <c r="A1203" s="91"/>
    </row>
    <row r="1204" spans="1:1" x14ac:dyDescent="0.25">
      <c r="A1204" s="91"/>
    </row>
    <row r="1205" spans="1:1" x14ac:dyDescent="0.25">
      <c r="A1205" s="91"/>
    </row>
    <row r="1206" spans="1:1" x14ac:dyDescent="0.25">
      <c r="A1206" s="91"/>
    </row>
    <row r="1207" spans="1:1" x14ac:dyDescent="0.25">
      <c r="A1207" s="91"/>
    </row>
    <row r="1208" spans="1:1" x14ac:dyDescent="0.25">
      <c r="A1208" s="91"/>
    </row>
    <row r="1209" spans="1:1" x14ac:dyDescent="0.25">
      <c r="A1209" s="91"/>
    </row>
    <row r="1210" spans="1:1" x14ac:dyDescent="0.25">
      <c r="A1210" s="91"/>
    </row>
    <row r="1211" spans="1:1" x14ac:dyDescent="0.25">
      <c r="A1211" s="91"/>
    </row>
    <row r="1212" spans="1:1" x14ac:dyDescent="0.25">
      <c r="A1212" s="91"/>
    </row>
    <row r="1213" spans="1:1" x14ac:dyDescent="0.25">
      <c r="A1213" s="91"/>
    </row>
    <row r="1214" spans="1:1" x14ac:dyDescent="0.25">
      <c r="A1214" s="91"/>
    </row>
    <row r="1215" spans="1:1" x14ac:dyDescent="0.25">
      <c r="A1215" s="91"/>
    </row>
    <row r="1216" spans="1:1" x14ac:dyDescent="0.25">
      <c r="A1216" s="91"/>
    </row>
    <row r="1217" spans="1:1" x14ac:dyDescent="0.25">
      <c r="A1217" s="91"/>
    </row>
    <row r="1218" spans="1:1" x14ac:dyDescent="0.25">
      <c r="A1218" s="91"/>
    </row>
    <row r="1219" spans="1:1" x14ac:dyDescent="0.25">
      <c r="A1219" s="91"/>
    </row>
    <row r="1220" spans="1:1" x14ac:dyDescent="0.25">
      <c r="A1220" s="91"/>
    </row>
    <row r="1221" spans="1:1" x14ac:dyDescent="0.25">
      <c r="A1221" s="91"/>
    </row>
    <row r="1222" spans="1:1" x14ac:dyDescent="0.25">
      <c r="A1222" s="91"/>
    </row>
    <row r="1223" spans="1:1" x14ac:dyDescent="0.25">
      <c r="A1223" s="91"/>
    </row>
    <row r="1224" spans="1:1" x14ac:dyDescent="0.25">
      <c r="A1224" s="91"/>
    </row>
    <row r="1225" spans="1:1" x14ac:dyDescent="0.25">
      <c r="A1225" s="91"/>
    </row>
    <row r="1226" spans="1:1" x14ac:dyDescent="0.25">
      <c r="A1226" s="91"/>
    </row>
    <row r="1227" spans="1:1" x14ac:dyDescent="0.25">
      <c r="A1227" s="91"/>
    </row>
    <row r="1228" spans="1:1" x14ac:dyDescent="0.25">
      <c r="A1228" s="91"/>
    </row>
    <row r="1229" spans="1:1" x14ac:dyDescent="0.25">
      <c r="A1229" s="91"/>
    </row>
    <row r="1230" spans="1:1" x14ac:dyDescent="0.25">
      <c r="A1230" s="91"/>
    </row>
    <row r="1231" spans="1:1" x14ac:dyDescent="0.25">
      <c r="A1231" s="91"/>
    </row>
    <row r="1232" spans="1:1" x14ac:dyDescent="0.25">
      <c r="A1232" s="91"/>
    </row>
    <row r="1233" spans="1:1" x14ac:dyDescent="0.25">
      <c r="A1233" s="91"/>
    </row>
    <row r="1234" spans="1:1" x14ac:dyDescent="0.25">
      <c r="A1234" s="91"/>
    </row>
    <row r="1235" spans="1:1" x14ac:dyDescent="0.25">
      <c r="A1235" s="91"/>
    </row>
    <row r="1236" spans="1:1" x14ac:dyDescent="0.25">
      <c r="A1236" s="91"/>
    </row>
    <row r="1237" spans="1:1" x14ac:dyDescent="0.25">
      <c r="A1237" s="91"/>
    </row>
    <row r="1238" spans="1:1" x14ac:dyDescent="0.25">
      <c r="A1238" s="91"/>
    </row>
    <row r="1239" spans="1:1" x14ac:dyDescent="0.25">
      <c r="A1239" s="91"/>
    </row>
    <row r="1240" spans="1:1" x14ac:dyDescent="0.25">
      <c r="A1240" s="91"/>
    </row>
    <row r="1241" spans="1:1" x14ac:dyDescent="0.25">
      <c r="A1241" s="91"/>
    </row>
    <row r="1242" spans="1:1" x14ac:dyDescent="0.25">
      <c r="A1242" s="91"/>
    </row>
    <row r="1243" spans="1:1" x14ac:dyDescent="0.25">
      <c r="A1243" s="91"/>
    </row>
    <row r="1244" spans="1:1" x14ac:dyDescent="0.25">
      <c r="A1244" s="91"/>
    </row>
    <row r="1245" spans="1:1" x14ac:dyDescent="0.25">
      <c r="A1245" s="91"/>
    </row>
    <row r="1246" spans="1:1" x14ac:dyDescent="0.25">
      <c r="A1246" s="91"/>
    </row>
    <row r="1247" spans="1:1" x14ac:dyDescent="0.25">
      <c r="A1247" s="91"/>
    </row>
    <row r="1248" spans="1:1" x14ac:dyDescent="0.25">
      <c r="A1248" s="91"/>
    </row>
    <row r="1249" spans="1:1" x14ac:dyDescent="0.25">
      <c r="A1249" s="91"/>
    </row>
    <row r="1250" spans="1:1" x14ac:dyDescent="0.25">
      <c r="A1250" s="91"/>
    </row>
    <row r="1251" spans="1:1" x14ac:dyDescent="0.25">
      <c r="A1251" s="91"/>
    </row>
    <row r="1252" spans="1:1" x14ac:dyDescent="0.25">
      <c r="A1252" s="91"/>
    </row>
    <row r="1253" spans="1:1" x14ac:dyDescent="0.25">
      <c r="A1253" s="91"/>
    </row>
    <row r="1254" spans="1:1" x14ac:dyDescent="0.25">
      <c r="A1254" s="91"/>
    </row>
    <row r="1255" spans="1:1" x14ac:dyDescent="0.25">
      <c r="A1255" s="91"/>
    </row>
    <row r="1256" spans="1:1" x14ac:dyDescent="0.25">
      <c r="A1256" s="91"/>
    </row>
    <row r="1257" spans="1:1" x14ac:dyDescent="0.25">
      <c r="A1257" s="91"/>
    </row>
    <row r="1258" spans="1:1" x14ac:dyDescent="0.25">
      <c r="A1258" s="91"/>
    </row>
    <row r="1259" spans="1:1" x14ac:dyDescent="0.25">
      <c r="A1259" s="91"/>
    </row>
    <row r="1260" spans="1:1" x14ac:dyDescent="0.25">
      <c r="A1260" s="91"/>
    </row>
    <row r="1261" spans="1:1" x14ac:dyDescent="0.25">
      <c r="A1261" s="91"/>
    </row>
    <row r="1262" spans="1:1" x14ac:dyDescent="0.25">
      <c r="A1262" s="91"/>
    </row>
    <row r="1263" spans="1:1" x14ac:dyDescent="0.25">
      <c r="A1263" s="91"/>
    </row>
    <row r="1264" spans="1:1" x14ac:dyDescent="0.25">
      <c r="A1264" s="91"/>
    </row>
    <row r="1265" spans="1:1" x14ac:dyDescent="0.25">
      <c r="A1265" s="91"/>
    </row>
    <row r="1266" spans="1:1" x14ac:dyDescent="0.25">
      <c r="A1266" s="91"/>
    </row>
    <row r="1267" spans="1:1" x14ac:dyDescent="0.25">
      <c r="A1267" s="91"/>
    </row>
    <row r="1268" spans="1:1" x14ac:dyDescent="0.25">
      <c r="A1268" s="91"/>
    </row>
    <row r="1269" spans="1:1" x14ac:dyDescent="0.25">
      <c r="A1269" s="91"/>
    </row>
    <row r="1270" spans="1:1" x14ac:dyDescent="0.25">
      <c r="A1270" s="91"/>
    </row>
    <row r="1271" spans="1:1" x14ac:dyDescent="0.25">
      <c r="A1271" s="91"/>
    </row>
    <row r="1272" spans="1:1" x14ac:dyDescent="0.25">
      <c r="A1272" s="91"/>
    </row>
    <row r="1273" spans="1:1" x14ac:dyDescent="0.25">
      <c r="A1273" s="91"/>
    </row>
    <row r="1341" spans="1:1" x14ac:dyDescent="0.25">
      <c r="A1341" s="91"/>
    </row>
    <row r="1342" spans="1:1" x14ac:dyDescent="0.25">
      <c r="A1342" s="91"/>
    </row>
    <row r="1343" spans="1:1" x14ac:dyDescent="0.25">
      <c r="A1343" s="91"/>
    </row>
    <row r="1344" spans="1:1" x14ac:dyDescent="0.25">
      <c r="A1344" s="91"/>
    </row>
    <row r="1345" spans="1:1" x14ac:dyDescent="0.25">
      <c r="A1345" s="91"/>
    </row>
    <row r="1346" spans="1:1" x14ac:dyDescent="0.25">
      <c r="A1346" s="91"/>
    </row>
    <row r="1347" spans="1:1" x14ac:dyDescent="0.25">
      <c r="A1347" s="91"/>
    </row>
    <row r="1348" spans="1:1" x14ac:dyDescent="0.25">
      <c r="A1348" s="91"/>
    </row>
    <row r="1349" spans="1:1" x14ac:dyDescent="0.25">
      <c r="A1349" s="91"/>
    </row>
    <row r="1350" spans="1:1" x14ac:dyDescent="0.25">
      <c r="A1350" s="91"/>
    </row>
    <row r="1351" spans="1:1" x14ac:dyDescent="0.25">
      <c r="A1351" s="91"/>
    </row>
    <row r="1352" spans="1:1" x14ac:dyDescent="0.25">
      <c r="A1352" s="91"/>
    </row>
    <row r="1353" spans="1:1" x14ac:dyDescent="0.25">
      <c r="A1353" s="91"/>
    </row>
    <row r="1354" spans="1:1" x14ac:dyDescent="0.25">
      <c r="A1354" s="91"/>
    </row>
    <row r="1355" spans="1:1" x14ac:dyDescent="0.25">
      <c r="A1355" s="91"/>
    </row>
    <row r="1356" spans="1:1" x14ac:dyDescent="0.25">
      <c r="A1356" s="91"/>
    </row>
    <row r="1357" spans="1:1" x14ac:dyDescent="0.25">
      <c r="A1357" s="91"/>
    </row>
    <row r="1358" spans="1:1" x14ac:dyDescent="0.25">
      <c r="A1358" s="91"/>
    </row>
    <row r="1359" spans="1:1" x14ac:dyDescent="0.25">
      <c r="A1359" s="91"/>
    </row>
    <row r="1360" spans="1:1" x14ac:dyDescent="0.25">
      <c r="A1360" s="91"/>
    </row>
    <row r="1361" spans="1:1" x14ac:dyDescent="0.25">
      <c r="A1361" s="91"/>
    </row>
    <row r="1362" spans="1:1" x14ac:dyDescent="0.25">
      <c r="A1362" s="91"/>
    </row>
    <row r="1363" spans="1:1" x14ac:dyDescent="0.25">
      <c r="A1363" s="91"/>
    </row>
    <row r="1364" spans="1:1" x14ac:dyDescent="0.25">
      <c r="A1364" s="91"/>
    </row>
    <row r="1414" spans="1:1" x14ac:dyDescent="0.25">
      <c r="A1414" s="91"/>
    </row>
    <row r="1415" spans="1:1" x14ac:dyDescent="0.25">
      <c r="A1415" s="91"/>
    </row>
    <row r="1416" spans="1:1" x14ac:dyDescent="0.25">
      <c r="A1416" s="91"/>
    </row>
    <row r="1417" spans="1:1" x14ac:dyDescent="0.25">
      <c r="A1417" s="91"/>
    </row>
    <row r="1418" spans="1:1" x14ac:dyDescent="0.25">
      <c r="A1418" s="91"/>
    </row>
    <row r="1419" spans="1:1" x14ac:dyDescent="0.25">
      <c r="A1419" s="91"/>
    </row>
    <row r="1420" spans="1:1" x14ac:dyDescent="0.25">
      <c r="A1420" s="91"/>
    </row>
    <row r="1421" spans="1:1" x14ac:dyDescent="0.25">
      <c r="A1421" s="91"/>
    </row>
    <row r="1422" spans="1:1" x14ac:dyDescent="0.25">
      <c r="A1422" s="91"/>
    </row>
    <row r="1423" spans="1:1" x14ac:dyDescent="0.25">
      <c r="A1423" s="91"/>
    </row>
    <row r="1466" spans="1:1" x14ac:dyDescent="0.25">
      <c r="A1466" s="91"/>
    </row>
    <row r="1467" spans="1:1" x14ac:dyDescent="0.25">
      <c r="A1467" s="91"/>
    </row>
    <row r="1468" spans="1:1" x14ac:dyDescent="0.25">
      <c r="A1468" s="91"/>
    </row>
    <row r="1469" spans="1:1" x14ac:dyDescent="0.25">
      <c r="A1469" s="91"/>
    </row>
    <row r="1470" spans="1:1" x14ac:dyDescent="0.25">
      <c r="A1470" s="91"/>
    </row>
    <row r="1471" spans="1:1" x14ac:dyDescent="0.25">
      <c r="A1471" s="91"/>
    </row>
    <row r="1472" spans="1:1" x14ac:dyDescent="0.25">
      <c r="A1472" s="91"/>
    </row>
    <row r="1473" spans="1:1" x14ac:dyDescent="0.25">
      <c r="A1473" s="91"/>
    </row>
    <row r="1474" spans="1:1" x14ac:dyDescent="0.25">
      <c r="A1474" s="91"/>
    </row>
    <row r="1475" spans="1:1" x14ac:dyDescent="0.25">
      <c r="A1475" s="91"/>
    </row>
    <row r="1476" spans="1:1" x14ac:dyDescent="0.25">
      <c r="A1476" s="91"/>
    </row>
    <row r="1477" spans="1:1" x14ac:dyDescent="0.25">
      <c r="A1477" s="91"/>
    </row>
    <row r="1478" spans="1:1" x14ac:dyDescent="0.25">
      <c r="A1478" s="91"/>
    </row>
    <row r="1479" spans="1:1" x14ac:dyDescent="0.25">
      <c r="A1479" s="91"/>
    </row>
    <row r="1480" spans="1:1" x14ac:dyDescent="0.25">
      <c r="A1480" s="91"/>
    </row>
    <row r="1481" spans="1:1" x14ac:dyDescent="0.25">
      <c r="A1481" s="91"/>
    </row>
    <row r="1482" spans="1:1" x14ac:dyDescent="0.25">
      <c r="A1482" s="91"/>
    </row>
    <row r="1493" spans="1:1" x14ac:dyDescent="0.25">
      <c r="A1493" s="91"/>
    </row>
    <row r="1494" spans="1:1" x14ac:dyDescent="0.25">
      <c r="A1494" s="91"/>
    </row>
    <row r="1495" spans="1:1" x14ac:dyDescent="0.25">
      <c r="A1495" s="91"/>
    </row>
    <row r="1496" spans="1:1" x14ac:dyDescent="0.25">
      <c r="A1496" s="91"/>
    </row>
    <row r="1497" spans="1:1" x14ac:dyDescent="0.25">
      <c r="A1497" s="91"/>
    </row>
    <row r="1498" spans="1:1" x14ac:dyDescent="0.25">
      <c r="A1498" s="91"/>
    </row>
    <row r="1499" spans="1:1" x14ac:dyDescent="0.25">
      <c r="A1499" s="91"/>
    </row>
    <row r="1500" spans="1:1" x14ac:dyDescent="0.25">
      <c r="A1500" s="91"/>
    </row>
    <row r="1501" spans="1:1" x14ac:dyDescent="0.25">
      <c r="A1501" s="91"/>
    </row>
    <row r="1502" spans="1:1" x14ac:dyDescent="0.25">
      <c r="A1502" s="91"/>
    </row>
    <row r="1503" spans="1:1" x14ac:dyDescent="0.25">
      <c r="A1503" s="91"/>
    </row>
    <row r="1504" spans="1:1" x14ac:dyDescent="0.25">
      <c r="A1504" s="91"/>
    </row>
    <row r="1505" spans="1:1" x14ac:dyDescent="0.25">
      <c r="A1505" s="91"/>
    </row>
    <row r="1506" spans="1:1" x14ac:dyDescent="0.25">
      <c r="A1506" s="91"/>
    </row>
    <row r="1507" spans="1:1" x14ac:dyDescent="0.25">
      <c r="A1507" s="91"/>
    </row>
    <row r="1508" spans="1:1" x14ac:dyDescent="0.25">
      <c r="A1508" s="91"/>
    </row>
    <row r="1509" spans="1:1" x14ac:dyDescent="0.25">
      <c r="A1509" s="91"/>
    </row>
    <row r="1510" spans="1:1" x14ac:dyDescent="0.25">
      <c r="A1510" s="91"/>
    </row>
    <row r="1511" spans="1:1" x14ac:dyDescent="0.25">
      <c r="A1511" s="91"/>
    </row>
    <row r="1512" spans="1:1" x14ac:dyDescent="0.25">
      <c r="A1512" s="91"/>
    </row>
    <row r="1513" spans="1:1" x14ac:dyDescent="0.25">
      <c r="A1513" s="91"/>
    </row>
    <row r="1514" spans="1:1" x14ac:dyDescent="0.25">
      <c r="A1514" s="91"/>
    </row>
    <row r="1521" spans="1:1" x14ac:dyDescent="0.25">
      <c r="A1521" s="91"/>
    </row>
    <row r="1522" spans="1:1" x14ac:dyDescent="0.25">
      <c r="A1522" s="91"/>
    </row>
    <row r="1523" spans="1:1" x14ac:dyDescent="0.25">
      <c r="A1523" s="91"/>
    </row>
    <row r="1524" spans="1:1" x14ac:dyDescent="0.25">
      <c r="A1524" s="91"/>
    </row>
    <row r="1525" spans="1:1" x14ac:dyDescent="0.25">
      <c r="A1525" s="91"/>
    </row>
    <row r="1526" spans="1:1" x14ac:dyDescent="0.25">
      <c r="A1526" s="91"/>
    </row>
    <row r="1527" spans="1:1" x14ac:dyDescent="0.25">
      <c r="A1527" s="91"/>
    </row>
    <row r="1528" spans="1:1" x14ac:dyDescent="0.25">
      <c r="A1528" s="91"/>
    </row>
    <row r="1529" spans="1:1" x14ac:dyDescent="0.25">
      <c r="A1529" s="91"/>
    </row>
    <row r="1530" spans="1:1" x14ac:dyDescent="0.25">
      <c r="A1530" s="91"/>
    </row>
    <row r="1531" spans="1:1" x14ac:dyDescent="0.25">
      <c r="A1531" s="91"/>
    </row>
    <row r="1532" spans="1:1" x14ac:dyDescent="0.25">
      <c r="A1532" s="91"/>
    </row>
    <row r="1533" spans="1:1" x14ac:dyDescent="0.25">
      <c r="A1533" s="91"/>
    </row>
    <row r="1534" spans="1:1" x14ac:dyDescent="0.25">
      <c r="A1534" s="91"/>
    </row>
    <row r="1535" spans="1:1" x14ac:dyDescent="0.25">
      <c r="A1535" s="91"/>
    </row>
    <row r="1536" spans="1:1" x14ac:dyDescent="0.25">
      <c r="A1536" s="91"/>
    </row>
    <row r="1537" spans="1:1" x14ac:dyDescent="0.25">
      <c r="A1537" s="91"/>
    </row>
    <row r="1538" spans="1:1" x14ac:dyDescent="0.25">
      <c r="A1538" s="91"/>
    </row>
    <row r="1539" spans="1:1" x14ac:dyDescent="0.25">
      <c r="A1539" s="91"/>
    </row>
    <row r="1540" spans="1:1" x14ac:dyDescent="0.25">
      <c r="A1540" s="91"/>
    </row>
    <row r="1541" spans="1:1" x14ac:dyDescent="0.25">
      <c r="A1541" s="91"/>
    </row>
    <row r="1542" spans="1:1" x14ac:dyDescent="0.25">
      <c r="A1542" s="91"/>
    </row>
    <row r="1543" spans="1:1" x14ac:dyDescent="0.25">
      <c r="A1543" s="91"/>
    </row>
    <row r="1544" spans="1:1" x14ac:dyDescent="0.25">
      <c r="A1544" s="91"/>
    </row>
    <row r="1545" spans="1:1" x14ac:dyDescent="0.25">
      <c r="A1545" s="91"/>
    </row>
    <row r="1546" spans="1:1" x14ac:dyDescent="0.25">
      <c r="A1546" s="91"/>
    </row>
    <row r="1547" spans="1:1" x14ac:dyDescent="0.25">
      <c r="A1547" s="91"/>
    </row>
    <row r="1548" spans="1:1" x14ac:dyDescent="0.25">
      <c r="A1548" s="91"/>
    </row>
    <row r="1549" spans="1:1" x14ac:dyDescent="0.25">
      <c r="A1549" s="91"/>
    </row>
    <row r="1550" spans="1:1" x14ac:dyDescent="0.25">
      <c r="A1550" s="91"/>
    </row>
    <row r="1551" spans="1:1" x14ac:dyDescent="0.25">
      <c r="A1551" s="91"/>
    </row>
    <row r="1552" spans="1:1" x14ac:dyDescent="0.25">
      <c r="A1552" s="91"/>
    </row>
    <row r="1553" spans="1:1" x14ac:dyDescent="0.25">
      <c r="A1553" s="91"/>
    </row>
    <row r="1554" spans="1:1" x14ac:dyDescent="0.25">
      <c r="A1554" s="91"/>
    </row>
    <row r="1555" spans="1:1" x14ac:dyDescent="0.25">
      <c r="A1555" s="91"/>
    </row>
    <row r="1556" spans="1:1" x14ac:dyDescent="0.25">
      <c r="A1556" s="91"/>
    </row>
    <row r="1557" spans="1:1" x14ac:dyDescent="0.25">
      <c r="A1557" s="91"/>
    </row>
    <row r="1558" spans="1:1" x14ac:dyDescent="0.25">
      <c r="A1558" s="91"/>
    </row>
    <row r="1559" spans="1:1" x14ac:dyDescent="0.25">
      <c r="A1559" s="91"/>
    </row>
    <row r="1560" spans="1:1" x14ac:dyDescent="0.25">
      <c r="A1560" s="91"/>
    </row>
    <row r="1561" spans="1:1" x14ac:dyDescent="0.25">
      <c r="A1561" s="91"/>
    </row>
    <row r="1562" spans="1:1" x14ac:dyDescent="0.25">
      <c r="A1562" s="91"/>
    </row>
    <row r="1563" spans="1:1" x14ac:dyDescent="0.25">
      <c r="A1563" s="91"/>
    </row>
    <row r="1564" spans="1:1" x14ac:dyDescent="0.25">
      <c r="A1564" s="91"/>
    </row>
    <row r="1565" spans="1:1" x14ac:dyDescent="0.25">
      <c r="A1565" s="91"/>
    </row>
    <row r="1566" spans="1:1" x14ac:dyDescent="0.25">
      <c r="A1566" s="91"/>
    </row>
    <row r="1567" spans="1:1" x14ac:dyDescent="0.25">
      <c r="A1567" s="91"/>
    </row>
    <row r="1568" spans="1:1" x14ac:dyDescent="0.25">
      <c r="A1568" s="91"/>
    </row>
    <row r="1569" spans="1:1" x14ac:dyDescent="0.25">
      <c r="A1569" s="91"/>
    </row>
    <row r="1570" spans="1:1" x14ac:dyDescent="0.25">
      <c r="A1570" s="91"/>
    </row>
    <row r="1571" spans="1:1" x14ac:dyDescent="0.25">
      <c r="A1571" s="91"/>
    </row>
    <row r="1572" spans="1:1" x14ac:dyDescent="0.25">
      <c r="A1572" s="91"/>
    </row>
    <row r="1573" spans="1:1" x14ac:dyDescent="0.25">
      <c r="A1573" s="91"/>
    </row>
    <row r="1584" spans="1:1" x14ac:dyDescent="0.25">
      <c r="A1584" s="91"/>
    </row>
    <row r="1585" spans="1:1" x14ac:dyDescent="0.25">
      <c r="A1585" s="91"/>
    </row>
    <row r="1586" spans="1:1" x14ac:dyDescent="0.25">
      <c r="A1586" s="91"/>
    </row>
    <row r="1587" spans="1:1" x14ac:dyDescent="0.25">
      <c r="A1587" s="91"/>
    </row>
    <row r="1588" spans="1:1" x14ac:dyDescent="0.25">
      <c r="A1588" s="91"/>
    </row>
    <row r="1589" spans="1:1" x14ac:dyDescent="0.25">
      <c r="A1589" s="91"/>
    </row>
    <row r="1590" spans="1:1" x14ac:dyDescent="0.25">
      <c r="A1590" s="91"/>
    </row>
    <row r="1591" spans="1:1" x14ac:dyDescent="0.25">
      <c r="A1591" s="91"/>
    </row>
    <row r="1592" spans="1:1" x14ac:dyDescent="0.25">
      <c r="A1592" s="91"/>
    </row>
    <row r="1593" spans="1:1" x14ac:dyDescent="0.25">
      <c r="A1593" s="91"/>
    </row>
    <row r="1604" spans="1:1" x14ac:dyDescent="0.25">
      <c r="A1604" s="91"/>
    </row>
    <row r="1605" spans="1:1" x14ac:dyDescent="0.25">
      <c r="A1605" s="91"/>
    </row>
    <row r="1606" spans="1:1" x14ac:dyDescent="0.25">
      <c r="A1606" s="91"/>
    </row>
    <row r="1607" spans="1:1" x14ac:dyDescent="0.25">
      <c r="A1607" s="91"/>
    </row>
    <row r="1608" spans="1:1" x14ac:dyDescent="0.25">
      <c r="A1608" s="91"/>
    </row>
    <row r="1609" spans="1:1" x14ac:dyDescent="0.25">
      <c r="A1609" s="91"/>
    </row>
    <row r="1610" spans="1:1" x14ac:dyDescent="0.25">
      <c r="A1610" s="91"/>
    </row>
    <row r="1611" spans="1:1" x14ac:dyDescent="0.25">
      <c r="A1611" s="91"/>
    </row>
    <row r="1612" spans="1:1" x14ac:dyDescent="0.25">
      <c r="A1612" s="91"/>
    </row>
    <row r="1613" spans="1:1" x14ac:dyDescent="0.25">
      <c r="A1613" s="91"/>
    </row>
    <row r="1614" spans="1:1" x14ac:dyDescent="0.25">
      <c r="A1614" s="91"/>
    </row>
    <row r="1615" spans="1:1" x14ac:dyDescent="0.25">
      <c r="A1615" s="91"/>
    </row>
    <row r="1616" spans="1:1" x14ac:dyDescent="0.25">
      <c r="A1616" s="91"/>
    </row>
    <row r="1617" spans="1:1" x14ac:dyDescent="0.25">
      <c r="A1617" s="91"/>
    </row>
    <row r="1618" spans="1:1" x14ac:dyDescent="0.25">
      <c r="A1618" s="91"/>
    </row>
    <row r="1619" spans="1:1" x14ac:dyDescent="0.25">
      <c r="A1619" s="91"/>
    </row>
    <row r="1620" spans="1:1" x14ac:dyDescent="0.25">
      <c r="A1620" s="91"/>
    </row>
    <row r="1621" spans="1:1" x14ac:dyDescent="0.25">
      <c r="A1621" s="91"/>
    </row>
    <row r="1622" spans="1:1" x14ac:dyDescent="0.25">
      <c r="A1622" s="91"/>
    </row>
    <row r="1623" spans="1:1" x14ac:dyDescent="0.25">
      <c r="A1623" s="91"/>
    </row>
    <row r="1624" spans="1:1" x14ac:dyDescent="0.25">
      <c r="A1624" s="91"/>
    </row>
    <row r="1625" spans="1:1" x14ac:dyDescent="0.25">
      <c r="A1625" s="91"/>
    </row>
    <row r="1626" spans="1:1" x14ac:dyDescent="0.25">
      <c r="A1626" s="91"/>
    </row>
    <row r="1647" spans="1:1" x14ac:dyDescent="0.25">
      <c r="A1647" s="91"/>
    </row>
    <row r="1648" spans="1:1" x14ac:dyDescent="0.25">
      <c r="A1648" s="91"/>
    </row>
    <row r="1649" spans="1:1" x14ac:dyDescent="0.25">
      <c r="A1649" s="91"/>
    </row>
    <row r="1650" spans="1:1" x14ac:dyDescent="0.25">
      <c r="A1650" s="91"/>
    </row>
    <row r="1651" spans="1:1" x14ac:dyDescent="0.25">
      <c r="A1651" s="91"/>
    </row>
    <row r="1652" spans="1:1" x14ac:dyDescent="0.25">
      <c r="A1652" s="91"/>
    </row>
    <row r="1653" spans="1:1" x14ac:dyDescent="0.25">
      <c r="A1653" s="91"/>
    </row>
    <row r="1654" spans="1:1" x14ac:dyDescent="0.25">
      <c r="A1654" s="91"/>
    </row>
    <row r="1655" spans="1:1" x14ac:dyDescent="0.25">
      <c r="A1655" s="91"/>
    </row>
    <row r="1656" spans="1:1" x14ac:dyDescent="0.25">
      <c r="A1656" s="91"/>
    </row>
    <row r="1680" spans="1:1" x14ac:dyDescent="0.25">
      <c r="A1680" s="91"/>
    </row>
    <row r="1681" spans="1:1" x14ac:dyDescent="0.25">
      <c r="A1681" s="91"/>
    </row>
    <row r="1682" spans="1:1" x14ac:dyDescent="0.25">
      <c r="A1682" s="91"/>
    </row>
    <row r="1683" spans="1:1" x14ac:dyDescent="0.25">
      <c r="A1683" s="91"/>
    </row>
    <row r="1684" spans="1:1" x14ac:dyDescent="0.25">
      <c r="A1684" s="91"/>
    </row>
    <row r="1685" spans="1:1" x14ac:dyDescent="0.25">
      <c r="A1685" s="91"/>
    </row>
    <row r="1686" spans="1:1" x14ac:dyDescent="0.25">
      <c r="A1686" s="91"/>
    </row>
    <row r="1687" spans="1:1" x14ac:dyDescent="0.25">
      <c r="A1687" s="91"/>
    </row>
    <row r="1688" spans="1:1" x14ac:dyDescent="0.25">
      <c r="A1688" s="91"/>
    </row>
    <row r="1689" spans="1:1" x14ac:dyDescent="0.25">
      <c r="A1689" s="91"/>
    </row>
    <row r="1690" spans="1:1" x14ac:dyDescent="0.25">
      <c r="A1690" s="91"/>
    </row>
    <row r="1691" spans="1:1" x14ac:dyDescent="0.25">
      <c r="A1691" s="91"/>
    </row>
    <row r="1692" spans="1:1" x14ac:dyDescent="0.25">
      <c r="A1692" s="91"/>
    </row>
    <row r="1693" spans="1:1" x14ac:dyDescent="0.25">
      <c r="A1693" s="91"/>
    </row>
    <row r="1694" spans="1:1" x14ac:dyDescent="0.25">
      <c r="A1694" s="91"/>
    </row>
    <row r="1695" spans="1:1" x14ac:dyDescent="0.25">
      <c r="A1695" s="91"/>
    </row>
    <row r="1696" spans="1:1" x14ac:dyDescent="0.25">
      <c r="A1696" s="91"/>
    </row>
    <row r="1697" spans="1:1" x14ac:dyDescent="0.25">
      <c r="A1697" s="91"/>
    </row>
    <row r="1698" spans="1:1" x14ac:dyDescent="0.25">
      <c r="A1698" s="91"/>
    </row>
    <row r="1699" spans="1:1" x14ac:dyDescent="0.25">
      <c r="A1699" s="91"/>
    </row>
    <row r="1700" spans="1:1" x14ac:dyDescent="0.25">
      <c r="A1700" s="91"/>
    </row>
    <row r="1701" spans="1:1" x14ac:dyDescent="0.25">
      <c r="A1701" s="91"/>
    </row>
    <row r="1702" spans="1:1" x14ac:dyDescent="0.25">
      <c r="A1702" s="91"/>
    </row>
    <row r="1703" spans="1:1" x14ac:dyDescent="0.25">
      <c r="A1703" s="91"/>
    </row>
    <row r="1704" spans="1:1" x14ac:dyDescent="0.25">
      <c r="A1704" s="91"/>
    </row>
    <row r="1705" spans="1:1" x14ac:dyDescent="0.25">
      <c r="A1705" s="91"/>
    </row>
    <row r="1706" spans="1:1" x14ac:dyDescent="0.25">
      <c r="A1706" s="91"/>
    </row>
    <row r="1707" spans="1:1" x14ac:dyDescent="0.25">
      <c r="A1707" s="91"/>
    </row>
    <row r="1708" spans="1:1" x14ac:dyDescent="0.25">
      <c r="A1708" s="91"/>
    </row>
    <row r="1709" spans="1:1" x14ac:dyDescent="0.25">
      <c r="A1709" s="91"/>
    </row>
    <row r="1710" spans="1:1" x14ac:dyDescent="0.25">
      <c r="A1710" s="91"/>
    </row>
    <row r="1711" spans="1:1" x14ac:dyDescent="0.25">
      <c r="A1711" s="91"/>
    </row>
    <row r="1712" spans="1:1" x14ac:dyDescent="0.25">
      <c r="A1712" s="91"/>
    </row>
    <row r="1713" spans="1:1" x14ac:dyDescent="0.25">
      <c r="A1713" s="91"/>
    </row>
    <row r="1714" spans="1:1" x14ac:dyDescent="0.25">
      <c r="A1714" s="91"/>
    </row>
    <row r="1715" spans="1:1" x14ac:dyDescent="0.25">
      <c r="A1715" s="91"/>
    </row>
    <row r="1716" spans="1:1" x14ac:dyDescent="0.25">
      <c r="A1716" s="91"/>
    </row>
    <row r="1717" spans="1:1" x14ac:dyDescent="0.25">
      <c r="A1717" s="91"/>
    </row>
    <row r="1718" spans="1:1" x14ac:dyDescent="0.25">
      <c r="A1718" s="91"/>
    </row>
    <row r="1719" spans="1:1" x14ac:dyDescent="0.25">
      <c r="A1719" s="91"/>
    </row>
    <row r="1720" spans="1:1" x14ac:dyDescent="0.25">
      <c r="A1720" s="91"/>
    </row>
    <row r="1721" spans="1:1" x14ac:dyDescent="0.25">
      <c r="A1721" s="91"/>
    </row>
    <row r="1722" spans="1:1" x14ac:dyDescent="0.25">
      <c r="A1722" s="91"/>
    </row>
    <row r="1723" spans="1:1" x14ac:dyDescent="0.25">
      <c r="A1723" s="91"/>
    </row>
    <row r="1724" spans="1:1" x14ac:dyDescent="0.25">
      <c r="A1724" s="91"/>
    </row>
    <row r="1725" spans="1:1" x14ac:dyDescent="0.25">
      <c r="A1725" s="91"/>
    </row>
    <row r="1726" spans="1:1" x14ac:dyDescent="0.25">
      <c r="A1726" s="91"/>
    </row>
    <row r="1727" spans="1:1" x14ac:dyDescent="0.25">
      <c r="A1727" s="91"/>
    </row>
    <row r="1728" spans="1:1" x14ac:dyDescent="0.25">
      <c r="A1728" s="91"/>
    </row>
    <row r="1729" spans="1:1" x14ac:dyDescent="0.25">
      <c r="A1729" s="91"/>
    </row>
    <row r="1730" spans="1:1" x14ac:dyDescent="0.25">
      <c r="A1730" s="91"/>
    </row>
    <row r="1731" spans="1:1" x14ac:dyDescent="0.25">
      <c r="A1731" s="91"/>
    </row>
    <row r="1732" spans="1:1" x14ac:dyDescent="0.25">
      <c r="A1732" s="91"/>
    </row>
    <row r="1733" spans="1:1" x14ac:dyDescent="0.25">
      <c r="A1733" s="91"/>
    </row>
    <row r="1734" spans="1:1" x14ac:dyDescent="0.25">
      <c r="A1734" s="91"/>
    </row>
    <row r="1735" spans="1:1" x14ac:dyDescent="0.25">
      <c r="A1735" s="91"/>
    </row>
    <row r="1736" spans="1:1" x14ac:dyDescent="0.25">
      <c r="A1736" s="91"/>
    </row>
    <row r="1737" spans="1:1" x14ac:dyDescent="0.25">
      <c r="A1737" s="91"/>
    </row>
    <row r="1738" spans="1:1" x14ac:dyDescent="0.25">
      <c r="A1738" s="91"/>
    </row>
    <row r="1739" spans="1:1" x14ac:dyDescent="0.25">
      <c r="A1739" s="91"/>
    </row>
    <row r="1740" spans="1:1" x14ac:dyDescent="0.25">
      <c r="A1740" s="91"/>
    </row>
    <row r="1741" spans="1:1" x14ac:dyDescent="0.25">
      <c r="A1741" s="91"/>
    </row>
    <row r="1742" spans="1:1" x14ac:dyDescent="0.25">
      <c r="A1742" s="91"/>
    </row>
    <row r="1743" spans="1:1" x14ac:dyDescent="0.25">
      <c r="A1743" s="91"/>
    </row>
    <row r="1744" spans="1:1" x14ac:dyDescent="0.25">
      <c r="A1744" s="91"/>
    </row>
    <row r="1745" spans="1:1" x14ac:dyDescent="0.25">
      <c r="A1745" s="91"/>
    </row>
    <row r="1746" spans="1:1" x14ac:dyDescent="0.25">
      <c r="A1746" s="91"/>
    </row>
    <row r="1747" spans="1:1" x14ac:dyDescent="0.25">
      <c r="A1747" s="91"/>
    </row>
    <row r="1748" spans="1:1" x14ac:dyDescent="0.25">
      <c r="A1748" s="91"/>
    </row>
    <row r="1749" spans="1:1" x14ac:dyDescent="0.25">
      <c r="A1749" s="91"/>
    </row>
    <row r="1750" spans="1:1" x14ac:dyDescent="0.25">
      <c r="A1750" s="91"/>
    </row>
    <row r="1751" spans="1:1" x14ac:dyDescent="0.25">
      <c r="A1751" s="91"/>
    </row>
    <row r="1752" spans="1:1" x14ac:dyDescent="0.25">
      <c r="A1752" s="91"/>
    </row>
    <row r="1753" spans="1:1" x14ac:dyDescent="0.25">
      <c r="A1753" s="91"/>
    </row>
    <row r="1754" spans="1:1" x14ac:dyDescent="0.25">
      <c r="A1754" s="91"/>
    </row>
    <row r="1755" spans="1:1" x14ac:dyDescent="0.25">
      <c r="A1755" s="91"/>
    </row>
    <row r="1756" spans="1:1" x14ac:dyDescent="0.25">
      <c r="A1756" s="91"/>
    </row>
    <row r="1757" spans="1:1" x14ac:dyDescent="0.25">
      <c r="A1757" s="91"/>
    </row>
    <row r="1758" spans="1:1" x14ac:dyDescent="0.25">
      <c r="A1758" s="91"/>
    </row>
    <row r="1759" spans="1:1" x14ac:dyDescent="0.25">
      <c r="A1759" s="91"/>
    </row>
    <row r="1760" spans="1:1" x14ac:dyDescent="0.25">
      <c r="A1760" s="91"/>
    </row>
    <row r="1761" spans="1:1" x14ac:dyDescent="0.25">
      <c r="A1761" s="91"/>
    </row>
    <row r="1762" spans="1:1" x14ac:dyDescent="0.25">
      <c r="A1762" s="109"/>
    </row>
    <row r="1763" spans="1:1" x14ac:dyDescent="0.25">
      <c r="A1763" s="109"/>
    </row>
    <row r="1764" spans="1:1" x14ac:dyDescent="0.25">
      <c r="A1764" s="91"/>
    </row>
    <row r="1765" spans="1:1" x14ac:dyDescent="0.25">
      <c r="A1765" s="91"/>
    </row>
    <row r="1766" spans="1:1" x14ac:dyDescent="0.25">
      <c r="A1766" s="91"/>
    </row>
    <row r="1767" spans="1:1" x14ac:dyDescent="0.25">
      <c r="A1767" s="91"/>
    </row>
    <row r="1768" spans="1:1" x14ac:dyDescent="0.25">
      <c r="A1768" s="91"/>
    </row>
    <row r="1769" spans="1:1" x14ac:dyDescent="0.25">
      <c r="A1769" s="91"/>
    </row>
    <row r="1770" spans="1:1" x14ac:dyDescent="0.25">
      <c r="A1770" s="91"/>
    </row>
    <row r="1771" spans="1:1" x14ac:dyDescent="0.25">
      <c r="A1771" s="91"/>
    </row>
    <row r="1772" spans="1:1" x14ac:dyDescent="0.25">
      <c r="A1772" s="91"/>
    </row>
    <row r="1773" spans="1:1" x14ac:dyDescent="0.25">
      <c r="A1773" s="91"/>
    </row>
    <row r="1774" spans="1:1" x14ac:dyDescent="0.25">
      <c r="A1774" s="91"/>
    </row>
    <row r="1775" spans="1:1" x14ac:dyDescent="0.25">
      <c r="A1775" s="91"/>
    </row>
    <row r="1776" spans="1:1" x14ac:dyDescent="0.25">
      <c r="A1776" s="91"/>
    </row>
    <row r="1777" spans="1:1" x14ac:dyDescent="0.25">
      <c r="A1777" s="91"/>
    </row>
    <row r="1778" spans="1:1" x14ac:dyDescent="0.25">
      <c r="A1778" s="91"/>
    </row>
    <row r="1779" spans="1:1" x14ac:dyDescent="0.25">
      <c r="A1779" s="91"/>
    </row>
    <row r="1780" spans="1:1" x14ac:dyDescent="0.25">
      <c r="A1780" s="91"/>
    </row>
    <row r="1781" spans="1:1" x14ac:dyDescent="0.25">
      <c r="A1781" s="91"/>
    </row>
    <row r="1782" spans="1:1" x14ac:dyDescent="0.25">
      <c r="A1782" s="91"/>
    </row>
    <row r="1783" spans="1:1" x14ac:dyDescent="0.25">
      <c r="A1783" s="91"/>
    </row>
    <row r="1784" spans="1:1" x14ac:dyDescent="0.25">
      <c r="A1784" s="91"/>
    </row>
    <row r="1785" spans="1:1" x14ac:dyDescent="0.25">
      <c r="A1785" s="91"/>
    </row>
    <row r="1786" spans="1:1" x14ac:dyDescent="0.25">
      <c r="A1786" s="91"/>
    </row>
    <row r="1787" spans="1:1" x14ac:dyDescent="0.25">
      <c r="A1787" s="91"/>
    </row>
    <row r="1788" spans="1:1" x14ac:dyDescent="0.25">
      <c r="A1788" s="91"/>
    </row>
    <row r="1789" spans="1:1" x14ac:dyDescent="0.25">
      <c r="A1789" s="91"/>
    </row>
    <row r="1790" spans="1:1" x14ac:dyDescent="0.25">
      <c r="A1790" s="91"/>
    </row>
    <row r="1791" spans="1:1" x14ac:dyDescent="0.25">
      <c r="A1791" s="91"/>
    </row>
    <row r="1792" spans="1:1" x14ac:dyDescent="0.25">
      <c r="A1792" s="91"/>
    </row>
    <row r="1793" spans="1:1" x14ac:dyDescent="0.25">
      <c r="A1793" s="91"/>
    </row>
    <row r="1794" spans="1:1" x14ac:dyDescent="0.25">
      <c r="A1794" s="91"/>
    </row>
    <row r="1795" spans="1:1" x14ac:dyDescent="0.25">
      <c r="A1795" s="91"/>
    </row>
    <row r="1796" spans="1:1" x14ac:dyDescent="0.25">
      <c r="A1796" s="91"/>
    </row>
    <row r="1797" spans="1:1" x14ac:dyDescent="0.25">
      <c r="A1797" s="91"/>
    </row>
    <row r="1798" spans="1:1" x14ac:dyDescent="0.25">
      <c r="A1798" s="91"/>
    </row>
    <row r="1799" spans="1:1" x14ac:dyDescent="0.25">
      <c r="A1799" s="91"/>
    </row>
    <row r="1800" spans="1:1" x14ac:dyDescent="0.25">
      <c r="A1800" s="91"/>
    </row>
    <row r="1801" spans="1:1" x14ac:dyDescent="0.25">
      <c r="A1801" s="91"/>
    </row>
    <row r="1802" spans="1:1" x14ac:dyDescent="0.25">
      <c r="A1802" s="91"/>
    </row>
    <row r="1803" spans="1:1" x14ac:dyDescent="0.25">
      <c r="A1803" s="91"/>
    </row>
    <row r="1804" spans="1:1" x14ac:dyDescent="0.25">
      <c r="A1804" s="91"/>
    </row>
    <row r="1805" spans="1:1" x14ac:dyDescent="0.25">
      <c r="A1805" s="91"/>
    </row>
    <row r="1806" spans="1:1" x14ac:dyDescent="0.25">
      <c r="A1806" s="91"/>
    </row>
    <row r="1807" spans="1:1" x14ac:dyDescent="0.25">
      <c r="A1807" s="91"/>
    </row>
    <row r="1808" spans="1:1" x14ac:dyDescent="0.25">
      <c r="A1808" s="91"/>
    </row>
    <row r="1809" spans="1:1" x14ac:dyDescent="0.25">
      <c r="A1809" s="91"/>
    </row>
    <row r="1810" spans="1:1" x14ac:dyDescent="0.25">
      <c r="A1810" s="91"/>
    </row>
    <row r="1811" spans="1:1" x14ac:dyDescent="0.25">
      <c r="A1811" s="91"/>
    </row>
    <row r="1812" spans="1:1" x14ac:dyDescent="0.25">
      <c r="A1812" s="91"/>
    </row>
    <row r="1813" spans="1:1" x14ac:dyDescent="0.25">
      <c r="A1813" s="91"/>
    </row>
    <row r="1814" spans="1:1" x14ac:dyDescent="0.25">
      <c r="A1814" s="91"/>
    </row>
    <row r="1815" spans="1:1" x14ac:dyDescent="0.25">
      <c r="A1815" s="91"/>
    </row>
    <row r="1816" spans="1:1" x14ac:dyDescent="0.25">
      <c r="A1816" s="91"/>
    </row>
    <row r="1817" spans="1:1" x14ac:dyDescent="0.25">
      <c r="A1817" s="91"/>
    </row>
    <row r="1850" spans="1:1" x14ac:dyDescent="0.25">
      <c r="A1850" s="91"/>
    </row>
    <row r="1851" spans="1:1" x14ac:dyDescent="0.25">
      <c r="A1851" s="91"/>
    </row>
    <row r="1852" spans="1:1" x14ac:dyDescent="0.25">
      <c r="A1852" s="91"/>
    </row>
    <row r="1853" spans="1:1" x14ac:dyDescent="0.25">
      <c r="A1853" s="91"/>
    </row>
    <row r="1854" spans="1:1" x14ac:dyDescent="0.25">
      <c r="A1854" s="91"/>
    </row>
    <row r="1855" spans="1:1" x14ac:dyDescent="0.25">
      <c r="A1855" s="91"/>
    </row>
    <row r="1856" spans="1:1" x14ac:dyDescent="0.25">
      <c r="A1856" s="91"/>
    </row>
    <row r="1857" spans="1:1" x14ac:dyDescent="0.25">
      <c r="A1857" s="91"/>
    </row>
    <row r="1858" spans="1:1" x14ac:dyDescent="0.25">
      <c r="A1858" s="91"/>
    </row>
    <row r="1859" spans="1:1" x14ac:dyDescent="0.25">
      <c r="A1859" s="91"/>
    </row>
    <row r="1860" spans="1:1" x14ac:dyDescent="0.25">
      <c r="A1860" s="91"/>
    </row>
    <row r="1861" spans="1:1" x14ac:dyDescent="0.25">
      <c r="A1861" s="91"/>
    </row>
    <row r="1862" spans="1:1" x14ac:dyDescent="0.25">
      <c r="A1862" s="91"/>
    </row>
    <row r="1863" spans="1:1" x14ac:dyDescent="0.25">
      <c r="A1863" s="91"/>
    </row>
    <row r="1864" spans="1:1" x14ac:dyDescent="0.25">
      <c r="A1864" s="91"/>
    </row>
    <row r="1865" spans="1:1" x14ac:dyDescent="0.25">
      <c r="A1865" s="91"/>
    </row>
    <row r="1866" spans="1:1" x14ac:dyDescent="0.25">
      <c r="A1866" s="91"/>
    </row>
    <row r="1867" spans="1:1" x14ac:dyDescent="0.25">
      <c r="A1867" s="91"/>
    </row>
    <row r="1868" spans="1:1" x14ac:dyDescent="0.25">
      <c r="A1868" s="91"/>
    </row>
    <row r="1869" spans="1:1" x14ac:dyDescent="0.25">
      <c r="A1869" s="91"/>
    </row>
    <row r="1899" spans="1:1" x14ac:dyDescent="0.25">
      <c r="A1899" s="91"/>
    </row>
    <row r="1900" spans="1:1" x14ac:dyDescent="0.25">
      <c r="A1900" s="91"/>
    </row>
    <row r="1901" spans="1:1" x14ac:dyDescent="0.25">
      <c r="A1901" s="91"/>
    </row>
    <row r="1902" spans="1:1" x14ac:dyDescent="0.25">
      <c r="A1902" s="91"/>
    </row>
    <row r="1903" spans="1:1" x14ac:dyDescent="0.25">
      <c r="A1903" s="91"/>
    </row>
    <row r="1904" spans="1:1" x14ac:dyDescent="0.25">
      <c r="A1904" s="91"/>
    </row>
    <row r="1905" spans="1:1" x14ac:dyDescent="0.25">
      <c r="A1905" s="91"/>
    </row>
    <row r="1906" spans="1:1" x14ac:dyDescent="0.25">
      <c r="A1906" s="91"/>
    </row>
    <row r="1907" spans="1:1" x14ac:dyDescent="0.25">
      <c r="A1907" s="91"/>
    </row>
    <row r="1908" spans="1:1" x14ac:dyDescent="0.25">
      <c r="A1908" s="91"/>
    </row>
    <row r="1909" spans="1:1" x14ac:dyDescent="0.25">
      <c r="A1909" s="91"/>
    </row>
    <row r="1910" spans="1:1" x14ac:dyDescent="0.25">
      <c r="A1910" s="91"/>
    </row>
    <row r="1911" spans="1:1" x14ac:dyDescent="0.25">
      <c r="A1911" s="91"/>
    </row>
    <row r="1912" spans="1:1" x14ac:dyDescent="0.25">
      <c r="A1912" s="91"/>
    </row>
    <row r="1913" spans="1:1" x14ac:dyDescent="0.25">
      <c r="A1913" s="91"/>
    </row>
    <row r="1914" spans="1:1" x14ac:dyDescent="0.25">
      <c r="A1914" s="91"/>
    </row>
    <row r="1915" spans="1:1" x14ac:dyDescent="0.25">
      <c r="A1915" s="91"/>
    </row>
    <row r="1916" spans="1:1" x14ac:dyDescent="0.25">
      <c r="A1916" s="91"/>
    </row>
    <row r="1917" spans="1:1" x14ac:dyDescent="0.25">
      <c r="A1917" s="91"/>
    </row>
    <row r="1918" spans="1:1" x14ac:dyDescent="0.25">
      <c r="A1918" s="91"/>
    </row>
    <row r="1919" spans="1:1" x14ac:dyDescent="0.25">
      <c r="A1919" s="91"/>
    </row>
    <row r="1920" spans="1:1" x14ac:dyDescent="0.25">
      <c r="A1920" s="91"/>
    </row>
    <row r="1921" spans="1:1" x14ac:dyDescent="0.25">
      <c r="A1921" s="91"/>
    </row>
    <row r="1922" spans="1:1" x14ac:dyDescent="0.25">
      <c r="A1922" s="91"/>
    </row>
    <row r="1923" spans="1:1" x14ac:dyDescent="0.25">
      <c r="A1923" s="91"/>
    </row>
    <row r="1924" spans="1:1" x14ac:dyDescent="0.25">
      <c r="A1924" s="91"/>
    </row>
    <row r="1925" spans="1:1" x14ac:dyDescent="0.25">
      <c r="A1925" s="91"/>
    </row>
    <row r="1926" spans="1:1" x14ac:dyDescent="0.25">
      <c r="A1926" s="91"/>
    </row>
    <row r="1927" spans="1:1" x14ac:dyDescent="0.25">
      <c r="A1927" s="91"/>
    </row>
    <row r="1928" spans="1:1" x14ac:dyDescent="0.25">
      <c r="A1928" s="91"/>
    </row>
    <row r="1929" spans="1:1" x14ac:dyDescent="0.25">
      <c r="A1929" s="91"/>
    </row>
    <row r="1930" spans="1:1" x14ac:dyDescent="0.25">
      <c r="A1930" s="91"/>
    </row>
    <row r="1931" spans="1:1" x14ac:dyDescent="0.25">
      <c r="A1931" s="91"/>
    </row>
    <row r="1932" spans="1:1" x14ac:dyDescent="0.25">
      <c r="A1932" s="91"/>
    </row>
    <row r="1933" spans="1:1" x14ac:dyDescent="0.25">
      <c r="A1933" s="91"/>
    </row>
    <row r="1934" spans="1:1" x14ac:dyDescent="0.25">
      <c r="A1934" s="91"/>
    </row>
  </sheetData>
  <conditionalFormatting sqref="A1223:A125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A2BD-4C26-4EA1-87EC-9323EEC801E4}">
  <dimension ref="A1:D2182"/>
  <sheetViews>
    <sheetView tabSelected="1" topLeftCell="A2154" zoomScaleNormal="100" workbookViewId="0">
      <selection activeCell="I2176" sqref="I2176"/>
    </sheetView>
  </sheetViews>
  <sheetFormatPr baseColWidth="10" defaultRowHeight="15" x14ac:dyDescent="0.25"/>
  <cols>
    <col min="1" max="1" width="15.7109375" style="84" customWidth="1"/>
    <col min="2" max="2" width="15.7109375" style="100" customWidth="1"/>
    <col min="3" max="3" width="15.7109375" style="101" customWidth="1"/>
    <col min="4" max="4" width="11.42578125" style="88"/>
  </cols>
  <sheetData>
    <row r="1" spans="1:3" x14ac:dyDescent="0.25">
      <c r="A1" s="85" t="s">
        <v>17</v>
      </c>
      <c r="B1" s="93" t="s">
        <v>83</v>
      </c>
      <c r="C1" s="94" t="s">
        <v>68</v>
      </c>
    </row>
    <row r="2" spans="1:3" x14ac:dyDescent="0.25">
      <c r="A2" s="84">
        <v>45933</v>
      </c>
      <c r="B2" s="95" t="s">
        <v>88</v>
      </c>
      <c r="C2" s="96">
        <v>53.021900000000002</v>
      </c>
    </row>
    <row r="3" spans="1:3" x14ac:dyDescent="0.25">
      <c r="A3" s="84">
        <v>45933</v>
      </c>
      <c r="B3" s="95" t="s">
        <v>89</v>
      </c>
      <c r="C3" s="96">
        <v>53.081600000000002</v>
      </c>
    </row>
    <row r="4" spans="1:3" x14ac:dyDescent="0.25">
      <c r="A4" s="84">
        <v>45933</v>
      </c>
      <c r="B4" s="95" t="s">
        <v>90</v>
      </c>
      <c r="C4" s="96">
        <v>53.049599999999998</v>
      </c>
    </row>
    <row r="5" spans="1:3" x14ac:dyDescent="0.25">
      <c r="A5" s="84">
        <v>45933</v>
      </c>
      <c r="B5" s="95" t="s">
        <v>91</v>
      </c>
      <c r="C5" s="96">
        <v>52.645099999999999</v>
      </c>
    </row>
    <row r="6" spans="1:3" x14ac:dyDescent="0.25">
      <c r="A6" s="84">
        <v>45933</v>
      </c>
      <c r="B6" s="95" t="s">
        <v>104</v>
      </c>
      <c r="C6" s="96">
        <v>52.609000000000002</v>
      </c>
    </row>
    <row r="7" spans="1:3" x14ac:dyDescent="0.25">
      <c r="A7" s="84">
        <v>45933</v>
      </c>
      <c r="B7" s="95" t="s">
        <v>105</v>
      </c>
      <c r="C7" s="96">
        <v>52.7239</v>
      </c>
    </row>
    <row r="8" spans="1:3" x14ac:dyDescent="0.25">
      <c r="A8" s="84">
        <v>45933</v>
      </c>
      <c r="B8" s="95" t="s">
        <v>92</v>
      </c>
      <c r="C8" s="96">
        <v>52.923000000000002</v>
      </c>
    </row>
    <row r="9" spans="1:3" x14ac:dyDescent="0.25">
      <c r="A9" s="84">
        <v>45933</v>
      </c>
      <c r="B9" s="95" t="s">
        <v>93</v>
      </c>
      <c r="C9" s="96">
        <v>52.933100000000003</v>
      </c>
    </row>
    <row r="10" spans="1:3" x14ac:dyDescent="0.25">
      <c r="A10" s="84">
        <v>45933</v>
      </c>
      <c r="B10" s="95" t="s">
        <v>106</v>
      </c>
      <c r="C10" s="96">
        <v>52.918900000000001</v>
      </c>
    </row>
    <row r="11" spans="1:3" x14ac:dyDescent="0.25">
      <c r="A11" s="84">
        <v>45933</v>
      </c>
      <c r="B11" s="95" t="s">
        <v>69</v>
      </c>
      <c r="C11" s="96">
        <v>52.987099999999998</v>
      </c>
    </row>
    <row r="12" spans="1:3" x14ac:dyDescent="0.25">
      <c r="A12" s="84">
        <v>45933</v>
      </c>
      <c r="B12" s="95" t="s">
        <v>70</v>
      </c>
      <c r="C12" s="96">
        <v>53.085299999999997</v>
      </c>
    </row>
    <row r="13" spans="1:3" x14ac:dyDescent="0.25">
      <c r="A13" s="84">
        <v>45933</v>
      </c>
      <c r="B13" s="95" t="s">
        <v>71</v>
      </c>
      <c r="C13" s="96">
        <v>53.2057</v>
      </c>
    </row>
    <row r="14" spans="1:3" x14ac:dyDescent="0.25">
      <c r="A14" s="84">
        <v>45933</v>
      </c>
      <c r="B14" s="95" t="s">
        <v>72</v>
      </c>
      <c r="C14" s="96">
        <v>53.081699999999998</v>
      </c>
    </row>
    <row r="15" spans="1:3" x14ac:dyDescent="0.25">
      <c r="A15" s="84">
        <v>45933</v>
      </c>
      <c r="B15" s="95" t="s">
        <v>73</v>
      </c>
      <c r="C15" s="96">
        <v>53.384099999999997</v>
      </c>
    </row>
    <row r="16" spans="1:3" x14ac:dyDescent="0.25">
      <c r="A16" s="84">
        <v>45933</v>
      </c>
      <c r="B16" s="95" t="s">
        <v>74</v>
      </c>
      <c r="C16" s="96">
        <v>53.380099999999999</v>
      </c>
    </row>
    <row r="17" spans="1:3" x14ac:dyDescent="0.25">
      <c r="A17" s="84">
        <v>45933</v>
      </c>
      <c r="B17" s="95" t="s">
        <v>75</v>
      </c>
      <c r="C17" s="96">
        <v>54.073300000000003</v>
      </c>
    </row>
    <row r="18" spans="1:3" x14ac:dyDescent="0.25">
      <c r="A18" s="84">
        <v>45933</v>
      </c>
      <c r="B18" s="95" t="s">
        <v>76</v>
      </c>
      <c r="C18" s="96">
        <v>54.079900000000002</v>
      </c>
    </row>
    <row r="19" spans="1:3" x14ac:dyDescent="0.25">
      <c r="A19" s="84">
        <v>45933</v>
      </c>
      <c r="B19" s="95" t="s">
        <v>77</v>
      </c>
      <c r="C19" s="96">
        <v>54.017499999999998</v>
      </c>
    </row>
    <row r="20" spans="1:3" x14ac:dyDescent="0.25">
      <c r="A20" s="84">
        <v>45933</v>
      </c>
      <c r="B20" s="95" t="s">
        <v>78</v>
      </c>
      <c r="C20" s="96">
        <v>52.924799999999998</v>
      </c>
    </row>
    <row r="21" spans="1:3" x14ac:dyDescent="0.25">
      <c r="A21" s="84">
        <v>45933</v>
      </c>
      <c r="B21" s="95" t="s">
        <v>79</v>
      </c>
      <c r="C21" s="96">
        <v>53.898299999999999</v>
      </c>
    </row>
    <row r="22" spans="1:3" x14ac:dyDescent="0.25">
      <c r="A22" s="84">
        <v>45933</v>
      </c>
      <c r="B22" s="95" t="s">
        <v>80</v>
      </c>
      <c r="C22" s="96">
        <v>54.0916</v>
      </c>
    </row>
    <row r="23" spans="1:3" x14ac:dyDescent="0.25">
      <c r="A23" s="84">
        <v>45933</v>
      </c>
      <c r="B23" s="95" t="s">
        <v>81</v>
      </c>
      <c r="C23" s="96">
        <v>53.316600000000001</v>
      </c>
    </row>
    <row r="24" spans="1:3" x14ac:dyDescent="0.25">
      <c r="A24" s="84">
        <v>45933</v>
      </c>
      <c r="B24" s="95" t="s">
        <v>82</v>
      </c>
      <c r="C24" s="96">
        <v>53.3279</v>
      </c>
    </row>
    <row r="25" spans="1:3" x14ac:dyDescent="0.25">
      <c r="A25" s="84">
        <v>45937</v>
      </c>
      <c r="B25" s="95" t="s">
        <v>88</v>
      </c>
      <c r="C25" s="96">
        <v>53.021900000000002</v>
      </c>
    </row>
    <row r="26" spans="1:3" x14ac:dyDescent="0.25">
      <c r="A26" s="84">
        <v>45937</v>
      </c>
      <c r="B26" s="95" t="s">
        <v>89</v>
      </c>
      <c r="C26" s="96">
        <v>53.081299999999999</v>
      </c>
    </row>
    <row r="27" spans="1:3" x14ac:dyDescent="0.25">
      <c r="A27" s="84">
        <v>45937</v>
      </c>
      <c r="B27" s="95" t="s">
        <v>90</v>
      </c>
      <c r="C27" s="96">
        <v>53.049399999999999</v>
      </c>
    </row>
    <row r="28" spans="1:3" x14ac:dyDescent="0.25">
      <c r="A28" s="84">
        <v>45937</v>
      </c>
      <c r="B28" s="95" t="s">
        <v>91</v>
      </c>
      <c r="C28" s="96">
        <v>52.644599999999997</v>
      </c>
    </row>
    <row r="29" spans="1:3" x14ac:dyDescent="0.25">
      <c r="A29" s="84">
        <v>45937</v>
      </c>
      <c r="B29" s="95" t="s">
        <v>104</v>
      </c>
      <c r="C29" s="96">
        <v>52.608800000000002</v>
      </c>
    </row>
    <row r="30" spans="1:3" x14ac:dyDescent="0.25">
      <c r="A30" s="84">
        <v>45937</v>
      </c>
      <c r="B30" s="95" t="s">
        <v>105</v>
      </c>
      <c r="C30" s="96">
        <v>52.723700000000001</v>
      </c>
    </row>
    <row r="31" spans="1:3" x14ac:dyDescent="0.25">
      <c r="A31" s="84">
        <v>45937</v>
      </c>
      <c r="B31" s="95" t="s">
        <v>92</v>
      </c>
      <c r="C31" s="96">
        <v>52.923099999999998</v>
      </c>
    </row>
    <row r="32" spans="1:3" x14ac:dyDescent="0.25">
      <c r="A32" s="84">
        <v>45937</v>
      </c>
      <c r="B32" s="95" t="s">
        <v>93</v>
      </c>
      <c r="C32" s="96">
        <v>52.933199999999999</v>
      </c>
    </row>
    <row r="33" spans="1:3" x14ac:dyDescent="0.25">
      <c r="A33" s="84">
        <v>45937</v>
      </c>
      <c r="B33" s="95" t="s">
        <v>106</v>
      </c>
      <c r="C33" s="96">
        <v>52.9191</v>
      </c>
    </row>
    <row r="34" spans="1:3" x14ac:dyDescent="0.25">
      <c r="A34" s="84">
        <v>45937</v>
      </c>
      <c r="B34" s="95" t="s">
        <v>69</v>
      </c>
      <c r="C34" s="96">
        <v>52.987299999999998</v>
      </c>
    </row>
    <row r="35" spans="1:3" x14ac:dyDescent="0.25">
      <c r="A35" s="84">
        <v>45937</v>
      </c>
      <c r="B35" s="95" t="s">
        <v>70</v>
      </c>
      <c r="C35" s="96">
        <v>53.0854</v>
      </c>
    </row>
    <row r="36" spans="1:3" x14ac:dyDescent="0.25">
      <c r="A36" s="84">
        <v>45937</v>
      </c>
      <c r="B36" s="95" t="s">
        <v>71</v>
      </c>
      <c r="C36" s="96">
        <v>53.205399999999997</v>
      </c>
    </row>
    <row r="37" spans="1:3" x14ac:dyDescent="0.25">
      <c r="A37" s="84">
        <v>45937</v>
      </c>
      <c r="B37" s="95" t="s">
        <v>72</v>
      </c>
      <c r="C37" s="96">
        <v>53.081499999999998</v>
      </c>
    </row>
    <row r="38" spans="1:3" x14ac:dyDescent="0.25">
      <c r="A38" s="84">
        <v>45937</v>
      </c>
      <c r="B38" s="95" t="s">
        <v>73</v>
      </c>
      <c r="C38" s="96">
        <v>53.384099999999997</v>
      </c>
    </row>
    <row r="39" spans="1:3" x14ac:dyDescent="0.25">
      <c r="A39" s="84">
        <v>45937</v>
      </c>
      <c r="B39" s="95" t="s">
        <v>75</v>
      </c>
      <c r="C39" s="96">
        <v>54.0732</v>
      </c>
    </row>
    <row r="40" spans="1:3" x14ac:dyDescent="0.25">
      <c r="A40" s="84">
        <v>45937</v>
      </c>
      <c r="B40" s="95" t="s">
        <v>76</v>
      </c>
      <c r="C40" s="96">
        <v>54.080399999999997</v>
      </c>
    </row>
    <row r="41" spans="1:3" x14ac:dyDescent="0.25">
      <c r="A41" s="84">
        <v>45937</v>
      </c>
      <c r="B41" s="95" t="s">
        <v>77</v>
      </c>
      <c r="C41" s="96">
        <v>54.018000000000001</v>
      </c>
    </row>
    <row r="42" spans="1:3" x14ac:dyDescent="0.25">
      <c r="A42" s="84">
        <v>45937</v>
      </c>
      <c r="B42" s="95" t="s">
        <v>78</v>
      </c>
      <c r="C42" s="96">
        <v>52.924700000000001</v>
      </c>
    </row>
    <row r="43" spans="1:3" x14ac:dyDescent="0.25">
      <c r="A43" s="84">
        <v>45937</v>
      </c>
      <c r="B43" s="95" t="s">
        <v>79</v>
      </c>
      <c r="C43" s="96">
        <v>53.898899999999998</v>
      </c>
    </row>
    <row r="44" spans="1:3" x14ac:dyDescent="0.25">
      <c r="A44" s="84">
        <v>45937</v>
      </c>
      <c r="B44" s="95" t="s">
        <v>80</v>
      </c>
      <c r="C44" s="96">
        <v>54.092199999999998</v>
      </c>
    </row>
    <row r="45" spans="1:3" x14ac:dyDescent="0.25">
      <c r="A45" s="84">
        <v>45937</v>
      </c>
      <c r="B45" s="95" t="s">
        <v>81</v>
      </c>
      <c r="C45" s="96">
        <v>53.317</v>
      </c>
    </row>
    <row r="46" spans="1:3" x14ac:dyDescent="0.25">
      <c r="A46" s="84">
        <v>45937</v>
      </c>
      <c r="B46" s="95" t="s">
        <v>82</v>
      </c>
      <c r="C46" s="96">
        <v>53.328299999999999</v>
      </c>
    </row>
    <row r="47" spans="1:3" x14ac:dyDescent="0.25">
      <c r="A47" s="84">
        <v>45937</v>
      </c>
      <c r="B47" s="95" t="s">
        <v>84</v>
      </c>
      <c r="C47" s="96">
        <v>53.486400000000003</v>
      </c>
    </row>
    <row r="48" spans="1:3" x14ac:dyDescent="0.25">
      <c r="A48" s="84">
        <v>45937</v>
      </c>
      <c r="B48" s="95" t="s">
        <v>85</v>
      </c>
      <c r="C48" s="96">
        <v>53.486199999999997</v>
      </c>
    </row>
    <row r="49" spans="1:3" x14ac:dyDescent="0.25">
      <c r="A49" s="84">
        <v>45937</v>
      </c>
      <c r="B49" s="95" t="s">
        <v>86</v>
      </c>
      <c r="C49" s="96">
        <v>53.546100000000003</v>
      </c>
    </row>
    <row r="50" spans="1:3" x14ac:dyDescent="0.25">
      <c r="A50" s="84">
        <v>45937</v>
      </c>
      <c r="B50" s="95" t="s">
        <v>87</v>
      </c>
      <c r="C50" s="96">
        <v>53.48</v>
      </c>
    </row>
    <row r="51" spans="1:3" x14ac:dyDescent="0.25">
      <c r="A51" s="84">
        <v>45940</v>
      </c>
      <c r="B51" s="95" t="s">
        <v>88</v>
      </c>
      <c r="C51" s="96">
        <v>53.0212</v>
      </c>
    </row>
    <row r="52" spans="1:3" x14ac:dyDescent="0.25">
      <c r="A52" s="84">
        <v>45940</v>
      </c>
      <c r="B52" s="95" t="s">
        <v>89</v>
      </c>
      <c r="C52" s="96">
        <v>53.080500000000001</v>
      </c>
    </row>
    <row r="53" spans="1:3" x14ac:dyDescent="0.25">
      <c r="A53" s="84">
        <v>45940</v>
      </c>
      <c r="B53" s="95" t="s">
        <v>90</v>
      </c>
      <c r="C53" s="96">
        <v>53.0486</v>
      </c>
    </row>
    <row r="54" spans="1:3" x14ac:dyDescent="0.25">
      <c r="A54" s="84">
        <v>45940</v>
      </c>
      <c r="B54" s="95" t="s">
        <v>91</v>
      </c>
      <c r="C54" s="96">
        <v>52.644199999999998</v>
      </c>
    </row>
    <row r="55" spans="1:3" x14ac:dyDescent="0.25">
      <c r="A55" s="84">
        <v>45940</v>
      </c>
      <c r="B55" s="95" t="s">
        <v>104</v>
      </c>
      <c r="C55" s="96">
        <v>52.608400000000003</v>
      </c>
    </row>
    <row r="56" spans="1:3" x14ac:dyDescent="0.25">
      <c r="A56" s="84">
        <v>45940</v>
      </c>
      <c r="B56" s="95" t="s">
        <v>105</v>
      </c>
      <c r="C56" s="96">
        <v>52.723399999999998</v>
      </c>
    </row>
    <row r="57" spans="1:3" x14ac:dyDescent="0.25">
      <c r="A57" s="84">
        <v>45940</v>
      </c>
      <c r="B57" s="95" t="s">
        <v>92</v>
      </c>
      <c r="C57" s="96">
        <v>52.922400000000003</v>
      </c>
    </row>
    <row r="58" spans="1:3" x14ac:dyDescent="0.25">
      <c r="A58" s="84">
        <v>45940</v>
      </c>
      <c r="B58" s="95" t="s">
        <v>93</v>
      </c>
      <c r="C58" s="96">
        <v>52.932499999999997</v>
      </c>
    </row>
    <row r="59" spans="1:3" x14ac:dyDescent="0.25">
      <c r="A59" s="84">
        <v>45940</v>
      </c>
      <c r="B59" s="95" t="s">
        <v>106</v>
      </c>
      <c r="C59" s="96">
        <v>52.917900000000003</v>
      </c>
    </row>
    <row r="60" spans="1:3" x14ac:dyDescent="0.25">
      <c r="A60" s="84">
        <v>45940</v>
      </c>
      <c r="B60" s="95" t="s">
        <v>69</v>
      </c>
      <c r="C60" s="96">
        <v>52.9863</v>
      </c>
    </row>
    <row r="61" spans="1:3" x14ac:dyDescent="0.25">
      <c r="A61" s="84">
        <v>45940</v>
      </c>
      <c r="B61" s="95" t="s">
        <v>70</v>
      </c>
      <c r="C61" s="96">
        <v>53.084400000000002</v>
      </c>
    </row>
    <row r="62" spans="1:3" x14ac:dyDescent="0.25">
      <c r="A62" s="84">
        <v>45940</v>
      </c>
      <c r="B62" s="95" t="s">
        <v>71</v>
      </c>
      <c r="C62" s="96">
        <v>53.204900000000002</v>
      </c>
    </row>
    <row r="63" spans="1:3" x14ac:dyDescent="0.25">
      <c r="A63" s="84">
        <v>45940</v>
      </c>
      <c r="B63" s="95" t="s">
        <v>72</v>
      </c>
      <c r="C63" s="96">
        <v>53.080800000000004</v>
      </c>
    </row>
    <row r="64" spans="1:3" x14ac:dyDescent="0.25">
      <c r="A64" s="84">
        <v>45940</v>
      </c>
      <c r="B64" s="95" t="s">
        <v>73</v>
      </c>
      <c r="C64" s="96">
        <v>53.383299999999998</v>
      </c>
    </row>
    <row r="65" spans="1:3" x14ac:dyDescent="0.25">
      <c r="A65" s="84">
        <v>45940</v>
      </c>
      <c r="B65" s="95" t="s">
        <v>74</v>
      </c>
      <c r="C65" s="96">
        <v>53.378599999999999</v>
      </c>
    </row>
    <row r="66" spans="1:3" x14ac:dyDescent="0.25">
      <c r="A66" s="84">
        <v>45940</v>
      </c>
      <c r="B66" s="95" t="s">
        <v>75</v>
      </c>
      <c r="C66" s="96">
        <v>54.071100000000001</v>
      </c>
    </row>
    <row r="67" spans="1:3" x14ac:dyDescent="0.25">
      <c r="A67" s="84">
        <v>45940</v>
      </c>
      <c r="B67" s="95" t="s">
        <v>76</v>
      </c>
      <c r="C67" s="96">
        <v>54.078800000000001</v>
      </c>
    </row>
    <row r="68" spans="1:3" x14ac:dyDescent="0.25">
      <c r="A68" s="84">
        <v>45940</v>
      </c>
      <c r="B68" s="95" t="s">
        <v>77</v>
      </c>
      <c r="C68" s="96">
        <v>54.016399999999997</v>
      </c>
    </row>
    <row r="69" spans="1:3" x14ac:dyDescent="0.25">
      <c r="A69" s="84">
        <v>45940</v>
      </c>
      <c r="B69" s="95" t="s">
        <v>78</v>
      </c>
      <c r="C69" s="96">
        <v>52.923900000000003</v>
      </c>
    </row>
    <row r="70" spans="1:3" x14ac:dyDescent="0.25">
      <c r="A70" s="84">
        <v>45940</v>
      </c>
      <c r="B70" s="95" t="s">
        <v>79</v>
      </c>
      <c r="C70" s="96">
        <v>53.896799999999999</v>
      </c>
    </row>
    <row r="71" spans="1:3" x14ac:dyDescent="0.25">
      <c r="A71" s="84">
        <v>45940</v>
      </c>
      <c r="B71" s="95" t="s">
        <v>80</v>
      </c>
      <c r="C71" s="96">
        <v>54.090600000000002</v>
      </c>
    </row>
    <row r="72" spans="1:3" x14ac:dyDescent="0.25">
      <c r="A72" s="84">
        <v>45940</v>
      </c>
      <c r="B72" s="95" t="s">
        <v>81</v>
      </c>
      <c r="C72" s="96">
        <v>53.316499999999998</v>
      </c>
    </row>
    <row r="73" spans="1:3" x14ac:dyDescent="0.25">
      <c r="A73" s="84">
        <v>45940</v>
      </c>
      <c r="B73" s="95" t="s">
        <v>82</v>
      </c>
      <c r="C73" s="96">
        <v>53.327399999999997</v>
      </c>
    </row>
    <row r="74" spans="1:3" x14ac:dyDescent="0.25">
      <c r="A74" s="84">
        <v>45958</v>
      </c>
      <c r="B74" s="95" t="s">
        <v>88</v>
      </c>
      <c r="C74" s="96">
        <v>53.021000000000001</v>
      </c>
    </row>
    <row r="75" spans="1:3" x14ac:dyDescent="0.25">
      <c r="A75" s="84">
        <v>45958</v>
      </c>
      <c r="B75" s="95" t="s">
        <v>89</v>
      </c>
      <c r="C75" s="96">
        <v>53.080199999999998</v>
      </c>
    </row>
    <row r="76" spans="1:3" x14ac:dyDescent="0.25">
      <c r="A76" s="84">
        <v>45958</v>
      </c>
      <c r="B76" s="95" t="s">
        <v>90</v>
      </c>
      <c r="C76" s="96">
        <v>53.047899999999998</v>
      </c>
    </row>
    <row r="77" spans="1:3" x14ac:dyDescent="0.25">
      <c r="A77" s="84">
        <v>45958</v>
      </c>
      <c r="B77" s="95" t="s">
        <v>91</v>
      </c>
      <c r="C77" s="96">
        <v>52.642000000000003</v>
      </c>
    </row>
    <row r="78" spans="1:3" x14ac:dyDescent="0.25">
      <c r="A78" s="84">
        <v>45958</v>
      </c>
      <c r="B78" s="95" t="s">
        <v>92</v>
      </c>
      <c r="C78" s="96">
        <v>52.921900000000001</v>
      </c>
    </row>
    <row r="79" spans="1:3" x14ac:dyDescent="0.25">
      <c r="A79" s="84">
        <v>45958</v>
      </c>
      <c r="B79" s="95" t="s">
        <v>93</v>
      </c>
      <c r="C79" s="96">
        <v>52.931699999999999</v>
      </c>
    </row>
    <row r="80" spans="1:3" x14ac:dyDescent="0.25">
      <c r="A80" s="84">
        <v>45958</v>
      </c>
      <c r="B80" s="95" t="s">
        <v>106</v>
      </c>
      <c r="C80" s="96">
        <v>52.917299999999997</v>
      </c>
    </row>
    <row r="81" spans="1:3" x14ac:dyDescent="0.25">
      <c r="A81" s="84">
        <v>45958</v>
      </c>
      <c r="B81" s="95" t="s">
        <v>69</v>
      </c>
      <c r="C81" s="96">
        <v>52.9861</v>
      </c>
    </row>
    <row r="82" spans="1:3" x14ac:dyDescent="0.25">
      <c r="A82" s="84">
        <v>45958</v>
      </c>
      <c r="B82" s="95" t="s">
        <v>70</v>
      </c>
      <c r="C82" s="96">
        <v>53.0837</v>
      </c>
    </row>
    <row r="83" spans="1:3" x14ac:dyDescent="0.25">
      <c r="A83" s="84">
        <v>45958</v>
      </c>
      <c r="B83" s="95" t="s">
        <v>71</v>
      </c>
      <c r="C83" s="96">
        <v>53.204500000000003</v>
      </c>
    </row>
    <row r="84" spans="1:3" x14ac:dyDescent="0.25">
      <c r="A84" s="84">
        <v>45958</v>
      </c>
      <c r="B84" s="95" t="s">
        <v>72</v>
      </c>
      <c r="C84" s="96">
        <v>53.080399999999997</v>
      </c>
    </row>
    <row r="85" spans="1:3" x14ac:dyDescent="0.25">
      <c r="A85" s="84">
        <v>45958</v>
      </c>
      <c r="B85" s="95" t="s">
        <v>73</v>
      </c>
      <c r="C85" s="96">
        <v>53.383600000000001</v>
      </c>
    </row>
    <row r="86" spans="1:3" x14ac:dyDescent="0.25">
      <c r="A86" s="84">
        <v>45958</v>
      </c>
      <c r="B86" s="95" t="s">
        <v>74</v>
      </c>
      <c r="C86" s="96">
        <v>53.378799999999998</v>
      </c>
    </row>
    <row r="87" spans="1:3" x14ac:dyDescent="0.25">
      <c r="A87" s="84">
        <v>45958</v>
      </c>
      <c r="B87" s="95" t="s">
        <v>75</v>
      </c>
      <c r="C87" s="96">
        <v>54.071599999999997</v>
      </c>
    </row>
    <row r="88" spans="1:3" x14ac:dyDescent="0.25">
      <c r="A88" s="84">
        <v>45958</v>
      </c>
      <c r="B88" s="95" t="s">
        <v>76</v>
      </c>
      <c r="C88" s="96">
        <v>54.079099999999997</v>
      </c>
    </row>
    <row r="89" spans="1:3" x14ac:dyDescent="0.25">
      <c r="A89" s="84">
        <v>45958</v>
      </c>
      <c r="B89" s="95" t="s">
        <v>77</v>
      </c>
      <c r="C89" s="96">
        <v>54.016599999999997</v>
      </c>
    </row>
    <row r="90" spans="1:3" x14ac:dyDescent="0.25">
      <c r="A90" s="84">
        <v>45958</v>
      </c>
      <c r="B90" s="95" t="s">
        <v>79</v>
      </c>
      <c r="C90" s="96">
        <v>53.896599999999999</v>
      </c>
    </row>
    <row r="91" spans="1:3" x14ac:dyDescent="0.25">
      <c r="A91" s="84">
        <v>45958</v>
      </c>
      <c r="B91" s="95" t="s">
        <v>80</v>
      </c>
      <c r="C91" s="96">
        <v>54.090699999999998</v>
      </c>
    </row>
    <row r="92" spans="1:3" x14ac:dyDescent="0.25">
      <c r="A92" s="84">
        <v>45958</v>
      </c>
      <c r="B92" s="95" t="s">
        <v>81</v>
      </c>
      <c r="C92" s="96">
        <v>53.316499999999998</v>
      </c>
    </row>
    <row r="93" spans="1:3" x14ac:dyDescent="0.25">
      <c r="A93" s="84">
        <v>45958</v>
      </c>
      <c r="B93" s="95" t="s">
        <v>82</v>
      </c>
      <c r="C93" s="96">
        <v>53.327100000000002</v>
      </c>
    </row>
    <row r="94" spans="1:3" x14ac:dyDescent="0.25">
      <c r="A94" s="84">
        <v>45965</v>
      </c>
      <c r="B94" s="95" t="s">
        <v>88</v>
      </c>
      <c r="C94" s="96">
        <v>53.021299999999997</v>
      </c>
    </row>
    <row r="95" spans="1:3" x14ac:dyDescent="0.25">
      <c r="A95" s="84">
        <v>45965</v>
      </c>
      <c r="B95" s="95" t="s">
        <v>89</v>
      </c>
      <c r="C95" s="96">
        <v>53.080300000000001</v>
      </c>
    </row>
    <row r="96" spans="1:3" x14ac:dyDescent="0.25">
      <c r="A96" s="84">
        <v>45965</v>
      </c>
      <c r="B96" s="95" t="s">
        <v>90</v>
      </c>
      <c r="C96" s="96">
        <v>53.047800000000002</v>
      </c>
    </row>
    <row r="97" spans="1:3" x14ac:dyDescent="0.25">
      <c r="A97" s="84">
        <v>45965</v>
      </c>
      <c r="B97" s="95" t="s">
        <v>91</v>
      </c>
      <c r="C97" s="96">
        <v>52.6419</v>
      </c>
    </row>
    <row r="98" spans="1:3" x14ac:dyDescent="0.25">
      <c r="A98" s="84">
        <v>45965</v>
      </c>
      <c r="B98" s="95" t="s">
        <v>104</v>
      </c>
      <c r="C98" s="96">
        <v>52.607900000000001</v>
      </c>
    </row>
    <row r="99" spans="1:3" x14ac:dyDescent="0.25">
      <c r="A99" s="84">
        <v>45965</v>
      </c>
      <c r="B99" s="95" t="s">
        <v>105</v>
      </c>
      <c r="C99" s="96">
        <v>52.723300000000002</v>
      </c>
    </row>
    <row r="100" spans="1:3" x14ac:dyDescent="0.25">
      <c r="A100" s="84">
        <v>45965</v>
      </c>
      <c r="B100" s="95" t="s">
        <v>92</v>
      </c>
      <c r="C100" s="96">
        <v>52.921999999999997</v>
      </c>
    </row>
    <row r="101" spans="1:3" x14ac:dyDescent="0.25">
      <c r="A101" s="84">
        <v>45965</v>
      </c>
      <c r="B101" s="95" t="s">
        <v>93</v>
      </c>
      <c r="C101" s="96">
        <v>52.9315</v>
      </c>
    </row>
    <row r="102" spans="1:3" x14ac:dyDescent="0.25">
      <c r="A102" s="84">
        <v>45965</v>
      </c>
      <c r="B102" s="95" t="s">
        <v>106</v>
      </c>
      <c r="C102" s="96">
        <v>52.917000000000002</v>
      </c>
    </row>
    <row r="103" spans="1:3" x14ac:dyDescent="0.25">
      <c r="A103" s="84">
        <v>45965</v>
      </c>
      <c r="B103" s="95" t="s">
        <v>69</v>
      </c>
      <c r="C103" s="96">
        <v>52.985900000000001</v>
      </c>
    </row>
    <row r="104" spans="1:3" x14ac:dyDescent="0.25">
      <c r="A104" s="84">
        <v>45965</v>
      </c>
      <c r="B104" s="95" t="s">
        <v>70</v>
      </c>
      <c r="C104" s="96">
        <v>53.083300000000001</v>
      </c>
    </row>
    <row r="105" spans="1:3" x14ac:dyDescent="0.25">
      <c r="A105" s="84">
        <v>45965</v>
      </c>
      <c r="B105" s="95" t="s">
        <v>71</v>
      </c>
      <c r="C105" s="96">
        <v>53.204700000000003</v>
      </c>
    </row>
    <row r="106" spans="1:3" x14ac:dyDescent="0.25">
      <c r="A106" s="84">
        <v>45965</v>
      </c>
      <c r="B106" s="95" t="s">
        <v>72</v>
      </c>
      <c r="C106" s="96">
        <v>53.080399999999997</v>
      </c>
    </row>
    <row r="107" spans="1:3" x14ac:dyDescent="0.25">
      <c r="A107" s="84">
        <v>45965</v>
      </c>
      <c r="B107" s="95" t="s">
        <v>73</v>
      </c>
      <c r="C107" s="96">
        <v>53.383299999999998</v>
      </c>
    </row>
    <row r="108" spans="1:3" x14ac:dyDescent="0.25">
      <c r="A108" s="84">
        <v>45965</v>
      </c>
      <c r="B108" s="95" t="s">
        <v>74</v>
      </c>
      <c r="C108" s="96">
        <v>53.378799999999998</v>
      </c>
    </row>
    <row r="109" spans="1:3" x14ac:dyDescent="0.25">
      <c r="A109" s="84">
        <v>45965</v>
      </c>
      <c r="B109" s="95" t="s">
        <v>75</v>
      </c>
      <c r="C109" s="96">
        <v>54.071399999999997</v>
      </c>
    </row>
    <row r="110" spans="1:3" x14ac:dyDescent="0.25">
      <c r="A110" s="84">
        <v>45965</v>
      </c>
      <c r="B110" s="95" t="s">
        <v>76</v>
      </c>
      <c r="C110" s="96">
        <v>54.078699999999998</v>
      </c>
    </row>
    <row r="111" spans="1:3" x14ac:dyDescent="0.25">
      <c r="A111" s="84">
        <v>45965</v>
      </c>
      <c r="B111" s="95" t="s">
        <v>77</v>
      </c>
      <c r="C111" s="96">
        <v>54.016399999999997</v>
      </c>
    </row>
    <row r="112" spans="1:3" x14ac:dyDescent="0.25">
      <c r="A112" s="84">
        <v>45965</v>
      </c>
      <c r="B112" s="95" t="s">
        <v>78</v>
      </c>
      <c r="C112" s="96">
        <v>52.923699999999997</v>
      </c>
    </row>
    <row r="113" spans="1:3" x14ac:dyDescent="0.25">
      <c r="A113" s="84">
        <v>45965</v>
      </c>
      <c r="B113" s="95" t="s">
        <v>79</v>
      </c>
      <c r="C113" s="96">
        <v>53.8962</v>
      </c>
    </row>
    <row r="114" spans="1:3" x14ac:dyDescent="0.25">
      <c r="A114" s="84">
        <v>45965</v>
      </c>
      <c r="B114" s="95" t="s">
        <v>80</v>
      </c>
      <c r="C114" s="96">
        <v>54.090299999999999</v>
      </c>
    </row>
    <row r="115" spans="1:3" x14ac:dyDescent="0.25">
      <c r="A115" s="84">
        <v>45965</v>
      </c>
      <c r="B115" s="95" t="s">
        <v>81</v>
      </c>
      <c r="C115" s="96">
        <v>53.316400000000002</v>
      </c>
    </row>
    <row r="116" spans="1:3" x14ac:dyDescent="0.25">
      <c r="A116" s="84">
        <v>45965</v>
      </c>
      <c r="B116" s="95" t="s">
        <v>82</v>
      </c>
      <c r="C116" s="96">
        <v>53.326900000000002</v>
      </c>
    </row>
    <row r="117" spans="1:3" x14ac:dyDescent="0.25">
      <c r="A117" s="84">
        <v>45971</v>
      </c>
      <c r="B117" s="95" t="s">
        <v>88</v>
      </c>
      <c r="C117" s="96">
        <v>53.021099999999997</v>
      </c>
    </row>
    <row r="118" spans="1:3" x14ac:dyDescent="0.25">
      <c r="A118" s="84">
        <v>45971</v>
      </c>
      <c r="B118" s="95" t="s">
        <v>89</v>
      </c>
      <c r="C118" s="96">
        <v>53.080199999999998</v>
      </c>
    </row>
    <row r="119" spans="1:3" x14ac:dyDescent="0.25">
      <c r="A119" s="84">
        <v>45971</v>
      </c>
      <c r="B119" s="95" t="s">
        <v>90</v>
      </c>
      <c r="C119" s="96">
        <v>53.047800000000002</v>
      </c>
    </row>
    <row r="120" spans="1:3" x14ac:dyDescent="0.25">
      <c r="A120" s="84">
        <v>45971</v>
      </c>
      <c r="B120" s="95" t="s">
        <v>91</v>
      </c>
      <c r="C120" s="96">
        <v>52.641800000000003</v>
      </c>
    </row>
    <row r="121" spans="1:3" x14ac:dyDescent="0.25">
      <c r="A121" s="84">
        <v>45971</v>
      </c>
      <c r="B121" s="95" t="s">
        <v>105</v>
      </c>
      <c r="C121" s="96">
        <v>52.723399999999998</v>
      </c>
    </row>
    <row r="122" spans="1:3" x14ac:dyDescent="0.25">
      <c r="A122" s="84">
        <v>45971</v>
      </c>
      <c r="B122" s="95" t="s">
        <v>92</v>
      </c>
      <c r="C122" s="96">
        <v>52.921799999999998</v>
      </c>
    </row>
    <row r="123" spans="1:3" x14ac:dyDescent="0.25">
      <c r="A123" s="84">
        <v>45971</v>
      </c>
      <c r="B123" s="95" t="s">
        <v>93</v>
      </c>
      <c r="C123" s="96">
        <v>52.9313</v>
      </c>
    </row>
    <row r="124" spans="1:3" x14ac:dyDescent="0.25">
      <c r="A124" s="84">
        <v>45971</v>
      </c>
      <c r="B124" s="95" t="s">
        <v>106</v>
      </c>
      <c r="C124" s="96">
        <v>52.916899999999998</v>
      </c>
    </row>
    <row r="125" spans="1:3" x14ac:dyDescent="0.25">
      <c r="A125" s="84">
        <v>45971</v>
      </c>
      <c r="B125" s="95" t="s">
        <v>69</v>
      </c>
      <c r="C125" s="96">
        <v>52.985799999999998</v>
      </c>
    </row>
    <row r="126" spans="1:3" x14ac:dyDescent="0.25">
      <c r="A126" s="84">
        <v>45971</v>
      </c>
      <c r="B126" s="95" t="s">
        <v>70</v>
      </c>
      <c r="C126" s="96">
        <v>53.082999999999998</v>
      </c>
    </row>
    <row r="127" spans="1:3" x14ac:dyDescent="0.25">
      <c r="A127" s="84">
        <v>45971</v>
      </c>
      <c r="B127" s="95" t="s">
        <v>71</v>
      </c>
      <c r="C127" s="96">
        <v>53.204700000000003</v>
      </c>
    </row>
    <row r="128" spans="1:3" x14ac:dyDescent="0.25">
      <c r="A128" s="84">
        <v>45971</v>
      </c>
      <c r="B128" s="95" t="s">
        <v>72</v>
      </c>
      <c r="C128" s="96">
        <v>53.080399999999997</v>
      </c>
    </row>
    <row r="129" spans="1:3" x14ac:dyDescent="0.25">
      <c r="A129" s="84">
        <v>45971</v>
      </c>
      <c r="B129" s="95" t="s">
        <v>73</v>
      </c>
      <c r="C129" s="96">
        <v>53.383400000000002</v>
      </c>
    </row>
    <row r="130" spans="1:3" x14ac:dyDescent="0.25">
      <c r="A130" s="84">
        <v>45971</v>
      </c>
      <c r="B130" s="95" t="s">
        <v>74</v>
      </c>
      <c r="C130" s="96">
        <v>53.378900000000002</v>
      </c>
    </row>
    <row r="131" spans="1:3" x14ac:dyDescent="0.25">
      <c r="A131" s="84">
        <v>45971</v>
      </c>
      <c r="B131" s="95" t="s">
        <v>75</v>
      </c>
      <c r="C131" s="96">
        <v>54.0715</v>
      </c>
    </row>
    <row r="132" spans="1:3" x14ac:dyDescent="0.25">
      <c r="A132" s="84">
        <v>45971</v>
      </c>
      <c r="B132" s="95" t="s">
        <v>76</v>
      </c>
      <c r="C132" s="96">
        <v>54.078800000000001</v>
      </c>
    </row>
    <row r="133" spans="1:3" x14ac:dyDescent="0.25">
      <c r="A133" s="84">
        <v>45971</v>
      </c>
      <c r="B133" s="95" t="s">
        <v>77</v>
      </c>
      <c r="C133" s="96">
        <v>54.016399999999997</v>
      </c>
    </row>
    <row r="134" spans="1:3" x14ac:dyDescent="0.25">
      <c r="A134" s="84">
        <v>45971</v>
      </c>
      <c r="B134" s="95" t="s">
        <v>78</v>
      </c>
      <c r="C134" s="96">
        <v>52.9236</v>
      </c>
    </row>
    <row r="135" spans="1:3" x14ac:dyDescent="0.25">
      <c r="A135" s="84">
        <v>45971</v>
      </c>
      <c r="B135" s="95" t="s">
        <v>79</v>
      </c>
      <c r="C135" s="96">
        <v>53.896099999999997</v>
      </c>
    </row>
    <row r="136" spans="1:3" x14ac:dyDescent="0.25">
      <c r="A136" s="84">
        <v>45971</v>
      </c>
      <c r="B136" s="95" t="s">
        <v>80</v>
      </c>
      <c r="C136" s="96">
        <v>54.090200000000003</v>
      </c>
    </row>
    <row r="137" spans="1:3" x14ac:dyDescent="0.25">
      <c r="A137" s="84">
        <v>45971</v>
      </c>
      <c r="B137" s="95" t="s">
        <v>81</v>
      </c>
      <c r="C137" s="96">
        <v>53.316400000000002</v>
      </c>
    </row>
    <row r="138" spans="1:3" x14ac:dyDescent="0.25">
      <c r="A138" s="84">
        <v>45971</v>
      </c>
      <c r="B138" s="95" t="s">
        <v>82</v>
      </c>
      <c r="C138" s="96">
        <v>53.326700000000002</v>
      </c>
    </row>
    <row r="139" spans="1:3" x14ac:dyDescent="0.25">
      <c r="A139" s="84">
        <v>45978</v>
      </c>
      <c r="B139" s="95" t="s">
        <v>88</v>
      </c>
      <c r="C139" s="96">
        <v>53.0214</v>
      </c>
    </row>
    <row r="140" spans="1:3" x14ac:dyDescent="0.25">
      <c r="A140" s="84">
        <v>45978</v>
      </c>
      <c r="B140" s="95" t="s">
        <v>89</v>
      </c>
      <c r="C140" s="96">
        <v>53.080599999999997</v>
      </c>
    </row>
    <row r="141" spans="1:3" x14ac:dyDescent="0.25">
      <c r="A141" s="84">
        <v>45978</v>
      </c>
      <c r="B141" s="95" t="s">
        <v>90</v>
      </c>
      <c r="C141" s="96">
        <v>53.048000000000002</v>
      </c>
    </row>
    <row r="142" spans="1:3" x14ac:dyDescent="0.25">
      <c r="A142" s="84">
        <v>45978</v>
      </c>
      <c r="B142" s="95" t="s">
        <v>91</v>
      </c>
      <c r="C142" s="96">
        <v>52.641800000000003</v>
      </c>
    </row>
    <row r="143" spans="1:3" x14ac:dyDescent="0.25">
      <c r="A143" s="84">
        <v>45978</v>
      </c>
      <c r="B143" s="95" t="s">
        <v>104</v>
      </c>
      <c r="C143" s="96">
        <v>52.607799999999997</v>
      </c>
    </row>
    <row r="144" spans="1:3" x14ac:dyDescent="0.25">
      <c r="A144" s="84">
        <v>45978</v>
      </c>
      <c r="B144" s="95" t="s">
        <v>105</v>
      </c>
      <c r="C144" s="96">
        <v>52.723199999999999</v>
      </c>
    </row>
    <row r="145" spans="1:3" x14ac:dyDescent="0.25">
      <c r="A145" s="84">
        <v>45978</v>
      </c>
      <c r="B145" s="95" t="s">
        <v>92</v>
      </c>
      <c r="C145" s="96">
        <v>52.921999999999997</v>
      </c>
    </row>
    <row r="146" spans="1:3" x14ac:dyDescent="0.25">
      <c r="A146" s="84">
        <v>45978</v>
      </c>
      <c r="B146" s="95" t="s">
        <v>93</v>
      </c>
      <c r="C146" s="96">
        <v>52.931399999999996</v>
      </c>
    </row>
    <row r="147" spans="1:3" x14ac:dyDescent="0.25">
      <c r="A147" s="84">
        <v>45978</v>
      </c>
      <c r="B147" s="95" t="s">
        <v>106</v>
      </c>
      <c r="C147" s="96">
        <v>52.917200000000001</v>
      </c>
    </row>
    <row r="148" spans="1:3" x14ac:dyDescent="0.25">
      <c r="A148" s="84">
        <v>45978</v>
      </c>
      <c r="B148" s="95" t="s">
        <v>69</v>
      </c>
      <c r="C148" s="96">
        <v>52.9863</v>
      </c>
    </row>
    <row r="149" spans="1:3" x14ac:dyDescent="0.25">
      <c r="A149" s="84">
        <v>45978</v>
      </c>
      <c r="B149" s="95" t="s">
        <v>70</v>
      </c>
      <c r="C149" s="96">
        <v>53.083199999999998</v>
      </c>
    </row>
    <row r="150" spans="1:3" x14ac:dyDescent="0.25">
      <c r="A150" s="84">
        <v>45978</v>
      </c>
      <c r="B150" s="95" t="s">
        <v>71</v>
      </c>
      <c r="C150" s="96">
        <v>53.205100000000002</v>
      </c>
    </row>
    <row r="151" spans="1:3" x14ac:dyDescent="0.25">
      <c r="A151" s="84">
        <v>45978</v>
      </c>
      <c r="B151" s="95" t="s">
        <v>72</v>
      </c>
      <c r="C151" s="96">
        <v>53.080800000000004</v>
      </c>
    </row>
    <row r="152" spans="1:3" x14ac:dyDescent="0.25">
      <c r="A152" s="84">
        <v>45978</v>
      </c>
      <c r="B152" s="95" t="s">
        <v>73</v>
      </c>
      <c r="C152" s="96">
        <v>53.383699999999997</v>
      </c>
    </row>
    <row r="153" spans="1:3" x14ac:dyDescent="0.25">
      <c r="A153" s="84">
        <v>45978</v>
      </c>
      <c r="B153" s="95" t="s">
        <v>74</v>
      </c>
      <c r="C153" s="96">
        <v>53.378900000000002</v>
      </c>
    </row>
    <row r="154" spans="1:3" x14ac:dyDescent="0.25">
      <c r="A154" s="84">
        <v>45978</v>
      </c>
      <c r="B154" s="95" t="s">
        <v>75</v>
      </c>
      <c r="C154" s="96">
        <v>54.0717</v>
      </c>
    </row>
    <row r="155" spans="1:3" x14ac:dyDescent="0.25">
      <c r="A155" s="84">
        <v>45978</v>
      </c>
      <c r="B155" s="95" t="s">
        <v>76</v>
      </c>
      <c r="C155" s="96">
        <v>54.0792</v>
      </c>
    </row>
    <row r="156" spans="1:3" x14ac:dyDescent="0.25">
      <c r="A156" s="84">
        <v>45978</v>
      </c>
      <c r="B156" s="95" t="s">
        <v>77</v>
      </c>
      <c r="C156" s="96">
        <v>54.016599999999997</v>
      </c>
    </row>
    <row r="157" spans="1:3" x14ac:dyDescent="0.25">
      <c r="A157" s="84">
        <v>45978</v>
      </c>
      <c r="B157" s="95" t="s">
        <v>78</v>
      </c>
      <c r="C157" s="96">
        <v>52.923999999999999</v>
      </c>
    </row>
    <row r="158" spans="1:3" x14ac:dyDescent="0.25">
      <c r="A158" s="84">
        <v>45978</v>
      </c>
      <c r="B158" s="95" t="s">
        <v>79</v>
      </c>
      <c r="C158" s="96">
        <v>53.8962</v>
      </c>
    </row>
    <row r="159" spans="1:3" x14ac:dyDescent="0.25">
      <c r="A159" s="84">
        <v>45978</v>
      </c>
      <c r="B159" s="95" t="s">
        <v>80</v>
      </c>
      <c r="C159" s="96">
        <v>54.090499999999999</v>
      </c>
    </row>
    <row r="160" spans="1:3" x14ac:dyDescent="0.25">
      <c r="A160" s="84">
        <v>45978</v>
      </c>
      <c r="B160" s="95" t="s">
        <v>81</v>
      </c>
      <c r="C160" s="96">
        <v>53.316499999999998</v>
      </c>
    </row>
    <row r="161" spans="1:3" x14ac:dyDescent="0.25">
      <c r="A161" s="84">
        <v>45978</v>
      </c>
      <c r="B161" s="95" t="s">
        <v>82</v>
      </c>
      <c r="C161" s="96">
        <v>53.326900000000002</v>
      </c>
    </row>
    <row r="162" spans="1:3" x14ac:dyDescent="0.25">
      <c r="A162" s="84">
        <v>45986</v>
      </c>
      <c r="B162" s="95" t="s">
        <v>88</v>
      </c>
      <c r="C162" s="96">
        <v>53.021700000000003</v>
      </c>
    </row>
    <row r="163" spans="1:3" x14ac:dyDescent="0.25">
      <c r="A163" s="84">
        <v>45986</v>
      </c>
      <c r="B163" s="95" t="s">
        <v>89</v>
      </c>
      <c r="C163" s="96">
        <v>53.0807</v>
      </c>
    </row>
    <row r="164" spans="1:3" x14ac:dyDescent="0.25">
      <c r="A164" s="84">
        <v>45986</v>
      </c>
      <c r="B164" s="95" t="s">
        <v>90</v>
      </c>
      <c r="C164" s="96">
        <v>53.048200000000001</v>
      </c>
    </row>
    <row r="165" spans="1:3" x14ac:dyDescent="0.25">
      <c r="A165" s="84">
        <v>45986</v>
      </c>
      <c r="B165" s="95" t="s">
        <v>91</v>
      </c>
      <c r="C165" s="96">
        <v>52.641199999999998</v>
      </c>
    </row>
    <row r="166" spans="1:3" x14ac:dyDescent="0.25">
      <c r="A166" s="84">
        <v>45986</v>
      </c>
      <c r="B166" s="95" t="s">
        <v>104</v>
      </c>
      <c r="C166" s="96">
        <v>52.607799999999997</v>
      </c>
    </row>
    <row r="167" spans="1:3" x14ac:dyDescent="0.25">
      <c r="A167" s="84">
        <v>45986</v>
      </c>
      <c r="B167" s="95" t="s">
        <v>105</v>
      </c>
      <c r="C167" s="96">
        <v>52.723399999999998</v>
      </c>
    </row>
    <row r="168" spans="1:3" x14ac:dyDescent="0.25">
      <c r="A168" s="84">
        <v>45986</v>
      </c>
      <c r="B168" s="95" t="s">
        <v>92</v>
      </c>
      <c r="C168" s="96">
        <v>52.921999999999997</v>
      </c>
    </row>
    <row r="169" spans="1:3" x14ac:dyDescent="0.25">
      <c r="A169" s="84">
        <v>45986</v>
      </c>
      <c r="B169" s="95" t="s">
        <v>93</v>
      </c>
      <c r="C169" s="96">
        <v>52.931199999999997</v>
      </c>
    </row>
    <row r="170" spans="1:3" x14ac:dyDescent="0.25">
      <c r="A170" s="84">
        <v>45986</v>
      </c>
      <c r="B170" s="95" t="s">
        <v>106</v>
      </c>
      <c r="C170" s="96">
        <v>52.917099999999998</v>
      </c>
    </row>
    <row r="171" spans="1:3" x14ac:dyDescent="0.25">
      <c r="A171" s="84">
        <v>45986</v>
      </c>
      <c r="B171" s="95" t="s">
        <v>69</v>
      </c>
      <c r="C171" s="96">
        <v>52.986400000000003</v>
      </c>
    </row>
    <row r="172" spans="1:3" x14ac:dyDescent="0.25">
      <c r="A172" s="84">
        <v>45986</v>
      </c>
      <c r="B172" s="95" t="s">
        <v>70</v>
      </c>
      <c r="C172" s="96">
        <v>53.083100000000002</v>
      </c>
    </row>
    <row r="173" spans="1:3" x14ac:dyDescent="0.25">
      <c r="A173" s="84">
        <v>45986</v>
      </c>
      <c r="B173" s="95" t="s">
        <v>71</v>
      </c>
      <c r="C173" s="96">
        <v>53.205300000000001</v>
      </c>
    </row>
    <row r="174" spans="1:3" x14ac:dyDescent="0.25">
      <c r="A174" s="84">
        <v>45986</v>
      </c>
      <c r="B174" s="95" t="s">
        <v>72</v>
      </c>
      <c r="C174" s="96">
        <v>53.0809</v>
      </c>
    </row>
    <row r="175" spans="1:3" x14ac:dyDescent="0.25">
      <c r="A175" s="84">
        <v>45986</v>
      </c>
      <c r="B175" s="95" t="s">
        <v>73</v>
      </c>
      <c r="C175" s="96">
        <v>53.383899999999997</v>
      </c>
    </row>
    <row r="176" spans="1:3" x14ac:dyDescent="0.25">
      <c r="A176" s="84">
        <v>45986</v>
      </c>
      <c r="B176" s="95" t="s">
        <v>74</v>
      </c>
      <c r="C176" s="96">
        <v>53.379300000000001</v>
      </c>
    </row>
    <row r="177" spans="1:3" x14ac:dyDescent="0.25">
      <c r="A177" s="84">
        <v>45986</v>
      </c>
      <c r="B177" s="95" t="s">
        <v>75</v>
      </c>
      <c r="C177" s="96">
        <v>54.072499999999998</v>
      </c>
    </row>
    <row r="178" spans="1:3" x14ac:dyDescent="0.25">
      <c r="A178" s="84">
        <v>45986</v>
      </c>
      <c r="B178" s="95" t="s">
        <v>76</v>
      </c>
      <c r="C178" s="96">
        <v>54.079900000000002</v>
      </c>
    </row>
    <row r="179" spans="1:3" x14ac:dyDescent="0.25">
      <c r="A179" s="84">
        <v>45986</v>
      </c>
      <c r="B179" s="95" t="s">
        <v>77</v>
      </c>
      <c r="C179" s="96">
        <v>54.017000000000003</v>
      </c>
    </row>
    <row r="180" spans="1:3" x14ac:dyDescent="0.25">
      <c r="A180" s="84">
        <v>45986</v>
      </c>
      <c r="B180" s="95" t="s">
        <v>78</v>
      </c>
      <c r="C180" s="96">
        <v>52.923999999999999</v>
      </c>
    </row>
    <row r="181" spans="1:3" x14ac:dyDescent="0.25">
      <c r="A181" s="84">
        <v>45986</v>
      </c>
      <c r="B181" s="95" t="s">
        <v>79</v>
      </c>
      <c r="C181" s="96">
        <v>53.896299999999997</v>
      </c>
    </row>
    <row r="182" spans="1:3" x14ac:dyDescent="0.25">
      <c r="A182" s="84">
        <v>45986</v>
      </c>
      <c r="B182" s="95" t="s">
        <v>80</v>
      </c>
      <c r="C182" s="96">
        <v>54.091099999999997</v>
      </c>
    </row>
    <row r="183" spans="1:3" x14ac:dyDescent="0.25">
      <c r="A183" s="84">
        <v>45986</v>
      </c>
      <c r="B183" s="95" t="s">
        <v>81</v>
      </c>
      <c r="C183" s="96">
        <v>53.316800000000001</v>
      </c>
    </row>
    <row r="184" spans="1:3" x14ac:dyDescent="0.25">
      <c r="A184" s="84">
        <v>45986</v>
      </c>
      <c r="B184" s="95" t="s">
        <v>82</v>
      </c>
      <c r="C184" s="96">
        <v>53.327100000000002</v>
      </c>
    </row>
    <row r="185" spans="1:3" x14ac:dyDescent="0.25">
      <c r="A185" s="84">
        <v>45988</v>
      </c>
      <c r="B185" s="95" t="s">
        <v>88</v>
      </c>
      <c r="C185" s="96">
        <v>53.021900000000002</v>
      </c>
    </row>
    <row r="186" spans="1:3" x14ac:dyDescent="0.25">
      <c r="A186" s="84">
        <v>45988</v>
      </c>
      <c r="B186" s="95" t="s">
        <v>89</v>
      </c>
      <c r="C186" s="96">
        <v>53.080800000000004</v>
      </c>
    </row>
    <row r="187" spans="1:3" x14ac:dyDescent="0.25">
      <c r="A187" s="84">
        <v>45988</v>
      </c>
      <c r="B187" s="95" t="s">
        <v>90</v>
      </c>
      <c r="C187" s="96">
        <v>53.048000000000002</v>
      </c>
    </row>
    <row r="188" spans="1:3" x14ac:dyDescent="0.25">
      <c r="A188" s="84">
        <v>45988</v>
      </c>
      <c r="B188" s="95" t="s">
        <v>91</v>
      </c>
      <c r="C188" s="96">
        <v>52.6402</v>
      </c>
    </row>
    <row r="189" spans="1:3" x14ac:dyDescent="0.25">
      <c r="A189" s="84">
        <v>45988</v>
      </c>
      <c r="B189" s="95" t="s">
        <v>104</v>
      </c>
      <c r="C189" s="96">
        <v>52.607799999999997</v>
      </c>
    </row>
    <row r="190" spans="1:3" x14ac:dyDescent="0.25">
      <c r="A190" s="84">
        <v>45988</v>
      </c>
      <c r="B190" s="95" t="s">
        <v>105</v>
      </c>
      <c r="C190" s="96">
        <v>52.723599999999998</v>
      </c>
    </row>
    <row r="191" spans="1:3" x14ac:dyDescent="0.25">
      <c r="A191" s="84">
        <v>45988</v>
      </c>
      <c r="B191" s="95" t="s">
        <v>92</v>
      </c>
      <c r="C191" s="96">
        <v>52.921799999999998</v>
      </c>
    </row>
    <row r="192" spans="1:3" x14ac:dyDescent="0.25">
      <c r="A192" s="84">
        <v>45988</v>
      </c>
      <c r="B192" s="95" t="s">
        <v>93</v>
      </c>
      <c r="C192" s="96">
        <v>52.930900000000001</v>
      </c>
    </row>
    <row r="193" spans="1:3" x14ac:dyDescent="0.25">
      <c r="A193" s="84">
        <v>45988</v>
      </c>
      <c r="B193" s="95" t="s">
        <v>106</v>
      </c>
      <c r="C193" s="96">
        <v>52.917099999999998</v>
      </c>
    </row>
    <row r="194" spans="1:3" x14ac:dyDescent="0.25">
      <c r="A194" s="84">
        <v>45988</v>
      </c>
      <c r="B194" s="95" t="s">
        <v>69</v>
      </c>
      <c r="C194" s="96">
        <v>52.986600000000003</v>
      </c>
    </row>
    <row r="195" spans="1:3" x14ac:dyDescent="0.25">
      <c r="A195" s="84">
        <v>45988</v>
      </c>
      <c r="B195" s="95" t="s">
        <v>70</v>
      </c>
      <c r="C195" s="96">
        <v>53.083199999999998</v>
      </c>
    </row>
    <row r="196" spans="1:3" x14ac:dyDescent="0.25">
      <c r="A196" s="84">
        <v>45988</v>
      </c>
      <c r="B196" s="95" t="s">
        <v>71</v>
      </c>
      <c r="C196" s="96">
        <v>53.205500000000001</v>
      </c>
    </row>
    <row r="197" spans="1:3" x14ac:dyDescent="0.25">
      <c r="A197" s="84">
        <v>45988</v>
      </c>
      <c r="B197" s="95" t="s">
        <v>72</v>
      </c>
      <c r="C197" s="96">
        <v>53.0809</v>
      </c>
    </row>
    <row r="198" spans="1:3" x14ac:dyDescent="0.25">
      <c r="A198" s="84">
        <v>45988</v>
      </c>
      <c r="B198" s="95" t="s">
        <v>73</v>
      </c>
      <c r="C198" s="96">
        <v>53.3842</v>
      </c>
    </row>
    <row r="199" spans="1:3" x14ac:dyDescent="0.25">
      <c r="A199" s="84">
        <v>45988</v>
      </c>
      <c r="B199" s="95" t="s">
        <v>74</v>
      </c>
      <c r="C199" s="96">
        <v>53.379199999999997</v>
      </c>
    </row>
    <row r="200" spans="1:3" x14ac:dyDescent="0.25">
      <c r="A200" s="84">
        <v>45988</v>
      </c>
      <c r="B200" s="95" t="s">
        <v>75</v>
      </c>
      <c r="C200" s="96">
        <v>54.072400000000002</v>
      </c>
    </row>
    <row r="201" spans="1:3" x14ac:dyDescent="0.25">
      <c r="A201" s="84">
        <v>45988</v>
      </c>
      <c r="B201" s="95" t="s">
        <v>76</v>
      </c>
      <c r="C201" s="96">
        <v>54.08</v>
      </c>
    </row>
    <row r="202" spans="1:3" x14ac:dyDescent="0.25">
      <c r="A202" s="84">
        <v>45988</v>
      </c>
      <c r="B202" s="95" t="s">
        <v>77</v>
      </c>
      <c r="C202" s="96">
        <v>54.017200000000003</v>
      </c>
    </row>
    <row r="203" spans="1:3" x14ac:dyDescent="0.25">
      <c r="A203" s="84">
        <v>45988</v>
      </c>
      <c r="B203" s="95" t="s">
        <v>78</v>
      </c>
      <c r="C203" s="96">
        <v>52.924199999999999</v>
      </c>
    </row>
    <row r="204" spans="1:3" x14ac:dyDescent="0.25">
      <c r="A204" s="84">
        <v>45988</v>
      </c>
      <c r="B204" s="95" t="s">
        <v>79</v>
      </c>
      <c r="C204" s="96">
        <v>53.8964</v>
      </c>
    </row>
    <row r="205" spans="1:3" x14ac:dyDescent="0.25">
      <c r="A205" s="84">
        <v>45988</v>
      </c>
      <c r="B205" s="95" t="s">
        <v>80</v>
      </c>
      <c r="C205" s="96">
        <v>54.091099999999997</v>
      </c>
    </row>
    <row r="206" spans="1:3" x14ac:dyDescent="0.25">
      <c r="A206" s="84">
        <v>45988</v>
      </c>
      <c r="B206" s="95" t="s">
        <v>81</v>
      </c>
      <c r="C206" s="96">
        <v>53.316899999999997</v>
      </c>
    </row>
    <row r="207" spans="1:3" x14ac:dyDescent="0.25">
      <c r="A207" s="84">
        <v>45988</v>
      </c>
      <c r="B207" s="95" t="s">
        <v>82</v>
      </c>
      <c r="C207" s="96">
        <v>53.327100000000002</v>
      </c>
    </row>
    <row r="208" spans="1:3" x14ac:dyDescent="0.25">
      <c r="A208" s="84">
        <v>45988</v>
      </c>
      <c r="B208" s="95" t="s">
        <v>84</v>
      </c>
      <c r="C208" s="96">
        <v>53.486199999999997</v>
      </c>
    </row>
    <row r="209" spans="1:3" x14ac:dyDescent="0.25">
      <c r="A209" s="84">
        <v>45988</v>
      </c>
      <c r="B209" s="95" t="s">
        <v>85</v>
      </c>
      <c r="C209" s="96">
        <v>53.485999999999997</v>
      </c>
    </row>
    <row r="210" spans="1:3" x14ac:dyDescent="0.25">
      <c r="A210" s="84">
        <v>45988</v>
      </c>
      <c r="B210" s="95" t="s">
        <v>86</v>
      </c>
      <c r="C210" s="96">
        <v>53.5456</v>
      </c>
    </row>
    <row r="211" spans="1:3" x14ac:dyDescent="0.25">
      <c r="A211" s="84">
        <v>45988</v>
      </c>
      <c r="B211" s="95" t="s">
        <v>87</v>
      </c>
      <c r="C211" s="96">
        <v>53.479599999999998</v>
      </c>
    </row>
    <row r="212" spans="1:3" x14ac:dyDescent="0.25">
      <c r="A212" s="84">
        <v>45992</v>
      </c>
      <c r="B212" s="95" t="s">
        <v>88</v>
      </c>
      <c r="C212" s="96">
        <v>53.021700000000003</v>
      </c>
    </row>
    <row r="213" spans="1:3" x14ac:dyDescent="0.25">
      <c r="A213" s="84">
        <v>45992</v>
      </c>
      <c r="B213" s="95" t="s">
        <v>89</v>
      </c>
      <c r="C213" s="96">
        <v>53.080500000000001</v>
      </c>
    </row>
    <row r="214" spans="1:3" x14ac:dyDescent="0.25">
      <c r="A214" s="84">
        <v>45992</v>
      </c>
      <c r="B214" s="95" t="s">
        <v>90</v>
      </c>
      <c r="C214" s="96">
        <v>53.047400000000003</v>
      </c>
    </row>
    <row r="215" spans="1:3" x14ac:dyDescent="0.25">
      <c r="A215" s="84">
        <v>45992</v>
      </c>
      <c r="B215" s="95" t="s">
        <v>91</v>
      </c>
      <c r="C215" s="96">
        <v>52.637999999999998</v>
      </c>
    </row>
    <row r="216" spans="1:3" x14ac:dyDescent="0.25">
      <c r="A216" s="84">
        <v>45992</v>
      </c>
      <c r="B216" s="95" t="s">
        <v>104</v>
      </c>
      <c r="C216" s="96">
        <v>52.607300000000002</v>
      </c>
    </row>
    <row r="217" spans="1:3" x14ac:dyDescent="0.25">
      <c r="A217" s="84">
        <v>45992</v>
      </c>
      <c r="B217" s="95" t="s">
        <v>92</v>
      </c>
      <c r="C217" s="96">
        <v>52.921100000000003</v>
      </c>
    </row>
    <row r="218" spans="1:3" x14ac:dyDescent="0.25">
      <c r="A218" s="84">
        <v>45992</v>
      </c>
      <c r="B218" s="95" t="s">
        <v>93</v>
      </c>
      <c r="C218" s="96">
        <v>52.93</v>
      </c>
    </row>
    <row r="219" spans="1:3" x14ac:dyDescent="0.25">
      <c r="A219" s="84">
        <v>45992</v>
      </c>
      <c r="B219" s="95" t="s">
        <v>106</v>
      </c>
      <c r="C219" s="96">
        <v>52.917000000000002</v>
      </c>
    </row>
    <row r="220" spans="1:3" x14ac:dyDescent="0.25">
      <c r="A220" s="84">
        <v>45992</v>
      </c>
      <c r="B220" s="95" t="s">
        <v>69</v>
      </c>
      <c r="C220" s="96">
        <v>52.986400000000003</v>
      </c>
    </row>
    <row r="221" spans="1:3" x14ac:dyDescent="0.25">
      <c r="A221" s="84">
        <v>45992</v>
      </c>
      <c r="B221" s="95" t="s">
        <v>70</v>
      </c>
      <c r="C221" s="96">
        <v>53.083100000000002</v>
      </c>
    </row>
    <row r="222" spans="1:3" x14ac:dyDescent="0.25">
      <c r="A222" s="84">
        <v>45992</v>
      </c>
      <c r="B222" s="95" t="s">
        <v>71</v>
      </c>
      <c r="C222" s="96">
        <v>53.205300000000001</v>
      </c>
    </row>
    <row r="223" spans="1:3" x14ac:dyDescent="0.25">
      <c r="A223" s="84">
        <v>45992</v>
      </c>
      <c r="B223" s="95" t="s">
        <v>72</v>
      </c>
      <c r="C223" s="96">
        <v>53.0807</v>
      </c>
    </row>
    <row r="224" spans="1:3" x14ac:dyDescent="0.25">
      <c r="A224" s="84">
        <v>45992</v>
      </c>
      <c r="B224" s="95" t="s">
        <v>73</v>
      </c>
      <c r="C224" s="96">
        <v>53.384</v>
      </c>
    </row>
    <row r="225" spans="1:3" x14ac:dyDescent="0.25">
      <c r="A225" s="84">
        <v>45992</v>
      </c>
      <c r="B225" s="95" t="s">
        <v>74</v>
      </c>
      <c r="C225" s="96">
        <v>53.378999999999998</v>
      </c>
    </row>
    <row r="226" spans="1:3" x14ac:dyDescent="0.25">
      <c r="A226" s="84">
        <v>45992</v>
      </c>
      <c r="B226" s="95" t="s">
        <v>75</v>
      </c>
      <c r="C226" s="96">
        <v>54.072099999999999</v>
      </c>
    </row>
    <row r="227" spans="1:3" x14ac:dyDescent="0.25">
      <c r="A227" s="84">
        <v>45992</v>
      </c>
      <c r="B227" s="95" t="s">
        <v>76</v>
      </c>
      <c r="C227" s="96">
        <v>54.079700000000003</v>
      </c>
    </row>
    <row r="228" spans="1:3" x14ac:dyDescent="0.25">
      <c r="A228" s="84">
        <v>45992</v>
      </c>
      <c r="B228" s="95" t="s">
        <v>77</v>
      </c>
      <c r="C228" s="96">
        <v>54.017099999999999</v>
      </c>
    </row>
    <row r="229" spans="1:3" x14ac:dyDescent="0.25">
      <c r="A229" s="84">
        <v>45992</v>
      </c>
      <c r="B229" s="95" t="s">
        <v>78</v>
      </c>
      <c r="C229" s="96">
        <v>52.924100000000003</v>
      </c>
    </row>
    <row r="230" spans="1:3" x14ac:dyDescent="0.25">
      <c r="A230" s="84">
        <v>45992</v>
      </c>
      <c r="B230" s="95" t="s">
        <v>79</v>
      </c>
      <c r="C230" s="96">
        <v>53.896299999999997</v>
      </c>
    </row>
    <row r="231" spans="1:3" x14ac:dyDescent="0.25">
      <c r="A231" s="84">
        <v>45992</v>
      </c>
      <c r="B231" s="95" t="s">
        <v>80</v>
      </c>
      <c r="C231" s="96">
        <v>54.091000000000001</v>
      </c>
    </row>
    <row r="232" spans="1:3" x14ac:dyDescent="0.25">
      <c r="A232" s="84">
        <v>45992</v>
      </c>
      <c r="B232" s="95" t="s">
        <v>81</v>
      </c>
      <c r="C232" s="96">
        <v>53.316699999999997</v>
      </c>
    </row>
    <row r="233" spans="1:3" x14ac:dyDescent="0.25">
      <c r="A233" s="84">
        <v>45992</v>
      </c>
      <c r="B233" s="95" t="s">
        <v>82</v>
      </c>
      <c r="C233" s="96">
        <v>53.326999999999998</v>
      </c>
    </row>
    <row r="234" spans="1:3" x14ac:dyDescent="0.25">
      <c r="A234" s="84">
        <v>45993</v>
      </c>
      <c r="B234" s="95" t="s">
        <v>107</v>
      </c>
      <c r="C234" s="96">
        <v>46.368099999999998</v>
      </c>
    </row>
    <row r="235" spans="1:3" x14ac:dyDescent="0.25">
      <c r="A235" s="84">
        <v>45993</v>
      </c>
      <c r="B235" s="95" t="s">
        <v>108</v>
      </c>
      <c r="C235" s="96">
        <v>46.356000000000002</v>
      </c>
    </row>
    <row r="236" spans="1:3" x14ac:dyDescent="0.25">
      <c r="A236" s="84">
        <v>45993</v>
      </c>
      <c r="B236" s="95" t="s">
        <v>109</v>
      </c>
      <c r="C236" s="96">
        <v>47.5946</v>
      </c>
    </row>
    <row r="237" spans="1:3" x14ac:dyDescent="0.25">
      <c r="A237" s="84">
        <v>45993</v>
      </c>
      <c r="B237" s="95" t="s">
        <v>110</v>
      </c>
      <c r="C237" s="96">
        <v>47.572000000000003</v>
      </c>
    </row>
    <row r="238" spans="1:3" x14ac:dyDescent="0.25">
      <c r="A238" s="84">
        <v>45993</v>
      </c>
      <c r="B238" s="95" t="s">
        <v>111</v>
      </c>
      <c r="C238" s="96">
        <v>48.917200000000001</v>
      </c>
    </row>
    <row r="239" spans="1:3" x14ac:dyDescent="0.25">
      <c r="A239" s="84">
        <v>45993</v>
      </c>
      <c r="B239" s="95" t="s">
        <v>112</v>
      </c>
      <c r="C239" s="96">
        <v>48.854500000000002</v>
      </c>
    </row>
    <row r="240" spans="1:3" x14ac:dyDescent="0.25">
      <c r="A240" s="84">
        <v>45995</v>
      </c>
      <c r="B240" s="95" t="s">
        <v>88</v>
      </c>
      <c r="C240" s="96">
        <v>53.021799999999999</v>
      </c>
    </row>
    <row r="241" spans="1:3" x14ac:dyDescent="0.25">
      <c r="A241" s="84">
        <v>45995</v>
      </c>
      <c r="B241" s="95" t="s">
        <v>89</v>
      </c>
      <c r="C241" s="96">
        <v>53.080599999999997</v>
      </c>
    </row>
    <row r="242" spans="1:3" x14ac:dyDescent="0.25">
      <c r="A242" s="84">
        <v>45995</v>
      </c>
      <c r="B242" s="95" t="s">
        <v>90</v>
      </c>
      <c r="C242" s="96">
        <v>53.0471</v>
      </c>
    </row>
    <row r="243" spans="1:3" x14ac:dyDescent="0.25">
      <c r="A243" s="84">
        <v>45995</v>
      </c>
      <c r="B243" s="95" t="s">
        <v>91</v>
      </c>
      <c r="C243" s="96">
        <v>52.637500000000003</v>
      </c>
    </row>
    <row r="244" spans="1:3" x14ac:dyDescent="0.25">
      <c r="A244" s="84">
        <v>45995</v>
      </c>
      <c r="B244" s="95" t="s">
        <v>104</v>
      </c>
      <c r="C244" s="96">
        <v>52.607199999999999</v>
      </c>
    </row>
    <row r="245" spans="1:3" x14ac:dyDescent="0.25">
      <c r="A245" s="84">
        <v>45995</v>
      </c>
      <c r="B245" s="95" t="s">
        <v>105</v>
      </c>
      <c r="C245" s="96">
        <v>52.723199999999999</v>
      </c>
    </row>
    <row r="246" spans="1:3" x14ac:dyDescent="0.25">
      <c r="A246" s="84">
        <v>45995</v>
      </c>
      <c r="B246" s="95" t="s">
        <v>92</v>
      </c>
      <c r="C246" s="96">
        <v>52.920999999999999</v>
      </c>
    </row>
    <row r="247" spans="1:3" x14ac:dyDescent="0.25">
      <c r="A247" s="84">
        <v>45995</v>
      </c>
      <c r="B247" s="95" t="s">
        <v>93</v>
      </c>
      <c r="C247" s="96">
        <v>52.93</v>
      </c>
    </row>
    <row r="248" spans="1:3" x14ac:dyDescent="0.25">
      <c r="A248" s="84">
        <v>45995</v>
      </c>
      <c r="B248" s="95" t="s">
        <v>106</v>
      </c>
      <c r="C248" s="96">
        <v>52.916899999999998</v>
      </c>
    </row>
    <row r="249" spans="1:3" x14ac:dyDescent="0.25">
      <c r="A249" s="84">
        <v>45995</v>
      </c>
      <c r="B249" s="95" t="s">
        <v>69</v>
      </c>
      <c r="C249" s="96">
        <v>52.986400000000003</v>
      </c>
    </row>
    <row r="250" spans="1:3" x14ac:dyDescent="0.25">
      <c r="A250" s="84">
        <v>45995</v>
      </c>
      <c r="B250" s="95" t="s">
        <v>70</v>
      </c>
      <c r="C250" s="96">
        <v>53.082999999999998</v>
      </c>
    </row>
    <row r="251" spans="1:3" x14ac:dyDescent="0.25">
      <c r="A251" s="84">
        <v>45995</v>
      </c>
      <c r="B251" s="95" t="s">
        <v>71</v>
      </c>
      <c r="C251" s="96">
        <v>53.205199999999998</v>
      </c>
    </row>
    <row r="252" spans="1:3" x14ac:dyDescent="0.25">
      <c r="A252" s="84">
        <v>45995</v>
      </c>
      <c r="B252" s="95" t="s">
        <v>72</v>
      </c>
      <c r="C252" s="96">
        <v>53.0807</v>
      </c>
    </row>
    <row r="253" spans="1:3" x14ac:dyDescent="0.25">
      <c r="A253" s="84">
        <v>45995</v>
      </c>
      <c r="B253" s="95" t="s">
        <v>73</v>
      </c>
      <c r="C253" s="96">
        <v>53.383800000000001</v>
      </c>
    </row>
    <row r="254" spans="1:3" x14ac:dyDescent="0.25">
      <c r="A254" s="84">
        <v>45995</v>
      </c>
      <c r="B254" s="95" t="s">
        <v>74</v>
      </c>
      <c r="C254" s="96">
        <v>53.379100000000001</v>
      </c>
    </row>
    <row r="255" spans="1:3" x14ac:dyDescent="0.25">
      <c r="A255" s="84">
        <v>45995</v>
      </c>
      <c r="B255" s="95" t="s">
        <v>75</v>
      </c>
      <c r="C255" s="96">
        <v>54.072299999999998</v>
      </c>
    </row>
    <row r="256" spans="1:3" x14ac:dyDescent="0.25">
      <c r="A256" s="84">
        <v>45995</v>
      </c>
      <c r="B256" s="95" t="s">
        <v>76</v>
      </c>
      <c r="C256" s="96">
        <v>54.079799999999999</v>
      </c>
    </row>
    <row r="257" spans="1:3" x14ac:dyDescent="0.25">
      <c r="A257" s="84">
        <v>45995</v>
      </c>
      <c r="B257" s="95" t="s">
        <v>77</v>
      </c>
      <c r="C257" s="96">
        <v>54.017000000000003</v>
      </c>
    </row>
    <row r="258" spans="1:3" x14ac:dyDescent="0.25">
      <c r="A258" s="84">
        <v>45995</v>
      </c>
      <c r="B258" s="95" t="s">
        <v>78</v>
      </c>
      <c r="C258" s="96">
        <v>52.923999999999999</v>
      </c>
    </row>
    <row r="259" spans="1:3" x14ac:dyDescent="0.25">
      <c r="A259" s="84">
        <v>45995</v>
      </c>
      <c r="B259" s="95" t="s">
        <v>79</v>
      </c>
      <c r="C259" s="96">
        <v>53.896099999999997</v>
      </c>
    </row>
    <row r="260" spans="1:3" x14ac:dyDescent="0.25">
      <c r="A260" s="84">
        <v>45995</v>
      </c>
      <c r="B260" s="95" t="s">
        <v>80</v>
      </c>
      <c r="C260" s="96">
        <v>54.091000000000001</v>
      </c>
    </row>
    <row r="261" spans="1:3" x14ac:dyDescent="0.25">
      <c r="A261" s="84">
        <v>45995</v>
      </c>
      <c r="B261" s="95" t="s">
        <v>81</v>
      </c>
      <c r="C261" s="96">
        <v>53.316699999999997</v>
      </c>
    </row>
    <row r="262" spans="1:3" x14ac:dyDescent="0.25">
      <c r="A262" s="84">
        <v>45995</v>
      </c>
      <c r="B262" s="95" t="s">
        <v>82</v>
      </c>
      <c r="C262" s="96">
        <v>53.326900000000002</v>
      </c>
    </row>
    <row r="263" spans="1:3" x14ac:dyDescent="0.25">
      <c r="A263" s="84">
        <v>45996</v>
      </c>
      <c r="B263" s="95" t="s">
        <v>107</v>
      </c>
      <c r="C263" s="96">
        <v>46.367899999999999</v>
      </c>
    </row>
    <row r="264" spans="1:3" x14ac:dyDescent="0.25">
      <c r="A264" s="84">
        <v>45996</v>
      </c>
      <c r="B264" s="95" t="s">
        <v>108</v>
      </c>
      <c r="C264" s="96">
        <v>46.355800000000002</v>
      </c>
    </row>
    <row r="265" spans="1:3" x14ac:dyDescent="0.25">
      <c r="A265" s="84">
        <v>45996</v>
      </c>
      <c r="B265" s="95" t="s">
        <v>109</v>
      </c>
      <c r="C265" s="96">
        <v>47.5944</v>
      </c>
    </row>
    <row r="266" spans="1:3" x14ac:dyDescent="0.25">
      <c r="A266" s="84">
        <v>45996</v>
      </c>
      <c r="B266" s="95" t="s">
        <v>110</v>
      </c>
      <c r="C266" s="96">
        <v>47.571899999999999</v>
      </c>
    </row>
    <row r="267" spans="1:3" x14ac:dyDescent="0.25">
      <c r="A267" s="84">
        <v>45996</v>
      </c>
      <c r="B267" s="95" t="s">
        <v>111</v>
      </c>
      <c r="C267" s="96">
        <v>48.917400000000001</v>
      </c>
    </row>
    <row r="268" spans="1:3" x14ac:dyDescent="0.25">
      <c r="A268" s="84">
        <v>45996</v>
      </c>
      <c r="B268" s="95" t="s">
        <v>112</v>
      </c>
      <c r="C268" s="96">
        <v>48.854599999999998</v>
      </c>
    </row>
    <row r="269" spans="1:3" x14ac:dyDescent="0.25">
      <c r="A269" s="84">
        <v>46000</v>
      </c>
      <c r="B269" s="95" t="s">
        <v>89</v>
      </c>
      <c r="C269" s="96">
        <v>53.080500000000001</v>
      </c>
    </row>
    <row r="270" spans="1:3" x14ac:dyDescent="0.25">
      <c r="A270" s="84">
        <v>46000</v>
      </c>
      <c r="B270" s="95" t="s">
        <v>90</v>
      </c>
      <c r="C270" s="96">
        <v>53.046700000000001</v>
      </c>
    </row>
    <row r="271" spans="1:3" x14ac:dyDescent="0.25">
      <c r="A271" s="84">
        <v>46000</v>
      </c>
      <c r="B271" s="95" t="s">
        <v>91</v>
      </c>
      <c r="C271" s="96">
        <v>52.637</v>
      </c>
    </row>
    <row r="272" spans="1:3" x14ac:dyDescent="0.25">
      <c r="A272" s="84">
        <v>46000</v>
      </c>
      <c r="B272" s="95" t="s">
        <v>104</v>
      </c>
      <c r="C272" s="96">
        <v>52.607100000000003</v>
      </c>
    </row>
    <row r="273" spans="1:3" x14ac:dyDescent="0.25">
      <c r="A273" s="84">
        <v>46000</v>
      </c>
      <c r="B273" s="95" t="s">
        <v>105</v>
      </c>
      <c r="C273" s="96">
        <v>52.723100000000002</v>
      </c>
    </row>
    <row r="274" spans="1:3" x14ac:dyDescent="0.25">
      <c r="A274" s="84">
        <v>46000</v>
      </c>
      <c r="B274" s="95" t="s">
        <v>92</v>
      </c>
      <c r="C274" s="96">
        <v>52.920699999999997</v>
      </c>
    </row>
    <row r="275" spans="1:3" x14ac:dyDescent="0.25">
      <c r="A275" s="84">
        <v>46000</v>
      </c>
      <c r="B275" s="95" t="s">
        <v>93</v>
      </c>
      <c r="C275" s="96">
        <v>52.929699999999997</v>
      </c>
    </row>
    <row r="276" spans="1:3" x14ac:dyDescent="0.25">
      <c r="A276" s="84">
        <v>46000</v>
      </c>
      <c r="B276" s="95" t="s">
        <v>106</v>
      </c>
      <c r="C276" s="96">
        <v>52.916800000000002</v>
      </c>
    </row>
    <row r="277" spans="1:3" x14ac:dyDescent="0.25">
      <c r="A277" s="84">
        <v>46000</v>
      </c>
      <c r="B277" s="95" t="s">
        <v>69</v>
      </c>
      <c r="C277" s="96">
        <v>52.986199999999997</v>
      </c>
    </row>
    <row r="278" spans="1:3" x14ac:dyDescent="0.25">
      <c r="A278" s="84">
        <v>46000</v>
      </c>
      <c r="B278" s="95" t="s">
        <v>70</v>
      </c>
      <c r="C278" s="96">
        <v>53.082700000000003</v>
      </c>
    </row>
    <row r="279" spans="1:3" x14ac:dyDescent="0.25">
      <c r="A279" s="84">
        <v>46000</v>
      </c>
      <c r="B279" s="95" t="s">
        <v>71</v>
      </c>
      <c r="C279" s="96">
        <v>53.205100000000002</v>
      </c>
    </row>
    <row r="280" spans="1:3" x14ac:dyDescent="0.25">
      <c r="A280" s="84">
        <v>46000</v>
      </c>
      <c r="B280" s="95" t="s">
        <v>72</v>
      </c>
      <c r="C280" s="96">
        <v>53.080399999999997</v>
      </c>
    </row>
    <row r="281" spans="1:3" x14ac:dyDescent="0.25">
      <c r="A281" s="84">
        <v>46000</v>
      </c>
      <c r="B281" s="95" t="s">
        <v>73</v>
      </c>
      <c r="C281" s="96">
        <v>53.383600000000001</v>
      </c>
    </row>
    <row r="282" spans="1:3" x14ac:dyDescent="0.25">
      <c r="A282" s="84">
        <v>46000</v>
      </c>
      <c r="B282" s="95" t="s">
        <v>75</v>
      </c>
      <c r="C282" s="96">
        <v>54.071800000000003</v>
      </c>
    </row>
    <row r="283" spans="1:3" x14ac:dyDescent="0.25">
      <c r="A283" s="84">
        <v>46000</v>
      </c>
      <c r="B283" s="95" t="s">
        <v>76</v>
      </c>
      <c r="C283" s="96">
        <v>54.0794</v>
      </c>
    </row>
    <row r="284" spans="1:3" x14ac:dyDescent="0.25">
      <c r="A284" s="84">
        <v>46000</v>
      </c>
      <c r="B284" s="95" t="s">
        <v>77</v>
      </c>
      <c r="C284" s="96">
        <v>54.016800000000003</v>
      </c>
    </row>
    <row r="285" spans="1:3" x14ac:dyDescent="0.25">
      <c r="A285" s="84">
        <v>46000</v>
      </c>
      <c r="B285" s="95" t="s">
        <v>78</v>
      </c>
      <c r="C285" s="96">
        <v>52.923900000000003</v>
      </c>
    </row>
    <row r="286" spans="1:3" x14ac:dyDescent="0.25">
      <c r="A286" s="84">
        <v>46000</v>
      </c>
      <c r="B286" s="95" t="s">
        <v>79</v>
      </c>
      <c r="C286" s="96">
        <v>53.895899999999997</v>
      </c>
    </row>
    <row r="287" spans="1:3" x14ac:dyDescent="0.25">
      <c r="A287" s="84">
        <v>46000</v>
      </c>
      <c r="B287" s="95" t="s">
        <v>80</v>
      </c>
      <c r="C287" s="96">
        <v>54.090600000000002</v>
      </c>
    </row>
    <row r="288" spans="1:3" x14ac:dyDescent="0.25">
      <c r="A288" s="84">
        <v>46000</v>
      </c>
      <c r="B288" s="95" t="s">
        <v>81</v>
      </c>
      <c r="C288" s="96">
        <v>53.316499999999998</v>
      </c>
    </row>
    <row r="289" spans="1:3" x14ac:dyDescent="0.25">
      <c r="A289" s="84">
        <v>46000</v>
      </c>
      <c r="B289" s="95" t="s">
        <v>82</v>
      </c>
      <c r="C289" s="96">
        <v>53.326700000000002</v>
      </c>
    </row>
    <row r="290" spans="1:3" x14ac:dyDescent="0.25">
      <c r="A290" s="84">
        <v>46000</v>
      </c>
      <c r="B290" s="95" t="s">
        <v>84</v>
      </c>
      <c r="C290" s="96">
        <v>53.485799999999998</v>
      </c>
    </row>
    <row r="291" spans="1:3" x14ac:dyDescent="0.25">
      <c r="A291" s="84">
        <v>46000</v>
      </c>
      <c r="B291" s="95" t="s">
        <v>85</v>
      </c>
      <c r="C291" s="96">
        <v>53.485700000000001</v>
      </c>
    </row>
    <row r="292" spans="1:3" x14ac:dyDescent="0.25">
      <c r="A292" s="84">
        <v>46000</v>
      </c>
      <c r="B292" s="95" t="s">
        <v>86</v>
      </c>
      <c r="C292" s="96">
        <v>53.545299999999997</v>
      </c>
    </row>
    <row r="293" spans="1:3" x14ac:dyDescent="0.25">
      <c r="A293" s="84">
        <v>46000</v>
      </c>
      <c r="B293" s="95" t="s">
        <v>87</v>
      </c>
      <c r="C293" s="96">
        <v>53.479300000000002</v>
      </c>
    </row>
    <row r="294" spans="1:3" x14ac:dyDescent="0.25">
      <c r="A294" s="84">
        <v>46002</v>
      </c>
      <c r="B294" s="95" t="s">
        <v>107</v>
      </c>
      <c r="C294" s="96">
        <v>46.3675</v>
      </c>
    </row>
    <row r="295" spans="1:3" x14ac:dyDescent="0.25">
      <c r="A295" s="84">
        <v>46002</v>
      </c>
      <c r="B295" s="95" t="s">
        <v>108</v>
      </c>
      <c r="C295" s="96">
        <v>46.355400000000003</v>
      </c>
    </row>
    <row r="296" spans="1:3" x14ac:dyDescent="0.25">
      <c r="A296" s="84">
        <v>46002</v>
      </c>
      <c r="B296" s="95" t="s">
        <v>109</v>
      </c>
      <c r="C296" s="96">
        <v>47.593899999999998</v>
      </c>
    </row>
    <row r="297" spans="1:3" x14ac:dyDescent="0.25">
      <c r="A297" s="84">
        <v>46002</v>
      </c>
      <c r="B297" s="95" t="s">
        <v>110</v>
      </c>
      <c r="C297" s="96">
        <v>47.5715</v>
      </c>
    </row>
    <row r="298" spans="1:3" x14ac:dyDescent="0.25">
      <c r="A298" s="84">
        <v>46002</v>
      </c>
      <c r="B298" s="95" t="s">
        <v>111</v>
      </c>
      <c r="C298" s="96">
        <v>48.916800000000002</v>
      </c>
    </row>
    <row r="299" spans="1:3" x14ac:dyDescent="0.25">
      <c r="A299" s="84">
        <v>46002</v>
      </c>
      <c r="B299" s="95" t="s">
        <v>112</v>
      </c>
      <c r="C299" s="96">
        <v>48.854100000000003</v>
      </c>
    </row>
    <row r="300" spans="1:3" x14ac:dyDescent="0.25">
      <c r="A300" s="89">
        <v>46006</v>
      </c>
      <c r="B300" s="95" t="s">
        <v>88</v>
      </c>
      <c r="C300" s="96">
        <v>53.021599999999999</v>
      </c>
    </row>
    <row r="301" spans="1:3" x14ac:dyDescent="0.25">
      <c r="A301" s="89">
        <v>46006</v>
      </c>
      <c r="B301" s="95" t="s">
        <v>89</v>
      </c>
      <c r="C301" s="96">
        <v>53.080500000000001</v>
      </c>
    </row>
    <row r="302" spans="1:3" x14ac:dyDescent="0.25">
      <c r="A302" s="89">
        <v>46006</v>
      </c>
      <c r="B302" s="95" t="s">
        <v>90</v>
      </c>
      <c r="C302" s="96">
        <v>53.046599999999998</v>
      </c>
    </row>
    <row r="303" spans="1:3" x14ac:dyDescent="0.25">
      <c r="A303" s="89">
        <v>46006</v>
      </c>
      <c r="B303" s="95" t="s">
        <v>91</v>
      </c>
      <c r="C303" s="96">
        <v>52.636800000000001</v>
      </c>
    </row>
    <row r="304" spans="1:3" x14ac:dyDescent="0.25">
      <c r="A304" s="89">
        <v>46006</v>
      </c>
      <c r="B304" s="95" t="s">
        <v>104</v>
      </c>
      <c r="C304" s="96">
        <v>52.607100000000003</v>
      </c>
    </row>
    <row r="305" spans="1:3" x14ac:dyDescent="0.25">
      <c r="A305" s="89">
        <v>46006</v>
      </c>
      <c r="B305" s="95" t="s">
        <v>105</v>
      </c>
      <c r="C305" s="96">
        <v>52.723100000000002</v>
      </c>
    </row>
    <row r="306" spans="1:3" x14ac:dyDescent="0.25">
      <c r="A306" s="89">
        <v>46006</v>
      </c>
      <c r="B306" s="95" t="s">
        <v>92</v>
      </c>
      <c r="C306" s="96">
        <v>52.9206</v>
      </c>
    </row>
    <row r="307" spans="1:3" x14ac:dyDescent="0.25">
      <c r="A307" s="89">
        <v>46006</v>
      </c>
      <c r="B307" s="95" t="s">
        <v>93</v>
      </c>
      <c r="C307" s="96">
        <v>52.929499999999997</v>
      </c>
    </row>
    <row r="308" spans="1:3" x14ac:dyDescent="0.25">
      <c r="A308" s="89">
        <v>46006</v>
      </c>
      <c r="B308" s="95" t="s">
        <v>106</v>
      </c>
      <c r="C308" s="96">
        <v>52.916600000000003</v>
      </c>
    </row>
    <row r="309" spans="1:3" x14ac:dyDescent="0.25">
      <c r="A309" s="89">
        <v>46006</v>
      </c>
      <c r="B309" s="95" t="s">
        <v>69</v>
      </c>
      <c r="C309" s="96">
        <v>52.986199999999997</v>
      </c>
    </row>
    <row r="310" spans="1:3" x14ac:dyDescent="0.25">
      <c r="A310" s="89">
        <v>46006</v>
      </c>
      <c r="B310" s="95" t="s">
        <v>70</v>
      </c>
      <c r="C310" s="96">
        <v>53.082599999999999</v>
      </c>
    </row>
    <row r="311" spans="1:3" x14ac:dyDescent="0.25">
      <c r="A311" s="89">
        <v>46006</v>
      </c>
      <c r="B311" s="95" t="s">
        <v>71</v>
      </c>
      <c r="C311" s="96">
        <v>53.205100000000002</v>
      </c>
    </row>
    <row r="312" spans="1:3" x14ac:dyDescent="0.25">
      <c r="A312" s="89">
        <v>46006</v>
      </c>
      <c r="B312" s="95" t="s">
        <v>72</v>
      </c>
      <c r="C312" s="96">
        <v>53.080399999999997</v>
      </c>
    </row>
    <row r="313" spans="1:3" x14ac:dyDescent="0.25">
      <c r="A313" s="89">
        <v>46006</v>
      </c>
      <c r="B313" s="95" t="s">
        <v>73</v>
      </c>
      <c r="C313" s="96">
        <v>53.383600000000001</v>
      </c>
    </row>
    <row r="314" spans="1:3" x14ac:dyDescent="0.25">
      <c r="A314" s="89">
        <v>46006</v>
      </c>
      <c r="B314" s="95" t="s">
        <v>74</v>
      </c>
      <c r="C314" s="96">
        <v>53.378999999999998</v>
      </c>
    </row>
    <row r="315" spans="1:3" x14ac:dyDescent="0.25">
      <c r="A315" s="89">
        <v>46006</v>
      </c>
      <c r="B315" s="95" t="s">
        <v>75</v>
      </c>
      <c r="C315" s="96">
        <v>54.072099999999999</v>
      </c>
    </row>
    <row r="316" spans="1:3" x14ac:dyDescent="0.25">
      <c r="A316" s="89">
        <v>46006</v>
      </c>
      <c r="B316" s="95" t="s">
        <v>76</v>
      </c>
      <c r="C316" s="96">
        <v>54.0794</v>
      </c>
    </row>
    <row r="317" spans="1:3" x14ac:dyDescent="0.25">
      <c r="A317" s="89">
        <v>46006</v>
      </c>
      <c r="B317" s="95" t="s">
        <v>77</v>
      </c>
      <c r="C317" s="96">
        <v>54.016800000000003</v>
      </c>
    </row>
    <row r="318" spans="1:3" x14ac:dyDescent="0.25">
      <c r="A318" s="89">
        <v>46006</v>
      </c>
      <c r="B318" s="95" t="s">
        <v>78</v>
      </c>
      <c r="C318" s="96">
        <v>52.923999999999999</v>
      </c>
    </row>
    <row r="319" spans="1:3" x14ac:dyDescent="0.25">
      <c r="A319" s="89">
        <v>46006</v>
      </c>
      <c r="B319" s="95" t="s">
        <v>79</v>
      </c>
      <c r="C319" s="96">
        <v>53.895899999999997</v>
      </c>
    </row>
    <row r="320" spans="1:3" x14ac:dyDescent="0.25">
      <c r="A320" s="89">
        <v>46006</v>
      </c>
      <c r="B320" s="95" t="s">
        <v>80</v>
      </c>
      <c r="C320" s="96">
        <v>54.090600000000002</v>
      </c>
    </row>
    <row r="321" spans="1:3" x14ac:dyDescent="0.25">
      <c r="A321" s="89">
        <v>46006</v>
      </c>
      <c r="B321" s="95" t="s">
        <v>81</v>
      </c>
      <c r="C321" s="96">
        <v>53.316600000000001</v>
      </c>
    </row>
    <row r="322" spans="1:3" x14ac:dyDescent="0.25">
      <c r="A322" s="89">
        <v>46006</v>
      </c>
      <c r="B322" s="95" t="s">
        <v>82</v>
      </c>
      <c r="C322" s="96">
        <v>53.326599999999999</v>
      </c>
    </row>
    <row r="323" spans="1:3" x14ac:dyDescent="0.25">
      <c r="A323" s="89">
        <v>46007</v>
      </c>
      <c r="B323" s="95" t="s">
        <v>114</v>
      </c>
      <c r="C323" s="96">
        <v>46.697499999999998</v>
      </c>
    </row>
    <row r="324" spans="1:3" x14ac:dyDescent="0.25">
      <c r="A324" s="89">
        <v>46007</v>
      </c>
      <c r="B324" s="95" t="s">
        <v>115</v>
      </c>
      <c r="C324" s="96">
        <v>46.583100000000002</v>
      </c>
    </row>
    <row r="325" spans="1:3" x14ac:dyDescent="0.25">
      <c r="A325" s="89">
        <v>46007</v>
      </c>
      <c r="B325" s="95" t="s">
        <v>116</v>
      </c>
      <c r="C325" s="96">
        <v>46.799900000000001</v>
      </c>
    </row>
    <row r="326" spans="1:3" x14ac:dyDescent="0.25">
      <c r="A326" s="89">
        <v>46007</v>
      </c>
      <c r="B326" s="95" t="s">
        <v>117</v>
      </c>
      <c r="C326" s="96">
        <v>46.956200000000003</v>
      </c>
    </row>
    <row r="327" spans="1:3" x14ac:dyDescent="0.25">
      <c r="A327" s="89">
        <v>46007</v>
      </c>
      <c r="B327" s="95" t="s">
        <v>118</v>
      </c>
      <c r="C327" s="96">
        <v>46.280700000000003</v>
      </c>
    </row>
    <row r="328" spans="1:3" x14ac:dyDescent="0.25">
      <c r="A328" s="89">
        <v>46007</v>
      </c>
      <c r="B328" s="95" t="s">
        <v>119</v>
      </c>
      <c r="C328" s="96">
        <v>46.3095</v>
      </c>
    </row>
    <row r="329" spans="1:3" x14ac:dyDescent="0.25">
      <c r="A329" s="89">
        <v>46007</v>
      </c>
      <c r="B329" s="95" t="s">
        <v>120</v>
      </c>
      <c r="C329" s="96">
        <v>45.553199999999997</v>
      </c>
    </row>
    <row r="330" spans="1:3" x14ac:dyDescent="0.25">
      <c r="A330" s="89">
        <v>46007</v>
      </c>
      <c r="B330" s="95" t="s">
        <v>121</v>
      </c>
      <c r="C330" s="96">
        <v>45.560299999999998</v>
      </c>
    </row>
    <row r="331" spans="1:3" x14ac:dyDescent="0.25">
      <c r="A331" s="89">
        <v>46007</v>
      </c>
      <c r="B331" s="95" t="s">
        <v>122</v>
      </c>
      <c r="C331" s="96">
        <v>45.540500000000002</v>
      </c>
    </row>
    <row r="332" spans="1:3" x14ac:dyDescent="0.25">
      <c r="A332" s="89">
        <v>46007</v>
      </c>
      <c r="B332" s="95" t="s">
        <v>123</v>
      </c>
      <c r="C332" s="96">
        <v>45.463900000000002</v>
      </c>
    </row>
    <row r="333" spans="1:3" x14ac:dyDescent="0.25">
      <c r="A333" s="89">
        <v>46007</v>
      </c>
      <c r="B333" s="95" t="s">
        <v>124</v>
      </c>
      <c r="C333" s="96">
        <v>45.478099999999998</v>
      </c>
    </row>
    <row r="334" spans="1:3" x14ac:dyDescent="0.25">
      <c r="A334" s="89">
        <v>46007</v>
      </c>
      <c r="B334" s="95" t="s">
        <v>125</v>
      </c>
      <c r="C334" s="96">
        <v>46.5563</v>
      </c>
    </row>
    <row r="335" spans="1:3" x14ac:dyDescent="0.25">
      <c r="A335" s="89">
        <v>46007</v>
      </c>
      <c r="B335" s="95" t="s">
        <v>126</v>
      </c>
      <c r="C335" s="96">
        <v>46.575699999999998</v>
      </c>
    </row>
    <row r="336" spans="1:3" x14ac:dyDescent="0.25">
      <c r="A336" s="89">
        <v>46007</v>
      </c>
      <c r="B336" s="95" t="s">
        <v>127</v>
      </c>
      <c r="C336" s="96">
        <v>48.013500000000001</v>
      </c>
    </row>
    <row r="337" spans="1:3" x14ac:dyDescent="0.25">
      <c r="A337" s="89">
        <v>46007</v>
      </c>
      <c r="B337" s="95" t="s">
        <v>128</v>
      </c>
      <c r="C337" s="96">
        <v>48.130600000000001</v>
      </c>
    </row>
    <row r="338" spans="1:3" x14ac:dyDescent="0.25">
      <c r="A338" s="89">
        <v>46007</v>
      </c>
      <c r="B338" s="95" t="s">
        <v>129</v>
      </c>
      <c r="C338" s="96">
        <v>48.452200000000005</v>
      </c>
    </row>
    <row r="339" spans="1:3" x14ac:dyDescent="0.25">
      <c r="A339" s="89">
        <v>46007</v>
      </c>
      <c r="B339" s="95" t="s">
        <v>130</v>
      </c>
      <c r="C339" s="96">
        <v>50.293799999999997</v>
      </c>
    </row>
    <row r="340" spans="1:3" x14ac:dyDescent="0.25">
      <c r="A340" s="89">
        <v>46007</v>
      </c>
      <c r="B340" s="95" t="s">
        <v>131</v>
      </c>
      <c r="C340" s="96">
        <v>50.976700000000001</v>
      </c>
    </row>
    <row r="341" spans="1:3" x14ac:dyDescent="0.25">
      <c r="A341" s="89">
        <v>46007</v>
      </c>
      <c r="B341" s="95" t="s">
        <v>132</v>
      </c>
      <c r="C341" s="96">
        <v>49.870899999999999</v>
      </c>
    </row>
    <row r="342" spans="1:3" x14ac:dyDescent="0.25">
      <c r="A342" s="89">
        <v>46007</v>
      </c>
      <c r="B342" s="95" t="s">
        <v>133</v>
      </c>
      <c r="C342" s="96">
        <v>49.665999999999997</v>
      </c>
    </row>
    <row r="343" spans="1:3" x14ac:dyDescent="0.25">
      <c r="A343" s="89">
        <v>46007</v>
      </c>
      <c r="B343" s="95" t="s">
        <v>134</v>
      </c>
      <c r="C343" s="96">
        <v>48.143799999999999</v>
      </c>
    </row>
    <row r="344" spans="1:3" x14ac:dyDescent="0.25">
      <c r="A344" s="89">
        <v>46007</v>
      </c>
      <c r="B344" s="95" t="s">
        <v>135</v>
      </c>
      <c r="C344" s="96">
        <v>48.212299999999999</v>
      </c>
    </row>
    <row r="345" spans="1:3" x14ac:dyDescent="0.25">
      <c r="A345" s="89">
        <v>46007</v>
      </c>
      <c r="B345" s="95" t="s">
        <v>136</v>
      </c>
      <c r="C345" s="96">
        <v>47.8889</v>
      </c>
    </row>
    <row r="346" spans="1:3" x14ac:dyDescent="0.25">
      <c r="A346" s="89">
        <v>46007</v>
      </c>
      <c r="B346" s="88" t="s">
        <v>137</v>
      </c>
      <c r="C346" s="88">
        <v>47.773400000000002</v>
      </c>
    </row>
    <row r="347" spans="1:3" x14ac:dyDescent="0.25">
      <c r="A347" s="89">
        <v>46007</v>
      </c>
      <c r="B347" s="95" t="s">
        <v>138</v>
      </c>
      <c r="C347" s="96">
        <v>47.895699999999998</v>
      </c>
    </row>
    <row r="348" spans="1:3" x14ac:dyDescent="0.25">
      <c r="A348" s="89">
        <v>46007</v>
      </c>
      <c r="B348" s="95" t="s">
        <v>139</v>
      </c>
      <c r="C348" s="96">
        <v>47.052199999999999</v>
      </c>
    </row>
    <row r="349" spans="1:3" x14ac:dyDescent="0.25">
      <c r="A349" s="89">
        <v>46007</v>
      </c>
      <c r="B349" s="95" t="s">
        <v>140</v>
      </c>
      <c r="C349" s="96">
        <v>44.056800000000003</v>
      </c>
    </row>
    <row r="350" spans="1:3" x14ac:dyDescent="0.25">
      <c r="A350" s="89">
        <v>46007</v>
      </c>
      <c r="B350" s="95" t="s">
        <v>141</v>
      </c>
      <c r="C350" s="96">
        <v>43.9664</v>
      </c>
    </row>
    <row r="351" spans="1:3" x14ac:dyDescent="0.25">
      <c r="A351" s="89">
        <v>46009</v>
      </c>
      <c r="B351" s="95" t="s">
        <v>88</v>
      </c>
      <c r="C351" s="96">
        <v>53.021700000000003</v>
      </c>
    </row>
    <row r="352" spans="1:3" x14ac:dyDescent="0.25">
      <c r="A352" s="89">
        <v>46009</v>
      </c>
      <c r="B352" s="95" t="s">
        <v>89</v>
      </c>
      <c r="C352" s="96">
        <v>53.080399999999997</v>
      </c>
    </row>
    <row r="353" spans="1:3" x14ac:dyDescent="0.25">
      <c r="A353" s="89">
        <v>46009</v>
      </c>
      <c r="B353" s="95" t="s">
        <v>90</v>
      </c>
      <c r="C353" s="96">
        <v>53.046500000000002</v>
      </c>
    </row>
    <row r="354" spans="1:3" x14ac:dyDescent="0.25">
      <c r="A354" s="89">
        <v>46009</v>
      </c>
      <c r="B354" s="95" t="s">
        <v>91</v>
      </c>
      <c r="C354" s="96">
        <v>52.636499999999998</v>
      </c>
    </row>
    <row r="355" spans="1:3" x14ac:dyDescent="0.25">
      <c r="A355" s="89">
        <v>46009</v>
      </c>
      <c r="B355" s="95" t="s">
        <v>104</v>
      </c>
      <c r="C355" s="96">
        <v>52.607100000000003</v>
      </c>
    </row>
    <row r="356" spans="1:3" x14ac:dyDescent="0.25">
      <c r="A356" s="89">
        <v>46009</v>
      </c>
      <c r="B356" s="95" t="s">
        <v>105</v>
      </c>
      <c r="C356" s="96">
        <v>52.723100000000002</v>
      </c>
    </row>
    <row r="357" spans="1:3" x14ac:dyDescent="0.25">
      <c r="A357" s="89">
        <v>46009</v>
      </c>
      <c r="B357" s="95" t="s">
        <v>92</v>
      </c>
      <c r="C357" s="96">
        <v>52.9206</v>
      </c>
    </row>
    <row r="358" spans="1:3" x14ac:dyDescent="0.25">
      <c r="A358" s="89">
        <v>46009</v>
      </c>
      <c r="B358" s="95" t="s">
        <v>93</v>
      </c>
      <c r="C358" s="96">
        <v>52.929499999999997</v>
      </c>
    </row>
    <row r="359" spans="1:3" x14ac:dyDescent="0.25">
      <c r="A359" s="89">
        <v>46009</v>
      </c>
      <c r="B359" s="95" t="s">
        <v>106</v>
      </c>
      <c r="C359" s="96">
        <v>52.916499999999999</v>
      </c>
    </row>
    <row r="360" spans="1:3" x14ac:dyDescent="0.25">
      <c r="A360" s="89">
        <v>46009</v>
      </c>
      <c r="B360" s="95" t="s">
        <v>69</v>
      </c>
      <c r="C360" s="96">
        <v>52.9861</v>
      </c>
    </row>
    <row r="361" spans="1:3" x14ac:dyDescent="0.25">
      <c r="A361" s="89">
        <v>46009</v>
      </c>
      <c r="B361" s="95" t="s">
        <v>70</v>
      </c>
      <c r="C361" s="96">
        <v>53.082500000000003</v>
      </c>
    </row>
    <row r="362" spans="1:3" x14ac:dyDescent="0.25">
      <c r="A362" s="89">
        <v>46009</v>
      </c>
      <c r="B362" s="95" t="s">
        <v>71</v>
      </c>
      <c r="C362" s="96">
        <v>53.205199999999998</v>
      </c>
    </row>
    <row r="363" spans="1:3" x14ac:dyDescent="0.25">
      <c r="A363" s="89">
        <v>46009</v>
      </c>
      <c r="B363" s="95" t="s">
        <v>72</v>
      </c>
      <c r="C363" s="96">
        <v>53.080399999999997</v>
      </c>
    </row>
    <row r="364" spans="1:3" x14ac:dyDescent="0.25">
      <c r="A364" s="89">
        <v>46009</v>
      </c>
      <c r="B364" s="95" t="s">
        <v>73</v>
      </c>
      <c r="C364" s="96">
        <v>53.383600000000001</v>
      </c>
    </row>
    <row r="365" spans="1:3" x14ac:dyDescent="0.25">
      <c r="A365" s="89">
        <v>46009</v>
      </c>
      <c r="B365" s="95" t="s">
        <v>74</v>
      </c>
      <c r="C365" s="96">
        <v>53.378900000000002</v>
      </c>
    </row>
    <row r="366" spans="1:3" x14ac:dyDescent="0.25">
      <c r="A366" s="89">
        <v>46009</v>
      </c>
      <c r="B366" s="95" t="s">
        <v>75</v>
      </c>
      <c r="C366" s="96">
        <v>54.071899999999999</v>
      </c>
    </row>
    <row r="367" spans="1:3" x14ac:dyDescent="0.25">
      <c r="A367" s="89">
        <v>46009</v>
      </c>
      <c r="B367" s="95" t="s">
        <v>76</v>
      </c>
      <c r="C367" s="96">
        <v>54.079300000000003</v>
      </c>
    </row>
    <row r="368" spans="1:3" x14ac:dyDescent="0.25">
      <c r="A368" s="89">
        <v>46009</v>
      </c>
      <c r="B368" s="95" t="s">
        <v>77</v>
      </c>
      <c r="C368" s="96">
        <v>54.0167</v>
      </c>
    </row>
    <row r="369" spans="1:3" x14ac:dyDescent="0.25">
      <c r="A369" s="89">
        <v>46009</v>
      </c>
      <c r="B369" s="95" t="s">
        <v>78</v>
      </c>
      <c r="C369" s="96">
        <v>52.923900000000003</v>
      </c>
    </row>
    <row r="370" spans="1:3" x14ac:dyDescent="0.25">
      <c r="A370" s="89">
        <v>46009</v>
      </c>
      <c r="B370" s="95" t="s">
        <v>79</v>
      </c>
      <c r="C370" s="96">
        <v>53.895699999999998</v>
      </c>
    </row>
    <row r="371" spans="1:3" x14ac:dyDescent="0.25">
      <c r="A371" s="89">
        <v>46009</v>
      </c>
      <c r="B371" s="95" t="s">
        <v>80</v>
      </c>
      <c r="C371" s="96">
        <v>54.090499999999999</v>
      </c>
    </row>
    <row r="372" spans="1:3" x14ac:dyDescent="0.25">
      <c r="A372" s="89">
        <v>46009</v>
      </c>
      <c r="B372" s="95" t="s">
        <v>81</v>
      </c>
      <c r="C372" s="96">
        <v>53.316400000000002</v>
      </c>
    </row>
    <row r="373" spans="1:3" x14ac:dyDescent="0.25">
      <c r="A373" s="89">
        <v>46009</v>
      </c>
      <c r="B373" s="95" t="s">
        <v>82</v>
      </c>
      <c r="C373" s="96">
        <v>53.326500000000003</v>
      </c>
    </row>
    <row r="374" spans="1:3" x14ac:dyDescent="0.25">
      <c r="A374" s="89">
        <v>46030</v>
      </c>
      <c r="B374" s="95" t="s">
        <v>88</v>
      </c>
      <c r="C374" s="96">
        <v>53.021700000000003</v>
      </c>
    </row>
    <row r="375" spans="1:3" x14ac:dyDescent="0.25">
      <c r="A375" s="89">
        <v>46030</v>
      </c>
      <c r="B375" s="95" t="s">
        <v>89</v>
      </c>
      <c r="C375" s="96">
        <v>53.080500000000001</v>
      </c>
    </row>
    <row r="376" spans="1:3" x14ac:dyDescent="0.25">
      <c r="A376" s="89">
        <v>46030</v>
      </c>
      <c r="B376" s="95" t="s">
        <v>90</v>
      </c>
      <c r="C376" s="96">
        <v>53.046399999999998</v>
      </c>
    </row>
    <row r="377" spans="1:3" x14ac:dyDescent="0.25">
      <c r="A377" s="89">
        <v>46030</v>
      </c>
      <c r="B377" s="95" t="s">
        <v>91</v>
      </c>
      <c r="C377" s="96">
        <v>52.636400000000002</v>
      </c>
    </row>
    <row r="378" spans="1:3" x14ac:dyDescent="0.25">
      <c r="A378" s="89">
        <v>46030</v>
      </c>
      <c r="B378" s="95" t="s">
        <v>104</v>
      </c>
      <c r="C378" s="96">
        <v>52.607199999999999</v>
      </c>
    </row>
    <row r="379" spans="1:3" x14ac:dyDescent="0.25">
      <c r="A379" s="89">
        <v>46030</v>
      </c>
      <c r="B379" s="95" t="s">
        <v>105</v>
      </c>
      <c r="C379" s="96">
        <v>52.723399999999998</v>
      </c>
    </row>
    <row r="380" spans="1:3" x14ac:dyDescent="0.25">
      <c r="A380" s="89">
        <v>46030</v>
      </c>
      <c r="B380" s="95" t="s">
        <v>92</v>
      </c>
      <c r="C380" s="96">
        <v>52.920699999999997</v>
      </c>
    </row>
    <row r="381" spans="1:3" x14ac:dyDescent="0.25">
      <c r="A381" s="89">
        <v>46030</v>
      </c>
      <c r="B381" s="95" t="s">
        <v>93</v>
      </c>
      <c r="C381" s="96">
        <v>52.929400000000001</v>
      </c>
    </row>
    <row r="382" spans="1:3" x14ac:dyDescent="0.25">
      <c r="A382" s="89">
        <v>46030</v>
      </c>
      <c r="B382" s="95" t="s">
        <v>106</v>
      </c>
      <c r="C382" s="96">
        <v>52.9163</v>
      </c>
    </row>
    <row r="383" spans="1:3" x14ac:dyDescent="0.25">
      <c r="A383" s="89">
        <v>46030</v>
      </c>
      <c r="B383" s="95" t="s">
        <v>69</v>
      </c>
      <c r="C383" s="96">
        <v>52.9863</v>
      </c>
    </row>
    <row r="384" spans="1:3" x14ac:dyDescent="0.25">
      <c r="A384" s="89">
        <v>46030</v>
      </c>
      <c r="B384" s="95" t="s">
        <v>70</v>
      </c>
      <c r="C384" s="96">
        <v>53.0824</v>
      </c>
    </row>
    <row r="385" spans="1:3" x14ac:dyDescent="0.25">
      <c r="A385" s="89">
        <v>46030</v>
      </c>
      <c r="B385" s="95" t="s">
        <v>71</v>
      </c>
      <c r="C385" s="96">
        <v>53.205300000000001</v>
      </c>
    </row>
    <row r="386" spans="1:3" x14ac:dyDescent="0.25">
      <c r="A386" s="89">
        <v>46030</v>
      </c>
      <c r="B386" s="95" t="s">
        <v>72</v>
      </c>
      <c r="C386" s="96">
        <v>53.080500000000001</v>
      </c>
    </row>
    <row r="387" spans="1:3" x14ac:dyDescent="0.25">
      <c r="A387" s="89">
        <v>46030</v>
      </c>
      <c r="B387" s="95" t="s">
        <v>73</v>
      </c>
      <c r="C387" s="96">
        <v>53.383899999999997</v>
      </c>
    </row>
    <row r="388" spans="1:3" x14ac:dyDescent="0.25">
      <c r="A388" s="89">
        <v>46030</v>
      </c>
      <c r="B388" s="95" t="s">
        <v>74</v>
      </c>
      <c r="C388" s="96">
        <v>53.379300000000001</v>
      </c>
    </row>
    <row r="389" spans="1:3" x14ac:dyDescent="0.25">
      <c r="A389" s="89">
        <v>46030</v>
      </c>
      <c r="B389" s="95" t="s">
        <v>75</v>
      </c>
      <c r="C389" s="96">
        <v>54.072600000000001</v>
      </c>
    </row>
    <row r="390" spans="1:3" x14ac:dyDescent="0.25">
      <c r="A390" s="89">
        <v>46030</v>
      </c>
      <c r="B390" s="95" t="s">
        <v>76</v>
      </c>
      <c r="C390" s="96">
        <v>54.079799999999999</v>
      </c>
    </row>
    <row r="391" spans="1:3" x14ac:dyDescent="0.25">
      <c r="A391" s="89">
        <v>46030</v>
      </c>
      <c r="B391" s="95" t="s">
        <v>77</v>
      </c>
      <c r="C391" s="96">
        <v>54.017099999999999</v>
      </c>
    </row>
    <row r="392" spans="1:3" x14ac:dyDescent="0.25">
      <c r="A392" s="89">
        <v>46030</v>
      </c>
      <c r="B392" s="95" t="s">
        <v>78</v>
      </c>
      <c r="C392" s="96">
        <v>52.923900000000003</v>
      </c>
    </row>
    <row r="393" spans="1:3" x14ac:dyDescent="0.25">
      <c r="A393" s="89">
        <v>46030</v>
      </c>
      <c r="B393" s="95" t="s">
        <v>79</v>
      </c>
      <c r="C393" s="96">
        <v>53.895699999999998</v>
      </c>
    </row>
    <row r="394" spans="1:3" x14ac:dyDescent="0.25">
      <c r="A394" s="89">
        <v>46030</v>
      </c>
      <c r="B394" s="95" t="s">
        <v>80</v>
      </c>
      <c r="C394" s="96">
        <v>54.090800000000002</v>
      </c>
    </row>
    <row r="395" spans="1:3" x14ac:dyDescent="0.25">
      <c r="A395" s="89">
        <v>46030</v>
      </c>
      <c r="B395" s="95" t="s">
        <v>81</v>
      </c>
      <c r="C395" s="96">
        <v>53.316499999999998</v>
      </c>
    </row>
    <row r="396" spans="1:3" x14ac:dyDescent="0.25">
      <c r="A396" s="89">
        <v>46030</v>
      </c>
      <c r="B396" s="95" t="s">
        <v>82</v>
      </c>
      <c r="C396" s="96">
        <v>53.3264</v>
      </c>
    </row>
    <row r="397" spans="1:3" x14ac:dyDescent="0.25">
      <c r="A397" s="89">
        <v>46031</v>
      </c>
      <c r="B397" s="97" t="s">
        <v>107</v>
      </c>
      <c r="C397" s="98">
        <v>46.366199999999999</v>
      </c>
    </row>
    <row r="398" spans="1:3" x14ac:dyDescent="0.25">
      <c r="A398" s="89">
        <v>46031</v>
      </c>
      <c r="B398" s="97" t="s">
        <v>108</v>
      </c>
      <c r="C398" s="98">
        <v>46.354300000000002</v>
      </c>
    </row>
    <row r="399" spans="1:3" x14ac:dyDescent="0.25">
      <c r="A399" s="89">
        <v>46031</v>
      </c>
      <c r="B399" s="97" t="s">
        <v>109</v>
      </c>
      <c r="C399" s="98">
        <v>47.593299999999999</v>
      </c>
    </row>
    <row r="400" spans="1:3" x14ac:dyDescent="0.25">
      <c r="A400" s="89">
        <v>46031</v>
      </c>
      <c r="B400" s="97" t="s">
        <v>110</v>
      </c>
      <c r="C400" s="98">
        <v>47.570999999999998</v>
      </c>
    </row>
    <row r="401" spans="1:3" x14ac:dyDescent="0.25">
      <c r="A401" s="89">
        <v>46031</v>
      </c>
      <c r="B401" s="97" t="s">
        <v>111</v>
      </c>
      <c r="C401" s="98">
        <v>48.916800000000002</v>
      </c>
    </row>
    <row r="402" spans="1:3" x14ac:dyDescent="0.25">
      <c r="A402" s="89">
        <v>46031</v>
      </c>
      <c r="B402" s="97" t="s">
        <v>112</v>
      </c>
      <c r="C402" s="98">
        <v>48.854399999999998</v>
      </c>
    </row>
    <row r="403" spans="1:3" x14ac:dyDescent="0.25">
      <c r="A403" s="89">
        <v>46034</v>
      </c>
      <c r="B403" s="97" t="s">
        <v>88</v>
      </c>
      <c r="C403" s="98">
        <v>53.021700000000003</v>
      </c>
    </row>
    <row r="404" spans="1:3" x14ac:dyDescent="0.25">
      <c r="A404" s="89">
        <v>46034</v>
      </c>
      <c r="B404" s="97" t="s">
        <v>89</v>
      </c>
      <c r="C404" s="98">
        <v>53.080599999999997</v>
      </c>
    </row>
    <row r="405" spans="1:3" x14ac:dyDescent="0.25">
      <c r="A405" s="89">
        <v>46034</v>
      </c>
      <c r="B405" s="97" t="s">
        <v>90</v>
      </c>
      <c r="C405" s="98">
        <v>53.046599999999998</v>
      </c>
    </row>
    <row r="406" spans="1:3" x14ac:dyDescent="0.25">
      <c r="A406" s="89">
        <v>46034</v>
      </c>
      <c r="B406" s="97" t="s">
        <v>91</v>
      </c>
      <c r="C406" s="98">
        <v>52.636299999999999</v>
      </c>
    </row>
    <row r="407" spans="1:3" x14ac:dyDescent="0.25">
      <c r="A407" s="89">
        <v>46034</v>
      </c>
      <c r="B407" s="97" t="s">
        <v>104</v>
      </c>
      <c r="C407" s="98">
        <v>52.607100000000003</v>
      </c>
    </row>
    <row r="408" spans="1:3" x14ac:dyDescent="0.25">
      <c r="A408" s="89">
        <v>46034</v>
      </c>
      <c r="B408" s="97" t="s">
        <v>105</v>
      </c>
      <c r="C408" s="98">
        <v>52.723399999999998</v>
      </c>
    </row>
    <row r="409" spans="1:3" x14ac:dyDescent="0.25">
      <c r="A409" s="89">
        <v>46034</v>
      </c>
      <c r="B409" s="97" t="s">
        <v>92</v>
      </c>
      <c r="C409" s="98">
        <v>52.920499999999997</v>
      </c>
    </row>
    <row r="410" spans="1:3" x14ac:dyDescent="0.25">
      <c r="A410" s="89">
        <v>46034</v>
      </c>
      <c r="B410" s="97" t="s">
        <v>93</v>
      </c>
      <c r="C410" s="98">
        <v>52.929299999999998</v>
      </c>
    </row>
    <row r="411" spans="1:3" x14ac:dyDescent="0.25">
      <c r="A411" s="89">
        <v>46034</v>
      </c>
      <c r="B411" s="97" t="s">
        <v>106</v>
      </c>
      <c r="C411" s="98">
        <v>52.916400000000003</v>
      </c>
    </row>
    <row r="412" spans="1:3" x14ac:dyDescent="0.25">
      <c r="A412" s="89">
        <v>46034</v>
      </c>
      <c r="B412" s="97" t="s">
        <v>69</v>
      </c>
      <c r="C412" s="98">
        <v>52.9863</v>
      </c>
    </row>
    <row r="413" spans="1:3" x14ac:dyDescent="0.25">
      <c r="A413" s="89">
        <v>46034</v>
      </c>
      <c r="B413" s="97" t="s">
        <v>70</v>
      </c>
      <c r="C413" s="98">
        <v>53.082500000000003</v>
      </c>
    </row>
    <row r="414" spans="1:3" x14ac:dyDescent="0.25">
      <c r="A414" s="89">
        <v>46034</v>
      </c>
      <c r="B414" s="97" t="s">
        <v>71</v>
      </c>
      <c r="C414" s="98">
        <v>53.205300000000001</v>
      </c>
    </row>
    <row r="415" spans="1:3" x14ac:dyDescent="0.25">
      <c r="A415" s="89">
        <v>46034</v>
      </c>
      <c r="B415" s="97" t="s">
        <v>72</v>
      </c>
      <c r="C415" s="98">
        <v>53.080599999999997</v>
      </c>
    </row>
    <row r="416" spans="1:3" x14ac:dyDescent="0.25">
      <c r="A416" s="89">
        <v>46034</v>
      </c>
      <c r="B416" s="97" t="s">
        <v>73</v>
      </c>
      <c r="C416" s="98">
        <v>53.383899999999997</v>
      </c>
    </row>
    <row r="417" spans="1:3" x14ac:dyDescent="0.25">
      <c r="A417" s="89">
        <v>46034</v>
      </c>
      <c r="B417" s="97" t="s">
        <v>74</v>
      </c>
      <c r="C417" s="98">
        <v>53.379199999999997</v>
      </c>
    </row>
    <row r="418" spans="1:3" x14ac:dyDescent="0.25">
      <c r="A418" s="89">
        <v>46034</v>
      </c>
      <c r="B418" s="97" t="s">
        <v>75</v>
      </c>
      <c r="C418" s="98">
        <v>54.072299999999998</v>
      </c>
    </row>
    <row r="419" spans="1:3" x14ac:dyDescent="0.25">
      <c r="A419" s="89">
        <v>46034</v>
      </c>
      <c r="B419" s="97" t="s">
        <v>76</v>
      </c>
      <c r="C419" s="98">
        <v>54.079799999999999</v>
      </c>
    </row>
    <row r="420" spans="1:3" x14ac:dyDescent="0.25">
      <c r="A420" s="89">
        <v>46034</v>
      </c>
      <c r="B420" s="97" t="s">
        <v>77</v>
      </c>
      <c r="C420" s="98">
        <v>54.017099999999999</v>
      </c>
    </row>
    <row r="421" spans="1:3" x14ac:dyDescent="0.25">
      <c r="A421" s="89">
        <v>46034</v>
      </c>
      <c r="B421" s="97" t="s">
        <v>78</v>
      </c>
      <c r="C421" s="98">
        <v>52.924100000000003</v>
      </c>
    </row>
    <row r="422" spans="1:3" x14ac:dyDescent="0.25">
      <c r="A422" s="89">
        <v>46034</v>
      </c>
      <c r="B422" s="97" t="s">
        <v>79</v>
      </c>
      <c r="C422" s="98">
        <v>53.895800000000001</v>
      </c>
    </row>
    <row r="423" spans="1:3" x14ac:dyDescent="0.25">
      <c r="A423" s="89">
        <v>46034</v>
      </c>
      <c r="B423" s="97" t="s">
        <v>80</v>
      </c>
      <c r="C423" s="98">
        <v>54.090600000000002</v>
      </c>
    </row>
    <row r="424" spans="1:3" x14ac:dyDescent="0.25">
      <c r="A424" s="89">
        <v>46034</v>
      </c>
      <c r="B424" s="97" t="s">
        <v>81</v>
      </c>
      <c r="C424" s="98">
        <v>53.316400000000002</v>
      </c>
    </row>
    <row r="425" spans="1:3" x14ac:dyDescent="0.25">
      <c r="A425" s="89">
        <v>46034</v>
      </c>
      <c r="B425" s="97" t="s">
        <v>82</v>
      </c>
      <c r="C425" s="98">
        <v>53.326099999999997</v>
      </c>
    </row>
    <row r="426" spans="1:3" x14ac:dyDescent="0.25">
      <c r="A426" s="89">
        <v>46035</v>
      </c>
      <c r="B426" s="97" t="s">
        <v>114</v>
      </c>
      <c r="C426" s="98">
        <v>46.696800000000003</v>
      </c>
    </row>
    <row r="427" spans="1:3" x14ac:dyDescent="0.25">
      <c r="A427" s="89">
        <v>46035</v>
      </c>
      <c r="B427" s="97" t="s">
        <v>115</v>
      </c>
      <c r="C427" s="98">
        <v>46.5824</v>
      </c>
    </row>
    <row r="428" spans="1:3" x14ac:dyDescent="0.25">
      <c r="A428" s="89">
        <v>46035</v>
      </c>
      <c r="B428" s="97" t="s">
        <v>116</v>
      </c>
      <c r="C428" s="98">
        <v>46.799199999999999</v>
      </c>
    </row>
    <row r="429" spans="1:3" x14ac:dyDescent="0.25">
      <c r="A429" s="89">
        <v>46035</v>
      </c>
      <c r="B429" s="97" t="s">
        <v>117</v>
      </c>
      <c r="C429" s="98">
        <v>46.955399999999997</v>
      </c>
    </row>
    <row r="430" spans="1:3" x14ac:dyDescent="0.25">
      <c r="A430" s="89">
        <v>46035</v>
      </c>
      <c r="B430" s="97" t="s">
        <v>118</v>
      </c>
      <c r="C430" s="98">
        <v>46.280299999999997</v>
      </c>
    </row>
    <row r="431" spans="1:3" x14ac:dyDescent="0.25">
      <c r="A431" s="89">
        <v>46035</v>
      </c>
      <c r="B431" s="97" t="s">
        <v>119</v>
      </c>
      <c r="C431" s="98">
        <v>46.308999999999997</v>
      </c>
    </row>
    <row r="432" spans="1:3" x14ac:dyDescent="0.25">
      <c r="A432" s="89">
        <v>46035</v>
      </c>
      <c r="B432" s="97" t="s">
        <v>120</v>
      </c>
      <c r="C432" s="98">
        <v>45.552900000000001</v>
      </c>
    </row>
    <row r="433" spans="1:3" x14ac:dyDescent="0.25">
      <c r="A433" s="89">
        <v>46035</v>
      </c>
      <c r="B433" s="97" t="s">
        <v>121</v>
      </c>
      <c r="C433" s="98">
        <v>45.560099999999998</v>
      </c>
    </row>
    <row r="434" spans="1:3" x14ac:dyDescent="0.25">
      <c r="A434" s="89">
        <v>46035</v>
      </c>
      <c r="B434" s="97" t="s">
        <v>122</v>
      </c>
      <c r="C434" s="98">
        <v>45.540300000000002</v>
      </c>
    </row>
    <row r="435" spans="1:3" x14ac:dyDescent="0.25">
      <c r="A435" s="89">
        <v>46035</v>
      </c>
      <c r="B435" s="97" t="s">
        <v>123</v>
      </c>
      <c r="C435" s="98">
        <v>45.463799999999999</v>
      </c>
    </row>
    <row r="436" spans="1:3" x14ac:dyDescent="0.25">
      <c r="A436" s="89">
        <v>46035</v>
      </c>
      <c r="B436" s="97" t="s">
        <v>124</v>
      </c>
      <c r="C436" s="98">
        <v>45.478000000000002</v>
      </c>
    </row>
    <row r="437" spans="1:3" x14ac:dyDescent="0.25">
      <c r="A437" s="89">
        <v>46035</v>
      </c>
      <c r="B437" s="97" t="s">
        <v>125</v>
      </c>
      <c r="C437" s="98">
        <v>46.556100000000001</v>
      </c>
    </row>
    <row r="438" spans="1:3" x14ac:dyDescent="0.25">
      <c r="A438" s="89">
        <v>46035</v>
      </c>
      <c r="B438" s="97" t="s">
        <v>126</v>
      </c>
      <c r="C438" s="98">
        <v>46.575600000000001</v>
      </c>
    </row>
    <row r="439" spans="1:3" x14ac:dyDescent="0.25">
      <c r="A439" s="89">
        <v>46035</v>
      </c>
      <c r="B439" s="97" t="s">
        <v>127</v>
      </c>
      <c r="C439" s="98">
        <v>48.013300000000001</v>
      </c>
    </row>
    <row r="440" spans="1:3" x14ac:dyDescent="0.25">
      <c r="A440" s="89">
        <v>46035</v>
      </c>
      <c r="B440" s="97" t="s">
        <v>128</v>
      </c>
      <c r="C440" s="98">
        <v>48.130299999999998</v>
      </c>
    </row>
    <row r="441" spans="1:3" x14ac:dyDescent="0.25">
      <c r="A441" s="89">
        <v>46035</v>
      </c>
      <c r="B441" s="97" t="s">
        <v>129</v>
      </c>
      <c r="C441" s="98">
        <v>48.451900000000002</v>
      </c>
    </row>
    <row r="442" spans="1:3" x14ac:dyDescent="0.25">
      <c r="A442" s="89">
        <v>46035</v>
      </c>
      <c r="B442" s="97" t="s">
        <v>130</v>
      </c>
      <c r="C442" s="98">
        <v>50.293300000000002</v>
      </c>
    </row>
    <row r="443" spans="1:3" x14ac:dyDescent="0.25">
      <c r="A443" s="89">
        <v>46035</v>
      </c>
      <c r="B443" s="97" t="s">
        <v>132</v>
      </c>
      <c r="C443" s="98">
        <v>49.871000000000002</v>
      </c>
    </row>
    <row r="444" spans="1:3" x14ac:dyDescent="0.25">
      <c r="A444" s="89">
        <v>46035</v>
      </c>
      <c r="B444" s="97" t="s">
        <v>133</v>
      </c>
      <c r="C444" s="98">
        <v>49.665900000000001</v>
      </c>
    </row>
    <row r="445" spans="1:3" x14ac:dyDescent="0.25">
      <c r="A445" s="89">
        <v>46035</v>
      </c>
      <c r="B445" s="97" t="s">
        <v>134</v>
      </c>
      <c r="C445" s="98">
        <v>48.1434</v>
      </c>
    </row>
    <row r="446" spans="1:3" x14ac:dyDescent="0.25">
      <c r="A446" s="89">
        <v>46035</v>
      </c>
      <c r="B446" s="97" t="s">
        <v>136</v>
      </c>
      <c r="C446" s="98">
        <v>47.8887</v>
      </c>
    </row>
    <row r="447" spans="1:3" x14ac:dyDescent="0.25">
      <c r="A447" s="89">
        <v>46035</v>
      </c>
      <c r="B447" s="97" t="s">
        <v>138</v>
      </c>
      <c r="C447" s="98">
        <v>47.895499999999998</v>
      </c>
    </row>
    <row r="448" spans="1:3" x14ac:dyDescent="0.25">
      <c r="A448" s="89">
        <v>46035</v>
      </c>
      <c r="B448" s="97" t="s">
        <v>139</v>
      </c>
      <c r="C448" s="98">
        <v>47.052100000000003</v>
      </c>
    </row>
    <row r="449" spans="1:3" x14ac:dyDescent="0.25">
      <c r="A449" s="89">
        <v>46035</v>
      </c>
      <c r="B449" s="97" t="s">
        <v>140</v>
      </c>
      <c r="C449" s="98">
        <v>44.056800000000003</v>
      </c>
    </row>
    <row r="450" spans="1:3" x14ac:dyDescent="0.25">
      <c r="A450" s="89">
        <v>46035</v>
      </c>
      <c r="B450" s="97" t="s">
        <v>141</v>
      </c>
      <c r="C450" s="98">
        <v>43.9664</v>
      </c>
    </row>
    <row r="451" spans="1:3" x14ac:dyDescent="0.25">
      <c r="A451" s="89">
        <v>46036</v>
      </c>
      <c r="B451" s="97" t="s">
        <v>107</v>
      </c>
      <c r="C451" s="98">
        <v>46.366</v>
      </c>
    </row>
    <row r="452" spans="1:3" x14ac:dyDescent="0.25">
      <c r="A452" s="89">
        <v>46036</v>
      </c>
      <c r="B452" s="97" t="s">
        <v>108</v>
      </c>
      <c r="C452" s="98">
        <v>46.354199999999999</v>
      </c>
    </row>
    <row r="453" spans="1:3" x14ac:dyDescent="0.25">
      <c r="A453" s="89">
        <v>46036</v>
      </c>
      <c r="B453" s="97" t="s">
        <v>109</v>
      </c>
      <c r="C453" s="98">
        <v>47.593000000000004</v>
      </c>
    </row>
    <row r="454" spans="1:3" x14ac:dyDescent="0.25">
      <c r="A454" s="89">
        <v>46036</v>
      </c>
      <c r="B454" s="97" t="s">
        <v>110</v>
      </c>
      <c r="C454" s="98">
        <v>47.570700000000002</v>
      </c>
    </row>
    <row r="455" spans="1:3" x14ac:dyDescent="0.25">
      <c r="A455" s="89">
        <v>46036</v>
      </c>
      <c r="B455" s="97" t="s">
        <v>111</v>
      </c>
      <c r="C455" s="98">
        <v>48.9161</v>
      </c>
    </row>
    <row r="456" spans="1:3" x14ac:dyDescent="0.25">
      <c r="A456" s="89">
        <v>46036</v>
      </c>
      <c r="B456" s="97" t="s">
        <v>112</v>
      </c>
      <c r="C456" s="98">
        <v>48.853700000000003</v>
      </c>
    </row>
    <row r="457" spans="1:3" x14ac:dyDescent="0.25">
      <c r="A457" s="89">
        <v>46037</v>
      </c>
      <c r="B457" s="97" t="s">
        <v>88</v>
      </c>
      <c r="C457" s="98">
        <v>53.021799999999999</v>
      </c>
    </row>
    <row r="458" spans="1:3" x14ac:dyDescent="0.25">
      <c r="A458" s="89">
        <v>46037</v>
      </c>
      <c r="B458" s="97" t="s">
        <v>89</v>
      </c>
      <c r="C458" s="98">
        <v>53.080599999999997</v>
      </c>
    </row>
    <row r="459" spans="1:3" x14ac:dyDescent="0.25">
      <c r="A459" s="89">
        <v>46037</v>
      </c>
      <c r="B459" s="97" t="s">
        <v>90</v>
      </c>
      <c r="C459" s="98">
        <v>53.046599999999998</v>
      </c>
    </row>
    <row r="460" spans="1:3" x14ac:dyDescent="0.25">
      <c r="A460" s="89">
        <v>46037</v>
      </c>
      <c r="B460" s="97" t="s">
        <v>91</v>
      </c>
      <c r="C460" s="98">
        <v>52.636099999999999</v>
      </c>
    </row>
    <row r="461" spans="1:3" x14ac:dyDescent="0.25">
      <c r="A461" s="89">
        <v>46037</v>
      </c>
      <c r="B461" s="97" t="s">
        <v>104</v>
      </c>
      <c r="C461" s="98">
        <v>52.606999999999999</v>
      </c>
    </row>
    <row r="462" spans="1:3" x14ac:dyDescent="0.25">
      <c r="A462" s="89">
        <v>46037</v>
      </c>
      <c r="B462" s="97" t="s">
        <v>105</v>
      </c>
      <c r="C462" s="98">
        <v>52.723399999999998</v>
      </c>
    </row>
    <row r="463" spans="1:3" x14ac:dyDescent="0.25">
      <c r="A463" s="89">
        <v>46037</v>
      </c>
      <c r="B463" s="97" t="s">
        <v>92</v>
      </c>
      <c r="C463" s="98">
        <v>52.920400000000001</v>
      </c>
    </row>
    <row r="464" spans="1:3" x14ac:dyDescent="0.25">
      <c r="A464" s="89">
        <v>46037</v>
      </c>
      <c r="B464" s="97" t="s">
        <v>93</v>
      </c>
      <c r="C464" s="98">
        <v>52.929099999999998</v>
      </c>
    </row>
    <row r="465" spans="1:3" x14ac:dyDescent="0.25">
      <c r="A465" s="89">
        <v>46037</v>
      </c>
      <c r="B465" s="97" t="s">
        <v>106</v>
      </c>
      <c r="C465" s="98">
        <v>52.9163</v>
      </c>
    </row>
    <row r="466" spans="1:3" x14ac:dyDescent="0.25">
      <c r="A466" s="89">
        <v>46037</v>
      </c>
      <c r="B466" s="97" t="s">
        <v>69</v>
      </c>
      <c r="C466" s="98">
        <v>52.9861</v>
      </c>
    </row>
    <row r="467" spans="1:3" x14ac:dyDescent="0.25">
      <c r="A467" s="89">
        <v>46037</v>
      </c>
      <c r="B467" s="97" t="s">
        <v>70</v>
      </c>
      <c r="C467" s="98">
        <v>53.0824</v>
      </c>
    </row>
    <row r="468" spans="1:3" x14ac:dyDescent="0.25">
      <c r="A468" s="89">
        <v>46037</v>
      </c>
      <c r="B468" s="97" t="s">
        <v>71</v>
      </c>
      <c r="C468" s="98">
        <v>53.205300000000001</v>
      </c>
    </row>
    <row r="469" spans="1:3" x14ac:dyDescent="0.25">
      <c r="A469" s="89">
        <v>46037</v>
      </c>
      <c r="B469" s="97" t="s">
        <v>72</v>
      </c>
      <c r="C469" s="98">
        <v>53.080500000000001</v>
      </c>
    </row>
    <row r="470" spans="1:3" x14ac:dyDescent="0.25">
      <c r="A470" s="89">
        <v>46037</v>
      </c>
      <c r="B470" s="97" t="s">
        <v>73</v>
      </c>
      <c r="C470" s="98">
        <v>53.383800000000001</v>
      </c>
    </row>
    <row r="471" spans="1:3" x14ac:dyDescent="0.25">
      <c r="A471" s="89">
        <v>46037</v>
      </c>
      <c r="B471" s="97" t="s">
        <v>74</v>
      </c>
      <c r="C471" s="98">
        <v>53.379100000000001</v>
      </c>
    </row>
    <row r="472" spans="1:3" x14ac:dyDescent="0.25">
      <c r="A472" s="89">
        <v>46037</v>
      </c>
      <c r="B472" s="97" t="s">
        <v>75</v>
      </c>
      <c r="C472" s="98">
        <v>54.072299999999998</v>
      </c>
    </row>
    <row r="473" spans="1:3" x14ac:dyDescent="0.25">
      <c r="A473" s="89">
        <v>46037</v>
      </c>
      <c r="B473" s="97" t="s">
        <v>76</v>
      </c>
      <c r="C473" s="98">
        <v>54.079599999999999</v>
      </c>
    </row>
    <row r="474" spans="1:3" x14ac:dyDescent="0.25">
      <c r="A474" s="89">
        <v>46037</v>
      </c>
      <c r="B474" s="97" t="s">
        <v>77</v>
      </c>
      <c r="C474" s="98">
        <v>54.017099999999999</v>
      </c>
    </row>
    <row r="475" spans="1:3" x14ac:dyDescent="0.25">
      <c r="A475" s="89">
        <v>46037</v>
      </c>
      <c r="B475" s="97" t="s">
        <v>78</v>
      </c>
      <c r="C475" s="98">
        <v>52.923999999999999</v>
      </c>
    </row>
    <row r="476" spans="1:3" x14ac:dyDescent="0.25">
      <c r="A476" s="89">
        <v>46037</v>
      </c>
      <c r="B476" s="97" t="s">
        <v>79</v>
      </c>
      <c r="C476" s="98">
        <v>53.895699999999998</v>
      </c>
    </row>
    <row r="477" spans="1:3" x14ac:dyDescent="0.25">
      <c r="A477" s="89">
        <v>46037</v>
      </c>
      <c r="B477" s="97" t="s">
        <v>80</v>
      </c>
      <c r="C477" s="98">
        <v>54.090600000000002</v>
      </c>
    </row>
    <row r="478" spans="1:3" x14ac:dyDescent="0.25">
      <c r="A478" s="89">
        <v>46037</v>
      </c>
      <c r="B478" s="97" t="s">
        <v>81</v>
      </c>
      <c r="C478" s="98">
        <v>53.316400000000002</v>
      </c>
    </row>
    <row r="479" spans="1:3" x14ac:dyDescent="0.25">
      <c r="A479" s="89">
        <v>46037</v>
      </c>
      <c r="B479" s="97" t="s">
        <v>82</v>
      </c>
      <c r="C479" s="98">
        <v>53.326099999999997</v>
      </c>
    </row>
    <row r="480" spans="1:3" x14ac:dyDescent="0.25">
      <c r="A480" s="89">
        <v>46038</v>
      </c>
      <c r="B480" s="98" t="s">
        <v>107</v>
      </c>
      <c r="C480" s="98">
        <v>46.3658</v>
      </c>
    </row>
    <row r="481" spans="1:3" x14ac:dyDescent="0.25">
      <c r="A481" s="89">
        <v>46038</v>
      </c>
      <c r="B481" s="97" t="s">
        <v>108</v>
      </c>
      <c r="C481" s="98">
        <v>46.354100000000003</v>
      </c>
    </row>
    <row r="482" spans="1:3" x14ac:dyDescent="0.25">
      <c r="A482" s="89">
        <v>46038</v>
      </c>
      <c r="B482" s="97" t="s">
        <v>109</v>
      </c>
      <c r="C482" s="98">
        <v>47.5929</v>
      </c>
    </row>
    <row r="483" spans="1:3" x14ac:dyDescent="0.25">
      <c r="A483" s="89">
        <v>46038</v>
      </c>
      <c r="B483" s="97" t="s">
        <v>110</v>
      </c>
      <c r="C483" s="98">
        <v>47.570700000000002</v>
      </c>
    </row>
    <row r="484" spans="1:3" x14ac:dyDescent="0.25">
      <c r="A484" s="89">
        <v>46038</v>
      </c>
      <c r="B484" s="97" t="s">
        <v>111</v>
      </c>
      <c r="C484" s="98">
        <v>48.916499999999999</v>
      </c>
    </row>
    <row r="485" spans="1:3" x14ac:dyDescent="0.25">
      <c r="A485" s="89">
        <v>46038</v>
      </c>
      <c r="B485" s="97" t="s">
        <v>112</v>
      </c>
      <c r="C485" s="98">
        <v>48.853999999999999</v>
      </c>
    </row>
    <row r="486" spans="1:3" x14ac:dyDescent="0.25">
      <c r="A486" s="89">
        <v>46041</v>
      </c>
      <c r="B486" s="97" t="s">
        <v>114</v>
      </c>
      <c r="C486" s="97">
        <v>46.696199999999997</v>
      </c>
    </row>
    <row r="487" spans="1:3" x14ac:dyDescent="0.25">
      <c r="A487" s="89">
        <v>46041</v>
      </c>
      <c r="B487" s="97" t="s">
        <v>115</v>
      </c>
      <c r="C487" s="97">
        <v>46.582299999999996</v>
      </c>
    </row>
    <row r="488" spans="1:3" x14ac:dyDescent="0.25">
      <c r="A488" s="89">
        <v>46041</v>
      </c>
      <c r="B488" s="97" t="s">
        <v>116</v>
      </c>
      <c r="C488" s="97">
        <v>46.798699999999997</v>
      </c>
    </row>
    <row r="489" spans="1:3" x14ac:dyDescent="0.25">
      <c r="A489" s="89">
        <v>46041</v>
      </c>
      <c r="B489" s="97" t="s">
        <v>117</v>
      </c>
      <c r="C489" s="97">
        <v>46.954900000000002</v>
      </c>
    </row>
    <row r="490" spans="1:3" x14ac:dyDescent="0.25">
      <c r="A490" s="89">
        <v>46041</v>
      </c>
      <c r="B490" s="97" t="s">
        <v>118</v>
      </c>
      <c r="C490" s="97">
        <v>46.280099999999997</v>
      </c>
    </row>
    <row r="491" spans="1:3" x14ac:dyDescent="0.25">
      <c r="A491" s="89">
        <v>46041</v>
      </c>
      <c r="B491" s="97" t="s">
        <v>107</v>
      </c>
      <c r="C491" s="97">
        <v>46.365699999999997</v>
      </c>
    </row>
    <row r="492" spans="1:3" x14ac:dyDescent="0.25">
      <c r="A492" s="89">
        <v>46041</v>
      </c>
      <c r="B492" s="97" t="s">
        <v>108</v>
      </c>
      <c r="C492" s="97">
        <v>46.353999999999999</v>
      </c>
    </row>
    <row r="493" spans="1:3" x14ac:dyDescent="0.25">
      <c r="A493" s="89">
        <v>46041</v>
      </c>
      <c r="B493" s="97" t="s">
        <v>109</v>
      </c>
      <c r="C493" s="97">
        <v>47.5931</v>
      </c>
    </row>
    <row r="494" spans="1:3" x14ac:dyDescent="0.25">
      <c r="A494" s="89">
        <v>46041</v>
      </c>
      <c r="B494" s="97" t="s">
        <v>110</v>
      </c>
      <c r="C494" s="97">
        <v>47.570700000000002</v>
      </c>
    </row>
    <row r="495" spans="1:3" x14ac:dyDescent="0.25">
      <c r="A495" s="89">
        <v>46041</v>
      </c>
      <c r="B495" s="97" t="s">
        <v>111</v>
      </c>
      <c r="C495" s="97">
        <v>48.9161</v>
      </c>
    </row>
    <row r="496" spans="1:3" x14ac:dyDescent="0.25">
      <c r="A496" s="89">
        <v>46041</v>
      </c>
      <c r="B496" s="97" t="s">
        <v>112</v>
      </c>
      <c r="C496" s="97">
        <v>48.8538</v>
      </c>
    </row>
    <row r="497" spans="1:3" x14ac:dyDescent="0.25">
      <c r="A497" s="89">
        <v>46042</v>
      </c>
      <c r="B497" s="97" t="s">
        <v>88</v>
      </c>
      <c r="C497" s="97">
        <v>53.021599999999999</v>
      </c>
    </row>
    <row r="498" spans="1:3" x14ac:dyDescent="0.25">
      <c r="A498" s="89">
        <v>46042</v>
      </c>
      <c r="B498" s="97" t="s">
        <v>89</v>
      </c>
      <c r="C498" s="97">
        <v>53.080500000000001</v>
      </c>
    </row>
    <row r="499" spans="1:3" x14ac:dyDescent="0.25">
      <c r="A499" s="89">
        <v>46042</v>
      </c>
      <c r="B499" s="97" t="s">
        <v>90</v>
      </c>
      <c r="C499" s="97">
        <v>53.046500000000002</v>
      </c>
    </row>
    <row r="500" spans="1:3" x14ac:dyDescent="0.25">
      <c r="A500" s="89">
        <v>46042</v>
      </c>
      <c r="B500" s="97" t="s">
        <v>91</v>
      </c>
      <c r="C500" s="97">
        <v>52.636099999999999</v>
      </c>
    </row>
    <row r="501" spans="1:3" x14ac:dyDescent="0.25">
      <c r="A501" s="89">
        <v>46042</v>
      </c>
      <c r="B501" s="97" t="s">
        <v>104</v>
      </c>
      <c r="C501" s="97">
        <v>52.607100000000003</v>
      </c>
    </row>
    <row r="502" spans="1:3" x14ac:dyDescent="0.25">
      <c r="A502" s="89">
        <v>46042</v>
      </c>
      <c r="B502" s="97" t="s">
        <v>105</v>
      </c>
      <c r="C502" s="97">
        <v>52.723300000000002</v>
      </c>
    </row>
    <row r="503" spans="1:3" x14ac:dyDescent="0.25">
      <c r="A503" s="89">
        <v>46042</v>
      </c>
      <c r="B503" s="97" t="s">
        <v>92</v>
      </c>
      <c r="C503" s="97">
        <v>52.920299999999997</v>
      </c>
    </row>
    <row r="504" spans="1:3" x14ac:dyDescent="0.25">
      <c r="A504" s="89">
        <v>46042</v>
      </c>
      <c r="B504" s="97" t="s">
        <v>93</v>
      </c>
      <c r="C504" s="97">
        <v>52.929000000000002</v>
      </c>
    </row>
    <row r="505" spans="1:3" x14ac:dyDescent="0.25">
      <c r="A505" s="89">
        <v>46042</v>
      </c>
      <c r="B505" s="97" t="s">
        <v>106</v>
      </c>
      <c r="C505" s="97">
        <v>52.9163</v>
      </c>
    </row>
    <row r="506" spans="1:3" x14ac:dyDescent="0.25">
      <c r="A506" s="89">
        <v>46042</v>
      </c>
      <c r="B506" s="97" t="s">
        <v>69</v>
      </c>
      <c r="C506" s="97">
        <v>52.985999999999997</v>
      </c>
    </row>
    <row r="507" spans="1:3" x14ac:dyDescent="0.25">
      <c r="A507" s="89">
        <v>46042</v>
      </c>
      <c r="B507" s="97" t="s">
        <v>70</v>
      </c>
      <c r="C507" s="97">
        <v>53.082299999999996</v>
      </c>
    </row>
    <row r="508" spans="1:3" x14ac:dyDescent="0.25">
      <c r="A508" s="89">
        <v>46042</v>
      </c>
      <c r="B508" s="97" t="s">
        <v>71</v>
      </c>
      <c r="C508" s="97">
        <v>53.205199999999998</v>
      </c>
    </row>
    <row r="509" spans="1:3" x14ac:dyDescent="0.25">
      <c r="A509" s="89">
        <v>46042</v>
      </c>
      <c r="B509" s="97" t="s">
        <v>72</v>
      </c>
      <c r="C509" s="97">
        <v>53.080399999999997</v>
      </c>
    </row>
    <row r="510" spans="1:3" x14ac:dyDescent="0.25">
      <c r="A510" s="89">
        <v>46042</v>
      </c>
      <c r="B510" s="97" t="s">
        <v>73</v>
      </c>
      <c r="C510" s="97">
        <v>53.383600000000001</v>
      </c>
    </row>
    <row r="511" spans="1:3" x14ac:dyDescent="0.25">
      <c r="A511" s="89">
        <v>46042</v>
      </c>
      <c r="B511" s="97" t="s">
        <v>74</v>
      </c>
      <c r="C511" s="97">
        <v>53.379100000000001</v>
      </c>
    </row>
    <row r="512" spans="1:3" x14ac:dyDescent="0.25">
      <c r="A512" s="89">
        <v>46042</v>
      </c>
      <c r="B512" s="97" t="s">
        <v>75</v>
      </c>
      <c r="C512" s="97">
        <v>54.072400000000002</v>
      </c>
    </row>
    <row r="513" spans="1:3" x14ac:dyDescent="0.25">
      <c r="A513" s="89">
        <v>46042</v>
      </c>
      <c r="B513" s="97" t="s">
        <v>76</v>
      </c>
      <c r="C513" s="97">
        <v>54.079599999999999</v>
      </c>
    </row>
    <row r="514" spans="1:3" x14ac:dyDescent="0.25">
      <c r="A514" s="89">
        <v>46042</v>
      </c>
      <c r="B514" s="97" t="s">
        <v>77</v>
      </c>
      <c r="C514" s="97">
        <v>54.017000000000003</v>
      </c>
    </row>
    <row r="515" spans="1:3" x14ac:dyDescent="0.25">
      <c r="A515" s="89">
        <v>46042</v>
      </c>
      <c r="B515" s="97" t="s">
        <v>78</v>
      </c>
      <c r="C515" s="97">
        <v>52.923999999999999</v>
      </c>
    </row>
    <row r="516" spans="1:3" x14ac:dyDescent="0.25">
      <c r="A516" s="89">
        <v>46042</v>
      </c>
      <c r="B516" s="97" t="s">
        <v>79</v>
      </c>
      <c r="C516" s="97">
        <v>53.895600000000002</v>
      </c>
    </row>
    <row r="517" spans="1:3" x14ac:dyDescent="0.25">
      <c r="A517" s="89">
        <v>46042</v>
      </c>
      <c r="B517" s="97" t="s">
        <v>80</v>
      </c>
      <c r="C517" s="97">
        <v>54.090499999999999</v>
      </c>
    </row>
    <row r="518" spans="1:3" x14ac:dyDescent="0.25">
      <c r="A518" s="89">
        <v>46042</v>
      </c>
      <c r="B518" s="97" t="s">
        <v>81</v>
      </c>
      <c r="C518" s="97">
        <v>53.316299999999998</v>
      </c>
    </row>
    <row r="519" spans="1:3" x14ac:dyDescent="0.25">
      <c r="A519" s="89">
        <v>46042</v>
      </c>
      <c r="B519" s="97" t="s">
        <v>82</v>
      </c>
      <c r="C519" s="97">
        <v>53.325899999999997</v>
      </c>
    </row>
    <row r="520" spans="1:3" x14ac:dyDescent="0.25">
      <c r="A520" s="89">
        <v>46044</v>
      </c>
      <c r="B520" s="97" t="s">
        <v>88</v>
      </c>
      <c r="C520" s="97">
        <v>53.021700000000003</v>
      </c>
    </row>
    <row r="521" spans="1:3" x14ac:dyDescent="0.25">
      <c r="A521" s="89">
        <v>46044</v>
      </c>
      <c r="B521" s="97" t="s">
        <v>89</v>
      </c>
      <c r="C521" s="97">
        <v>53.080399999999997</v>
      </c>
    </row>
    <row r="522" spans="1:3" x14ac:dyDescent="0.25">
      <c r="A522" s="89">
        <v>46044</v>
      </c>
      <c r="B522" s="97" t="s">
        <v>90</v>
      </c>
      <c r="C522" s="97">
        <v>53.046300000000002</v>
      </c>
    </row>
    <row r="523" spans="1:3" x14ac:dyDescent="0.25">
      <c r="A523" s="89">
        <v>46044</v>
      </c>
      <c r="B523" s="97" t="s">
        <v>91</v>
      </c>
      <c r="C523" s="97">
        <v>52.635899999999999</v>
      </c>
    </row>
    <row r="524" spans="1:3" x14ac:dyDescent="0.25">
      <c r="A524" s="89">
        <v>46044</v>
      </c>
      <c r="B524" s="97" t="s">
        <v>104</v>
      </c>
      <c r="C524" s="97">
        <v>52.606900000000003</v>
      </c>
    </row>
    <row r="525" spans="1:3" x14ac:dyDescent="0.25">
      <c r="A525" s="89">
        <v>46044</v>
      </c>
      <c r="B525" s="97" t="s">
        <v>105</v>
      </c>
      <c r="C525" s="97">
        <v>52.723500000000001</v>
      </c>
    </row>
    <row r="526" spans="1:3" x14ac:dyDescent="0.25">
      <c r="A526" s="89">
        <v>46044</v>
      </c>
      <c r="B526" s="97" t="s">
        <v>92</v>
      </c>
      <c r="C526" s="97">
        <v>52.920200000000001</v>
      </c>
    </row>
    <row r="527" spans="1:3" x14ac:dyDescent="0.25">
      <c r="A527" s="89">
        <v>46044</v>
      </c>
      <c r="B527" s="97" t="s">
        <v>93</v>
      </c>
      <c r="C527" s="97">
        <v>52.928899999999999</v>
      </c>
    </row>
    <row r="528" spans="1:3" x14ac:dyDescent="0.25">
      <c r="A528" s="89">
        <v>46044</v>
      </c>
      <c r="B528" s="97" t="s">
        <v>106</v>
      </c>
      <c r="C528" s="97">
        <v>52.915999999999997</v>
      </c>
    </row>
    <row r="529" spans="1:3" x14ac:dyDescent="0.25">
      <c r="A529" s="89">
        <v>46044</v>
      </c>
      <c r="B529" s="97" t="s">
        <v>69</v>
      </c>
      <c r="C529" s="97">
        <v>52.9861</v>
      </c>
    </row>
    <row r="530" spans="1:3" x14ac:dyDescent="0.25">
      <c r="A530" s="89">
        <v>46044</v>
      </c>
      <c r="B530" s="97" t="s">
        <v>70</v>
      </c>
      <c r="C530" s="97">
        <v>53.082099999999997</v>
      </c>
    </row>
    <row r="531" spans="1:3" x14ac:dyDescent="0.25">
      <c r="A531" s="89">
        <v>46044</v>
      </c>
      <c r="B531" s="97" t="s">
        <v>71</v>
      </c>
      <c r="C531" s="97">
        <v>53.205199999999998</v>
      </c>
    </row>
    <row r="532" spans="1:3" x14ac:dyDescent="0.25">
      <c r="A532" s="89">
        <v>46044</v>
      </c>
      <c r="B532" s="97" t="s">
        <v>72</v>
      </c>
      <c r="C532" s="97">
        <v>53.080300000000001</v>
      </c>
    </row>
    <row r="533" spans="1:3" x14ac:dyDescent="0.25">
      <c r="A533" s="89">
        <v>46044</v>
      </c>
      <c r="B533" s="97" t="s">
        <v>73</v>
      </c>
      <c r="C533" s="97">
        <v>53.383699999999997</v>
      </c>
    </row>
    <row r="534" spans="1:3" x14ac:dyDescent="0.25">
      <c r="A534" s="89">
        <v>46044</v>
      </c>
      <c r="B534" s="97" t="s">
        <v>74</v>
      </c>
      <c r="C534" s="97">
        <v>53.379100000000001</v>
      </c>
    </row>
    <row r="535" spans="1:3" x14ac:dyDescent="0.25">
      <c r="A535" s="89">
        <v>46044</v>
      </c>
      <c r="B535" s="97" t="s">
        <v>75</v>
      </c>
      <c r="C535" s="97">
        <v>54.072200000000002</v>
      </c>
    </row>
    <row r="536" spans="1:3" x14ac:dyDescent="0.25">
      <c r="A536" s="89">
        <v>46044</v>
      </c>
      <c r="B536" s="97" t="s">
        <v>76</v>
      </c>
      <c r="C536" s="97">
        <v>54.079500000000003</v>
      </c>
    </row>
    <row r="537" spans="1:3" x14ac:dyDescent="0.25">
      <c r="A537" s="89">
        <v>46044</v>
      </c>
      <c r="B537" s="97" t="s">
        <v>77</v>
      </c>
      <c r="C537" s="97">
        <v>54.0169</v>
      </c>
    </row>
    <row r="538" spans="1:3" x14ac:dyDescent="0.25">
      <c r="A538" s="89">
        <v>46044</v>
      </c>
      <c r="B538" s="97" t="s">
        <v>78</v>
      </c>
      <c r="C538" s="97">
        <v>52.923999999999999</v>
      </c>
    </row>
    <row r="539" spans="1:3" x14ac:dyDescent="0.25">
      <c r="A539" s="89">
        <v>46044</v>
      </c>
      <c r="B539" s="97" t="s">
        <v>79</v>
      </c>
      <c r="C539" s="97">
        <v>53.895600000000002</v>
      </c>
    </row>
    <row r="540" spans="1:3" x14ac:dyDescent="0.25">
      <c r="A540" s="89">
        <v>46044</v>
      </c>
      <c r="B540" s="97" t="s">
        <v>80</v>
      </c>
      <c r="C540" s="97">
        <v>54.090299999999999</v>
      </c>
    </row>
    <row r="541" spans="1:3" x14ac:dyDescent="0.25">
      <c r="A541" s="89">
        <v>46044</v>
      </c>
      <c r="B541" s="97" t="s">
        <v>81</v>
      </c>
      <c r="C541" s="97">
        <v>53.316200000000002</v>
      </c>
    </row>
    <row r="542" spans="1:3" x14ac:dyDescent="0.25">
      <c r="A542" s="89">
        <v>46044</v>
      </c>
      <c r="B542" s="97" t="s">
        <v>82</v>
      </c>
      <c r="C542" s="97">
        <v>53.325800000000001</v>
      </c>
    </row>
    <row r="543" spans="1:3" x14ac:dyDescent="0.25">
      <c r="A543" s="89">
        <v>46045</v>
      </c>
      <c r="B543" s="97" t="s">
        <v>114</v>
      </c>
      <c r="C543" s="97">
        <v>46.6965</v>
      </c>
    </row>
    <row r="544" spans="1:3" x14ac:dyDescent="0.25">
      <c r="A544" s="89">
        <v>46045</v>
      </c>
      <c r="B544" s="97" t="s">
        <v>115</v>
      </c>
      <c r="C544" s="97">
        <v>46.581499999999998</v>
      </c>
    </row>
    <row r="545" spans="1:3" x14ac:dyDescent="0.25">
      <c r="A545" s="89">
        <v>46045</v>
      </c>
      <c r="B545" s="97" t="s">
        <v>116</v>
      </c>
      <c r="C545" s="97">
        <v>46.798099999999998</v>
      </c>
    </row>
    <row r="546" spans="1:3" x14ac:dyDescent="0.25">
      <c r="A546" s="89">
        <v>46045</v>
      </c>
      <c r="B546" s="97" t="s">
        <v>117</v>
      </c>
      <c r="C546" s="97">
        <v>46.954300000000003</v>
      </c>
    </row>
    <row r="547" spans="1:3" x14ac:dyDescent="0.25">
      <c r="A547" s="89">
        <v>46045</v>
      </c>
      <c r="B547" s="97" t="s">
        <v>118</v>
      </c>
      <c r="C547" s="97">
        <v>46.279000000000003</v>
      </c>
    </row>
    <row r="548" spans="1:3" x14ac:dyDescent="0.25">
      <c r="A548" s="89">
        <v>46045</v>
      </c>
      <c r="B548" s="97" t="s">
        <v>107</v>
      </c>
      <c r="C548" s="97">
        <v>46.365299999999998</v>
      </c>
    </row>
    <row r="549" spans="1:3" x14ac:dyDescent="0.25">
      <c r="A549" s="89">
        <v>46045</v>
      </c>
      <c r="B549" s="97" t="s">
        <v>108</v>
      </c>
      <c r="C549" s="97">
        <v>46.353400000000001</v>
      </c>
    </row>
    <row r="550" spans="1:3" x14ac:dyDescent="0.25">
      <c r="A550" s="89">
        <v>46045</v>
      </c>
      <c r="B550" s="97" t="s">
        <v>109</v>
      </c>
      <c r="C550" s="97">
        <v>47.5931</v>
      </c>
    </row>
    <row r="551" spans="1:3" x14ac:dyDescent="0.25">
      <c r="A551" s="89">
        <v>46045</v>
      </c>
      <c r="B551" s="97" t="s">
        <v>110</v>
      </c>
      <c r="C551" s="97">
        <v>47.570599999999999</v>
      </c>
    </row>
    <row r="552" spans="1:3" x14ac:dyDescent="0.25">
      <c r="A552" s="89">
        <v>46045</v>
      </c>
      <c r="B552" s="97" t="s">
        <v>111</v>
      </c>
      <c r="C552" s="97">
        <v>48.9163</v>
      </c>
    </row>
    <row r="553" spans="1:3" x14ac:dyDescent="0.25">
      <c r="A553" s="89">
        <v>46045</v>
      </c>
      <c r="B553" s="97" t="s">
        <v>112</v>
      </c>
      <c r="C553" s="97">
        <v>48.853900000000003</v>
      </c>
    </row>
    <row r="554" spans="1:3" x14ac:dyDescent="0.25">
      <c r="A554" s="89">
        <v>46049</v>
      </c>
      <c r="B554" s="97" t="s">
        <v>88</v>
      </c>
      <c r="C554" s="97">
        <v>53.021700000000003</v>
      </c>
    </row>
    <row r="555" spans="1:3" x14ac:dyDescent="0.25">
      <c r="A555" s="89">
        <v>46049</v>
      </c>
      <c r="B555" s="97" t="s">
        <v>89</v>
      </c>
      <c r="C555" s="97">
        <v>53.080500000000001</v>
      </c>
    </row>
    <row r="556" spans="1:3" x14ac:dyDescent="0.25">
      <c r="A556" s="89">
        <v>46049</v>
      </c>
      <c r="B556" s="97" t="s">
        <v>90</v>
      </c>
      <c r="C556" s="97">
        <v>53.046300000000002</v>
      </c>
    </row>
    <row r="557" spans="1:3" x14ac:dyDescent="0.25">
      <c r="A557" s="89">
        <v>46049</v>
      </c>
      <c r="B557" s="97" t="s">
        <v>91</v>
      </c>
      <c r="C557" s="97">
        <v>52.635899999999999</v>
      </c>
    </row>
    <row r="558" spans="1:3" x14ac:dyDescent="0.25">
      <c r="A558" s="89">
        <v>46049</v>
      </c>
      <c r="B558" s="97" t="s">
        <v>104</v>
      </c>
      <c r="C558" s="97">
        <v>52.6068</v>
      </c>
    </row>
    <row r="559" spans="1:3" x14ac:dyDescent="0.25">
      <c r="A559" s="89">
        <v>46049</v>
      </c>
      <c r="B559" s="97" t="s">
        <v>105</v>
      </c>
      <c r="C559" s="97">
        <v>52.723199999999999</v>
      </c>
    </row>
    <row r="560" spans="1:3" x14ac:dyDescent="0.25">
      <c r="A560" s="89">
        <v>46049</v>
      </c>
      <c r="B560" s="97" t="s">
        <v>92</v>
      </c>
      <c r="C560" s="97">
        <v>52.920299999999997</v>
      </c>
    </row>
    <row r="561" spans="1:3" x14ac:dyDescent="0.25">
      <c r="A561" s="89">
        <v>46049</v>
      </c>
      <c r="B561" s="97" t="s">
        <v>93</v>
      </c>
      <c r="C561" s="97">
        <v>52.928800000000003</v>
      </c>
    </row>
    <row r="562" spans="1:3" x14ac:dyDescent="0.25">
      <c r="A562" s="89">
        <v>46049</v>
      </c>
      <c r="B562" s="97" t="s">
        <v>106</v>
      </c>
      <c r="C562" s="97">
        <v>52.9161</v>
      </c>
    </row>
    <row r="563" spans="1:3" x14ac:dyDescent="0.25">
      <c r="A563" s="89">
        <v>46049</v>
      </c>
      <c r="B563" s="97" t="s">
        <v>69</v>
      </c>
      <c r="C563" s="97">
        <v>52.9861</v>
      </c>
    </row>
    <row r="564" spans="1:3" x14ac:dyDescent="0.25">
      <c r="A564" s="89">
        <v>46049</v>
      </c>
      <c r="B564" s="97" t="s">
        <v>70</v>
      </c>
      <c r="C564" s="97">
        <v>53.0822</v>
      </c>
    </row>
    <row r="565" spans="1:3" x14ac:dyDescent="0.25">
      <c r="A565" s="89">
        <v>46049</v>
      </c>
      <c r="B565" s="97" t="s">
        <v>71</v>
      </c>
      <c r="C565" s="97">
        <v>53.205300000000001</v>
      </c>
    </row>
    <row r="566" spans="1:3" x14ac:dyDescent="0.25">
      <c r="A566" s="89">
        <v>46049</v>
      </c>
      <c r="B566" s="97" t="s">
        <v>72</v>
      </c>
      <c r="C566" s="97">
        <v>53.080600000000004</v>
      </c>
    </row>
    <row r="567" spans="1:3" x14ac:dyDescent="0.25">
      <c r="A567" s="89">
        <v>46049</v>
      </c>
      <c r="B567" s="97" t="s">
        <v>73</v>
      </c>
      <c r="C567" s="97">
        <v>53.383899999999997</v>
      </c>
    </row>
    <row r="568" spans="1:3" x14ac:dyDescent="0.25">
      <c r="A568" s="89">
        <v>46049</v>
      </c>
      <c r="B568" s="97" t="s">
        <v>74</v>
      </c>
      <c r="C568" s="97">
        <v>53.378999999999998</v>
      </c>
    </row>
    <row r="569" spans="1:3" x14ac:dyDescent="0.25">
      <c r="A569" s="89">
        <v>46049</v>
      </c>
      <c r="B569" s="97" t="s">
        <v>75</v>
      </c>
      <c r="C569" s="97">
        <v>54.072400000000002</v>
      </c>
    </row>
    <row r="570" spans="1:3" x14ac:dyDescent="0.25">
      <c r="A570" s="89">
        <v>46049</v>
      </c>
      <c r="B570" s="97" t="s">
        <v>76</v>
      </c>
      <c r="C570" s="97">
        <v>54.079900000000002</v>
      </c>
    </row>
    <row r="571" spans="1:3" x14ac:dyDescent="0.25">
      <c r="A571" s="89">
        <v>46049</v>
      </c>
      <c r="B571" s="97" t="s">
        <v>77</v>
      </c>
      <c r="C571" s="97">
        <v>54.017099999999999</v>
      </c>
    </row>
    <row r="572" spans="1:3" x14ac:dyDescent="0.25">
      <c r="A572" s="89">
        <v>46049</v>
      </c>
      <c r="B572" s="97" t="s">
        <v>78</v>
      </c>
      <c r="C572" s="97">
        <v>52.924100000000003</v>
      </c>
    </row>
    <row r="573" spans="1:3" x14ac:dyDescent="0.25">
      <c r="A573" s="89">
        <v>46049</v>
      </c>
      <c r="B573" s="97" t="s">
        <v>79</v>
      </c>
      <c r="C573" s="97">
        <v>53.895600000000002</v>
      </c>
    </row>
    <row r="574" spans="1:3" x14ac:dyDescent="0.25">
      <c r="A574" s="89">
        <v>46049</v>
      </c>
      <c r="B574" s="97" t="s">
        <v>80</v>
      </c>
      <c r="C574" s="97">
        <v>54.090800000000002</v>
      </c>
    </row>
    <row r="575" spans="1:3" x14ac:dyDescent="0.25">
      <c r="A575" s="89">
        <v>46049</v>
      </c>
      <c r="B575" s="97" t="s">
        <v>81</v>
      </c>
      <c r="C575" s="97">
        <v>53.316299999999998</v>
      </c>
    </row>
    <row r="576" spans="1:3" x14ac:dyDescent="0.25">
      <c r="A576" s="89">
        <v>46049</v>
      </c>
      <c r="B576" s="97" t="s">
        <v>82</v>
      </c>
      <c r="C576" s="97">
        <v>53.326100000000004</v>
      </c>
    </row>
    <row r="577" spans="1:3" x14ac:dyDescent="0.25">
      <c r="A577" s="89">
        <v>46049</v>
      </c>
      <c r="B577" s="97" t="s">
        <v>114</v>
      </c>
      <c r="C577" s="97">
        <v>46.696199999999997</v>
      </c>
    </row>
    <row r="578" spans="1:3" x14ac:dyDescent="0.25">
      <c r="A578" s="89">
        <v>46049</v>
      </c>
      <c r="B578" s="97" t="s">
        <v>115</v>
      </c>
      <c r="C578" s="97">
        <v>46.581400000000002</v>
      </c>
    </row>
    <row r="579" spans="1:3" x14ac:dyDescent="0.25">
      <c r="A579" s="89">
        <v>46049</v>
      </c>
      <c r="B579" s="97" t="s">
        <v>116</v>
      </c>
      <c r="C579" s="97">
        <v>46.797800000000002</v>
      </c>
    </row>
    <row r="580" spans="1:3" x14ac:dyDescent="0.25">
      <c r="A580" s="89">
        <v>46049</v>
      </c>
      <c r="B580" s="97" t="s">
        <v>117</v>
      </c>
      <c r="C580" s="97">
        <v>46.953899999999997</v>
      </c>
    </row>
    <row r="581" spans="1:3" x14ac:dyDescent="0.25">
      <c r="A581" s="89">
        <v>46049</v>
      </c>
      <c r="B581" s="97" t="s">
        <v>118</v>
      </c>
      <c r="C581" s="97">
        <v>46.278700000000001</v>
      </c>
    </row>
    <row r="582" spans="1:3" x14ac:dyDescent="0.25">
      <c r="A582" s="89">
        <v>46049</v>
      </c>
      <c r="B582" s="97" t="s">
        <v>107</v>
      </c>
      <c r="C582" s="97">
        <v>46.365000000000002</v>
      </c>
    </row>
    <row r="583" spans="1:3" x14ac:dyDescent="0.25">
      <c r="A583" s="89">
        <v>46049</v>
      </c>
      <c r="B583" s="97" t="s">
        <v>108</v>
      </c>
      <c r="C583" s="97">
        <v>46.353299999999997</v>
      </c>
    </row>
    <row r="584" spans="1:3" x14ac:dyDescent="0.25">
      <c r="A584" s="89">
        <v>46049</v>
      </c>
      <c r="B584" s="97" t="s">
        <v>109</v>
      </c>
      <c r="C584" s="97">
        <v>47.593200000000003</v>
      </c>
    </row>
    <row r="585" spans="1:3" x14ac:dyDescent="0.25">
      <c r="A585" s="89">
        <v>46049</v>
      </c>
      <c r="B585" s="97" t="s">
        <v>110</v>
      </c>
      <c r="C585" s="97">
        <v>47.570799999999998</v>
      </c>
    </row>
    <row r="586" spans="1:3" x14ac:dyDescent="0.25">
      <c r="A586" s="89">
        <v>46049</v>
      </c>
      <c r="B586" s="97" t="s">
        <v>111</v>
      </c>
      <c r="C586" s="97">
        <v>48.916699999999999</v>
      </c>
    </row>
    <row r="587" spans="1:3" x14ac:dyDescent="0.25">
      <c r="A587" s="89">
        <v>46049</v>
      </c>
      <c r="B587" s="97" t="s">
        <v>112</v>
      </c>
      <c r="C587" s="97">
        <v>48.854199999999999</v>
      </c>
    </row>
    <row r="588" spans="1:3" x14ac:dyDescent="0.25">
      <c r="A588" s="89">
        <v>46051</v>
      </c>
      <c r="B588" s="97" t="s">
        <v>88</v>
      </c>
      <c r="C588" s="97">
        <v>53.021900000000002</v>
      </c>
    </row>
    <row r="589" spans="1:3" x14ac:dyDescent="0.25">
      <c r="A589" s="89">
        <v>46051</v>
      </c>
      <c r="B589" s="97" t="s">
        <v>89</v>
      </c>
      <c r="C589" s="97">
        <v>53.080599999999997</v>
      </c>
    </row>
    <row r="590" spans="1:3" x14ac:dyDescent="0.25">
      <c r="A590" s="89">
        <v>46051</v>
      </c>
      <c r="B590" s="97" t="s">
        <v>90</v>
      </c>
      <c r="C590" s="97">
        <v>53.046300000000002</v>
      </c>
    </row>
    <row r="591" spans="1:3" x14ac:dyDescent="0.25">
      <c r="A591" s="89">
        <v>46051</v>
      </c>
      <c r="B591" s="97" t="s">
        <v>91</v>
      </c>
      <c r="C591" s="97">
        <v>52.636299999999999</v>
      </c>
    </row>
    <row r="592" spans="1:3" x14ac:dyDescent="0.25">
      <c r="A592" s="89">
        <v>46051</v>
      </c>
      <c r="B592" s="97" t="s">
        <v>104</v>
      </c>
      <c r="C592" s="97">
        <v>52.607300000000002</v>
      </c>
    </row>
    <row r="593" spans="1:3" x14ac:dyDescent="0.25">
      <c r="A593" s="89">
        <v>46051</v>
      </c>
      <c r="B593" s="97" t="s">
        <v>105</v>
      </c>
      <c r="C593" s="97">
        <v>52.723599999999998</v>
      </c>
    </row>
    <row r="594" spans="1:3" x14ac:dyDescent="0.25">
      <c r="A594" s="89">
        <v>46051</v>
      </c>
      <c r="B594" s="97" t="s">
        <v>92</v>
      </c>
      <c r="C594" s="97">
        <v>52.9206</v>
      </c>
    </row>
    <row r="595" spans="1:3" x14ac:dyDescent="0.25">
      <c r="A595" s="89">
        <v>46051</v>
      </c>
      <c r="B595" s="97" t="s">
        <v>93</v>
      </c>
      <c r="C595" s="97">
        <v>52.929200000000002</v>
      </c>
    </row>
    <row r="596" spans="1:3" x14ac:dyDescent="0.25">
      <c r="A596" s="89">
        <v>46051</v>
      </c>
      <c r="B596" s="97" t="s">
        <v>106</v>
      </c>
      <c r="C596" s="97">
        <v>52.916200000000003</v>
      </c>
    </row>
    <row r="597" spans="1:3" x14ac:dyDescent="0.25">
      <c r="A597" s="89">
        <v>46051</v>
      </c>
      <c r="B597" s="97" t="s">
        <v>69</v>
      </c>
      <c r="C597" s="97">
        <v>52.986199999999997</v>
      </c>
    </row>
    <row r="598" spans="1:3" x14ac:dyDescent="0.25">
      <c r="A598" s="89">
        <v>46051</v>
      </c>
      <c r="B598" s="97" t="s">
        <v>70</v>
      </c>
      <c r="C598" s="97">
        <v>53.082299999999996</v>
      </c>
    </row>
    <row r="599" spans="1:3" x14ac:dyDescent="0.25">
      <c r="A599" s="89">
        <v>46051</v>
      </c>
      <c r="B599" s="97" t="s">
        <v>71</v>
      </c>
      <c r="C599" s="97">
        <v>53.205500000000001</v>
      </c>
    </row>
    <row r="600" spans="1:3" x14ac:dyDescent="0.25">
      <c r="A600" s="89">
        <v>46051</v>
      </c>
      <c r="B600" s="97" t="s">
        <v>72</v>
      </c>
      <c r="C600" s="97">
        <v>53.080599999999997</v>
      </c>
    </row>
    <row r="601" spans="1:3" x14ac:dyDescent="0.25">
      <c r="A601" s="89">
        <v>46051</v>
      </c>
      <c r="B601" s="97" t="s">
        <v>73</v>
      </c>
      <c r="C601" s="97">
        <v>53.383899999999997</v>
      </c>
    </row>
    <row r="602" spans="1:3" x14ac:dyDescent="0.25">
      <c r="A602" s="89">
        <v>46051</v>
      </c>
      <c r="B602" s="97" t="s">
        <v>74</v>
      </c>
      <c r="C602" s="97">
        <v>53.379300000000001</v>
      </c>
    </row>
    <row r="603" spans="1:3" x14ac:dyDescent="0.25">
      <c r="A603" s="89">
        <v>46051</v>
      </c>
      <c r="B603" s="97" t="s">
        <v>75</v>
      </c>
      <c r="C603" s="97">
        <v>54.072499999999998</v>
      </c>
    </row>
    <row r="604" spans="1:3" x14ac:dyDescent="0.25">
      <c r="A604" s="89">
        <v>46051</v>
      </c>
      <c r="B604" s="97" t="s">
        <v>76</v>
      </c>
      <c r="C604" s="97">
        <v>54.080100000000002</v>
      </c>
    </row>
    <row r="605" spans="1:3" x14ac:dyDescent="0.25">
      <c r="A605" s="89">
        <v>46051</v>
      </c>
      <c r="B605" s="97" t="s">
        <v>77</v>
      </c>
      <c r="C605" s="97">
        <v>54.017200000000003</v>
      </c>
    </row>
    <row r="606" spans="1:3" x14ac:dyDescent="0.25">
      <c r="A606" s="89">
        <v>46051</v>
      </c>
      <c r="B606" s="97" t="s">
        <v>78</v>
      </c>
      <c r="C606" s="97">
        <v>52.924100000000003</v>
      </c>
    </row>
    <row r="607" spans="1:3" x14ac:dyDescent="0.25">
      <c r="A607" s="89">
        <v>46051</v>
      </c>
      <c r="B607" s="97" t="s">
        <v>79</v>
      </c>
      <c r="C607" s="97">
        <v>53.895800000000001</v>
      </c>
    </row>
    <row r="608" spans="1:3" x14ac:dyDescent="0.25">
      <c r="A608" s="89">
        <v>46051</v>
      </c>
      <c r="B608" s="97" t="s">
        <v>80</v>
      </c>
      <c r="C608" s="97">
        <v>54.090800000000002</v>
      </c>
    </row>
    <row r="609" spans="1:3" x14ac:dyDescent="0.25">
      <c r="A609" s="89">
        <v>46051</v>
      </c>
      <c r="B609" s="97" t="s">
        <v>81</v>
      </c>
      <c r="C609" s="97">
        <v>53.316499999999998</v>
      </c>
    </row>
    <row r="610" spans="1:3" x14ac:dyDescent="0.25">
      <c r="A610" s="89">
        <v>46051</v>
      </c>
      <c r="B610" s="97" t="s">
        <v>82</v>
      </c>
      <c r="C610" s="97">
        <v>53.3262</v>
      </c>
    </row>
    <row r="611" spans="1:3" x14ac:dyDescent="0.25">
      <c r="A611" s="89">
        <v>46052</v>
      </c>
      <c r="B611" s="97" t="s">
        <v>114</v>
      </c>
      <c r="C611" s="97">
        <v>46.6952</v>
      </c>
    </row>
    <row r="612" spans="1:3" x14ac:dyDescent="0.25">
      <c r="A612" s="89">
        <v>46052</v>
      </c>
      <c r="B612" s="97" t="s">
        <v>115</v>
      </c>
      <c r="C612" s="97">
        <v>46.580500000000001</v>
      </c>
    </row>
    <row r="613" spans="1:3" x14ac:dyDescent="0.25">
      <c r="A613" s="89">
        <v>46052</v>
      </c>
      <c r="B613" s="97" t="s">
        <v>116</v>
      </c>
      <c r="C613" s="97">
        <v>46.796900000000001</v>
      </c>
    </row>
    <row r="614" spans="1:3" x14ac:dyDescent="0.25">
      <c r="A614" s="89">
        <v>46052</v>
      </c>
      <c r="B614" s="97" t="s">
        <v>117</v>
      </c>
      <c r="C614" s="97">
        <v>46.9529</v>
      </c>
    </row>
    <row r="615" spans="1:3" x14ac:dyDescent="0.25">
      <c r="A615" s="89">
        <v>46052</v>
      </c>
      <c r="B615" s="97" t="s">
        <v>118</v>
      </c>
      <c r="C615" s="97">
        <v>46.278500000000001</v>
      </c>
    </row>
    <row r="616" spans="1:3" x14ac:dyDescent="0.25">
      <c r="A616" s="89">
        <v>46052</v>
      </c>
      <c r="B616" s="97" t="s">
        <v>119</v>
      </c>
      <c r="C616" s="97">
        <v>46.307299999999998</v>
      </c>
    </row>
    <row r="617" spans="1:3" x14ac:dyDescent="0.25">
      <c r="A617" s="89">
        <v>46052</v>
      </c>
      <c r="B617" s="97" t="s">
        <v>107</v>
      </c>
      <c r="C617" s="97">
        <v>46.364400000000003</v>
      </c>
    </row>
    <row r="618" spans="1:3" x14ac:dyDescent="0.25">
      <c r="A618" s="89">
        <v>46052</v>
      </c>
      <c r="B618" s="97" t="s">
        <v>108</v>
      </c>
      <c r="C618" s="97">
        <v>46.352600000000002</v>
      </c>
    </row>
    <row r="619" spans="1:3" x14ac:dyDescent="0.25">
      <c r="A619" s="89">
        <v>46052</v>
      </c>
      <c r="B619" s="97" t="s">
        <v>109</v>
      </c>
      <c r="C619" s="97">
        <v>47.593000000000004</v>
      </c>
    </row>
    <row r="620" spans="1:3" x14ac:dyDescent="0.25">
      <c r="A620" s="89">
        <v>46052</v>
      </c>
      <c r="B620" s="97" t="s">
        <v>110</v>
      </c>
      <c r="C620" s="97">
        <v>47.570700000000002</v>
      </c>
    </row>
    <row r="621" spans="1:3" x14ac:dyDescent="0.25">
      <c r="A621" s="89">
        <v>46055</v>
      </c>
      <c r="B621" s="97" t="s">
        <v>114</v>
      </c>
      <c r="C621" s="97">
        <v>46.695599999999999</v>
      </c>
    </row>
    <row r="622" spans="1:3" x14ac:dyDescent="0.25">
      <c r="A622" s="89">
        <v>46055</v>
      </c>
      <c r="B622" s="97" t="s">
        <v>115</v>
      </c>
      <c r="C622" s="97">
        <v>46.580800000000004</v>
      </c>
    </row>
    <row r="623" spans="1:3" x14ac:dyDescent="0.25">
      <c r="A623" s="89">
        <v>46055</v>
      </c>
      <c r="B623" s="97" t="s">
        <v>116</v>
      </c>
      <c r="C623" s="97">
        <v>46.7971</v>
      </c>
    </row>
    <row r="624" spans="1:3" x14ac:dyDescent="0.25">
      <c r="A624" s="89">
        <v>46055</v>
      </c>
      <c r="B624" s="97" t="s">
        <v>117</v>
      </c>
      <c r="C624" s="97">
        <v>46.952800000000003</v>
      </c>
    </row>
    <row r="625" spans="1:4" x14ac:dyDescent="0.25">
      <c r="A625" s="89">
        <v>46055</v>
      </c>
      <c r="B625" s="97" t="s">
        <v>118</v>
      </c>
      <c r="C625" s="97">
        <v>46.2789</v>
      </c>
    </row>
    <row r="626" spans="1:4" x14ac:dyDescent="0.25">
      <c r="A626" s="89">
        <v>46055</v>
      </c>
      <c r="B626" s="97" t="s">
        <v>119</v>
      </c>
      <c r="C626" s="97">
        <v>46.307600000000001</v>
      </c>
    </row>
    <row r="627" spans="1:4" x14ac:dyDescent="0.25">
      <c r="A627" s="89">
        <v>46055</v>
      </c>
      <c r="B627" s="97" t="s">
        <v>120</v>
      </c>
      <c r="C627" s="97">
        <v>45.552100000000003</v>
      </c>
    </row>
    <row r="628" spans="1:4" x14ac:dyDescent="0.25">
      <c r="A628" s="89">
        <v>46055</v>
      </c>
      <c r="B628" s="97" t="s">
        <v>121</v>
      </c>
      <c r="C628" s="97">
        <v>45.5593</v>
      </c>
    </row>
    <row r="629" spans="1:4" x14ac:dyDescent="0.25">
      <c r="A629" s="89">
        <v>46055</v>
      </c>
      <c r="B629" s="97" t="s">
        <v>122</v>
      </c>
      <c r="C629" s="97">
        <v>45.539000000000001</v>
      </c>
    </row>
    <row r="630" spans="1:4" x14ac:dyDescent="0.25">
      <c r="A630" s="89">
        <v>46055</v>
      </c>
      <c r="B630" s="97" t="s">
        <v>123</v>
      </c>
      <c r="C630" s="97">
        <v>45.462800000000001</v>
      </c>
    </row>
    <row r="631" spans="1:4" x14ac:dyDescent="0.25">
      <c r="A631" s="89">
        <v>46055</v>
      </c>
      <c r="B631" s="97" t="s">
        <v>107</v>
      </c>
      <c r="C631" s="97">
        <v>46.364199999999997</v>
      </c>
    </row>
    <row r="632" spans="1:4" x14ac:dyDescent="0.25">
      <c r="A632" s="89">
        <v>46055</v>
      </c>
      <c r="B632" s="97" t="s">
        <v>108</v>
      </c>
      <c r="C632" s="97">
        <v>46.352699999999999</v>
      </c>
    </row>
    <row r="633" spans="1:4" x14ac:dyDescent="0.25">
      <c r="A633" s="89">
        <v>46055</v>
      </c>
      <c r="B633" s="97" t="s">
        <v>109</v>
      </c>
      <c r="C633" s="97">
        <v>47.593200000000003</v>
      </c>
    </row>
    <row r="634" spans="1:4" x14ac:dyDescent="0.25">
      <c r="A634" s="89">
        <v>46055</v>
      </c>
      <c r="B634" s="97" t="s">
        <v>110</v>
      </c>
      <c r="C634" s="97">
        <v>47.570999999999998</v>
      </c>
      <c r="D634" s="91"/>
    </row>
    <row r="635" spans="1:4" x14ac:dyDescent="0.25">
      <c r="A635" s="89">
        <v>46055</v>
      </c>
      <c r="B635" s="97" t="s">
        <v>111</v>
      </c>
      <c r="C635" s="97">
        <v>48.916899999999998</v>
      </c>
      <c r="D635" s="91"/>
    </row>
    <row r="636" spans="1:4" x14ac:dyDescent="0.25">
      <c r="A636" s="89">
        <v>46055</v>
      </c>
      <c r="B636" s="97" t="s">
        <v>112</v>
      </c>
      <c r="C636" s="97">
        <v>48.854399999999998</v>
      </c>
      <c r="D636" s="91"/>
    </row>
    <row r="637" spans="1:4" x14ac:dyDescent="0.25">
      <c r="A637" s="89">
        <v>46056</v>
      </c>
      <c r="B637" s="97" t="s">
        <v>88</v>
      </c>
      <c r="C637" s="97">
        <v>53.021799999999999</v>
      </c>
      <c r="D637" s="91"/>
    </row>
    <row r="638" spans="1:4" x14ac:dyDescent="0.25">
      <c r="A638" s="89">
        <v>46056</v>
      </c>
      <c r="B638" s="97" t="s">
        <v>89</v>
      </c>
      <c r="C638" s="97">
        <v>53.080599999999997</v>
      </c>
      <c r="D638" s="91"/>
    </row>
    <row r="639" spans="1:4" x14ac:dyDescent="0.25">
      <c r="A639" s="89">
        <v>46056</v>
      </c>
      <c r="B639" s="97" t="s">
        <v>90</v>
      </c>
      <c r="C639" s="97">
        <v>53.046399999999998</v>
      </c>
    </row>
    <row r="640" spans="1:4" x14ac:dyDescent="0.25">
      <c r="A640" s="89">
        <v>46056</v>
      </c>
      <c r="B640" s="97" t="s">
        <v>91</v>
      </c>
      <c r="C640" s="97">
        <v>52.635899999999999</v>
      </c>
    </row>
    <row r="641" spans="1:3" x14ac:dyDescent="0.25">
      <c r="A641" s="89">
        <v>46056</v>
      </c>
      <c r="B641" s="97" t="s">
        <v>104</v>
      </c>
      <c r="C641" s="97">
        <v>52.606999999999999</v>
      </c>
    </row>
    <row r="642" spans="1:3" x14ac:dyDescent="0.25">
      <c r="A642" s="89">
        <v>46056</v>
      </c>
      <c r="B642" s="97" t="s">
        <v>105</v>
      </c>
      <c r="C642" s="97">
        <v>52.723399999999998</v>
      </c>
    </row>
    <row r="643" spans="1:3" x14ac:dyDescent="0.25">
      <c r="A643" s="89">
        <v>46056</v>
      </c>
      <c r="B643" s="97" t="s">
        <v>92</v>
      </c>
      <c r="C643" s="97">
        <v>52.920099999999998</v>
      </c>
    </row>
    <row r="644" spans="1:3" x14ac:dyDescent="0.25">
      <c r="A644" s="89">
        <v>46056</v>
      </c>
      <c r="B644" s="97" t="s">
        <v>93</v>
      </c>
      <c r="C644" s="97">
        <v>52.928699999999999</v>
      </c>
    </row>
    <row r="645" spans="1:3" x14ac:dyDescent="0.25">
      <c r="A645" s="89">
        <v>46056</v>
      </c>
      <c r="B645" s="97" t="s">
        <v>106</v>
      </c>
      <c r="C645" s="97">
        <v>52.9161</v>
      </c>
    </row>
    <row r="646" spans="1:3" x14ac:dyDescent="0.25">
      <c r="A646" s="89">
        <v>46056</v>
      </c>
      <c r="B646" s="97" t="s">
        <v>69</v>
      </c>
      <c r="C646" s="97">
        <v>52.9861</v>
      </c>
    </row>
    <row r="647" spans="1:3" x14ac:dyDescent="0.25">
      <c r="A647" s="89">
        <v>46056</v>
      </c>
      <c r="B647" s="97" t="s">
        <v>70</v>
      </c>
      <c r="C647" s="97">
        <v>53.0822</v>
      </c>
    </row>
    <row r="648" spans="1:3" x14ac:dyDescent="0.25">
      <c r="A648" s="89">
        <v>46056</v>
      </c>
      <c r="B648" s="97" t="s">
        <v>71</v>
      </c>
      <c r="C648" s="97">
        <v>53.205399999999997</v>
      </c>
    </row>
    <row r="649" spans="1:3" x14ac:dyDescent="0.25">
      <c r="A649" s="89">
        <v>46056</v>
      </c>
      <c r="B649" s="97" t="s">
        <v>72</v>
      </c>
      <c r="C649" s="97">
        <v>53.080500000000001</v>
      </c>
    </row>
    <row r="650" spans="1:3" x14ac:dyDescent="0.25">
      <c r="A650" s="89">
        <v>46056</v>
      </c>
      <c r="B650" s="97" t="s">
        <v>73</v>
      </c>
      <c r="C650" s="97">
        <v>53.384</v>
      </c>
    </row>
    <row r="651" spans="1:3" x14ac:dyDescent="0.25">
      <c r="A651" s="89">
        <v>46056</v>
      </c>
      <c r="B651" s="97" t="s">
        <v>74</v>
      </c>
      <c r="C651" s="97">
        <v>53.379300000000001</v>
      </c>
    </row>
    <row r="652" spans="1:3" x14ac:dyDescent="0.25">
      <c r="A652" s="89">
        <v>46056</v>
      </c>
      <c r="B652" s="97" t="s">
        <v>75</v>
      </c>
      <c r="C652" s="97">
        <v>54.072499999999998</v>
      </c>
    </row>
    <row r="653" spans="1:3" x14ac:dyDescent="0.25">
      <c r="A653" s="89">
        <v>46056</v>
      </c>
      <c r="B653" s="97" t="s">
        <v>76</v>
      </c>
      <c r="C653" s="97">
        <v>54.080100000000002</v>
      </c>
    </row>
    <row r="654" spans="1:3" x14ac:dyDescent="0.25">
      <c r="A654" s="89">
        <v>46056</v>
      </c>
      <c r="B654" s="97" t="s">
        <v>77</v>
      </c>
      <c r="C654" s="97">
        <v>54.017099999999999</v>
      </c>
    </row>
    <row r="655" spans="1:3" x14ac:dyDescent="0.25">
      <c r="A655" s="89">
        <v>46056</v>
      </c>
      <c r="B655" s="97" t="s">
        <v>78</v>
      </c>
      <c r="C655" s="97">
        <v>52.924199999999999</v>
      </c>
    </row>
    <row r="656" spans="1:3" x14ac:dyDescent="0.25">
      <c r="A656" s="89">
        <v>46056</v>
      </c>
      <c r="B656" s="97" t="s">
        <v>79</v>
      </c>
      <c r="C656" s="97">
        <v>53.895600000000002</v>
      </c>
    </row>
    <row r="657" spans="1:4" x14ac:dyDescent="0.25">
      <c r="A657" s="89">
        <v>46056</v>
      </c>
      <c r="B657" s="97" t="s">
        <v>80</v>
      </c>
      <c r="C657" s="97">
        <v>54.090800000000002</v>
      </c>
    </row>
    <row r="658" spans="1:4" x14ac:dyDescent="0.25">
      <c r="A658" s="89">
        <v>46056</v>
      </c>
      <c r="B658" s="97" t="s">
        <v>81</v>
      </c>
      <c r="C658" s="97">
        <v>53.316499999999998</v>
      </c>
    </row>
    <row r="659" spans="1:4" x14ac:dyDescent="0.25">
      <c r="A659" s="89">
        <v>46056</v>
      </c>
      <c r="B659" s="97" t="s">
        <v>82</v>
      </c>
      <c r="C659" s="97">
        <v>53.3262</v>
      </c>
    </row>
    <row r="660" spans="1:4" x14ac:dyDescent="0.25">
      <c r="A660" s="89">
        <v>46057</v>
      </c>
      <c r="B660" s="97" t="s">
        <v>114</v>
      </c>
      <c r="C660" s="99">
        <v>46.694699999999997</v>
      </c>
    </row>
    <row r="661" spans="1:4" x14ac:dyDescent="0.25">
      <c r="A661" s="89">
        <v>46057</v>
      </c>
      <c r="B661" s="97" t="s">
        <v>115</v>
      </c>
      <c r="C661" s="99">
        <v>46.579799999999999</v>
      </c>
    </row>
    <row r="662" spans="1:4" x14ac:dyDescent="0.25">
      <c r="A662" s="89">
        <v>46057</v>
      </c>
      <c r="B662" s="97" t="s">
        <v>116</v>
      </c>
      <c r="C662" s="99">
        <v>46.795900000000003</v>
      </c>
      <c r="D662" s="91"/>
    </row>
    <row r="663" spans="1:4" x14ac:dyDescent="0.25">
      <c r="A663" s="89">
        <v>46057</v>
      </c>
      <c r="B663" s="97" t="s">
        <v>117</v>
      </c>
      <c r="C663" s="99">
        <v>46.9514</v>
      </c>
    </row>
    <row r="664" spans="1:4" x14ac:dyDescent="0.25">
      <c r="A664" s="89">
        <v>46057</v>
      </c>
      <c r="B664" s="97" t="s">
        <v>118</v>
      </c>
      <c r="C664" s="99">
        <v>46.277900000000002</v>
      </c>
    </row>
    <row r="665" spans="1:4" x14ac:dyDescent="0.25">
      <c r="A665" s="89">
        <v>46057</v>
      </c>
      <c r="B665" s="97" t="s">
        <v>119</v>
      </c>
      <c r="C665" s="99">
        <v>46.306600000000003</v>
      </c>
    </row>
    <row r="666" spans="1:4" x14ac:dyDescent="0.25">
      <c r="A666" s="89">
        <v>46057</v>
      </c>
      <c r="B666" s="97" t="s">
        <v>120</v>
      </c>
      <c r="C666" s="99">
        <v>45.551699999999997</v>
      </c>
      <c r="D666" s="91"/>
    </row>
    <row r="667" spans="1:4" x14ac:dyDescent="0.25">
      <c r="A667" s="89">
        <v>46057</v>
      </c>
      <c r="B667" s="97" t="s">
        <v>121</v>
      </c>
      <c r="C667" s="99">
        <v>45.558799999999998</v>
      </c>
    </row>
    <row r="668" spans="1:4" x14ac:dyDescent="0.25">
      <c r="A668" s="89">
        <v>46057</v>
      </c>
      <c r="B668" s="97" t="s">
        <v>122</v>
      </c>
      <c r="C668" s="99">
        <v>45.538600000000002</v>
      </c>
    </row>
    <row r="669" spans="1:4" x14ac:dyDescent="0.25">
      <c r="A669" s="89">
        <v>46057</v>
      </c>
      <c r="B669" s="97" t="s">
        <v>123</v>
      </c>
      <c r="C669" s="99">
        <v>45.462200000000003</v>
      </c>
    </row>
    <row r="670" spans="1:4" x14ac:dyDescent="0.25">
      <c r="A670" s="89">
        <v>46057</v>
      </c>
      <c r="B670" s="97" t="s">
        <v>124</v>
      </c>
      <c r="C670" s="99">
        <v>45.476399999999998</v>
      </c>
    </row>
    <row r="671" spans="1:4" x14ac:dyDescent="0.25">
      <c r="A671" s="89">
        <v>46057</v>
      </c>
      <c r="B671" s="97" t="s">
        <v>107</v>
      </c>
      <c r="C671" s="99">
        <v>46.364100000000001</v>
      </c>
    </row>
    <row r="672" spans="1:4" x14ac:dyDescent="0.25">
      <c r="A672" s="89">
        <v>46057</v>
      </c>
      <c r="B672" s="97" t="s">
        <v>108</v>
      </c>
      <c r="C672" s="99">
        <v>46.3523</v>
      </c>
    </row>
    <row r="673" spans="1:3" x14ac:dyDescent="0.25">
      <c r="A673" s="89">
        <v>46057</v>
      </c>
      <c r="B673" s="97" t="s">
        <v>109</v>
      </c>
      <c r="C673" s="99">
        <v>47.5931</v>
      </c>
    </row>
    <row r="674" spans="1:3" x14ac:dyDescent="0.25">
      <c r="A674" s="89">
        <v>46057</v>
      </c>
      <c r="B674" s="97" t="s">
        <v>110</v>
      </c>
      <c r="C674" s="99">
        <v>47.570799999999998</v>
      </c>
    </row>
    <row r="675" spans="1:3" x14ac:dyDescent="0.25">
      <c r="A675" s="89">
        <v>46057</v>
      </c>
      <c r="B675" s="97" t="s">
        <v>111</v>
      </c>
      <c r="C675" s="99">
        <v>48.916699999999999</v>
      </c>
    </row>
    <row r="676" spans="1:3" x14ac:dyDescent="0.25">
      <c r="A676" s="89">
        <v>46057</v>
      </c>
      <c r="B676" s="97" t="s">
        <v>112</v>
      </c>
      <c r="C676" s="99">
        <v>48.854300000000002</v>
      </c>
    </row>
    <row r="677" spans="1:3" x14ac:dyDescent="0.25">
      <c r="A677" s="89">
        <v>46058</v>
      </c>
      <c r="B677" s="97" t="s">
        <v>114</v>
      </c>
      <c r="C677" s="97">
        <v>46.693899999999999</v>
      </c>
    </row>
    <row r="678" spans="1:3" x14ac:dyDescent="0.25">
      <c r="A678" s="89">
        <v>46058</v>
      </c>
      <c r="B678" s="97" t="s">
        <v>115</v>
      </c>
      <c r="C678" s="97">
        <v>46.578899999999997</v>
      </c>
    </row>
    <row r="679" spans="1:3" x14ac:dyDescent="0.25">
      <c r="A679" s="89">
        <v>46058</v>
      </c>
      <c r="B679" s="97" t="s">
        <v>116</v>
      </c>
      <c r="C679" s="97">
        <v>46.794400000000003</v>
      </c>
    </row>
    <row r="680" spans="1:3" x14ac:dyDescent="0.25">
      <c r="A680" s="89">
        <v>46058</v>
      </c>
      <c r="B680" s="97" t="s">
        <v>117</v>
      </c>
      <c r="C680" s="97">
        <v>46.949599999999997</v>
      </c>
    </row>
    <row r="681" spans="1:3" x14ac:dyDescent="0.25">
      <c r="A681" s="89">
        <v>46058</v>
      </c>
      <c r="B681" s="97" t="s">
        <v>118</v>
      </c>
      <c r="C681" s="97">
        <v>46.277099999999997</v>
      </c>
    </row>
    <row r="682" spans="1:3" x14ac:dyDescent="0.25">
      <c r="A682" s="89">
        <v>46058</v>
      </c>
      <c r="B682" s="97" t="s">
        <v>119</v>
      </c>
      <c r="C682" s="97">
        <v>46.305999999999997</v>
      </c>
    </row>
    <row r="683" spans="1:3" x14ac:dyDescent="0.25">
      <c r="A683" s="89">
        <v>46058</v>
      </c>
      <c r="B683" s="97" t="s">
        <v>120</v>
      </c>
      <c r="C683" s="97">
        <v>45.551400000000001</v>
      </c>
    </row>
    <row r="684" spans="1:3" x14ac:dyDescent="0.25">
      <c r="A684" s="89">
        <v>46058</v>
      </c>
      <c r="B684" s="97" t="s">
        <v>121</v>
      </c>
      <c r="C684" s="97">
        <v>45.558599999999998</v>
      </c>
    </row>
    <row r="685" spans="1:3" x14ac:dyDescent="0.25">
      <c r="A685" s="89">
        <v>46058</v>
      </c>
      <c r="B685" s="97" t="s">
        <v>122</v>
      </c>
      <c r="C685" s="97">
        <v>45.538499999999999</v>
      </c>
    </row>
    <row r="686" spans="1:3" x14ac:dyDescent="0.25">
      <c r="A686" s="89">
        <v>46058</v>
      </c>
      <c r="B686" s="97" t="s">
        <v>123</v>
      </c>
      <c r="C686" s="97">
        <v>45.462000000000003</v>
      </c>
    </row>
    <row r="687" spans="1:3" x14ac:dyDescent="0.25">
      <c r="A687" s="89">
        <v>46058</v>
      </c>
      <c r="B687" s="97" t="s">
        <v>124</v>
      </c>
      <c r="C687" s="97">
        <v>45.476199999999999</v>
      </c>
    </row>
    <row r="688" spans="1:3" x14ac:dyDescent="0.25">
      <c r="A688" s="89">
        <v>46058</v>
      </c>
      <c r="B688" s="97" t="s">
        <v>107</v>
      </c>
      <c r="C688" s="97">
        <v>46.363599999999998</v>
      </c>
    </row>
    <row r="689" spans="1:3" x14ac:dyDescent="0.25">
      <c r="A689" s="89">
        <v>46058</v>
      </c>
      <c r="B689" s="97" t="s">
        <v>108</v>
      </c>
      <c r="C689" s="97">
        <v>46.351799999999997</v>
      </c>
    </row>
    <row r="690" spans="1:3" x14ac:dyDescent="0.25">
      <c r="A690" s="89">
        <v>46058</v>
      </c>
      <c r="B690" s="97" t="s">
        <v>109</v>
      </c>
      <c r="C690" s="97">
        <v>47.592500000000001</v>
      </c>
    </row>
    <row r="691" spans="1:3" x14ac:dyDescent="0.25">
      <c r="A691" s="89">
        <v>46058</v>
      </c>
      <c r="B691" s="97" t="s">
        <v>110</v>
      </c>
      <c r="C691" s="97">
        <v>47.570099999999996</v>
      </c>
    </row>
    <row r="692" spans="1:3" x14ac:dyDescent="0.25">
      <c r="A692" s="89">
        <v>46058</v>
      </c>
      <c r="B692" s="97" t="s">
        <v>111</v>
      </c>
      <c r="C692" s="97">
        <v>48.915900000000001</v>
      </c>
    </row>
    <row r="693" spans="1:3" x14ac:dyDescent="0.25">
      <c r="A693" s="89">
        <v>46058</v>
      </c>
      <c r="B693" s="97" t="s">
        <v>112</v>
      </c>
      <c r="C693" s="97">
        <v>48.853499999999997</v>
      </c>
    </row>
    <row r="694" spans="1:3" x14ac:dyDescent="0.25">
      <c r="A694" s="89">
        <v>46059</v>
      </c>
      <c r="B694" s="97" t="s">
        <v>114</v>
      </c>
      <c r="C694" s="97">
        <v>46.6935</v>
      </c>
    </row>
    <row r="695" spans="1:3" x14ac:dyDescent="0.25">
      <c r="A695" s="89">
        <v>46059</v>
      </c>
      <c r="B695" s="97" t="s">
        <v>115</v>
      </c>
      <c r="C695" s="97">
        <v>46.578099999999999</v>
      </c>
    </row>
    <row r="696" spans="1:3" x14ac:dyDescent="0.25">
      <c r="A696" s="89">
        <v>46059</v>
      </c>
      <c r="B696" s="97" t="s">
        <v>116</v>
      </c>
      <c r="C696" s="97">
        <v>46.793100000000003</v>
      </c>
    </row>
    <row r="697" spans="1:3" x14ac:dyDescent="0.25">
      <c r="A697" s="89">
        <v>46059</v>
      </c>
      <c r="B697" s="97" t="s">
        <v>117</v>
      </c>
      <c r="C697" s="97">
        <v>46.948500000000003</v>
      </c>
    </row>
    <row r="698" spans="1:3" x14ac:dyDescent="0.25">
      <c r="A698" s="89">
        <v>46059</v>
      </c>
      <c r="B698" s="97" t="s">
        <v>118</v>
      </c>
      <c r="C698" s="97">
        <v>46.276400000000002</v>
      </c>
    </row>
    <row r="699" spans="1:3" x14ac:dyDescent="0.25">
      <c r="A699" s="89">
        <v>46059</v>
      </c>
      <c r="B699" s="97" t="s">
        <v>119</v>
      </c>
      <c r="C699" s="97">
        <v>46.305399999999999</v>
      </c>
    </row>
    <row r="700" spans="1:3" x14ac:dyDescent="0.25">
      <c r="A700" s="89">
        <v>46059</v>
      </c>
      <c r="B700" s="97" t="s">
        <v>120</v>
      </c>
      <c r="C700" s="97">
        <v>45.551600000000001</v>
      </c>
    </row>
    <row r="701" spans="1:3" x14ac:dyDescent="0.25">
      <c r="A701" s="89">
        <v>46059</v>
      </c>
      <c r="B701" s="97" t="s">
        <v>121</v>
      </c>
      <c r="C701" s="97">
        <v>45.558999999999997</v>
      </c>
    </row>
    <row r="702" spans="1:3" x14ac:dyDescent="0.25">
      <c r="A702" s="89">
        <v>46059</v>
      </c>
      <c r="B702" s="97" t="s">
        <v>122</v>
      </c>
      <c r="C702" s="97">
        <v>45.538699999999999</v>
      </c>
    </row>
    <row r="703" spans="1:3" x14ac:dyDescent="0.25">
      <c r="A703" s="89">
        <v>46059</v>
      </c>
      <c r="B703" s="97" t="s">
        <v>123</v>
      </c>
      <c r="C703" s="97">
        <v>45.462200000000003</v>
      </c>
    </row>
    <row r="704" spans="1:3" x14ac:dyDescent="0.25">
      <c r="A704" s="89">
        <v>46059</v>
      </c>
      <c r="B704" s="97" t="s">
        <v>124</v>
      </c>
      <c r="C704" s="97">
        <v>45.476300000000002</v>
      </c>
    </row>
    <row r="705" spans="1:3" x14ac:dyDescent="0.25">
      <c r="A705" s="89">
        <v>46059</v>
      </c>
      <c r="B705" s="97" t="s">
        <v>125</v>
      </c>
      <c r="C705" s="97">
        <v>46.554499999999997</v>
      </c>
    </row>
    <row r="706" spans="1:3" x14ac:dyDescent="0.25">
      <c r="A706" s="89">
        <v>46059</v>
      </c>
      <c r="B706" s="97" t="s">
        <v>107</v>
      </c>
      <c r="C706" s="97">
        <v>46.363799999999998</v>
      </c>
    </row>
    <row r="707" spans="1:3" x14ac:dyDescent="0.25">
      <c r="A707" s="89">
        <v>46059</v>
      </c>
      <c r="B707" s="97" t="s">
        <v>108</v>
      </c>
      <c r="C707" s="97">
        <v>46.351900000000001</v>
      </c>
    </row>
    <row r="708" spans="1:3" x14ac:dyDescent="0.25">
      <c r="A708" s="89">
        <v>46059</v>
      </c>
      <c r="B708" s="97" t="s">
        <v>109</v>
      </c>
      <c r="C708" s="97">
        <v>47.592599999999997</v>
      </c>
    </row>
    <row r="709" spans="1:3" x14ac:dyDescent="0.25">
      <c r="A709" s="89">
        <v>46059</v>
      </c>
      <c r="B709" s="97" t="s">
        <v>110</v>
      </c>
      <c r="C709" s="97">
        <v>47.570300000000003</v>
      </c>
    </row>
    <row r="710" spans="1:3" x14ac:dyDescent="0.25">
      <c r="A710" s="89">
        <v>46059</v>
      </c>
      <c r="B710" s="97" t="s">
        <v>111</v>
      </c>
      <c r="C710" s="97">
        <v>48.9161</v>
      </c>
    </row>
    <row r="711" spans="1:3" x14ac:dyDescent="0.25">
      <c r="A711" s="89">
        <v>46059</v>
      </c>
      <c r="B711" s="97" t="s">
        <v>112</v>
      </c>
      <c r="C711" s="97">
        <v>48.8536</v>
      </c>
    </row>
    <row r="712" spans="1:3" x14ac:dyDescent="0.25">
      <c r="A712" s="89">
        <v>46062</v>
      </c>
      <c r="B712" s="97" t="s">
        <v>114</v>
      </c>
      <c r="C712" s="97">
        <v>46.692300000000003</v>
      </c>
    </row>
    <row r="713" spans="1:3" x14ac:dyDescent="0.25">
      <c r="A713" s="89">
        <v>46062</v>
      </c>
      <c r="B713" s="97" t="s">
        <v>115</v>
      </c>
      <c r="C713" s="97">
        <v>46.576900000000002</v>
      </c>
    </row>
    <row r="714" spans="1:3" x14ac:dyDescent="0.25">
      <c r="A714" s="89">
        <v>46062</v>
      </c>
      <c r="B714" s="97" t="s">
        <v>116</v>
      </c>
      <c r="C714" s="97">
        <v>46.792099999999998</v>
      </c>
    </row>
    <row r="715" spans="1:3" x14ac:dyDescent="0.25">
      <c r="A715" s="89">
        <v>46062</v>
      </c>
      <c r="B715" s="97" t="s">
        <v>117</v>
      </c>
      <c r="C715" s="97">
        <v>46.947499999999998</v>
      </c>
    </row>
    <row r="716" spans="1:3" x14ac:dyDescent="0.25">
      <c r="A716" s="89">
        <v>46062</v>
      </c>
      <c r="B716" s="97" t="s">
        <v>118</v>
      </c>
      <c r="C716" s="97">
        <v>46.275700000000001</v>
      </c>
    </row>
    <row r="717" spans="1:3" x14ac:dyDescent="0.25">
      <c r="A717" s="89">
        <v>46062</v>
      </c>
      <c r="B717" s="97" t="s">
        <v>119</v>
      </c>
      <c r="C717" s="97">
        <v>46.304499999999997</v>
      </c>
    </row>
    <row r="718" spans="1:3" x14ac:dyDescent="0.25">
      <c r="A718" s="89">
        <v>46062</v>
      </c>
      <c r="B718" s="97" t="s">
        <v>120</v>
      </c>
      <c r="C718" s="97">
        <v>45.551000000000002</v>
      </c>
    </row>
    <row r="719" spans="1:3" x14ac:dyDescent="0.25">
      <c r="A719" s="89">
        <v>46062</v>
      </c>
      <c r="B719" s="97" t="s">
        <v>121</v>
      </c>
      <c r="C719" s="97">
        <v>45.558199999999999</v>
      </c>
    </row>
    <row r="720" spans="1:3" x14ac:dyDescent="0.25">
      <c r="A720" s="89">
        <v>46062</v>
      </c>
      <c r="B720" s="97" t="s">
        <v>122</v>
      </c>
      <c r="C720" s="97">
        <v>45.537700000000001</v>
      </c>
    </row>
    <row r="721" spans="1:3" x14ac:dyDescent="0.25">
      <c r="A721" s="89">
        <v>46062</v>
      </c>
      <c r="B721" s="97" t="s">
        <v>123</v>
      </c>
      <c r="C721" s="97">
        <v>45.461100000000002</v>
      </c>
    </row>
    <row r="722" spans="1:3" x14ac:dyDescent="0.25">
      <c r="A722" s="89">
        <v>46062</v>
      </c>
      <c r="B722" s="97" t="s">
        <v>124</v>
      </c>
      <c r="C722" s="97">
        <v>45.475200000000001</v>
      </c>
    </row>
    <row r="723" spans="1:3" x14ac:dyDescent="0.25">
      <c r="A723" s="89">
        <v>46062</v>
      </c>
      <c r="B723" s="97" t="s">
        <v>125</v>
      </c>
      <c r="C723" s="97">
        <v>46.553400000000003</v>
      </c>
    </row>
    <row r="724" spans="1:3" x14ac:dyDescent="0.25">
      <c r="A724" s="89">
        <v>46062</v>
      </c>
      <c r="B724" s="97" t="s">
        <v>126</v>
      </c>
      <c r="C724" s="97">
        <v>46.572899999999997</v>
      </c>
    </row>
    <row r="725" spans="1:3" x14ac:dyDescent="0.25">
      <c r="A725" s="89">
        <v>46062</v>
      </c>
      <c r="B725" s="97" t="s">
        <v>127</v>
      </c>
      <c r="C725" s="97">
        <v>48.011200000000002</v>
      </c>
    </row>
    <row r="726" spans="1:3" x14ac:dyDescent="0.25">
      <c r="A726" s="89">
        <v>46062</v>
      </c>
      <c r="B726" s="97" t="s">
        <v>128</v>
      </c>
      <c r="C726" s="97">
        <v>48.128399999999999</v>
      </c>
    </row>
    <row r="727" spans="1:3" x14ac:dyDescent="0.25">
      <c r="A727" s="89">
        <v>46062</v>
      </c>
      <c r="B727" s="97" t="s">
        <v>130</v>
      </c>
      <c r="C727" s="97">
        <v>50.2926</v>
      </c>
    </row>
    <row r="728" spans="1:3" x14ac:dyDescent="0.25">
      <c r="A728" s="89">
        <v>46062</v>
      </c>
      <c r="B728" s="97" t="s">
        <v>131</v>
      </c>
      <c r="C728" s="97">
        <v>50.976300000000002</v>
      </c>
    </row>
    <row r="729" spans="1:3" x14ac:dyDescent="0.25">
      <c r="A729" s="89">
        <v>46062</v>
      </c>
      <c r="B729" s="97" t="s">
        <v>132</v>
      </c>
      <c r="C729" s="97">
        <v>49.870699999999999</v>
      </c>
    </row>
    <row r="730" spans="1:3" x14ac:dyDescent="0.25">
      <c r="A730" s="89">
        <v>46062</v>
      </c>
      <c r="B730" s="97" t="s">
        <v>133</v>
      </c>
      <c r="C730" s="97">
        <v>49.664900000000003</v>
      </c>
    </row>
    <row r="731" spans="1:3" x14ac:dyDescent="0.25">
      <c r="A731" s="89">
        <v>46062</v>
      </c>
      <c r="B731" s="97" t="s">
        <v>134</v>
      </c>
      <c r="C731" s="97">
        <v>48.142400000000002</v>
      </c>
    </row>
    <row r="732" spans="1:3" x14ac:dyDescent="0.25">
      <c r="A732" s="89">
        <v>46062</v>
      </c>
      <c r="B732" s="97" t="s">
        <v>135</v>
      </c>
      <c r="C732" s="97">
        <v>48.211100000000002</v>
      </c>
    </row>
    <row r="733" spans="1:3" x14ac:dyDescent="0.25">
      <c r="A733" s="89">
        <v>46062</v>
      </c>
      <c r="B733" s="97" t="s">
        <v>136</v>
      </c>
      <c r="C733" s="97">
        <v>47.8872</v>
      </c>
    </row>
    <row r="734" spans="1:3" x14ac:dyDescent="0.25">
      <c r="A734" s="89">
        <v>46062</v>
      </c>
      <c r="B734" s="97" t="s">
        <v>138</v>
      </c>
      <c r="C734" s="97">
        <v>47.893300000000004</v>
      </c>
    </row>
    <row r="735" spans="1:3" x14ac:dyDescent="0.25">
      <c r="A735" s="89">
        <v>46062</v>
      </c>
      <c r="B735" s="97" t="s">
        <v>139</v>
      </c>
      <c r="C735" s="97">
        <v>47.049799999999998</v>
      </c>
    </row>
    <row r="736" spans="1:3" x14ac:dyDescent="0.25">
      <c r="A736" s="89">
        <v>46062</v>
      </c>
      <c r="B736" s="97" t="s">
        <v>140</v>
      </c>
      <c r="C736" s="97">
        <v>44.054200000000002</v>
      </c>
    </row>
    <row r="737" spans="1:3" x14ac:dyDescent="0.25">
      <c r="A737" s="89">
        <v>46062</v>
      </c>
      <c r="B737" s="97" t="s">
        <v>141</v>
      </c>
      <c r="C737" s="97">
        <v>43.9634</v>
      </c>
    </row>
    <row r="738" spans="1:3" x14ac:dyDescent="0.25">
      <c r="A738" s="89">
        <v>46062</v>
      </c>
      <c r="B738" s="97" t="s">
        <v>107</v>
      </c>
      <c r="C738" s="97">
        <v>46.363599999999998</v>
      </c>
    </row>
    <row r="739" spans="1:3" x14ac:dyDescent="0.25">
      <c r="A739" s="89">
        <v>46062</v>
      </c>
      <c r="B739" s="97" t="s">
        <v>108</v>
      </c>
      <c r="C739" s="97">
        <v>46.351599999999998</v>
      </c>
    </row>
    <row r="740" spans="1:3" x14ac:dyDescent="0.25">
      <c r="A740" s="89">
        <v>46062</v>
      </c>
      <c r="B740" s="97" t="s">
        <v>109</v>
      </c>
      <c r="C740" s="97">
        <v>47.5931</v>
      </c>
    </row>
    <row r="741" spans="1:3" x14ac:dyDescent="0.25">
      <c r="A741" s="89">
        <v>46062</v>
      </c>
      <c r="B741" s="97" t="s">
        <v>110</v>
      </c>
      <c r="C741" s="97">
        <v>47.570599999999999</v>
      </c>
    </row>
    <row r="742" spans="1:3" x14ac:dyDescent="0.25">
      <c r="A742" s="89">
        <v>46062</v>
      </c>
      <c r="B742" s="97" t="s">
        <v>111</v>
      </c>
      <c r="C742" s="97">
        <v>48.916699999999999</v>
      </c>
    </row>
    <row r="743" spans="1:3" x14ac:dyDescent="0.25">
      <c r="A743" s="89">
        <v>46062</v>
      </c>
      <c r="B743" s="97" t="s">
        <v>112</v>
      </c>
      <c r="C743" s="97">
        <v>48.854100000000003</v>
      </c>
    </row>
    <row r="744" spans="1:3" x14ac:dyDescent="0.25">
      <c r="A744" s="89">
        <v>46063</v>
      </c>
      <c r="B744" s="88" t="s">
        <v>88</v>
      </c>
      <c r="C744" s="88">
        <v>53.021599999999999</v>
      </c>
    </row>
    <row r="745" spans="1:3" x14ac:dyDescent="0.25">
      <c r="A745" s="89">
        <v>46063</v>
      </c>
      <c r="B745" s="88" t="s">
        <v>89</v>
      </c>
      <c r="C745" s="88">
        <v>53.080300000000001</v>
      </c>
    </row>
    <row r="746" spans="1:3" x14ac:dyDescent="0.25">
      <c r="A746" s="89">
        <v>46063</v>
      </c>
      <c r="B746" s="88" t="s">
        <v>90</v>
      </c>
      <c r="C746" s="88">
        <v>53.046100000000003</v>
      </c>
    </row>
    <row r="747" spans="1:3" x14ac:dyDescent="0.25">
      <c r="A747" s="89">
        <v>46063</v>
      </c>
      <c r="B747" s="88" t="s">
        <v>91</v>
      </c>
      <c r="C747" s="88">
        <v>52.635599999999997</v>
      </c>
    </row>
    <row r="748" spans="1:3" x14ac:dyDescent="0.25">
      <c r="A748" s="89">
        <v>46063</v>
      </c>
      <c r="B748" s="88" t="s">
        <v>104</v>
      </c>
      <c r="C748" s="88">
        <v>52.6068</v>
      </c>
    </row>
    <row r="749" spans="1:3" x14ac:dyDescent="0.25">
      <c r="A749" s="89">
        <v>46063</v>
      </c>
      <c r="B749" s="88" t="s">
        <v>105</v>
      </c>
      <c r="C749" s="88">
        <v>52.723300000000002</v>
      </c>
    </row>
    <row r="750" spans="1:3" x14ac:dyDescent="0.25">
      <c r="A750" s="89">
        <v>46063</v>
      </c>
      <c r="B750" s="88" t="s">
        <v>92</v>
      </c>
      <c r="C750" s="88">
        <v>52.92</v>
      </c>
    </row>
    <row r="751" spans="1:3" x14ac:dyDescent="0.25">
      <c r="A751" s="89">
        <v>46063</v>
      </c>
      <c r="B751" s="88" t="s">
        <v>93</v>
      </c>
      <c r="C751" s="88">
        <v>52.9285</v>
      </c>
    </row>
    <row r="752" spans="1:3" x14ac:dyDescent="0.25">
      <c r="A752" s="89">
        <v>46063</v>
      </c>
      <c r="B752" s="88" t="s">
        <v>106</v>
      </c>
      <c r="C752" s="88">
        <v>52.915700000000001</v>
      </c>
    </row>
    <row r="753" spans="1:3" x14ac:dyDescent="0.25">
      <c r="A753" s="89">
        <v>46063</v>
      </c>
      <c r="B753" s="88" t="s">
        <v>69</v>
      </c>
      <c r="C753" s="88">
        <v>52.985900000000001</v>
      </c>
    </row>
    <row r="754" spans="1:3" x14ac:dyDescent="0.25">
      <c r="A754" s="89">
        <v>46063</v>
      </c>
      <c r="B754" s="88" t="s">
        <v>70</v>
      </c>
      <c r="C754" s="88">
        <v>53.081800000000001</v>
      </c>
    </row>
    <row r="755" spans="1:3" x14ac:dyDescent="0.25">
      <c r="A755" s="89">
        <v>46063</v>
      </c>
      <c r="B755" s="88" t="s">
        <v>71</v>
      </c>
      <c r="C755" s="88">
        <v>53.205100000000002</v>
      </c>
    </row>
    <row r="756" spans="1:3" x14ac:dyDescent="0.25">
      <c r="A756" s="89">
        <v>46063</v>
      </c>
      <c r="B756" s="88" t="s">
        <v>72</v>
      </c>
      <c r="C756" s="88">
        <v>53.080300000000001</v>
      </c>
    </row>
    <row r="757" spans="1:3" x14ac:dyDescent="0.25">
      <c r="A757" s="89">
        <v>46063</v>
      </c>
      <c r="B757" s="88" t="s">
        <v>73</v>
      </c>
      <c r="C757" s="88">
        <v>53.383600000000001</v>
      </c>
    </row>
    <row r="758" spans="1:3" x14ac:dyDescent="0.25">
      <c r="A758" s="89">
        <v>46063</v>
      </c>
      <c r="B758" s="88" t="s">
        <v>74</v>
      </c>
      <c r="C758" s="88">
        <v>53.378900000000002</v>
      </c>
    </row>
    <row r="759" spans="1:3" x14ac:dyDescent="0.25">
      <c r="A759" s="89">
        <v>46063</v>
      </c>
      <c r="B759" s="88" t="s">
        <v>75</v>
      </c>
      <c r="C759" s="88">
        <v>54.072000000000003</v>
      </c>
    </row>
    <row r="760" spans="1:3" x14ac:dyDescent="0.25">
      <c r="A760" s="89">
        <v>46063</v>
      </c>
      <c r="B760" s="88" t="s">
        <v>76</v>
      </c>
      <c r="C760" s="88">
        <v>54.079500000000003</v>
      </c>
    </row>
    <row r="761" spans="1:3" x14ac:dyDescent="0.25">
      <c r="A761" s="89">
        <v>46063</v>
      </c>
      <c r="B761" s="88" t="s">
        <v>77</v>
      </c>
      <c r="C761" s="88">
        <v>54.0169</v>
      </c>
    </row>
    <row r="762" spans="1:3" x14ac:dyDescent="0.25">
      <c r="A762" s="89">
        <v>46063</v>
      </c>
      <c r="B762" s="88" t="s">
        <v>78</v>
      </c>
      <c r="C762" s="88">
        <v>52.9238</v>
      </c>
    </row>
    <row r="763" spans="1:3" x14ac:dyDescent="0.25">
      <c r="A763" s="89">
        <v>46063</v>
      </c>
      <c r="B763" s="88" t="s">
        <v>79</v>
      </c>
      <c r="C763" s="88">
        <v>53.895299999999999</v>
      </c>
    </row>
    <row r="764" spans="1:3" x14ac:dyDescent="0.25">
      <c r="A764" s="89">
        <v>46063</v>
      </c>
      <c r="B764" s="88" t="s">
        <v>80</v>
      </c>
      <c r="C764" s="88">
        <v>54.090299999999999</v>
      </c>
    </row>
    <row r="765" spans="1:3" x14ac:dyDescent="0.25">
      <c r="A765" s="89">
        <v>46063</v>
      </c>
      <c r="B765" s="88" t="s">
        <v>81</v>
      </c>
      <c r="C765" s="88">
        <v>53.316099999999999</v>
      </c>
    </row>
    <row r="766" spans="1:3" x14ac:dyDescent="0.25">
      <c r="A766" s="89">
        <v>46063</v>
      </c>
      <c r="B766" s="88" t="s">
        <v>82</v>
      </c>
      <c r="C766" s="88">
        <v>53.325699999999998</v>
      </c>
    </row>
    <row r="767" spans="1:3" x14ac:dyDescent="0.25">
      <c r="A767" s="89">
        <v>46063</v>
      </c>
      <c r="B767" s="88" t="s">
        <v>114</v>
      </c>
      <c r="C767" s="88">
        <v>46.692100000000003</v>
      </c>
    </row>
    <row r="768" spans="1:3" x14ac:dyDescent="0.25">
      <c r="A768" s="89">
        <v>46063</v>
      </c>
      <c r="B768" s="88" t="s">
        <v>115</v>
      </c>
      <c r="C768" s="88">
        <v>46.576900000000002</v>
      </c>
    </row>
    <row r="769" spans="1:3" x14ac:dyDescent="0.25">
      <c r="A769" s="89">
        <v>46063</v>
      </c>
      <c r="B769" s="88" t="s">
        <v>116</v>
      </c>
      <c r="C769" s="88">
        <v>46.791899999999998</v>
      </c>
    </row>
    <row r="770" spans="1:3" x14ac:dyDescent="0.25">
      <c r="A770" s="89">
        <v>46063</v>
      </c>
      <c r="B770" s="88" t="s">
        <v>117</v>
      </c>
      <c r="C770" s="88">
        <v>46.947699999999998</v>
      </c>
    </row>
    <row r="771" spans="1:3" x14ac:dyDescent="0.25">
      <c r="A771" s="89">
        <v>46063</v>
      </c>
      <c r="B771" s="88" t="s">
        <v>118</v>
      </c>
      <c r="C771" s="88">
        <v>46.275799999999997</v>
      </c>
    </row>
    <row r="772" spans="1:3" x14ac:dyDescent="0.25">
      <c r="A772" s="89">
        <v>46063</v>
      </c>
      <c r="B772" s="88" t="s">
        <v>119</v>
      </c>
      <c r="C772" s="88">
        <v>46.304600000000001</v>
      </c>
    </row>
    <row r="773" spans="1:3" x14ac:dyDescent="0.25">
      <c r="A773" s="89">
        <v>46063</v>
      </c>
      <c r="B773" s="88" t="s">
        <v>120</v>
      </c>
      <c r="C773" s="88">
        <v>45.551400000000001</v>
      </c>
    </row>
    <row r="774" spans="1:3" x14ac:dyDescent="0.25">
      <c r="A774" s="89">
        <v>46063</v>
      </c>
      <c r="B774" s="88" t="s">
        <v>121</v>
      </c>
      <c r="C774" s="88">
        <v>45.558599999999998</v>
      </c>
    </row>
    <row r="775" spans="1:3" x14ac:dyDescent="0.25">
      <c r="A775" s="89">
        <v>46063</v>
      </c>
      <c r="B775" s="88" t="s">
        <v>122</v>
      </c>
      <c r="C775" s="88">
        <v>45.537999999999997</v>
      </c>
    </row>
    <row r="776" spans="1:3" x14ac:dyDescent="0.25">
      <c r="A776" s="89">
        <v>46063</v>
      </c>
      <c r="B776" s="88" t="s">
        <v>123</v>
      </c>
      <c r="C776" s="88">
        <v>45.461199999999998</v>
      </c>
    </row>
    <row r="777" spans="1:3" x14ac:dyDescent="0.25">
      <c r="A777" s="89">
        <v>46063</v>
      </c>
      <c r="B777" s="88" t="s">
        <v>124</v>
      </c>
      <c r="C777" s="88">
        <v>45.4754</v>
      </c>
    </row>
    <row r="778" spans="1:3" x14ac:dyDescent="0.25">
      <c r="A778" s="89">
        <v>46063</v>
      </c>
      <c r="B778" s="88" t="s">
        <v>125</v>
      </c>
      <c r="C778" s="88">
        <v>46.553199999999997</v>
      </c>
    </row>
    <row r="779" spans="1:3" x14ac:dyDescent="0.25">
      <c r="A779" s="89">
        <v>46063</v>
      </c>
      <c r="B779" s="88" t="s">
        <v>126</v>
      </c>
      <c r="C779" s="88">
        <v>46.572899999999997</v>
      </c>
    </row>
    <row r="780" spans="1:3" x14ac:dyDescent="0.25">
      <c r="A780" s="89">
        <v>46063</v>
      </c>
      <c r="B780" s="88" t="s">
        <v>127</v>
      </c>
      <c r="C780" s="88">
        <v>48.010899999999999</v>
      </c>
    </row>
    <row r="781" spans="1:3" x14ac:dyDescent="0.25">
      <c r="A781" s="89">
        <v>46063</v>
      </c>
      <c r="B781" s="88" t="s">
        <v>128</v>
      </c>
      <c r="C781" s="88">
        <v>48.128100000000003</v>
      </c>
    </row>
    <row r="782" spans="1:3" x14ac:dyDescent="0.25">
      <c r="A782" s="89">
        <v>46063</v>
      </c>
      <c r="B782" s="88" t="s">
        <v>129</v>
      </c>
      <c r="C782" s="88">
        <v>48.451000000000001</v>
      </c>
    </row>
    <row r="783" spans="1:3" x14ac:dyDescent="0.25">
      <c r="A783" s="89">
        <v>46063</v>
      </c>
      <c r="B783" s="88" t="s">
        <v>130</v>
      </c>
      <c r="C783" s="88">
        <v>50.292400000000001</v>
      </c>
    </row>
    <row r="784" spans="1:3" x14ac:dyDescent="0.25">
      <c r="A784" s="89">
        <v>46063</v>
      </c>
      <c r="B784" s="88" t="s">
        <v>131</v>
      </c>
      <c r="C784" s="88">
        <v>50.975499999999997</v>
      </c>
    </row>
    <row r="785" spans="1:3" x14ac:dyDescent="0.25">
      <c r="A785" s="89">
        <v>46063</v>
      </c>
      <c r="B785" s="88" t="s">
        <v>132</v>
      </c>
      <c r="C785" s="88">
        <v>49.8705</v>
      </c>
    </row>
    <row r="786" spans="1:3" x14ac:dyDescent="0.25">
      <c r="A786" s="89">
        <v>46063</v>
      </c>
      <c r="B786" s="88" t="s">
        <v>133</v>
      </c>
      <c r="C786" s="88">
        <v>49.664700000000003</v>
      </c>
    </row>
    <row r="787" spans="1:3" x14ac:dyDescent="0.25">
      <c r="A787" s="89">
        <v>46063</v>
      </c>
      <c r="B787" s="88" t="s">
        <v>134</v>
      </c>
      <c r="C787" s="88">
        <v>48.142299999999999</v>
      </c>
    </row>
    <row r="788" spans="1:3" x14ac:dyDescent="0.25">
      <c r="A788" s="89">
        <v>46063</v>
      </c>
      <c r="B788" s="88" t="s">
        <v>135</v>
      </c>
      <c r="C788" s="88">
        <v>48.210900000000002</v>
      </c>
    </row>
    <row r="789" spans="1:3" x14ac:dyDescent="0.25">
      <c r="A789" s="89">
        <v>46063</v>
      </c>
      <c r="B789" s="88" t="s">
        <v>136</v>
      </c>
      <c r="C789" s="88">
        <v>47.887099999999997</v>
      </c>
    </row>
    <row r="790" spans="1:3" x14ac:dyDescent="0.25">
      <c r="A790" s="89">
        <v>46063</v>
      </c>
      <c r="B790" s="88" t="s">
        <v>137</v>
      </c>
      <c r="C790" s="88">
        <v>47.771599999999999</v>
      </c>
    </row>
    <row r="791" spans="1:3" x14ac:dyDescent="0.25">
      <c r="A791" s="89">
        <v>46063</v>
      </c>
      <c r="B791" s="88" t="s">
        <v>138</v>
      </c>
      <c r="C791" s="88">
        <v>47.8934</v>
      </c>
    </row>
    <row r="792" spans="1:3" x14ac:dyDescent="0.25">
      <c r="A792" s="89">
        <v>46063</v>
      </c>
      <c r="B792" s="88" t="s">
        <v>139</v>
      </c>
      <c r="C792" s="88">
        <v>47.049700000000001</v>
      </c>
    </row>
    <row r="793" spans="1:3" x14ac:dyDescent="0.25">
      <c r="A793" s="89">
        <v>46063</v>
      </c>
      <c r="B793" s="88" t="s">
        <v>140</v>
      </c>
      <c r="C793" s="88">
        <v>44.054200000000002</v>
      </c>
    </row>
    <row r="794" spans="1:3" x14ac:dyDescent="0.25">
      <c r="A794" s="89">
        <v>46063</v>
      </c>
      <c r="B794" s="88" t="s">
        <v>141</v>
      </c>
      <c r="C794" s="88">
        <v>43.963700000000003</v>
      </c>
    </row>
    <row r="795" spans="1:3" x14ac:dyDescent="0.25">
      <c r="A795" s="89">
        <v>46063</v>
      </c>
      <c r="B795" s="88" t="s">
        <v>107</v>
      </c>
      <c r="C795" s="88">
        <v>46.363500000000002</v>
      </c>
    </row>
    <row r="796" spans="1:3" x14ac:dyDescent="0.25">
      <c r="A796" s="89">
        <v>46063</v>
      </c>
      <c r="B796" s="88" t="s">
        <v>108</v>
      </c>
      <c r="C796" s="88">
        <v>46.351599999999998</v>
      </c>
    </row>
    <row r="797" spans="1:3" x14ac:dyDescent="0.25">
      <c r="A797" s="89">
        <v>46063</v>
      </c>
      <c r="B797" s="88" t="s">
        <v>109</v>
      </c>
      <c r="C797" s="88">
        <v>47.592799999999997</v>
      </c>
    </row>
    <row r="798" spans="1:3" x14ac:dyDescent="0.25">
      <c r="A798" s="89">
        <v>46063</v>
      </c>
      <c r="B798" s="88" t="s">
        <v>110</v>
      </c>
      <c r="C798" s="88">
        <v>47.570300000000003</v>
      </c>
    </row>
    <row r="799" spans="1:3" x14ac:dyDescent="0.25">
      <c r="A799" s="89">
        <v>46063</v>
      </c>
      <c r="B799" s="88" t="s">
        <v>111</v>
      </c>
      <c r="C799" s="88">
        <v>48.9163</v>
      </c>
    </row>
    <row r="800" spans="1:3" x14ac:dyDescent="0.25">
      <c r="A800" s="89">
        <v>46063</v>
      </c>
      <c r="B800" s="88" t="s">
        <v>112</v>
      </c>
      <c r="C800" s="88">
        <v>48.853900000000003</v>
      </c>
    </row>
    <row r="801" spans="1:3" x14ac:dyDescent="0.25">
      <c r="A801" s="89">
        <v>46064</v>
      </c>
      <c r="B801" s="88" t="s">
        <v>114</v>
      </c>
      <c r="C801" s="88">
        <v>46.691200000000002</v>
      </c>
    </row>
    <row r="802" spans="1:3" x14ac:dyDescent="0.25">
      <c r="A802" s="89">
        <v>46064</v>
      </c>
      <c r="B802" s="88" t="s">
        <v>115</v>
      </c>
      <c r="C802" s="88">
        <v>46.575800000000001</v>
      </c>
    </row>
    <row r="803" spans="1:3" x14ac:dyDescent="0.25">
      <c r="A803" s="89">
        <v>46064</v>
      </c>
      <c r="B803" s="88" t="s">
        <v>116</v>
      </c>
      <c r="C803" s="88">
        <v>46.7913</v>
      </c>
    </row>
    <row r="804" spans="1:3" x14ac:dyDescent="0.25">
      <c r="A804" s="89">
        <v>46064</v>
      </c>
      <c r="B804" s="88" t="s">
        <v>117</v>
      </c>
      <c r="C804" s="88">
        <v>46.947299999999998</v>
      </c>
    </row>
    <row r="805" spans="1:3" x14ac:dyDescent="0.25">
      <c r="A805" s="89">
        <v>46064</v>
      </c>
      <c r="B805" s="88" t="s">
        <v>118</v>
      </c>
      <c r="C805" s="88">
        <v>46.275500000000001</v>
      </c>
    </row>
    <row r="806" spans="1:3" x14ac:dyDescent="0.25">
      <c r="A806" s="89">
        <v>46064</v>
      </c>
      <c r="B806" s="88" t="s">
        <v>119</v>
      </c>
      <c r="C806" s="88">
        <v>46.304299999999998</v>
      </c>
    </row>
    <row r="807" spans="1:3" x14ac:dyDescent="0.25">
      <c r="A807" s="89">
        <v>46064</v>
      </c>
      <c r="B807" s="88" t="s">
        <v>120</v>
      </c>
      <c r="C807" s="88">
        <v>45.550800000000002</v>
      </c>
    </row>
    <row r="808" spans="1:3" x14ac:dyDescent="0.25">
      <c r="A808" s="89">
        <v>46064</v>
      </c>
      <c r="B808" s="88" t="s">
        <v>121</v>
      </c>
      <c r="C808" s="88">
        <v>45.557899999999997</v>
      </c>
    </row>
    <row r="809" spans="1:3" x14ac:dyDescent="0.25">
      <c r="A809" s="89">
        <v>46064</v>
      </c>
      <c r="B809" s="88" t="s">
        <v>122</v>
      </c>
      <c r="C809" s="88">
        <v>45.537500000000001</v>
      </c>
    </row>
    <row r="810" spans="1:3" x14ac:dyDescent="0.25">
      <c r="A810" s="89">
        <v>46064</v>
      </c>
      <c r="B810" s="88" t="s">
        <v>123</v>
      </c>
      <c r="C810" s="88">
        <v>45.460700000000003</v>
      </c>
    </row>
    <row r="811" spans="1:3" x14ac:dyDescent="0.25">
      <c r="A811" s="89">
        <v>46064</v>
      </c>
      <c r="B811" s="88" t="s">
        <v>124</v>
      </c>
      <c r="C811" s="88">
        <v>45.475000000000001</v>
      </c>
    </row>
    <row r="812" spans="1:3" x14ac:dyDescent="0.25">
      <c r="A812" s="89">
        <v>46064</v>
      </c>
      <c r="B812" s="88" t="s">
        <v>125</v>
      </c>
      <c r="C812" s="88">
        <v>46.552999999999997</v>
      </c>
    </row>
    <row r="813" spans="1:3" x14ac:dyDescent="0.25">
      <c r="A813" s="89">
        <v>46064</v>
      </c>
      <c r="B813" s="88" t="s">
        <v>126</v>
      </c>
      <c r="C813" s="88">
        <v>46.572499999999998</v>
      </c>
    </row>
    <row r="814" spans="1:3" x14ac:dyDescent="0.25">
      <c r="A814" s="89">
        <v>46064</v>
      </c>
      <c r="B814" s="88" t="s">
        <v>127</v>
      </c>
      <c r="C814" s="88">
        <v>48.010800000000003</v>
      </c>
    </row>
    <row r="815" spans="1:3" x14ac:dyDescent="0.25">
      <c r="A815" s="89">
        <v>46064</v>
      </c>
      <c r="B815" s="88" t="s">
        <v>128</v>
      </c>
      <c r="C815" s="88">
        <v>48.128</v>
      </c>
    </row>
    <row r="816" spans="1:3" x14ac:dyDescent="0.25">
      <c r="A816" s="89">
        <v>46064</v>
      </c>
      <c r="B816" s="88" t="s">
        <v>129</v>
      </c>
      <c r="C816" s="88">
        <v>48.451000000000001</v>
      </c>
    </row>
    <row r="817" spans="1:3" x14ac:dyDescent="0.25">
      <c r="A817" s="89">
        <v>46064</v>
      </c>
      <c r="B817" s="88" t="s">
        <v>130</v>
      </c>
      <c r="C817" s="88">
        <v>50.292000000000002</v>
      </c>
    </row>
    <row r="818" spans="1:3" x14ac:dyDescent="0.25">
      <c r="A818" s="89">
        <v>46064</v>
      </c>
      <c r="B818" s="88" t="s">
        <v>131</v>
      </c>
      <c r="C818" s="88">
        <v>50.9758</v>
      </c>
    </row>
    <row r="819" spans="1:3" x14ac:dyDescent="0.25">
      <c r="A819" s="89">
        <v>46064</v>
      </c>
      <c r="B819" s="88" t="s">
        <v>132</v>
      </c>
      <c r="C819" s="88">
        <v>49.870399999999997</v>
      </c>
    </row>
    <row r="820" spans="1:3" x14ac:dyDescent="0.25">
      <c r="A820" s="89">
        <v>46064</v>
      </c>
      <c r="B820" s="88" t="s">
        <v>133</v>
      </c>
      <c r="C820" s="88">
        <v>49.6646</v>
      </c>
    </row>
    <row r="821" spans="1:3" x14ac:dyDescent="0.25">
      <c r="A821" s="89">
        <v>46064</v>
      </c>
      <c r="B821" s="88" t="s">
        <v>134</v>
      </c>
      <c r="C821" s="88">
        <v>48.142400000000002</v>
      </c>
    </row>
    <row r="822" spans="1:3" x14ac:dyDescent="0.25">
      <c r="A822" s="89">
        <v>46064</v>
      </c>
      <c r="B822" s="88" t="s">
        <v>135</v>
      </c>
      <c r="C822" s="88">
        <v>48.211100000000002</v>
      </c>
    </row>
    <row r="823" spans="1:3" x14ac:dyDescent="0.25">
      <c r="A823" s="89">
        <v>46064</v>
      </c>
      <c r="B823" s="88" t="s">
        <v>136</v>
      </c>
      <c r="C823" s="88">
        <v>47.887099999999997</v>
      </c>
    </row>
    <row r="824" spans="1:3" x14ac:dyDescent="0.25">
      <c r="A824" s="89">
        <v>46064</v>
      </c>
      <c r="B824" s="88" t="s">
        <v>137</v>
      </c>
      <c r="C824" s="88">
        <v>47.771599999999999</v>
      </c>
    </row>
    <row r="825" spans="1:3" x14ac:dyDescent="0.25">
      <c r="A825" s="89">
        <v>46064</v>
      </c>
      <c r="B825" s="88" t="s">
        <v>138</v>
      </c>
      <c r="C825" s="88">
        <v>47.893300000000004</v>
      </c>
    </row>
    <row r="826" spans="1:3" x14ac:dyDescent="0.25">
      <c r="A826" s="89">
        <v>46064</v>
      </c>
      <c r="B826" s="88" t="s">
        <v>139</v>
      </c>
      <c r="C826" s="88">
        <v>47.049599999999998</v>
      </c>
    </row>
    <row r="827" spans="1:3" x14ac:dyDescent="0.25">
      <c r="A827" s="89">
        <v>46064</v>
      </c>
      <c r="B827" s="88" t="s">
        <v>140</v>
      </c>
      <c r="C827" s="88">
        <v>44.054000000000002</v>
      </c>
    </row>
    <row r="828" spans="1:3" x14ac:dyDescent="0.25">
      <c r="A828" s="89">
        <v>46064</v>
      </c>
      <c r="B828" s="88" t="s">
        <v>141</v>
      </c>
      <c r="C828" s="88">
        <v>43.9634</v>
      </c>
    </row>
    <row r="829" spans="1:3" x14ac:dyDescent="0.25">
      <c r="A829" s="89">
        <v>46064</v>
      </c>
      <c r="B829" s="88" t="s">
        <v>107</v>
      </c>
      <c r="C829" s="88">
        <v>46.363399999999999</v>
      </c>
    </row>
    <row r="830" spans="1:3" x14ac:dyDescent="0.25">
      <c r="A830" s="89">
        <v>46064</v>
      </c>
      <c r="B830" s="88" t="s">
        <v>108</v>
      </c>
      <c r="C830" s="88">
        <v>46.351399999999998</v>
      </c>
    </row>
    <row r="831" spans="1:3" x14ac:dyDescent="0.25">
      <c r="A831" s="89">
        <v>46064</v>
      </c>
      <c r="B831" s="88" t="s">
        <v>109</v>
      </c>
      <c r="C831" s="88">
        <v>47.592599999999997</v>
      </c>
    </row>
    <row r="832" spans="1:3" x14ac:dyDescent="0.25">
      <c r="A832" s="89">
        <v>46064</v>
      </c>
      <c r="B832" s="88" t="s">
        <v>110</v>
      </c>
      <c r="C832" s="88">
        <v>47.5702</v>
      </c>
    </row>
    <row r="833" spans="1:3" x14ac:dyDescent="0.25">
      <c r="A833" s="89">
        <v>46064</v>
      </c>
      <c r="B833" s="88" t="s">
        <v>111</v>
      </c>
      <c r="C833" s="88">
        <v>48.916200000000003</v>
      </c>
    </row>
    <row r="834" spans="1:3" x14ac:dyDescent="0.25">
      <c r="A834" s="89">
        <v>46064</v>
      </c>
      <c r="B834" s="88" t="s">
        <v>112</v>
      </c>
      <c r="C834" s="88">
        <v>48.8538</v>
      </c>
    </row>
    <row r="835" spans="1:3" x14ac:dyDescent="0.25">
      <c r="A835" s="89">
        <v>46065</v>
      </c>
      <c r="B835" s="88" t="s">
        <v>114</v>
      </c>
      <c r="C835" s="88">
        <v>46.6905</v>
      </c>
    </row>
    <row r="836" spans="1:3" x14ac:dyDescent="0.25">
      <c r="A836" s="89">
        <v>46065</v>
      </c>
      <c r="B836" s="88" t="s">
        <v>115</v>
      </c>
      <c r="C836" s="88">
        <v>46.575200000000002</v>
      </c>
    </row>
    <row r="837" spans="1:3" x14ac:dyDescent="0.25">
      <c r="A837" s="89">
        <v>46065</v>
      </c>
      <c r="B837" s="88" t="s">
        <v>116</v>
      </c>
      <c r="C837" s="88">
        <v>46.790599999999998</v>
      </c>
    </row>
    <row r="838" spans="1:3" x14ac:dyDescent="0.25">
      <c r="A838" s="89">
        <v>46065</v>
      </c>
      <c r="B838" s="88" t="s">
        <v>117</v>
      </c>
      <c r="C838" s="88">
        <v>46.947099999999999</v>
      </c>
    </row>
    <row r="839" spans="1:3" x14ac:dyDescent="0.25">
      <c r="A839" s="89">
        <v>46065</v>
      </c>
      <c r="B839" s="88" t="s">
        <v>118</v>
      </c>
      <c r="C839" s="88">
        <v>46.275100000000002</v>
      </c>
    </row>
    <row r="840" spans="1:3" x14ac:dyDescent="0.25">
      <c r="A840" s="89">
        <v>46065</v>
      </c>
      <c r="B840" s="88" t="s">
        <v>119</v>
      </c>
      <c r="C840" s="88">
        <v>46.303800000000003</v>
      </c>
    </row>
    <row r="841" spans="1:3" x14ac:dyDescent="0.25">
      <c r="A841" s="89">
        <v>46065</v>
      </c>
      <c r="B841" s="88" t="s">
        <v>120</v>
      </c>
      <c r="C841" s="88">
        <v>45.5505</v>
      </c>
    </row>
    <row r="842" spans="1:3" x14ac:dyDescent="0.25">
      <c r="A842" s="89">
        <v>46065</v>
      </c>
      <c r="B842" s="88" t="s">
        <v>121</v>
      </c>
      <c r="C842" s="88">
        <v>45.557600000000001</v>
      </c>
    </row>
    <row r="843" spans="1:3" x14ac:dyDescent="0.25">
      <c r="A843" s="89">
        <v>46065</v>
      </c>
      <c r="B843" s="88" t="s">
        <v>122</v>
      </c>
      <c r="C843" s="88">
        <v>45.537199999999999</v>
      </c>
    </row>
    <row r="844" spans="1:3" x14ac:dyDescent="0.25">
      <c r="A844" s="89">
        <v>46065</v>
      </c>
      <c r="B844" s="88" t="s">
        <v>123</v>
      </c>
      <c r="C844" s="88">
        <v>45.460099999999997</v>
      </c>
    </row>
    <row r="845" spans="1:3" x14ac:dyDescent="0.25">
      <c r="A845" s="89">
        <v>46065</v>
      </c>
      <c r="B845" s="88" t="s">
        <v>124</v>
      </c>
      <c r="C845" s="88">
        <v>45.474400000000003</v>
      </c>
    </row>
    <row r="846" spans="1:3" x14ac:dyDescent="0.25">
      <c r="A846" s="89">
        <v>46065</v>
      </c>
      <c r="B846" s="88" t="s">
        <v>132</v>
      </c>
      <c r="C846" s="88">
        <v>49.870199999999997</v>
      </c>
    </row>
    <row r="847" spans="1:3" x14ac:dyDescent="0.25">
      <c r="A847" s="89">
        <v>46065</v>
      </c>
      <c r="B847" s="88" t="s">
        <v>133</v>
      </c>
      <c r="C847" s="88">
        <v>49.664299999999997</v>
      </c>
    </row>
    <row r="848" spans="1:3" x14ac:dyDescent="0.25">
      <c r="A848" s="89">
        <v>46065</v>
      </c>
      <c r="B848" s="88" t="s">
        <v>134</v>
      </c>
      <c r="C848" s="88">
        <v>48.142000000000003</v>
      </c>
    </row>
    <row r="849" spans="1:4" x14ac:dyDescent="0.25">
      <c r="A849" s="89">
        <v>46065</v>
      </c>
      <c r="B849" s="88" t="s">
        <v>135</v>
      </c>
      <c r="C849" s="88">
        <v>48.210599999999999</v>
      </c>
    </row>
    <row r="850" spans="1:4" x14ac:dyDescent="0.25">
      <c r="A850" s="89">
        <v>46065</v>
      </c>
      <c r="B850" s="88" t="s">
        <v>136</v>
      </c>
      <c r="C850" s="88">
        <v>47.886699999999998</v>
      </c>
    </row>
    <row r="851" spans="1:4" x14ac:dyDescent="0.25">
      <c r="A851" s="89">
        <v>46065</v>
      </c>
      <c r="B851" s="88" t="s">
        <v>137</v>
      </c>
      <c r="C851" s="88">
        <v>47.7712</v>
      </c>
    </row>
    <row r="852" spans="1:4" x14ac:dyDescent="0.25">
      <c r="A852" s="89">
        <v>46065</v>
      </c>
      <c r="B852" s="88" t="s">
        <v>138</v>
      </c>
      <c r="C852" s="88">
        <v>47.892800000000001</v>
      </c>
    </row>
    <row r="853" spans="1:4" x14ac:dyDescent="0.25">
      <c r="A853" s="89">
        <v>46065</v>
      </c>
      <c r="B853" s="88" t="s">
        <v>139</v>
      </c>
      <c r="C853" s="88">
        <v>47.0488</v>
      </c>
    </row>
    <row r="854" spans="1:4" x14ac:dyDescent="0.25">
      <c r="A854" s="89">
        <v>46065</v>
      </c>
      <c r="B854" s="88" t="s">
        <v>140</v>
      </c>
      <c r="C854" s="88">
        <v>44.052599999999998</v>
      </c>
    </row>
    <row r="855" spans="1:4" x14ac:dyDescent="0.25">
      <c r="A855" s="89">
        <v>46065</v>
      </c>
      <c r="B855" s="88" t="s">
        <v>141</v>
      </c>
      <c r="C855" s="88">
        <v>43.962000000000003</v>
      </c>
    </row>
    <row r="856" spans="1:4" x14ac:dyDescent="0.25">
      <c r="A856" s="89">
        <v>46065</v>
      </c>
      <c r="B856" s="88" t="s">
        <v>107</v>
      </c>
      <c r="C856" s="88">
        <v>46.363199999999999</v>
      </c>
    </row>
    <row r="857" spans="1:4" x14ac:dyDescent="0.25">
      <c r="A857" s="89">
        <v>46065</v>
      </c>
      <c r="B857" s="88" t="s">
        <v>108</v>
      </c>
      <c r="C857" s="88">
        <v>46.351199999999999</v>
      </c>
    </row>
    <row r="858" spans="1:4" x14ac:dyDescent="0.25">
      <c r="A858" s="89">
        <v>46065</v>
      </c>
      <c r="B858" s="88" t="s">
        <v>109</v>
      </c>
      <c r="C858" s="88">
        <v>47.592399999999998</v>
      </c>
    </row>
    <row r="859" spans="1:4" x14ac:dyDescent="0.25">
      <c r="A859" s="89">
        <v>46065</v>
      </c>
      <c r="B859" s="88" t="s">
        <v>110</v>
      </c>
      <c r="C859" s="88">
        <v>47.57</v>
      </c>
    </row>
    <row r="860" spans="1:4" x14ac:dyDescent="0.25">
      <c r="A860" s="89">
        <v>46065</v>
      </c>
      <c r="B860" s="88" t="s">
        <v>111</v>
      </c>
      <c r="C860" s="88">
        <v>48.915900000000001</v>
      </c>
    </row>
    <row r="861" spans="1:4" x14ac:dyDescent="0.25">
      <c r="A861" s="89">
        <v>46065</v>
      </c>
      <c r="B861" s="88" t="s">
        <v>112</v>
      </c>
      <c r="C861" s="88">
        <v>48.853400000000001</v>
      </c>
    </row>
    <row r="862" spans="1:4" x14ac:dyDescent="0.25">
      <c r="A862" s="89">
        <v>46066</v>
      </c>
      <c r="B862" s="88" t="s">
        <v>114</v>
      </c>
      <c r="C862" s="88">
        <v>46.690100000000001</v>
      </c>
      <c r="D862" s="91"/>
    </row>
    <row r="863" spans="1:4" x14ac:dyDescent="0.25">
      <c r="A863" s="89">
        <v>46066</v>
      </c>
      <c r="B863" s="88" t="s">
        <v>115</v>
      </c>
      <c r="C863" s="88">
        <v>46.5749</v>
      </c>
      <c r="D863" s="91"/>
    </row>
    <row r="864" spans="1:4" x14ac:dyDescent="0.25">
      <c r="A864" s="89">
        <v>46066</v>
      </c>
      <c r="B864" s="88" t="s">
        <v>116</v>
      </c>
      <c r="C864" s="88">
        <v>46.790500000000002</v>
      </c>
      <c r="D864" s="91"/>
    </row>
    <row r="865" spans="1:4" x14ac:dyDescent="0.25">
      <c r="A865" s="89">
        <v>46066</v>
      </c>
      <c r="B865" s="88" t="s">
        <v>117</v>
      </c>
      <c r="C865" s="88">
        <v>46.947200000000002</v>
      </c>
      <c r="D865" s="91"/>
    </row>
    <row r="866" spans="1:4" x14ac:dyDescent="0.25">
      <c r="A866" s="89">
        <v>46066</v>
      </c>
      <c r="B866" s="88" t="s">
        <v>118</v>
      </c>
      <c r="C866" s="88">
        <v>46.275199999999998</v>
      </c>
      <c r="D866" s="91"/>
    </row>
    <row r="867" spans="1:4" x14ac:dyDescent="0.25">
      <c r="A867" s="89">
        <v>46066</v>
      </c>
      <c r="B867" s="88" t="s">
        <v>119</v>
      </c>
      <c r="C867" s="88">
        <v>46.304000000000002</v>
      </c>
      <c r="D867" s="91"/>
    </row>
    <row r="868" spans="1:4" x14ac:dyDescent="0.25">
      <c r="A868" s="89">
        <v>46066</v>
      </c>
      <c r="B868" s="88" t="s">
        <v>120</v>
      </c>
      <c r="C868" s="88">
        <v>45.550800000000002</v>
      </c>
      <c r="D868" s="91"/>
    </row>
    <row r="869" spans="1:4" x14ac:dyDescent="0.25">
      <c r="A869" s="89">
        <v>46066</v>
      </c>
      <c r="B869" s="88" t="s">
        <v>121</v>
      </c>
      <c r="C869" s="88">
        <v>45.557699999999997</v>
      </c>
      <c r="D869" s="91"/>
    </row>
    <row r="870" spans="1:4" x14ac:dyDescent="0.25">
      <c r="A870" s="89">
        <v>46066</v>
      </c>
      <c r="B870" s="88" t="s">
        <v>122</v>
      </c>
      <c r="C870" s="88">
        <v>45.537100000000002</v>
      </c>
      <c r="D870" s="91"/>
    </row>
    <row r="871" spans="1:4" x14ac:dyDescent="0.25">
      <c r="A871" s="89">
        <v>46066</v>
      </c>
      <c r="B871" s="88" t="s">
        <v>123</v>
      </c>
      <c r="C871" s="88">
        <v>45.4602</v>
      </c>
      <c r="D871" s="91"/>
    </row>
    <row r="872" spans="1:4" x14ac:dyDescent="0.25">
      <c r="A872" s="89">
        <v>46066</v>
      </c>
      <c r="B872" s="88" t="s">
        <v>124</v>
      </c>
      <c r="C872" s="88">
        <v>45.474400000000003</v>
      </c>
      <c r="D872" s="91"/>
    </row>
    <row r="873" spans="1:4" x14ac:dyDescent="0.25">
      <c r="A873" s="89">
        <v>46066</v>
      </c>
      <c r="B873" s="88" t="s">
        <v>132</v>
      </c>
      <c r="C873" s="88">
        <v>49.870800000000003</v>
      </c>
      <c r="D873" s="91"/>
    </row>
    <row r="874" spans="1:4" x14ac:dyDescent="0.25">
      <c r="A874" s="89">
        <v>46066</v>
      </c>
      <c r="B874" s="88" t="s">
        <v>133</v>
      </c>
      <c r="C874" s="88">
        <v>49.6648</v>
      </c>
      <c r="D874" s="91"/>
    </row>
    <row r="875" spans="1:4" x14ac:dyDescent="0.25">
      <c r="A875" s="89">
        <v>46066</v>
      </c>
      <c r="B875" s="88" t="s">
        <v>134</v>
      </c>
      <c r="C875" s="88">
        <v>48.142499999999998</v>
      </c>
      <c r="D875" s="91"/>
    </row>
    <row r="876" spans="1:4" x14ac:dyDescent="0.25">
      <c r="A876" s="89">
        <v>46066</v>
      </c>
      <c r="B876" s="88" t="s">
        <v>135</v>
      </c>
      <c r="C876" s="88">
        <v>48.210900000000002</v>
      </c>
      <c r="D876" s="91"/>
    </row>
    <row r="877" spans="1:4" x14ac:dyDescent="0.25">
      <c r="A877" s="89">
        <v>46066</v>
      </c>
      <c r="B877" s="88" t="s">
        <v>136</v>
      </c>
      <c r="C877" s="88">
        <v>47.886899999999997</v>
      </c>
      <c r="D877" s="91"/>
    </row>
    <row r="878" spans="1:4" x14ac:dyDescent="0.25">
      <c r="A878" s="89">
        <v>46066</v>
      </c>
      <c r="B878" s="88" t="s">
        <v>137</v>
      </c>
      <c r="C878" s="88">
        <v>47.771299999999997</v>
      </c>
      <c r="D878" s="91"/>
    </row>
    <row r="879" spans="1:4" x14ac:dyDescent="0.25">
      <c r="A879" s="89">
        <v>46066</v>
      </c>
      <c r="B879" s="88" t="s">
        <v>138</v>
      </c>
      <c r="C879" s="88">
        <v>47.892800000000001</v>
      </c>
      <c r="D879" s="91"/>
    </row>
    <row r="880" spans="1:4" x14ac:dyDescent="0.25">
      <c r="A880" s="89">
        <v>46066</v>
      </c>
      <c r="B880" s="88" t="s">
        <v>139</v>
      </c>
      <c r="C880" s="88">
        <v>47.048400000000001</v>
      </c>
      <c r="D880" s="91"/>
    </row>
    <row r="881" spans="1:4" x14ac:dyDescent="0.25">
      <c r="A881" s="89">
        <v>46066</v>
      </c>
      <c r="B881" s="88" t="s">
        <v>140</v>
      </c>
      <c r="C881" s="88">
        <v>44.051099999999998</v>
      </c>
      <c r="D881" s="91"/>
    </row>
    <row r="882" spans="1:4" x14ac:dyDescent="0.25">
      <c r="A882" s="89">
        <v>46066</v>
      </c>
      <c r="B882" s="88" t="s">
        <v>141</v>
      </c>
      <c r="C882" s="88">
        <v>43.960099999999997</v>
      </c>
      <c r="D882" s="91"/>
    </row>
    <row r="883" spans="1:4" x14ac:dyDescent="0.25">
      <c r="A883" s="89">
        <v>46066</v>
      </c>
      <c r="B883" s="88" t="s">
        <v>107</v>
      </c>
      <c r="C883" s="88">
        <v>46.363300000000002</v>
      </c>
      <c r="D883" s="91"/>
    </row>
    <row r="884" spans="1:4" x14ac:dyDescent="0.25">
      <c r="A884" s="89">
        <v>46066</v>
      </c>
      <c r="B884" s="88" t="s">
        <v>108</v>
      </c>
      <c r="C884" s="88">
        <v>46.351300000000002</v>
      </c>
      <c r="D884" s="91"/>
    </row>
    <row r="885" spans="1:4" x14ac:dyDescent="0.25">
      <c r="A885" s="89">
        <v>46066</v>
      </c>
      <c r="B885" s="88" t="s">
        <v>109</v>
      </c>
      <c r="C885" s="88">
        <v>47.592500000000001</v>
      </c>
      <c r="D885" s="91"/>
    </row>
    <row r="886" spans="1:4" x14ac:dyDescent="0.25">
      <c r="A886" s="89">
        <v>46066</v>
      </c>
      <c r="B886" s="88" t="s">
        <v>110</v>
      </c>
      <c r="C886" s="88">
        <v>47.570099999999996</v>
      </c>
      <c r="D886" s="91"/>
    </row>
    <row r="887" spans="1:4" x14ac:dyDescent="0.25">
      <c r="A887" s="89">
        <v>46066</v>
      </c>
      <c r="B887" s="88" t="s">
        <v>111</v>
      </c>
      <c r="C887" s="88">
        <v>48.916400000000003</v>
      </c>
      <c r="D887" s="91"/>
    </row>
    <row r="888" spans="1:4" x14ac:dyDescent="0.25">
      <c r="A888" s="89">
        <v>46066</v>
      </c>
      <c r="B888" s="88" t="s">
        <v>112</v>
      </c>
      <c r="C888" s="88">
        <v>48.853999999999999</v>
      </c>
      <c r="D888" s="91"/>
    </row>
    <row r="889" spans="1:4" x14ac:dyDescent="0.25">
      <c r="A889" s="89">
        <v>46069</v>
      </c>
      <c r="B889" s="88" t="s">
        <v>114</v>
      </c>
      <c r="C889" s="88">
        <v>46.690199999999997</v>
      </c>
      <c r="D889" s="91"/>
    </row>
    <row r="890" spans="1:4" x14ac:dyDescent="0.25">
      <c r="A890" s="89">
        <v>46069</v>
      </c>
      <c r="B890" s="88" t="s">
        <v>115</v>
      </c>
      <c r="C890" s="88">
        <v>46.5749</v>
      </c>
      <c r="D890" s="91"/>
    </row>
    <row r="891" spans="1:4" x14ac:dyDescent="0.25">
      <c r="A891" s="89">
        <v>46069</v>
      </c>
      <c r="B891" s="88" t="s">
        <v>116</v>
      </c>
      <c r="C891" s="88">
        <v>46.790300000000002</v>
      </c>
      <c r="D891" s="91"/>
    </row>
    <row r="892" spans="1:4" x14ac:dyDescent="0.25">
      <c r="A892" s="89">
        <v>46069</v>
      </c>
      <c r="B892" s="88" t="s">
        <v>117</v>
      </c>
      <c r="C892" s="88">
        <v>46.947200000000002</v>
      </c>
      <c r="D892" s="91"/>
    </row>
    <row r="893" spans="1:4" x14ac:dyDescent="0.25">
      <c r="A893" s="89">
        <v>46069</v>
      </c>
      <c r="B893" s="88" t="s">
        <v>118</v>
      </c>
      <c r="C893" s="88">
        <v>46.274999999999999</v>
      </c>
      <c r="D893" s="91"/>
    </row>
    <row r="894" spans="1:4" x14ac:dyDescent="0.25">
      <c r="A894" s="89">
        <v>46069</v>
      </c>
      <c r="B894" s="88" t="s">
        <v>119</v>
      </c>
      <c r="C894" s="88">
        <v>46.303800000000003</v>
      </c>
      <c r="D894" s="91"/>
    </row>
    <row r="895" spans="1:4" x14ac:dyDescent="0.25">
      <c r="A895" s="89">
        <v>46069</v>
      </c>
      <c r="B895" s="88" t="s">
        <v>120</v>
      </c>
      <c r="C895" s="88">
        <v>45.550899999999999</v>
      </c>
      <c r="D895" s="91"/>
    </row>
    <row r="896" spans="1:4" x14ac:dyDescent="0.25">
      <c r="A896" s="89">
        <v>46069</v>
      </c>
      <c r="B896" s="88" t="s">
        <v>121</v>
      </c>
      <c r="C896" s="88">
        <v>45.558100000000003</v>
      </c>
      <c r="D896" s="91"/>
    </row>
    <row r="897" spans="1:4" x14ac:dyDescent="0.25">
      <c r="A897" s="89">
        <v>46069</v>
      </c>
      <c r="B897" s="88" t="s">
        <v>122</v>
      </c>
      <c r="C897" s="88">
        <v>45.537599999999998</v>
      </c>
      <c r="D897" s="91"/>
    </row>
    <row r="898" spans="1:4" x14ac:dyDescent="0.25">
      <c r="A898" s="89">
        <v>46069</v>
      </c>
      <c r="B898" s="88" t="s">
        <v>123</v>
      </c>
      <c r="C898" s="88">
        <v>45.4604</v>
      </c>
      <c r="D898" s="91"/>
    </row>
    <row r="899" spans="1:4" x14ac:dyDescent="0.25">
      <c r="A899" s="89">
        <v>46069</v>
      </c>
      <c r="B899" s="88" t="s">
        <v>124</v>
      </c>
      <c r="C899" s="88">
        <v>45.474600000000002</v>
      </c>
      <c r="D899" s="91"/>
    </row>
    <row r="900" spans="1:4" x14ac:dyDescent="0.25">
      <c r="A900" s="89">
        <v>46069</v>
      </c>
      <c r="B900" s="88" t="s">
        <v>125</v>
      </c>
      <c r="C900" s="88">
        <v>46.552999999999997</v>
      </c>
      <c r="D900" s="91"/>
    </row>
    <row r="901" spans="1:4" x14ac:dyDescent="0.25">
      <c r="A901" s="89">
        <v>46069</v>
      </c>
      <c r="B901" s="88" t="s">
        <v>126</v>
      </c>
      <c r="C901" s="88">
        <v>46.572600000000001</v>
      </c>
      <c r="D901" s="91"/>
    </row>
    <row r="902" spans="1:4" x14ac:dyDescent="0.25">
      <c r="A902" s="89">
        <v>46069</v>
      </c>
      <c r="B902" s="88" t="s">
        <v>127</v>
      </c>
      <c r="C902" s="88">
        <v>48.010800000000003</v>
      </c>
      <c r="D902" s="91"/>
    </row>
    <row r="903" spans="1:4" x14ac:dyDescent="0.25">
      <c r="A903" s="89">
        <v>46069</v>
      </c>
      <c r="B903" s="88" t="s">
        <v>128</v>
      </c>
      <c r="C903" s="88">
        <v>48.1282</v>
      </c>
      <c r="D903" s="91"/>
    </row>
    <row r="904" spans="1:4" x14ac:dyDescent="0.25">
      <c r="A904" s="89">
        <v>46069</v>
      </c>
      <c r="B904" s="88" t="s">
        <v>129</v>
      </c>
      <c r="C904" s="88">
        <v>48.451000000000001</v>
      </c>
      <c r="D904" s="91"/>
    </row>
    <row r="905" spans="1:4" x14ac:dyDescent="0.25">
      <c r="A905" s="89">
        <v>46069</v>
      </c>
      <c r="B905" s="88" t="s">
        <v>130</v>
      </c>
      <c r="C905" s="88">
        <v>50.2928</v>
      </c>
      <c r="D905" s="91"/>
    </row>
    <row r="906" spans="1:4" x14ac:dyDescent="0.25">
      <c r="A906" s="89">
        <v>46069</v>
      </c>
      <c r="B906" s="88" t="s">
        <v>131</v>
      </c>
      <c r="C906" s="88">
        <v>50.976199999999999</v>
      </c>
      <c r="D906" s="91"/>
    </row>
    <row r="907" spans="1:4" x14ac:dyDescent="0.25">
      <c r="A907" s="89">
        <v>46069</v>
      </c>
      <c r="B907" s="88" t="s">
        <v>132</v>
      </c>
      <c r="C907" s="88">
        <v>49.870399999999997</v>
      </c>
      <c r="D907" s="91"/>
    </row>
    <row r="908" spans="1:4" x14ac:dyDescent="0.25">
      <c r="A908" s="89">
        <v>46069</v>
      </c>
      <c r="B908" s="88" t="s">
        <v>133</v>
      </c>
      <c r="C908" s="88">
        <v>49.664499999999997</v>
      </c>
      <c r="D908" s="91"/>
    </row>
    <row r="909" spans="1:4" x14ac:dyDescent="0.25">
      <c r="A909" s="89">
        <v>46069</v>
      </c>
      <c r="B909" s="88" t="s">
        <v>134</v>
      </c>
      <c r="C909" s="88">
        <v>48.142200000000003</v>
      </c>
      <c r="D909" s="91"/>
    </row>
    <row r="910" spans="1:4" x14ac:dyDescent="0.25">
      <c r="A910" s="89">
        <v>46069</v>
      </c>
      <c r="B910" s="88" t="s">
        <v>135</v>
      </c>
      <c r="C910" s="88">
        <v>48.210700000000003</v>
      </c>
      <c r="D910" s="91"/>
    </row>
    <row r="911" spans="1:4" x14ac:dyDescent="0.25">
      <c r="A911" s="89">
        <v>46069</v>
      </c>
      <c r="B911" s="88" t="s">
        <v>136</v>
      </c>
      <c r="C911" s="88">
        <v>47.886600000000001</v>
      </c>
      <c r="D911" s="91"/>
    </row>
    <row r="912" spans="1:4" x14ac:dyDescent="0.25">
      <c r="A912" s="89">
        <v>46069</v>
      </c>
      <c r="B912" s="88" t="s">
        <v>137</v>
      </c>
      <c r="C912" s="88">
        <v>47.770899999999997</v>
      </c>
      <c r="D912" s="91"/>
    </row>
    <row r="913" spans="1:4" x14ac:dyDescent="0.25">
      <c r="A913" s="89">
        <v>46069</v>
      </c>
      <c r="B913" s="88" t="s">
        <v>138</v>
      </c>
      <c r="C913" s="88">
        <v>47.892499999999998</v>
      </c>
      <c r="D913" s="91"/>
    </row>
    <row r="914" spans="1:4" x14ac:dyDescent="0.25">
      <c r="A914" s="89">
        <v>46069</v>
      </c>
      <c r="B914" s="88" t="s">
        <v>139</v>
      </c>
      <c r="C914" s="88">
        <v>47.047899999999998</v>
      </c>
      <c r="D914" s="91"/>
    </row>
    <row r="915" spans="1:4" x14ac:dyDescent="0.25">
      <c r="A915" s="89">
        <v>46069</v>
      </c>
      <c r="B915" s="88" t="s">
        <v>140</v>
      </c>
      <c r="C915" s="88">
        <v>44.050400000000003</v>
      </c>
      <c r="D915" s="91"/>
    </row>
    <row r="916" spans="1:4" x14ac:dyDescent="0.25">
      <c r="A916" s="89">
        <v>46069</v>
      </c>
      <c r="B916" s="88" t="s">
        <v>141</v>
      </c>
      <c r="C916" s="88">
        <v>43.959299999999999</v>
      </c>
      <c r="D916" s="91"/>
    </row>
    <row r="917" spans="1:4" x14ac:dyDescent="0.25">
      <c r="A917" s="89">
        <v>46069</v>
      </c>
      <c r="B917" s="88" t="s">
        <v>107</v>
      </c>
      <c r="C917" s="88">
        <v>46.363300000000002</v>
      </c>
      <c r="D917" s="91"/>
    </row>
    <row r="918" spans="1:4" x14ac:dyDescent="0.25">
      <c r="A918" s="89">
        <v>46069</v>
      </c>
      <c r="B918" s="88" t="s">
        <v>108</v>
      </c>
      <c r="C918" s="88">
        <v>46.351199999999999</v>
      </c>
      <c r="D918" s="91"/>
    </row>
    <row r="919" spans="1:4" x14ac:dyDescent="0.25">
      <c r="A919" s="89">
        <v>46069</v>
      </c>
      <c r="B919" s="88" t="s">
        <v>109</v>
      </c>
      <c r="C919" s="88">
        <v>47.592399999999998</v>
      </c>
      <c r="D919" s="91"/>
    </row>
    <row r="920" spans="1:4" x14ac:dyDescent="0.25">
      <c r="A920" s="89">
        <v>46069</v>
      </c>
      <c r="B920" s="88" t="s">
        <v>110</v>
      </c>
      <c r="C920" s="88">
        <v>47.57</v>
      </c>
      <c r="D920" s="91"/>
    </row>
    <row r="921" spans="1:4" x14ac:dyDescent="0.25">
      <c r="A921" s="89">
        <v>46069</v>
      </c>
      <c r="B921" s="88" t="s">
        <v>111</v>
      </c>
      <c r="C921" s="88">
        <v>48.915999999999997</v>
      </c>
      <c r="D921" s="91"/>
    </row>
    <row r="922" spans="1:4" x14ac:dyDescent="0.25">
      <c r="A922" s="89">
        <v>46069</v>
      </c>
      <c r="B922" s="88" t="s">
        <v>112</v>
      </c>
      <c r="C922" s="88">
        <v>48.8536</v>
      </c>
      <c r="D922" s="91"/>
    </row>
    <row r="923" spans="1:4" x14ac:dyDescent="0.25">
      <c r="A923" s="89">
        <v>46070</v>
      </c>
      <c r="B923" s="88" t="s">
        <v>114</v>
      </c>
      <c r="C923" s="88">
        <v>46.69</v>
      </c>
      <c r="D923" s="91"/>
    </row>
    <row r="924" spans="1:4" x14ac:dyDescent="0.25">
      <c r="A924" s="89">
        <v>46070</v>
      </c>
      <c r="B924" s="88" t="s">
        <v>115</v>
      </c>
      <c r="C924" s="88">
        <v>46.574800000000003</v>
      </c>
      <c r="D924" s="91"/>
    </row>
    <row r="925" spans="1:4" x14ac:dyDescent="0.25">
      <c r="A925" s="89">
        <v>46070</v>
      </c>
      <c r="B925" s="88" t="s">
        <v>116</v>
      </c>
      <c r="C925" s="88">
        <v>46.790399999999998</v>
      </c>
      <c r="D925" s="91"/>
    </row>
    <row r="926" spans="1:4" x14ac:dyDescent="0.25">
      <c r="A926" s="89">
        <v>46070</v>
      </c>
      <c r="B926" s="88" t="s">
        <v>117</v>
      </c>
      <c r="C926" s="88">
        <v>46.947000000000003</v>
      </c>
      <c r="D926" s="91"/>
    </row>
    <row r="927" spans="1:4" x14ac:dyDescent="0.25">
      <c r="A927" s="89">
        <v>46070</v>
      </c>
      <c r="B927" s="88" t="s">
        <v>118</v>
      </c>
      <c r="C927" s="88">
        <v>46.274799999999999</v>
      </c>
      <c r="D927" s="91"/>
    </row>
    <row r="928" spans="1:4" x14ac:dyDescent="0.25">
      <c r="A928" s="89">
        <v>46070</v>
      </c>
      <c r="B928" s="88" t="s">
        <v>119</v>
      </c>
      <c r="C928" s="88">
        <v>46.3035</v>
      </c>
      <c r="D928" s="91"/>
    </row>
    <row r="929" spans="1:4" x14ac:dyDescent="0.25">
      <c r="A929" s="89">
        <v>46070</v>
      </c>
      <c r="B929" s="88" t="s">
        <v>120</v>
      </c>
      <c r="C929" s="88">
        <v>45.551000000000002</v>
      </c>
      <c r="D929" s="91"/>
    </row>
    <row r="930" spans="1:4" x14ac:dyDescent="0.25">
      <c r="A930" s="89">
        <v>46070</v>
      </c>
      <c r="B930" s="88" t="s">
        <v>121</v>
      </c>
      <c r="C930" s="88">
        <v>45.558</v>
      </c>
      <c r="D930" s="91"/>
    </row>
    <row r="931" spans="1:4" x14ac:dyDescent="0.25">
      <c r="A931" s="89">
        <v>46070</v>
      </c>
      <c r="B931" s="88" t="s">
        <v>122</v>
      </c>
      <c r="C931" s="88">
        <v>45.537300000000002</v>
      </c>
      <c r="D931" s="91"/>
    </row>
    <row r="932" spans="1:4" x14ac:dyDescent="0.25">
      <c r="A932" s="89">
        <v>46070</v>
      </c>
      <c r="B932" s="88" t="s">
        <v>123</v>
      </c>
      <c r="C932" s="88">
        <v>45.459600000000002</v>
      </c>
      <c r="D932" s="91"/>
    </row>
    <row r="933" spans="1:4" x14ac:dyDescent="0.25">
      <c r="A933" s="89">
        <v>46070</v>
      </c>
      <c r="B933" s="88" t="s">
        <v>124</v>
      </c>
      <c r="C933" s="88">
        <v>45.473700000000001</v>
      </c>
      <c r="D933" s="91"/>
    </row>
    <row r="934" spans="1:4" x14ac:dyDescent="0.25">
      <c r="A934" s="89">
        <v>46070</v>
      </c>
      <c r="B934" s="88" t="s">
        <v>125</v>
      </c>
      <c r="C934" s="88">
        <v>46.5518</v>
      </c>
      <c r="D934" s="91"/>
    </row>
    <row r="935" spans="1:4" x14ac:dyDescent="0.25">
      <c r="A935" s="89">
        <v>46070</v>
      </c>
      <c r="B935" s="88" t="s">
        <v>126</v>
      </c>
      <c r="C935" s="88">
        <v>46.5715</v>
      </c>
      <c r="D935" s="91"/>
    </row>
    <row r="936" spans="1:4" x14ac:dyDescent="0.25">
      <c r="A936" s="89">
        <v>46070</v>
      </c>
      <c r="B936" s="88" t="s">
        <v>127</v>
      </c>
      <c r="C936" s="88">
        <v>48.009900000000002</v>
      </c>
      <c r="D936" s="91"/>
    </row>
    <row r="937" spans="1:4" x14ac:dyDescent="0.25">
      <c r="A937" s="89">
        <v>46070</v>
      </c>
      <c r="B937" s="88" t="s">
        <v>128</v>
      </c>
      <c r="C937" s="88">
        <v>48.127200000000002</v>
      </c>
      <c r="D937" s="91"/>
    </row>
    <row r="938" spans="1:4" x14ac:dyDescent="0.25">
      <c r="A938" s="89">
        <v>46070</v>
      </c>
      <c r="B938" s="88" t="s">
        <v>129</v>
      </c>
      <c r="C938" s="88">
        <v>48.450299999999999</v>
      </c>
      <c r="D938" s="91"/>
    </row>
    <row r="939" spans="1:4" x14ac:dyDescent="0.25">
      <c r="A939" s="89">
        <v>46070</v>
      </c>
      <c r="B939" s="88" t="s">
        <v>130</v>
      </c>
      <c r="C939" s="88">
        <v>50.292000000000002</v>
      </c>
      <c r="D939" s="91"/>
    </row>
    <row r="940" spans="1:4" x14ac:dyDescent="0.25">
      <c r="A940" s="89">
        <v>46070</v>
      </c>
      <c r="B940" s="88" t="s">
        <v>131</v>
      </c>
      <c r="C940" s="88">
        <v>50.9758</v>
      </c>
      <c r="D940" s="91"/>
    </row>
    <row r="941" spans="1:4" x14ac:dyDescent="0.25">
      <c r="A941" s="89">
        <v>46070</v>
      </c>
      <c r="B941" s="88" t="s">
        <v>132</v>
      </c>
      <c r="C941" s="88">
        <v>49.8703</v>
      </c>
      <c r="D941" s="91"/>
    </row>
    <row r="942" spans="1:4" x14ac:dyDescent="0.25">
      <c r="A942" s="89">
        <v>46070</v>
      </c>
      <c r="B942" s="88" t="s">
        <v>133</v>
      </c>
      <c r="C942" s="88">
        <v>49.664299999999997</v>
      </c>
      <c r="D942" s="91"/>
    </row>
    <row r="943" spans="1:4" x14ac:dyDescent="0.25">
      <c r="A943" s="89">
        <v>46070</v>
      </c>
      <c r="B943" s="88" t="s">
        <v>134</v>
      </c>
      <c r="C943" s="88">
        <v>48.141800000000003</v>
      </c>
      <c r="D943" s="91"/>
    </row>
    <row r="944" spans="1:4" x14ac:dyDescent="0.25">
      <c r="A944" s="89">
        <v>46070</v>
      </c>
      <c r="B944" s="88" t="s">
        <v>135</v>
      </c>
      <c r="C944" s="88">
        <v>48.210299999999997</v>
      </c>
      <c r="D944" s="91"/>
    </row>
    <row r="945" spans="1:4" x14ac:dyDescent="0.25">
      <c r="A945" s="89">
        <v>46070</v>
      </c>
      <c r="B945" s="88" t="s">
        <v>136</v>
      </c>
      <c r="C945" s="88">
        <v>47.886200000000002</v>
      </c>
      <c r="D945" s="91"/>
    </row>
    <row r="946" spans="1:4" x14ac:dyDescent="0.25">
      <c r="A946" s="89">
        <v>46070</v>
      </c>
      <c r="B946" s="88" t="s">
        <v>137</v>
      </c>
      <c r="C946" s="88">
        <v>47.770400000000002</v>
      </c>
      <c r="D946" s="91"/>
    </row>
    <row r="947" spans="1:4" x14ac:dyDescent="0.25">
      <c r="A947" s="89">
        <v>46070</v>
      </c>
      <c r="B947" s="88" t="s">
        <v>138</v>
      </c>
      <c r="C947" s="88">
        <v>47.891800000000003</v>
      </c>
      <c r="D947" s="91"/>
    </row>
    <row r="948" spans="1:4" x14ac:dyDescent="0.25">
      <c r="A948" s="89">
        <v>46070</v>
      </c>
      <c r="B948" s="88" t="s">
        <v>139</v>
      </c>
      <c r="C948" s="88">
        <v>47.0473</v>
      </c>
      <c r="D948" s="91"/>
    </row>
    <row r="949" spans="1:4" x14ac:dyDescent="0.25">
      <c r="A949" s="89">
        <v>46070</v>
      </c>
      <c r="B949" s="88" t="s">
        <v>140</v>
      </c>
      <c r="C949" s="88">
        <v>44.049199999999999</v>
      </c>
      <c r="D949" s="91"/>
    </row>
    <row r="950" spans="1:4" x14ac:dyDescent="0.25">
      <c r="A950" s="89">
        <v>46070</v>
      </c>
      <c r="B950" s="88" t="s">
        <v>141</v>
      </c>
      <c r="C950" s="88">
        <v>43.958100000000002</v>
      </c>
      <c r="D950" s="91"/>
    </row>
    <row r="951" spans="1:4" x14ac:dyDescent="0.25">
      <c r="A951" s="89">
        <v>46070</v>
      </c>
      <c r="B951" s="88" t="s">
        <v>107</v>
      </c>
      <c r="C951" s="88">
        <v>46.363</v>
      </c>
      <c r="D951" s="91"/>
    </row>
    <row r="952" spans="1:4" x14ac:dyDescent="0.25">
      <c r="A952" s="89">
        <v>46070</v>
      </c>
      <c r="B952" s="88" t="s">
        <v>108</v>
      </c>
      <c r="C952" s="88">
        <v>46.350999999999999</v>
      </c>
      <c r="D952" s="91"/>
    </row>
    <row r="953" spans="1:4" x14ac:dyDescent="0.25">
      <c r="A953" s="89">
        <v>46070</v>
      </c>
      <c r="B953" s="88" t="s">
        <v>109</v>
      </c>
      <c r="C953" s="88">
        <v>47.592199999999998</v>
      </c>
      <c r="D953" s="91"/>
    </row>
    <row r="954" spans="1:4" x14ac:dyDescent="0.25">
      <c r="A954" s="89">
        <v>46070</v>
      </c>
      <c r="B954" s="88" t="s">
        <v>110</v>
      </c>
      <c r="C954" s="88">
        <v>47.569800000000001</v>
      </c>
      <c r="D954" s="91"/>
    </row>
    <row r="955" spans="1:4" x14ac:dyDescent="0.25">
      <c r="A955" s="89">
        <v>46070</v>
      </c>
      <c r="B955" s="88" t="s">
        <v>111</v>
      </c>
      <c r="C955" s="88">
        <v>48.915900000000001</v>
      </c>
      <c r="D955" s="91"/>
    </row>
    <row r="956" spans="1:4" x14ac:dyDescent="0.25">
      <c r="A956" s="89">
        <v>46070</v>
      </c>
      <c r="B956" s="88" t="s">
        <v>112</v>
      </c>
      <c r="C956" s="88">
        <v>48.853499999999997</v>
      </c>
      <c r="D956" s="91"/>
    </row>
    <row r="957" spans="1:4" x14ac:dyDescent="0.25">
      <c r="A957" s="89">
        <v>46071</v>
      </c>
      <c r="B957" s="88" t="s">
        <v>114</v>
      </c>
      <c r="C957" s="88">
        <v>46.689300000000003</v>
      </c>
    </row>
    <row r="958" spans="1:4" x14ac:dyDescent="0.25">
      <c r="A958" s="89">
        <v>46071</v>
      </c>
      <c r="B958" s="88" t="s">
        <v>115</v>
      </c>
      <c r="C958" s="88">
        <v>46.574100000000001</v>
      </c>
    </row>
    <row r="959" spans="1:4" x14ac:dyDescent="0.25">
      <c r="A959" s="89">
        <v>46071</v>
      </c>
      <c r="B959" s="88" t="s">
        <v>116</v>
      </c>
      <c r="C959" s="88">
        <v>46.79</v>
      </c>
    </row>
    <row r="960" spans="1:4" x14ac:dyDescent="0.25">
      <c r="A960" s="89">
        <v>46071</v>
      </c>
      <c r="B960" s="88" t="s">
        <v>117</v>
      </c>
      <c r="C960" s="88">
        <v>46.946599999999997</v>
      </c>
    </row>
    <row r="961" spans="1:3" x14ac:dyDescent="0.25">
      <c r="A961" s="89">
        <v>46071</v>
      </c>
      <c r="B961" s="88" t="s">
        <v>118</v>
      </c>
      <c r="C961" s="88">
        <v>46.274099999999997</v>
      </c>
    </row>
    <row r="962" spans="1:3" x14ac:dyDescent="0.25">
      <c r="A962" s="89">
        <v>46071</v>
      </c>
      <c r="B962" s="88" t="s">
        <v>119</v>
      </c>
      <c r="C962" s="88">
        <v>46.302799999999998</v>
      </c>
    </row>
    <row r="963" spans="1:3" x14ac:dyDescent="0.25">
      <c r="A963" s="89">
        <v>46071</v>
      </c>
      <c r="B963" s="88" t="s">
        <v>120</v>
      </c>
      <c r="C963" s="88">
        <v>45.5503</v>
      </c>
    </row>
    <row r="964" spans="1:3" x14ac:dyDescent="0.25">
      <c r="A964" s="89">
        <v>46071</v>
      </c>
      <c r="B964" s="88" t="s">
        <v>121</v>
      </c>
      <c r="C964" s="88">
        <v>45.557299999999998</v>
      </c>
    </row>
    <row r="965" spans="1:3" x14ac:dyDescent="0.25">
      <c r="A965" s="89">
        <v>46071</v>
      </c>
      <c r="B965" s="88" t="s">
        <v>122</v>
      </c>
      <c r="C965" s="88">
        <v>45.5364</v>
      </c>
    </row>
    <row r="966" spans="1:3" x14ac:dyDescent="0.25">
      <c r="A966" s="89">
        <v>46071</v>
      </c>
      <c r="B966" s="88" t="s">
        <v>123</v>
      </c>
      <c r="C966" s="88">
        <v>45.4589</v>
      </c>
    </row>
    <row r="967" spans="1:3" x14ac:dyDescent="0.25">
      <c r="A967" s="89">
        <v>46071</v>
      </c>
      <c r="B967" s="88" t="s">
        <v>124</v>
      </c>
      <c r="C967" s="88">
        <v>45.472999999999999</v>
      </c>
    </row>
    <row r="968" spans="1:3" x14ac:dyDescent="0.25">
      <c r="A968" s="89">
        <v>46071</v>
      </c>
      <c r="B968" s="88" t="s">
        <v>125</v>
      </c>
      <c r="C968" s="88">
        <v>46.551000000000002</v>
      </c>
    </row>
    <row r="969" spans="1:3" x14ac:dyDescent="0.25">
      <c r="A969" s="89">
        <v>46071</v>
      </c>
      <c r="B969" s="88" t="s">
        <v>126</v>
      </c>
      <c r="C969" s="88">
        <v>46.570700000000002</v>
      </c>
    </row>
    <row r="970" spans="1:3" x14ac:dyDescent="0.25">
      <c r="A970" s="89">
        <v>46071</v>
      </c>
      <c r="B970" s="88" t="s">
        <v>127</v>
      </c>
      <c r="C970" s="88">
        <v>48.009</v>
      </c>
    </row>
    <row r="971" spans="1:3" x14ac:dyDescent="0.25">
      <c r="A971" s="89">
        <v>46071</v>
      </c>
      <c r="B971" s="88" t="s">
        <v>128</v>
      </c>
      <c r="C971" s="88">
        <v>48.126300000000001</v>
      </c>
    </row>
    <row r="972" spans="1:3" x14ac:dyDescent="0.25">
      <c r="A972" s="89">
        <v>46071</v>
      </c>
      <c r="B972" s="88" t="s">
        <v>129</v>
      </c>
      <c r="C972" s="88">
        <v>48.4497</v>
      </c>
    </row>
    <row r="973" spans="1:3" x14ac:dyDescent="0.25">
      <c r="A973" s="89">
        <v>46071</v>
      </c>
      <c r="B973" s="88" t="s">
        <v>130</v>
      </c>
      <c r="C973" s="88">
        <v>50.291200000000003</v>
      </c>
    </row>
    <row r="974" spans="1:3" x14ac:dyDescent="0.25">
      <c r="A974" s="89">
        <v>46071</v>
      </c>
      <c r="B974" s="88" t="s">
        <v>131</v>
      </c>
      <c r="C974" s="88">
        <v>50.974800000000002</v>
      </c>
    </row>
    <row r="975" spans="1:3" x14ac:dyDescent="0.25">
      <c r="A975" s="89">
        <v>46071</v>
      </c>
      <c r="B975" s="88" t="s">
        <v>132</v>
      </c>
      <c r="C975" s="88">
        <v>49.869399999999999</v>
      </c>
    </row>
    <row r="976" spans="1:3" x14ac:dyDescent="0.25">
      <c r="A976" s="89">
        <v>46071</v>
      </c>
      <c r="B976" s="88" t="s">
        <v>133</v>
      </c>
      <c r="C976" s="88">
        <v>49.663200000000003</v>
      </c>
    </row>
    <row r="977" spans="1:4" x14ac:dyDescent="0.25">
      <c r="A977" s="89">
        <v>46071</v>
      </c>
      <c r="B977" s="88" t="s">
        <v>134</v>
      </c>
      <c r="C977" s="88">
        <v>48.140900000000002</v>
      </c>
    </row>
    <row r="978" spans="1:4" x14ac:dyDescent="0.25">
      <c r="A978" s="89">
        <v>46071</v>
      </c>
      <c r="B978" s="88" t="s">
        <v>135</v>
      </c>
      <c r="C978" s="88">
        <v>48.209299999999999</v>
      </c>
    </row>
    <row r="979" spans="1:4" x14ac:dyDescent="0.25">
      <c r="A979" s="89">
        <v>46071</v>
      </c>
      <c r="B979" s="88" t="s">
        <v>136</v>
      </c>
      <c r="C979" s="88">
        <v>47.885199999999998</v>
      </c>
    </row>
    <row r="980" spans="1:4" x14ac:dyDescent="0.25">
      <c r="A980" s="89">
        <v>46071</v>
      </c>
      <c r="B980" s="88" t="s">
        <v>137</v>
      </c>
      <c r="C980" s="88">
        <v>47.769199999999998</v>
      </c>
    </row>
    <row r="981" spans="1:4" x14ac:dyDescent="0.25">
      <c r="A981" s="89">
        <v>46071</v>
      </c>
      <c r="B981" s="88" t="s">
        <v>138</v>
      </c>
      <c r="C981" s="88">
        <v>47.890599999999999</v>
      </c>
    </row>
    <row r="982" spans="1:4" x14ac:dyDescent="0.25">
      <c r="A982" s="89">
        <v>46071</v>
      </c>
      <c r="B982" s="88" t="s">
        <v>139</v>
      </c>
      <c r="C982" s="88">
        <v>47.0458</v>
      </c>
    </row>
    <row r="983" spans="1:4" x14ac:dyDescent="0.25">
      <c r="A983" s="89">
        <v>46071</v>
      </c>
      <c r="B983" s="88" t="s">
        <v>140</v>
      </c>
      <c r="C983" s="88">
        <v>44.047899999999998</v>
      </c>
    </row>
    <row r="984" spans="1:4" x14ac:dyDescent="0.25">
      <c r="A984" s="89">
        <v>46071</v>
      </c>
      <c r="B984" s="88" t="s">
        <v>141</v>
      </c>
      <c r="C984" s="88">
        <v>43.956800000000001</v>
      </c>
    </row>
    <row r="985" spans="1:4" x14ac:dyDescent="0.25">
      <c r="A985" s="89">
        <v>46071</v>
      </c>
      <c r="B985" s="88" t="s">
        <v>107</v>
      </c>
      <c r="C985" s="88">
        <v>46.3628</v>
      </c>
    </row>
    <row r="986" spans="1:4" x14ac:dyDescent="0.25">
      <c r="A986" s="89">
        <v>46071</v>
      </c>
      <c r="B986" s="88" t="s">
        <v>108</v>
      </c>
      <c r="C986" s="88">
        <v>46.3508</v>
      </c>
    </row>
    <row r="987" spans="1:4" x14ac:dyDescent="0.25">
      <c r="A987" s="89">
        <v>46071</v>
      </c>
      <c r="B987" s="88" t="s">
        <v>109</v>
      </c>
      <c r="C987" s="88">
        <v>47.592100000000002</v>
      </c>
    </row>
    <row r="988" spans="1:4" x14ac:dyDescent="0.25">
      <c r="A988" s="89">
        <v>46071</v>
      </c>
      <c r="B988" s="88" t="s">
        <v>110</v>
      </c>
      <c r="C988" s="88">
        <v>47.569800000000001</v>
      </c>
    </row>
    <row r="989" spans="1:4" x14ac:dyDescent="0.25">
      <c r="A989" s="89">
        <v>46071</v>
      </c>
      <c r="B989" s="88" t="s">
        <v>111</v>
      </c>
      <c r="C989" s="88">
        <v>48.915700000000001</v>
      </c>
    </row>
    <row r="990" spans="1:4" x14ac:dyDescent="0.25">
      <c r="A990" s="89">
        <v>46071</v>
      </c>
      <c r="B990" s="88" t="s">
        <v>112</v>
      </c>
      <c r="C990" s="88">
        <v>48.853299999999997</v>
      </c>
    </row>
    <row r="991" spans="1:4" x14ac:dyDescent="0.25">
      <c r="A991" s="89">
        <v>46072</v>
      </c>
      <c r="B991" s="100" t="s">
        <v>148</v>
      </c>
      <c r="C991" s="101">
        <v>48.160049999999998</v>
      </c>
      <c r="D991" s="91"/>
    </row>
    <row r="992" spans="1:4" x14ac:dyDescent="0.25">
      <c r="A992" s="89">
        <v>46072</v>
      </c>
      <c r="B992" s="100" t="s">
        <v>149</v>
      </c>
      <c r="C992" s="101">
        <v>48.140900000000002</v>
      </c>
      <c r="D992" s="91"/>
    </row>
    <row r="993" spans="1:4" x14ac:dyDescent="0.25">
      <c r="A993" s="89">
        <v>46072</v>
      </c>
      <c r="B993" s="100" t="s">
        <v>150</v>
      </c>
      <c r="C993" s="101">
        <v>49.053199999999997</v>
      </c>
      <c r="D993" s="91"/>
    </row>
    <row r="994" spans="1:4" x14ac:dyDescent="0.25">
      <c r="A994" s="89">
        <v>46072</v>
      </c>
      <c r="B994" s="100" t="s">
        <v>151</v>
      </c>
      <c r="C994" s="101">
        <v>49.000500000000002</v>
      </c>
      <c r="D994" s="91"/>
    </row>
    <row r="995" spans="1:4" x14ac:dyDescent="0.25">
      <c r="A995" s="89">
        <v>46072</v>
      </c>
      <c r="B995" s="100" t="s">
        <v>152</v>
      </c>
      <c r="C995" s="101">
        <v>48.834400000000002</v>
      </c>
      <c r="D995" s="91"/>
    </row>
    <row r="996" spans="1:4" x14ac:dyDescent="0.25">
      <c r="A996" s="89">
        <v>46072</v>
      </c>
      <c r="B996" s="100" t="s">
        <v>153</v>
      </c>
      <c r="C996" s="101">
        <v>48.628300000000003</v>
      </c>
      <c r="D996" s="91"/>
    </row>
    <row r="997" spans="1:4" x14ac:dyDescent="0.25">
      <c r="A997" s="89">
        <v>46072</v>
      </c>
      <c r="B997" s="100" t="s">
        <v>154</v>
      </c>
      <c r="C997" s="101">
        <v>49.72356666666667</v>
      </c>
      <c r="D997" s="91"/>
    </row>
    <row r="998" spans="1:4" x14ac:dyDescent="0.25">
      <c r="A998" s="89">
        <v>46072</v>
      </c>
      <c r="B998" s="100" t="s">
        <v>155</v>
      </c>
      <c r="C998" s="101">
        <v>49.036699999999996</v>
      </c>
      <c r="D998" s="91"/>
    </row>
    <row r="999" spans="1:4" x14ac:dyDescent="0.25">
      <c r="A999" s="89">
        <v>46072</v>
      </c>
      <c r="B999" s="100" t="s">
        <v>156</v>
      </c>
      <c r="C999" s="101">
        <v>49.15603333333334</v>
      </c>
      <c r="D999" s="91"/>
    </row>
    <row r="1000" spans="1:4" x14ac:dyDescent="0.25">
      <c r="A1000" s="89">
        <v>46072</v>
      </c>
      <c r="B1000" s="100" t="s">
        <v>157</v>
      </c>
      <c r="C1000" s="101">
        <v>49.361266666666666</v>
      </c>
      <c r="D1000" s="91"/>
    </row>
    <row r="1001" spans="1:4" x14ac:dyDescent="0.25">
      <c r="A1001" s="89">
        <v>46072</v>
      </c>
      <c r="B1001" s="88" t="s">
        <v>114</v>
      </c>
      <c r="C1001" s="88">
        <v>46.689399999999999</v>
      </c>
      <c r="D1001" s="91"/>
    </row>
    <row r="1002" spans="1:4" x14ac:dyDescent="0.25">
      <c r="A1002" s="89">
        <v>46072</v>
      </c>
      <c r="B1002" s="88" t="s">
        <v>115</v>
      </c>
      <c r="C1002" s="88">
        <v>46.574199999999998</v>
      </c>
      <c r="D1002" s="91"/>
    </row>
    <row r="1003" spans="1:4" x14ac:dyDescent="0.25">
      <c r="A1003" s="89">
        <v>46072</v>
      </c>
      <c r="B1003" s="88" t="s">
        <v>116</v>
      </c>
      <c r="C1003" s="88">
        <v>46.789900000000003</v>
      </c>
      <c r="D1003" s="91"/>
    </row>
    <row r="1004" spans="1:4" x14ac:dyDescent="0.25">
      <c r="A1004" s="89">
        <v>46072</v>
      </c>
      <c r="B1004" s="88" t="s">
        <v>117</v>
      </c>
      <c r="C1004" s="88">
        <v>46.946800000000003</v>
      </c>
      <c r="D1004" s="91"/>
    </row>
    <row r="1005" spans="1:4" x14ac:dyDescent="0.25">
      <c r="A1005" s="89">
        <v>46072</v>
      </c>
      <c r="B1005" s="88" t="s">
        <v>118</v>
      </c>
      <c r="C1005" s="88">
        <v>46.274300000000004</v>
      </c>
      <c r="D1005" s="91"/>
    </row>
    <row r="1006" spans="1:4" x14ac:dyDescent="0.25">
      <c r="A1006" s="89">
        <v>46072</v>
      </c>
      <c r="B1006" s="88" t="s">
        <v>119</v>
      </c>
      <c r="C1006" s="88">
        <v>46.303000000000004</v>
      </c>
      <c r="D1006" s="91"/>
    </row>
    <row r="1007" spans="1:4" x14ac:dyDescent="0.25">
      <c r="A1007" s="89">
        <v>46072</v>
      </c>
      <c r="B1007" s="88" t="s">
        <v>120</v>
      </c>
      <c r="C1007" s="88">
        <v>45.550000000000004</v>
      </c>
      <c r="D1007" s="91"/>
    </row>
    <row r="1008" spans="1:4" x14ac:dyDescent="0.25">
      <c r="A1008" s="89">
        <v>46072</v>
      </c>
      <c r="B1008" s="88" t="s">
        <v>121</v>
      </c>
      <c r="C1008" s="88">
        <v>45.557000000000002</v>
      </c>
      <c r="D1008" s="91"/>
    </row>
    <row r="1009" spans="1:4" x14ac:dyDescent="0.25">
      <c r="A1009" s="89">
        <v>46072</v>
      </c>
      <c r="B1009" s="88" t="s">
        <v>122</v>
      </c>
      <c r="C1009" s="88">
        <v>45.536200000000001</v>
      </c>
      <c r="D1009" s="91"/>
    </row>
    <row r="1010" spans="1:4" x14ac:dyDescent="0.25">
      <c r="A1010" s="89">
        <v>46072</v>
      </c>
      <c r="B1010" s="88" t="s">
        <v>123</v>
      </c>
      <c r="C1010" s="88">
        <v>45.458500000000001</v>
      </c>
      <c r="D1010" s="91"/>
    </row>
    <row r="1011" spans="1:4" x14ac:dyDescent="0.25">
      <c r="A1011" s="89">
        <v>46072</v>
      </c>
      <c r="B1011" s="88" t="s">
        <v>124</v>
      </c>
      <c r="C1011" s="88">
        <v>45.472700000000003</v>
      </c>
      <c r="D1011" s="91"/>
    </row>
    <row r="1012" spans="1:4" x14ac:dyDescent="0.25">
      <c r="A1012" s="89">
        <v>46072</v>
      </c>
      <c r="B1012" s="88" t="s">
        <v>125</v>
      </c>
      <c r="C1012" s="88">
        <v>46.550800000000002</v>
      </c>
      <c r="D1012" s="91"/>
    </row>
    <row r="1013" spans="1:4" x14ac:dyDescent="0.25">
      <c r="A1013" s="89">
        <v>46072</v>
      </c>
      <c r="B1013" s="88" t="s">
        <v>126</v>
      </c>
      <c r="C1013" s="88">
        <v>46.570300000000003</v>
      </c>
      <c r="D1013" s="91"/>
    </row>
    <row r="1014" spans="1:4" x14ac:dyDescent="0.25">
      <c r="A1014" s="89">
        <v>46072</v>
      </c>
      <c r="B1014" s="88" t="s">
        <v>127</v>
      </c>
      <c r="C1014" s="88">
        <v>48.009100000000004</v>
      </c>
      <c r="D1014" s="91"/>
    </row>
    <row r="1015" spans="1:4" x14ac:dyDescent="0.25">
      <c r="A1015" s="89">
        <v>46072</v>
      </c>
      <c r="B1015" s="88" t="s">
        <v>128</v>
      </c>
      <c r="C1015" s="88">
        <v>48.126600000000003</v>
      </c>
      <c r="D1015" s="91"/>
    </row>
    <row r="1016" spans="1:4" x14ac:dyDescent="0.25">
      <c r="A1016" s="89">
        <v>46072</v>
      </c>
      <c r="B1016" s="88" t="s">
        <v>129</v>
      </c>
      <c r="C1016" s="88">
        <v>48.4499</v>
      </c>
      <c r="D1016" s="91"/>
    </row>
    <row r="1017" spans="1:4" x14ac:dyDescent="0.25">
      <c r="A1017" s="89">
        <v>46072</v>
      </c>
      <c r="B1017" s="88" t="s">
        <v>130</v>
      </c>
      <c r="C1017" s="88">
        <v>50.291499999999999</v>
      </c>
      <c r="D1017" s="91"/>
    </row>
    <row r="1018" spans="1:4" x14ac:dyDescent="0.25">
      <c r="A1018" s="89">
        <v>46072</v>
      </c>
      <c r="B1018" s="88" t="s">
        <v>131</v>
      </c>
      <c r="C1018" s="88">
        <v>50.975700000000003</v>
      </c>
      <c r="D1018" s="91"/>
    </row>
    <row r="1019" spans="1:4" x14ac:dyDescent="0.25">
      <c r="A1019" s="89">
        <v>46072</v>
      </c>
      <c r="B1019" s="88" t="s">
        <v>132</v>
      </c>
      <c r="C1019" s="88">
        <v>49.87</v>
      </c>
      <c r="D1019" s="91"/>
    </row>
    <row r="1020" spans="1:4" x14ac:dyDescent="0.25">
      <c r="A1020" s="89">
        <v>46072</v>
      </c>
      <c r="B1020" s="88" t="s">
        <v>133</v>
      </c>
      <c r="C1020" s="88">
        <v>49.663800000000002</v>
      </c>
      <c r="D1020" s="91"/>
    </row>
    <row r="1021" spans="1:4" x14ac:dyDescent="0.25">
      <c r="A1021" s="89">
        <v>46072</v>
      </c>
      <c r="B1021" s="88" t="s">
        <v>134</v>
      </c>
      <c r="C1021" s="88">
        <v>48.141400000000004</v>
      </c>
      <c r="D1021" s="91"/>
    </row>
    <row r="1022" spans="1:4" x14ac:dyDescent="0.25">
      <c r="A1022" s="89">
        <v>46072</v>
      </c>
      <c r="B1022" s="88" t="s">
        <v>135</v>
      </c>
      <c r="C1022" s="88">
        <v>48.209699999999998</v>
      </c>
      <c r="D1022" s="91"/>
    </row>
    <row r="1023" spans="1:4" x14ac:dyDescent="0.25">
      <c r="A1023" s="89">
        <v>46072</v>
      </c>
      <c r="B1023" s="88" t="s">
        <v>136</v>
      </c>
      <c r="C1023" s="88">
        <v>47.8855</v>
      </c>
      <c r="D1023" s="91"/>
    </row>
    <row r="1024" spans="1:4" x14ac:dyDescent="0.25">
      <c r="A1024" s="89">
        <v>46072</v>
      </c>
      <c r="B1024" s="88" t="s">
        <v>137</v>
      </c>
      <c r="C1024" s="88">
        <v>47.769500000000001</v>
      </c>
      <c r="D1024" s="91"/>
    </row>
    <row r="1025" spans="1:3" x14ac:dyDescent="0.25">
      <c r="A1025" s="89">
        <v>46072</v>
      </c>
      <c r="B1025" s="88" t="s">
        <v>138</v>
      </c>
      <c r="C1025" s="88">
        <v>47.890700000000002</v>
      </c>
    </row>
    <row r="1026" spans="1:3" x14ac:dyDescent="0.25">
      <c r="A1026" s="89">
        <v>46072</v>
      </c>
      <c r="B1026" s="88" t="s">
        <v>139</v>
      </c>
      <c r="C1026" s="88">
        <v>47.045700000000004</v>
      </c>
    </row>
    <row r="1027" spans="1:3" x14ac:dyDescent="0.25">
      <c r="A1027" s="89">
        <v>46072</v>
      </c>
      <c r="B1027" s="88" t="s">
        <v>140</v>
      </c>
      <c r="C1027" s="88">
        <v>44.0473</v>
      </c>
    </row>
    <row r="1028" spans="1:3" x14ac:dyDescent="0.25">
      <c r="A1028" s="89">
        <v>46072</v>
      </c>
      <c r="B1028" s="88" t="s">
        <v>141</v>
      </c>
      <c r="C1028" s="88">
        <v>43.956200000000003</v>
      </c>
    </row>
    <row r="1029" spans="1:3" x14ac:dyDescent="0.25">
      <c r="A1029" s="89">
        <v>46072</v>
      </c>
      <c r="B1029" s="88" t="s">
        <v>107</v>
      </c>
      <c r="C1029" s="88">
        <v>46.363</v>
      </c>
    </row>
    <row r="1030" spans="1:3" x14ac:dyDescent="0.25">
      <c r="A1030" s="89">
        <v>46072</v>
      </c>
      <c r="B1030" s="88" t="s">
        <v>108</v>
      </c>
      <c r="C1030" s="88">
        <v>46.350900000000003</v>
      </c>
    </row>
    <row r="1031" spans="1:3" x14ac:dyDescent="0.25">
      <c r="A1031" s="89">
        <v>46072</v>
      </c>
      <c r="B1031" s="88" t="s">
        <v>109</v>
      </c>
      <c r="C1031" s="88">
        <v>47.592500000000001</v>
      </c>
    </row>
    <row r="1032" spans="1:3" x14ac:dyDescent="0.25">
      <c r="A1032" s="89">
        <v>46072</v>
      </c>
      <c r="B1032" s="88" t="s">
        <v>110</v>
      </c>
      <c r="C1032" s="88">
        <v>47.57</v>
      </c>
    </row>
    <row r="1033" spans="1:3" x14ac:dyDescent="0.25">
      <c r="A1033" s="89">
        <v>46072</v>
      </c>
      <c r="B1033" s="88" t="s">
        <v>111</v>
      </c>
      <c r="C1033" s="88">
        <v>48.916200000000003</v>
      </c>
    </row>
    <row r="1034" spans="1:3" x14ac:dyDescent="0.25">
      <c r="A1034" s="89">
        <v>46072</v>
      </c>
      <c r="B1034" s="88" t="s">
        <v>112</v>
      </c>
      <c r="C1034" s="88">
        <v>48.8536</v>
      </c>
    </row>
    <row r="1035" spans="1:3" x14ac:dyDescent="0.25">
      <c r="A1035" s="89">
        <v>46073</v>
      </c>
      <c r="B1035" s="88" t="s">
        <v>114</v>
      </c>
      <c r="C1035" s="88">
        <v>46.6892</v>
      </c>
    </row>
    <row r="1036" spans="1:3" x14ac:dyDescent="0.25">
      <c r="A1036" s="89">
        <v>46073</v>
      </c>
      <c r="B1036" s="88" t="s">
        <v>115</v>
      </c>
      <c r="C1036" s="88">
        <v>46.573999999999998</v>
      </c>
    </row>
    <row r="1037" spans="1:3" x14ac:dyDescent="0.25">
      <c r="A1037" s="89">
        <v>46073</v>
      </c>
      <c r="B1037" s="88" t="s">
        <v>116</v>
      </c>
      <c r="C1037" s="88">
        <v>46.7898</v>
      </c>
    </row>
    <row r="1038" spans="1:3" x14ac:dyDescent="0.25">
      <c r="A1038" s="89">
        <v>46073</v>
      </c>
      <c r="B1038" s="88" t="s">
        <v>117</v>
      </c>
      <c r="C1038" s="88">
        <v>46.946800000000003</v>
      </c>
    </row>
    <row r="1039" spans="1:3" x14ac:dyDescent="0.25">
      <c r="A1039" s="89">
        <v>46073</v>
      </c>
      <c r="B1039" s="88" t="s">
        <v>118</v>
      </c>
      <c r="C1039" s="88">
        <v>46.274300000000004</v>
      </c>
    </row>
    <row r="1040" spans="1:3" x14ac:dyDescent="0.25">
      <c r="A1040" s="89">
        <v>46073</v>
      </c>
      <c r="B1040" s="88" t="s">
        <v>119</v>
      </c>
      <c r="C1040" s="88">
        <v>46.303100000000001</v>
      </c>
    </row>
    <row r="1041" spans="1:3" x14ac:dyDescent="0.25">
      <c r="A1041" s="89">
        <v>46073</v>
      </c>
      <c r="B1041" s="88" t="s">
        <v>120</v>
      </c>
      <c r="C1041" s="88">
        <v>45.5501</v>
      </c>
    </row>
    <row r="1042" spans="1:3" x14ac:dyDescent="0.25">
      <c r="A1042" s="89">
        <v>46073</v>
      </c>
      <c r="B1042" s="88" t="s">
        <v>121</v>
      </c>
      <c r="C1042" s="88">
        <v>45.557000000000002</v>
      </c>
    </row>
    <row r="1043" spans="1:3" x14ac:dyDescent="0.25">
      <c r="A1043" s="89">
        <v>46073</v>
      </c>
      <c r="B1043" s="88" t="s">
        <v>122</v>
      </c>
      <c r="C1043" s="88">
        <v>45.536200000000001</v>
      </c>
    </row>
    <row r="1044" spans="1:3" x14ac:dyDescent="0.25">
      <c r="A1044" s="89">
        <v>46073</v>
      </c>
      <c r="B1044" s="88" t="s">
        <v>123</v>
      </c>
      <c r="C1044" s="88">
        <v>45.458300000000001</v>
      </c>
    </row>
    <row r="1045" spans="1:3" x14ac:dyDescent="0.25">
      <c r="A1045" s="89">
        <v>46073</v>
      </c>
      <c r="B1045" s="88" t="s">
        <v>124</v>
      </c>
      <c r="C1045" s="88">
        <v>45.4724</v>
      </c>
    </row>
    <row r="1046" spans="1:3" x14ac:dyDescent="0.25">
      <c r="A1046" s="89">
        <v>46073</v>
      </c>
      <c r="B1046" s="88" t="s">
        <v>125</v>
      </c>
      <c r="C1046" s="88">
        <v>46.549799999999998</v>
      </c>
    </row>
    <row r="1047" spans="1:3" x14ac:dyDescent="0.25">
      <c r="A1047" s="89">
        <v>46073</v>
      </c>
      <c r="B1047" s="88" t="s">
        <v>126</v>
      </c>
      <c r="C1047" s="88">
        <v>46.569499999999998</v>
      </c>
    </row>
    <row r="1048" spans="1:3" x14ac:dyDescent="0.25">
      <c r="A1048" s="89">
        <v>46073</v>
      </c>
      <c r="B1048" s="88" t="s">
        <v>127</v>
      </c>
      <c r="C1048" s="88">
        <v>48.008200000000002</v>
      </c>
    </row>
    <row r="1049" spans="1:3" x14ac:dyDescent="0.25">
      <c r="A1049" s="89">
        <v>46073</v>
      </c>
      <c r="B1049" s="88" t="s">
        <v>128</v>
      </c>
      <c r="C1049" s="88">
        <v>48.125799999999998</v>
      </c>
    </row>
    <row r="1050" spans="1:3" x14ac:dyDescent="0.25">
      <c r="A1050" s="89">
        <v>46073</v>
      </c>
      <c r="B1050" s="88" t="s">
        <v>129</v>
      </c>
      <c r="C1050" s="88">
        <v>48.448999999999998</v>
      </c>
    </row>
    <row r="1051" spans="1:3" x14ac:dyDescent="0.25">
      <c r="A1051" s="89">
        <v>46073</v>
      </c>
      <c r="B1051" s="88" t="s">
        <v>130</v>
      </c>
      <c r="C1051" s="88">
        <v>50.290799999999997</v>
      </c>
    </row>
    <row r="1052" spans="1:3" x14ac:dyDescent="0.25">
      <c r="A1052" s="89">
        <v>46073</v>
      </c>
      <c r="B1052" s="88" t="s">
        <v>131</v>
      </c>
      <c r="C1052" s="88">
        <v>50.975200000000001</v>
      </c>
    </row>
    <row r="1053" spans="1:3" x14ac:dyDescent="0.25">
      <c r="A1053" s="89">
        <v>46073</v>
      </c>
      <c r="B1053" s="88" t="s">
        <v>132</v>
      </c>
      <c r="C1053" s="88">
        <v>49.869700000000002</v>
      </c>
    </row>
    <row r="1054" spans="1:3" x14ac:dyDescent="0.25">
      <c r="A1054" s="89">
        <v>46073</v>
      </c>
      <c r="B1054" s="88" t="s">
        <v>133</v>
      </c>
      <c r="C1054" s="88">
        <v>49.6633</v>
      </c>
    </row>
    <row r="1055" spans="1:3" x14ac:dyDescent="0.25">
      <c r="A1055" s="89">
        <v>46073</v>
      </c>
      <c r="B1055" s="88" t="s">
        <v>134</v>
      </c>
      <c r="C1055" s="88">
        <v>48.140700000000002</v>
      </c>
    </row>
    <row r="1056" spans="1:3" x14ac:dyDescent="0.25">
      <c r="A1056" s="89">
        <v>46073</v>
      </c>
      <c r="B1056" s="88" t="s">
        <v>135</v>
      </c>
      <c r="C1056" s="88">
        <v>48.209000000000003</v>
      </c>
    </row>
    <row r="1057" spans="1:4" x14ac:dyDescent="0.25">
      <c r="A1057" s="89">
        <v>46073</v>
      </c>
      <c r="B1057" s="88" t="s">
        <v>136</v>
      </c>
      <c r="C1057" s="88">
        <v>47.884599999999999</v>
      </c>
    </row>
    <row r="1058" spans="1:4" x14ac:dyDescent="0.25">
      <c r="A1058" s="89">
        <v>46073</v>
      </c>
      <c r="B1058" s="88" t="s">
        <v>137</v>
      </c>
      <c r="C1058" s="88">
        <v>47.768500000000003</v>
      </c>
    </row>
    <row r="1059" spans="1:4" x14ac:dyDescent="0.25">
      <c r="A1059" s="89">
        <v>46073</v>
      </c>
      <c r="B1059" s="88" t="s">
        <v>138</v>
      </c>
      <c r="C1059" s="88">
        <v>47.889699999999998</v>
      </c>
      <c r="D1059" s="91"/>
    </row>
    <row r="1060" spans="1:4" x14ac:dyDescent="0.25">
      <c r="A1060" s="89">
        <v>46073</v>
      </c>
      <c r="B1060" s="88" t="s">
        <v>139</v>
      </c>
      <c r="C1060" s="88">
        <v>47.044699999999999</v>
      </c>
      <c r="D1060" s="91"/>
    </row>
    <row r="1061" spans="1:4" x14ac:dyDescent="0.25">
      <c r="A1061" s="89">
        <v>46073</v>
      </c>
      <c r="B1061" s="88" t="s">
        <v>140</v>
      </c>
      <c r="C1061" s="88">
        <v>44.046500000000002</v>
      </c>
      <c r="D1061" s="91"/>
    </row>
    <row r="1062" spans="1:4" x14ac:dyDescent="0.25">
      <c r="A1062" s="89">
        <v>46073</v>
      </c>
      <c r="B1062" s="88" t="s">
        <v>141</v>
      </c>
      <c r="C1062" s="88">
        <v>43.955399999999997</v>
      </c>
      <c r="D1062" s="91"/>
    </row>
    <row r="1063" spans="1:4" x14ac:dyDescent="0.25">
      <c r="A1063" s="89">
        <v>46073</v>
      </c>
      <c r="B1063" s="88" t="s">
        <v>107</v>
      </c>
      <c r="C1063" s="88">
        <v>46.363100000000003</v>
      </c>
      <c r="D1063" s="91"/>
    </row>
    <row r="1064" spans="1:4" x14ac:dyDescent="0.25">
      <c r="A1064" s="89">
        <v>46073</v>
      </c>
      <c r="B1064" s="88" t="s">
        <v>108</v>
      </c>
      <c r="C1064" s="88">
        <v>46.350999999999999</v>
      </c>
      <c r="D1064" s="91"/>
    </row>
    <row r="1065" spans="1:4" x14ac:dyDescent="0.25">
      <c r="A1065" s="89">
        <v>46073</v>
      </c>
      <c r="B1065" s="88" t="s">
        <v>109</v>
      </c>
      <c r="C1065" s="88">
        <v>47.592599999999997</v>
      </c>
      <c r="D1065" s="91"/>
    </row>
    <row r="1066" spans="1:4" x14ac:dyDescent="0.25">
      <c r="A1066" s="89">
        <v>46073</v>
      </c>
      <c r="B1066" s="88" t="s">
        <v>110</v>
      </c>
      <c r="C1066" s="88">
        <v>47.57</v>
      </c>
      <c r="D1066" s="91"/>
    </row>
    <row r="1067" spans="1:4" x14ac:dyDescent="0.25">
      <c r="A1067" s="89">
        <v>46073</v>
      </c>
      <c r="B1067" s="88" t="s">
        <v>111</v>
      </c>
      <c r="C1067" s="88">
        <v>48.916400000000003</v>
      </c>
      <c r="D1067" s="91"/>
    </row>
    <row r="1068" spans="1:4" x14ac:dyDescent="0.25">
      <c r="A1068" s="89">
        <v>46073</v>
      </c>
      <c r="B1068" s="88" t="s">
        <v>112</v>
      </c>
      <c r="C1068" s="88">
        <v>48.853999999999999</v>
      </c>
      <c r="D1068" s="91"/>
    </row>
    <row r="1069" spans="1:4" x14ac:dyDescent="0.25">
      <c r="A1069" s="89">
        <v>46076</v>
      </c>
      <c r="B1069" s="88" t="s">
        <v>114</v>
      </c>
      <c r="C1069" s="88">
        <v>46.689100000000003</v>
      </c>
      <c r="D1069" s="91"/>
    </row>
    <row r="1070" spans="1:4" x14ac:dyDescent="0.25">
      <c r="A1070" s="89">
        <v>46076</v>
      </c>
      <c r="B1070" s="88" t="s">
        <v>115</v>
      </c>
      <c r="C1070" s="88">
        <v>46.574100000000001</v>
      </c>
      <c r="D1070" s="91"/>
    </row>
    <row r="1071" spans="1:4" x14ac:dyDescent="0.25">
      <c r="A1071" s="89">
        <v>46076</v>
      </c>
      <c r="B1071" s="88" t="s">
        <v>116</v>
      </c>
      <c r="C1071" s="88">
        <v>46.790199999999999</v>
      </c>
      <c r="D1071" s="91"/>
    </row>
    <row r="1072" spans="1:4" x14ac:dyDescent="0.25">
      <c r="A1072" s="89">
        <v>46076</v>
      </c>
      <c r="B1072" s="88" t="s">
        <v>117</v>
      </c>
      <c r="C1072" s="88">
        <v>46.946599999999997</v>
      </c>
      <c r="D1072" s="91"/>
    </row>
    <row r="1073" spans="1:4" x14ac:dyDescent="0.25">
      <c r="A1073" s="89">
        <v>46076</v>
      </c>
      <c r="B1073" s="88" t="s">
        <v>118</v>
      </c>
      <c r="C1073" s="88">
        <v>46.2744</v>
      </c>
      <c r="D1073" s="91"/>
    </row>
    <row r="1074" spans="1:4" x14ac:dyDescent="0.25">
      <c r="A1074" s="89">
        <v>46076</v>
      </c>
      <c r="B1074" s="88" t="s">
        <v>119</v>
      </c>
      <c r="C1074" s="88">
        <v>46.303100000000001</v>
      </c>
      <c r="D1074" s="91"/>
    </row>
    <row r="1075" spans="1:4" x14ac:dyDescent="0.25">
      <c r="A1075" s="89">
        <v>46076</v>
      </c>
      <c r="B1075" s="88" t="s">
        <v>120</v>
      </c>
      <c r="C1075" s="88">
        <v>45.55</v>
      </c>
      <c r="D1075" s="91"/>
    </row>
    <row r="1076" spans="1:4" x14ac:dyDescent="0.25">
      <c r="A1076" s="89">
        <v>46076</v>
      </c>
      <c r="B1076" s="88" t="s">
        <v>121</v>
      </c>
      <c r="C1076" s="88">
        <v>45.556699999999999</v>
      </c>
      <c r="D1076" s="91"/>
    </row>
    <row r="1077" spans="1:4" x14ac:dyDescent="0.25">
      <c r="A1077" s="89">
        <v>46076</v>
      </c>
      <c r="B1077" s="88" t="s">
        <v>122</v>
      </c>
      <c r="C1077" s="88">
        <v>45.536299999999997</v>
      </c>
      <c r="D1077" s="91"/>
    </row>
    <row r="1078" spans="1:4" x14ac:dyDescent="0.25">
      <c r="A1078" s="89">
        <v>46076</v>
      </c>
      <c r="B1078" s="88" t="s">
        <v>123</v>
      </c>
      <c r="C1078" s="88">
        <v>45.4574</v>
      </c>
      <c r="D1078" s="91"/>
    </row>
    <row r="1079" spans="1:4" x14ac:dyDescent="0.25">
      <c r="A1079" s="89">
        <v>46076</v>
      </c>
      <c r="B1079" s="88" t="s">
        <v>124</v>
      </c>
      <c r="C1079" s="88">
        <v>45.471699999999998</v>
      </c>
      <c r="D1079" s="91"/>
    </row>
    <row r="1080" spans="1:4" x14ac:dyDescent="0.25">
      <c r="A1080" s="89">
        <v>46076</v>
      </c>
      <c r="B1080" s="88" t="s">
        <v>125</v>
      </c>
      <c r="C1080" s="88">
        <v>46.548699999999997</v>
      </c>
      <c r="D1080" s="91"/>
    </row>
    <row r="1081" spans="1:4" x14ac:dyDescent="0.25">
      <c r="A1081" s="89">
        <v>46076</v>
      </c>
      <c r="B1081" s="88" t="s">
        <v>126</v>
      </c>
      <c r="C1081" s="88">
        <v>46.568100000000001</v>
      </c>
      <c r="D1081" s="91"/>
    </row>
    <row r="1082" spans="1:4" x14ac:dyDescent="0.25">
      <c r="A1082" s="89">
        <v>46076</v>
      </c>
      <c r="B1082" s="88" t="s">
        <v>127</v>
      </c>
      <c r="C1082" s="88">
        <v>48.006799999999998</v>
      </c>
      <c r="D1082" s="91"/>
    </row>
    <row r="1083" spans="1:4" x14ac:dyDescent="0.25">
      <c r="A1083" s="89">
        <v>46076</v>
      </c>
      <c r="B1083" s="88" t="s">
        <v>128</v>
      </c>
      <c r="C1083" s="88">
        <v>48.124200000000002</v>
      </c>
      <c r="D1083" s="91"/>
    </row>
    <row r="1084" spans="1:4" x14ac:dyDescent="0.25">
      <c r="A1084" s="89">
        <v>46076</v>
      </c>
      <c r="B1084" s="88" t="s">
        <v>129</v>
      </c>
      <c r="C1084" s="88">
        <v>48.447800000000001</v>
      </c>
      <c r="D1084" s="91"/>
    </row>
    <row r="1085" spans="1:4" x14ac:dyDescent="0.25">
      <c r="A1085" s="89">
        <v>46076</v>
      </c>
      <c r="B1085" s="88" t="s">
        <v>130</v>
      </c>
      <c r="C1085" s="88">
        <v>50.289200000000001</v>
      </c>
      <c r="D1085" s="91"/>
    </row>
    <row r="1086" spans="1:4" x14ac:dyDescent="0.25">
      <c r="A1086" s="89">
        <v>46076</v>
      </c>
      <c r="B1086" s="88" t="s">
        <v>131</v>
      </c>
      <c r="C1086" s="88">
        <v>50.973999999999997</v>
      </c>
      <c r="D1086" s="91"/>
    </row>
    <row r="1087" spans="1:4" x14ac:dyDescent="0.25">
      <c r="A1087" s="89">
        <v>46076</v>
      </c>
      <c r="B1087" s="88" t="s">
        <v>132</v>
      </c>
      <c r="C1087" s="88">
        <v>49.868400000000001</v>
      </c>
      <c r="D1087" s="91"/>
    </row>
    <row r="1088" spans="1:4" x14ac:dyDescent="0.25">
      <c r="A1088" s="89">
        <v>46076</v>
      </c>
      <c r="B1088" s="88" t="s">
        <v>133</v>
      </c>
      <c r="C1088" s="88">
        <v>49.662100000000002</v>
      </c>
      <c r="D1088" s="91"/>
    </row>
    <row r="1089" spans="1:4" x14ac:dyDescent="0.25">
      <c r="A1089" s="89">
        <v>46076</v>
      </c>
      <c r="B1089" s="88" t="s">
        <v>134</v>
      </c>
      <c r="C1089" s="88">
        <v>48.139299999999999</v>
      </c>
      <c r="D1089" s="91"/>
    </row>
    <row r="1090" spans="1:4" x14ac:dyDescent="0.25">
      <c r="A1090" s="89">
        <v>46076</v>
      </c>
      <c r="B1090" s="88" t="s">
        <v>135</v>
      </c>
      <c r="C1090" s="88">
        <v>48.207599999999999</v>
      </c>
      <c r="D1090" s="91"/>
    </row>
    <row r="1091" spans="1:4" x14ac:dyDescent="0.25">
      <c r="A1091" s="89">
        <v>46076</v>
      </c>
      <c r="B1091" s="88" t="s">
        <v>136</v>
      </c>
      <c r="C1091" s="88">
        <v>47.883099999999999</v>
      </c>
      <c r="D1091" s="91"/>
    </row>
    <row r="1092" spans="1:4" x14ac:dyDescent="0.25">
      <c r="A1092" s="89">
        <v>46076</v>
      </c>
      <c r="B1092" s="88" t="s">
        <v>137</v>
      </c>
      <c r="C1092" s="88">
        <v>47.7669</v>
      </c>
      <c r="D1092" s="91"/>
    </row>
    <row r="1093" spans="1:4" x14ac:dyDescent="0.25">
      <c r="A1093" s="89">
        <v>46076</v>
      </c>
      <c r="B1093" s="88" t="s">
        <v>138</v>
      </c>
      <c r="C1093" s="88">
        <v>47.887900000000002</v>
      </c>
    </row>
    <row r="1094" spans="1:4" x14ac:dyDescent="0.25">
      <c r="A1094" s="89">
        <v>46076</v>
      </c>
      <c r="B1094" s="88" t="s">
        <v>139</v>
      </c>
      <c r="C1094" s="88">
        <v>47.043100000000003</v>
      </c>
    </row>
    <row r="1095" spans="1:4" x14ac:dyDescent="0.25">
      <c r="A1095" s="89">
        <v>46076</v>
      </c>
      <c r="B1095" s="88" t="s">
        <v>140</v>
      </c>
      <c r="C1095" s="88">
        <v>44.045499999999997</v>
      </c>
    </row>
    <row r="1096" spans="1:4" x14ac:dyDescent="0.25">
      <c r="A1096" s="89">
        <v>46076</v>
      </c>
      <c r="B1096" s="88" t="s">
        <v>141</v>
      </c>
      <c r="C1096" s="88">
        <v>43.954700000000003</v>
      </c>
    </row>
    <row r="1097" spans="1:4" x14ac:dyDescent="0.25">
      <c r="A1097" s="89">
        <v>46076</v>
      </c>
      <c r="B1097" s="88" t="s">
        <v>107</v>
      </c>
      <c r="C1097" s="88">
        <v>46.363100000000003</v>
      </c>
    </row>
    <row r="1098" spans="1:4" x14ac:dyDescent="0.25">
      <c r="A1098" s="89">
        <v>46076</v>
      </c>
      <c r="B1098" s="88" t="s">
        <v>108</v>
      </c>
      <c r="C1098" s="88">
        <v>46.350999999999999</v>
      </c>
    </row>
    <row r="1099" spans="1:4" x14ac:dyDescent="0.25">
      <c r="A1099" s="89">
        <v>46076</v>
      </c>
      <c r="B1099" s="88" t="s">
        <v>109</v>
      </c>
      <c r="C1099" s="88">
        <v>47.592300000000002</v>
      </c>
    </row>
    <row r="1100" spans="1:4" x14ac:dyDescent="0.25">
      <c r="A1100" s="89">
        <v>46076</v>
      </c>
      <c r="B1100" s="88" t="s">
        <v>110</v>
      </c>
      <c r="C1100" s="88">
        <v>47.569800000000001</v>
      </c>
    </row>
    <row r="1101" spans="1:4" x14ac:dyDescent="0.25">
      <c r="A1101" s="89">
        <v>46076</v>
      </c>
      <c r="B1101" s="88" t="s">
        <v>111</v>
      </c>
      <c r="C1101" s="88">
        <v>48.9161</v>
      </c>
    </row>
    <row r="1102" spans="1:4" x14ac:dyDescent="0.25">
      <c r="A1102" s="89">
        <v>46076</v>
      </c>
      <c r="B1102" s="88" t="s">
        <v>112</v>
      </c>
      <c r="C1102" s="88">
        <v>48.8538</v>
      </c>
    </row>
    <row r="1103" spans="1:4" x14ac:dyDescent="0.25">
      <c r="A1103" s="89">
        <v>46077</v>
      </c>
      <c r="B1103" s="88" t="s">
        <v>114</v>
      </c>
      <c r="C1103" s="88">
        <v>46.688800000000001</v>
      </c>
    </row>
    <row r="1104" spans="1:4" x14ac:dyDescent="0.25">
      <c r="A1104" s="89">
        <v>46077</v>
      </c>
      <c r="B1104" s="88" t="s">
        <v>115</v>
      </c>
      <c r="C1104" s="88">
        <v>46.573800000000006</v>
      </c>
    </row>
    <row r="1105" spans="1:3" x14ac:dyDescent="0.25">
      <c r="A1105" s="89">
        <v>46077</v>
      </c>
      <c r="B1105" s="88" t="s">
        <v>116</v>
      </c>
      <c r="C1105" s="88">
        <v>46.789700000000003</v>
      </c>
    </row>
    <row r="1106" spans="1:3" x14ac:dyDescent="0.25">
      <c r="A1106" s="89">
        <v>46077</v>
      </c>
      <c r="B1106" s="88" t="s">
        <v>117</v>
      </c>
      <c r="C1106" s="88">
        <v>46.946300000000001</v>
      </c>
    </row>
    <row r="1107" spans="1:3" x14ac:dyDescent="0.25">
      <c r="A1107" s="89">
        <v>46077</v>
      </c>
      <c r="B1107" s="88" t="s">
        <v>118</v>
      </c>
      <c r="C1107" s="88">
        <v>46.2742</v>
      </c>
    </row>
    <row r="1108" spans="1:3" x14ac:dyDescent="0.25">
      <c r="A1108" s="89">
        <v>46077</v>
      </c>
      <c r="B1108" s="88" t="s">
        <v>119</v>
      </c>
      <c r="C1108" s="88">
        <v>46.303000000000004</v>
      </c>
    </row>
    <row r="1109" spans="1:3" x14ac:dyDescent="0.25">
      <c r="A1109" s="89">
        <v>46077</v>
      </c>
      <c r="B1109" s="88" t="s">
        <v>120</v>
      </c>
      <c r="C1109" s="88">
        <v>45.5501</v>
      </c>
    </row>
    <row r="1110" spans="1:3" x14ac:dyDescent="0.25">
      <c r="A1110" s="89">
        <v>46077</v>
      </c>
      <c r="B1110" s="88" t="s">
        <v>121</v>
      </c>
      <c r="C1110" s="88">
        <v>45.556900000000006</v>
      </c>
    </row>
    <row r="1111" spans="1:3" x14ac:dyDescent="0.25">
      <c r="A1111" s="89">
        <v>46077</v>
      </c>
      <c r="B1111" s="88" t="s">
        <v>122</v>
      </c>
      <c r="C1111" s="88">
        <v>45.536200000000001</v>
      </c>
    </row>
    <row r="1112" spans="1:3" x14ac:dyDescent="0.25">
      <c r="A1112" s="89">
        <v>46077</v>
      </c>
      <c r="B1112" s="88" t="s">
        <v>123</v>
      </c>
      <c r="C1112" s="88">
        <v>45.457599999999999</v>
      </c>
    </row>
    <row r="1113" spans="1:3" x14ac:dyDescent="0.25">
      <c r="A1113" s="89">
        <v>46077</v>
      </c>
      <c r="B1113" s="88" t="s">
        <v>124</v>
      </c>
      <c r="C1113" s="88">
        <v>45.471900000000005</v>
      </c>
    </row>
    <row r="1114" spans="1:3" x14ac:dyDescent="0.25">
      <c r="A1114" s="89">
        <v>46077</v>
      </c>
      <c r="B1114" s="88" t="s">
        <v>125</v>
      </c>
      <c r="C1114" s="88">
        <v>46.548300000000005</v>
      </c>
    </row>
    <row r="1115" spans="1:3" x14ac:dyDescent="0.25">
      <c r="A1115" s="89">
        <v>46077</v>
      </c>
      <c r="B1115" s="88" t="s">
        <v>126</v>
      </c>
      <c r="C1115" s="88">
        <v>46.567900000000002</v>
      </c>
    </row>
    <row r="1116" spans="1:3" x14ac:dyDescent="0.25">
      <c r="A1116" s="89">
        <v>46077</v>
      </c>
      <c r="B1116" s="88" t="s">
        <v>127</v>
      </c>
      <c r="C1116" s="88">
        <v>48.006500000000003</v>
      </c>
    </row>
    <row r="1117" spans="1:3" x14ac:dyDescent="0.25">
      <c r="A1117" s="89">
        <v>46077</v>
      </c>
      <c r="B1117" s="88" t="s">
        <v>128</v>
      </c>
      <c r="C1117" s="88">
        <v>48.123900000000006</v>
      </c>
    </row>
    <row r="1118" spans="1:3" x14ac:dyDescent="0.25">
      <c r="A1118" s="89">
        <v>46077</v>
      </c>
      <c r="B1118" s="88" t="s">
        <v>129</v>
      </c>
      <c r="C1118" s="88">
        <v>48.447400000000002</v>
      </c>
    </row>
    <row r="1119" spans="1:3" x14ac:dyDescent="0.25">
      <c r="A1119" s="89">
        <v>46077</v>
      </c>
      <c r="B1119" s="88" t="s">
        <v>130</v>
      </c>
      <c r="C1119" s="88">
        <v>50.288800000000002</v>
      </c>
    </row>
    <row r="1120" spans="1:3" x14ac:dyDescent="0.25">
      <c r="A1120" s="89">
        <v>46077</v>
      </c>
      <c r="B1120" s="88" t="s">
        <v>131</v>
      </c>
      <c r="C1120" s="88">
        <v>50.973400000000005</v>
      </c>
    </row>
    <row r="1121" spans="1:3" x14ac:dyDescent="0.25">
      <c r="A1121" s="89">
        <v>46077</v>
      </c>
      <c r="B1121" s="88" t="s">
        <v>132</v>
      </c>
      <c r="C1121" s="88">
        <v>49.868000000000002</v>
      </c>
    </row>
    <row r="1122" spans="1:3" x14ac:dyDescent="0.25">
      <c r="A1122" s="89">
        <v>46077</v>
      </c>
      <c r="B1122" s="88" t="s">
        <v>133</v>
      </c>
      <c r="C1122" s="88">
        <v>49.661500000000004</v>
      </c>
    </row>
    <row r="1123" spans="1:3" x14ac:dyDescent="0.25">
      <c r="A1123" s="89">
        <v>46077</v>
      </c>
      <c r="B1123" s="88" t="s">
        <v>134</v>
      </c>
      <c r="C1123" s="88">
        <v>48.1389</v>
      </c>
    </row>
    <row r="1124" spans="1:3" x14ac:dyDescent="0.25">
      <c r="A1124" s="89">
        <v>46077</v>
      </c>
      <c r="B1124" s="88" t="s">
        <v>135</v>
      </c>
      <c r="C1124" s="88">
        <v>48.207100000000004</v>
      </c>
    </row>
    <row r="1125" spans="1:3" x14ac:dyDescent="0.25">
      <c r="A1125" s="89">
        <v>46077</v>
      </c>
      <c r="B1125" s="88" t="s">
        <v>136</v>
      </c>
      <c r="C1125" s="88">
        <v>47.882600000000004</v>
      </c>
    </row>
    <row r="1126" spans="1:3" x14ac:dyDescent="0.25">
      <c r="A1126" s="89">
        <v>46077</v>
      </c>
      <c r="B1126" s="88" t="s">
        <v>137</v>
      </c>
      <c r="C1126" s="88">
        <v>47.766300000000001</v>
      </c>
    </row>
    <row r="1127" spans="1:3" x14ac:dyDescent="0.25">
      <c r="A1127" s="89">
        <v>46077</v>
      </c>
      <c r="B1127" s="88" t="s">
        <v>138</v>
      </c>
      <c r="C1127" s="88">
        <v>47.887300000000003</v>
      </c>
    </row>
    <row r="1128" spans="1:3" x14ac:dyDescent="0.25">
      <c r="A1128" s="89">
        <v>46077</v>
      </c>
      <c r="B1128" s="88" t="s">
        <v>139</v>
      </c>
      <c r="C1128" s="88">
        <v>47.0426</v>
      </c>
    </row>
    <row r="1129" spans="1:3" x14ac:dyDescent="0.25">
      <c r="A1129" s="89">
        <v>46077</v>
      </c>
      <c r="B1129" s="88" t="s">
        <v>140</v>
      </c>
      <c r="C1129" s="88">
        <v>44.045400000000001</v>
      </c>
    </row>
    <row r="1130" spans="1:3" x14ac:dyDescent="0.25">
      <c r="A1130" s="89">
        <v>46077</v>
      </c>
      <c r="B1130" s="88" t="s">
        <v>141</v>
      </c>
      <c r="C1130" s="88">
        <v>43.954700000000003</v>
      </c>
    </row>
    <row r="1131" spans="1:3" x14ac:dyDescent="0.25">
      <c r="A1131" s="89">
        <v>46077</v>
      </c>
      <c r="B1131" s="88" t="s">
        <v>107</v>
      </c>
      <c r="C1131" s="88">
        <v>46.3628</v>
      </c>
    </row>
    <row r="1132" spans="1:3" x14ac:dyDescent="0.25">
      <c r="A1132" s="89">
        <v>46077</v>
      </c>
      <c r="B1132" s="88" t="s">
        <v>108</v>
      </c>
      <c r="C1132" s="88">
        <v>46.3508</v>
      </c>
    </row>
    <row r="1133" spans="1:3" x14ac:dyDescent="0.25">
      <c r="A1133" s="89">
        <v>46077</v>
      </c>
      <c r="B1133" s="88" t="s">
        <v>109</v>
      </c>
      <c r="C1133" s="88">
        <v>47.591900000000003</v>
      </c>
    </row>
    <row r="1134" spans="1:3" x14ac:dyDescent="0.25">
      <c r="A1134" s="89">
        <v>46077</v>
      </c>
      <c r="B1134" s="88" t="s">
        <v>110</v>
      </c>
      <c r="C1134" s="88">
        <v>47.569400000000002</v>
      </c>
    </row>
    <row r="1135" spans="1:3" x14ac:dyDescent="0.25">
      <c r="A1135" s="89">
        <v>46077</v>
      </c>
      <c r="B1135" s="88" t="s">
        <v>111</v>
      </c>
      <c r="C1135" s="88">
        <v>48.915700000000001</v>
      </c>
    </row>
    <row r="1136" spans="1:3" x14ac:dyDescent="0.25">
      <c r="A1136" s="89">
        <v>46077</v>
      </c>
      <c r="B1136" s="88" t="s">
        <v>112</v>
      </c>
      <c r="C1136" s="88">
        <v>48.853200000000001</v>
      </c>
    </row>
    <row r="1137" spans="1:4" x14ac:dyDescent="0.25">
      <c r="A1137" s="84">
        <v>46078</v>
      </c>
      <c r="B1137" s="100" t="s">
        <v>148</v>
      </c>
      <c r="C1137" s="101">
        <v>48.1601</v>
      </c>
    </row>
    <row r="1138" spans="1:4" x14ac:dyDescent="0.25">
      <c r="A1138" s="84">
        <v>46078</v>
      </c>
      <c r="B1138" s="100" t="s">
        <v>149</v>
      </c>
      <c r="C1138" s="101">
        <v>48.140900000000002</v>
      </c>
    </row>
    <row r="1139" spans="1:4" x14ac:dyDescent="0.25">
      <c r="A1139" s="84">
        <v>46078</v>
      </c>
      <c r="B1139" s="100" t="s">
        <v>150</v>
      </c>
      <c r="C1139" s="101">
        <v>49.053199999999997</v>
      </c>
    </row>
    <row r="1140" spans="1:4" x14ac:dyDescent="0.25">
      <c r="A1140" s="84">
        <v>46078</v>
      </c>
      <c r="B1140" s="100" t="s">
        <v>151</v>
      </c>
      <c r="C1140" s="101">
        <v>49.000500000000002</v>
      </c>
    </row>
    <row r="1141" spans="1:4" x14ac:dyDescent="0.25">
      <c r="A1141" s="84">
        <v>46078</v>
      </c>
      <c r="B1141" s="100" t="s">
        <v>152</v>
      </c>
      <c r="C1141" s="101">
        <v>48.834400000000002</v>
      </c>
    </row>
    <row r="1142" spans="1:4" x14ac:dyDescent="0.25">
      <c r="A1142" s="84">
        <v>46078</v>
      </c>
      <c r="B1142" s="100" t="s">
        <v>153</v>
      </c>
      <c r="C1142" s="101">
        <v>48.628300000000003</v>
      </c>
    </row>
    <row r="1143" spans="1:4" x14ac:dyDescent="0.25">
      <c r="A1143" s="84">
        <v>46078</v>
      </c>
      <c r="B1143" s="100" t="s">
        <v>154</v>
      </c>
      <c r="C1143" s="101">
        <v>49.723399999999998</v>
      </c>
    </row>
    <row r="1144" spans="1:4" x14ac:dyDescent="0.25">
      <c r="A1144" s="84">
        <v>46078</v>
      </c>
      <c r="B1144" s="100" t="s">
        <v>155</v>
      </c>
      <c r="C1144" s="101">
        <v>49.0366</v>
      </c>
    </row>
    <row r="1145" spans="1:4" x14ac:dyDescent="0.25">
      <c r="A1145" s="84">
        <v>46078</v>
      </c>
      <c r="B1145" s="100" t="s">
        <v>156</v>
      </c>
      <c r="C1145" s="101">
        <v>49.155900000000003</v>
      </c>
    </row>
    <row r="1146" spans="1:4" x14ac:dyDescent="0.25">
      <c r="A1146" s="84">
        <v>46078</v>
      </c>
      <c r="B1146" s="100" t="s">
        <v>157</v>
      </c>
      <c r="C1146" s="101">
        <v>49.3611</v>
      </c>
      <c r="D1146" s="91"/>
    </row>
    <row r="1147" spans="1:4" x14ac:dyDescent="0.25">
      <c r="A1147" s="89">
        <v>46078</v>
      </c>
      <c r="B1147" s="88" t="s">
        <v>123</v>
      </c>
      <c r="C1147" s="88">
        <v>45.4572</v>
      </c>
      <c r="D1147" s="91"/>
    </row>
    <row r="1148" spans="1:4" x14ac:dyDescent="0.25">
      <c r="A1148" s="89">
        <v>46078</v>
      </c>
      <c r="B1148" s="88" t="s">
        <v>124</v>
      </c>
      <c r="C1148" s="88">
        <v>45.471299999999999</v>
      </c>
      <c r="D1148" s="91"/>
    </row>
    <row r="1149" spans="1:4" x14ac:dyDescent="0.25">
      <c r="A1149" s="89">
        <v>46078</v>
      </c>
      <c r="B1149" s="88" t="s">
        <v>125</v>
      </c>
      <c r="C1149" s="88">
        <v>46.547400000000003</v>
      </c>
      <c r="D1149" s="91"/>
    </row>
    <row r="1150" spans="1:4" x14ac:dyDescent="0.25">
      <c r="A1150" s="89">
        <v>46078</v>
      </c>
      <c r="B1150" s="88" t="s">
        <v>126</v>
      </c>
      <c r="C1150" s="88">
        <v>46.566899999999997</v>
      </c>
      <c r="D1150" s="91"/>
    </row>
    <row r="1151" spans="1:4" x14ac:dyDescent="0.25">
      <c r="A1151" s="89">
        <v>46078</v>
      </c>
      <c r="B1151" s="88" t="s">
        <v>127</v>
      </c>
      <c r="C1151" s="88">
        <v>48.005099999999999</v>
      </c>
      <c r="D1151" s="91"/>
    </row>
    <row r="1152" spans="1:4" x14ac:dyDescent="0.25">
      <c r="A1152" s="89">
        <v>46078</v>
      </c>
      <c r="B1152" s="88" t="s">
        <v>128</v>
      </c>
      <c r="C1152" s="88">
        <v>48.122399999999999</v>
      </c>
      <c r="D1152" s="91"/>
    </row>
    <row r="1153" spans="1:4" x14ac:dyDescent="0.25">
      <c r="A1153" s="89">
        <v>46078</v>
      </c>
      <c r="B1153" s="88" t="s">
        <v>129</v>
      </c>
      <c r="C1153" s="88">
        <v>48.4465</v>
      </c>
      <c r="D1153" s="91"/>
    </row>
    <row r="1154" spans="1:4" x14ac:dyDescent="0.25">
      <c r="A1154" s="89">
        <v>46078</v>
      </c>
      <c r="B1154" s="88" t="s">
        <v>130</v>
      </c>
      <c r="C1154" s="88">
        <v>50.287700000000001</v>
      </c>
      <c r="D1154" s="91"/>
    </row>
    <row r="1155" spans="1:4" x14ac:dyDescent="0.25">
      <c r="A1155" s="89">
        <v>46078</v>
      </c>
      <c r="B1155" s="88" t="s">
        <v>131</v>
      </c>
      <c r="C1155" s="88">
        <v>50.972799999999999</v>
      </c>
      <c r="D1155" s="91"/>
    </row>
    <row r="1156" spans="1:4" x14ac:dyDescent="0.25">
      <c r="A1156" s="89">
        <v>46078</v>
      </c>
      <c r="B1156" s="88" t="s">
        <v>132</v>
      </c>
      <c r="C1156" s="88">
        <v>49.868299999999998</v>
      </c>
      <c r="D1156" s="91"/>
    </row>
    <row r="1157" spans="1:4" x14ac:dyDescent="0.25">
      <c r="A1157" s="89">
        <v>46078</v>
      </c>
      <c r="B1157" s="88" t="s">
        <v>133</v>
      </c>
      <c r="C1157" s="88">
        <v>49.661900000000003</v>
      </c>
      <c r="D1157" s="91"/>
    </row>
    <row r="1158" spans="1:4" x14ac:dyDescent="0.25">
      <c r="A1158" s="89">
        <v>46078</v>
      </c>
      <c r="B1158" s="88" t="s">
        <v>134</v>
      </c>
      <c r="C1158" s="88">
        <v>48.139400000000002</v>
      </c>
      <c r="D1158" s="91"/>
    </row>
    <row r="1159" spans="1:4" x14ac:dyDescent="0.25">
      <c r="A1159" s="89">
        <v>46078</v>
      </c>
      <c r="B1159" s="88" t="s">
        <v>135</v>
      </c>
      <c r="C1159" s="88">
        <v>48.207300000000004</v>
      </c>
      <c r="D1159" s="91"/>
    </row>
    <row r="1160" spans="1:4" x14ac:dyDescent="0.25">
      <c r="A1160" s="89">
        <v>46078</v>
      </c>
      <c r="B1160" s="88" t="s">
        <v>136</v>
      </c>
      <c r="C1160" s="88">
        <v>47.882899999999999</v>
      </c>
      <c r="D1160" s="91"/>
    </row>
    <row r="1161" spans="1:4" x14ac:dyDescent="0.25">
      <c r="A1161" s="89">
        <v>46078</v>
      </c>
      <c r="B1161" s="88" t="s">
        <v>137</v>
      </c>
      <c r="C1161" s="88">
        <v>47.766399999999997</v>
      </c>
      <c r="D1161" s="91"/>
    </row>
    <row r="1162" spans="1:4" x14ac:dyDescent="0.25">
      <c r="A1162" s="89">
        <v>46078</v>
      </c>
      <c r="B1162" s="88" t="s">
        <v>138</v>
      </c>
      <c r="C1162" s="88">
        <v>47.887500000000003</v>
      </c>
      <c r="D1162" s="91"/>
    </row>
    <row r="1163" spans="1:4" x14ac:dyDescent="0.25">
      <c r="A1163" s="89">
        <v>46078</v>
      </c>
      <c r="B1163" s="88" t="s">
        <v>139</v>
      </c>
      <c r="C1163" s="88">
        <v>47.0428</v>
      </c>
      <c r="D1163" s="91"/>
    </row>
    <row r="1164" spans="1:4" x14ac:dyDescent="0.25">
      <c r="A1164" s="89">
        <v>46078</v>
      </c>
      <c r="B1164" s="88" t="s">
        <v>140</v>
      </c>
      <c r="C1164" s="88">
        <v>44.045200000000001</v>
      </c>
      <c r="D1164" s="91"/>
    </row>
    <row r="1165" spans="1:4" x14ac:dyDescent="0.25">
      <c r="A1165" s="89">
        <v>46078</v>
      </c>
      <c r="B1165" s="88" t="s">
        <v>141</v>
      </c>
      <c r="C1165" s="88">
        <v>43.954300000000003</v>
      </c>
      <c r="D1165" s="91"/>
    </row>
    <row r="1166" spans="1:4" x14ac:dyDescent="0.25">
      <c r="A1166" s="89">
        <v>46079</v>
      </c>
      <c r="B1166" s="88" t="s">
        <v>114</v>
      </c>
      <c r="C1166" s="88">
        <v>46.688599999999994</v>
      </c>
      <c r="D1166" s="91"/>
    </row>
    <row r="1167" spans="1:4" x14ac:dyDescent="0.25">
      <c r="A1167" s="89">
        <v>46079</v>
      </c>
      <c r="B1167" s="88" t="s">
        <v>115</v>
      </c>
      <c r="C1167" s="88">
        <v>46.573499999999996</v>
      </c>
      <c r="D1167" s="91"/>
    </row>
    <row r="1168" spans="1:4" x14ac:dyDescent="0.25">
      <c r="A1168" s="89">
        <v>46079</v>
      </c>
      <c r="B1168" s="88" t="s">
        <v>116</v>
      </c>
      <c r="C1168" s="88">
        <v>46.7898</v>
      </c>
      <c r="D1168" s="91"/>
    </row>
    <row r="1169" spans="1:4" x14ac:dyDescent="0.25">
      <c r="A1169" s="89">
        <v>46079</v>
      </c>
      <c r="B1169" s="88" t="s">
        <v>117</v>
      </c>
      <c r="C1169" s="88">
        <v>46.946399999999997</v>
      </c>
      <c r="D1169" s="91"/>
    </row>
    <row r="1170" spans="1:4" x14ac:dyDescent="0.25">
      <c r="A1170" s="89">
        <v>46079</v>
      </c>
      <c r="B1170" s="88" t="s">
        <v>118</v>
      </c>
      <c r="C1170" s="88">
        <v>46.273799999999994</v>
      </c>
      <c r="D1170" s="91"/>
    </row>
    <row r="1171" spans="1:4" x14ac:dyDescent="0.25">
      <c r="A1171" s="89">
        <v>46079</v>
      </c>
      <c r="B1171" s="88" t="s">
        <v>119</v>
      </c>
      <c r="C1171" s="88">
        <v>46.302499999999995</v>
      </c>
      <c r="D1171" s="91"/>
    </row>
    <row r="1172" spans="1:4" x14ac:dyDescent="0.25">
      <c r="A1172" s="89">
        <v>46079</v>
      </c>
      <c r="B1172" s="88" t="s">
        <v>120</v>
      </c>
      <c r="C1172" s="88">
        <v>45.549299999999995</v>
      </c>
      <c r="D1172" s="91"/>
    </row>
    <row r="1173" spans="1:4" x14ac:dyDescent="0.25">
      <c r="A1173" s="89">
        <v>46079</v>
      </c>
      <c r="B1173" s="88" t="s">
        <v>121</v>
      </c>
      <c r="C1173" s="88">
        <v>45.555999999999997</v>
      </c>
      <c r="D1173" s="91"/>
    </row>
    <row r="1174" spans="1:4" x14ac:dyDescent="0.25">
      <c r="A1174" s="89">
        <v>46079</v>
      </c>
      <c r="B1174" s="88" t="s">
        <v>122</v>
      </c>
      <c r="C1174" s="88">
        <v>45.535299999999999</v>
      </c>
      <c r="D1174" s="91"/>
    </row>
    <row r="1175" spans="1:4" x14ac:dyDescent="0.25">
      <c r="A1175" s="89">
        <v>46079</v>
      </c>
      <c r="B1175" s="88" t="s">
        <v>123</v>
      </c>
      <c r="C1175" s="88">
        <v>45.456699999999998</v>
      </c>
      <c r="D1175" s="91"/>
    </row>
    <row r="1176" spans="1:4" x14ac:dyDescent="0.25">
      <c r="A1176" s="89">
        <v>46079</v>
      </c>
      <c r="B1176" s="88" t="s">
        <v>124</v>
      </c>
      <c r="C1176" s="88">
        <v>45.470799999999997</v>
      </c>
      <c r="D1176" s="91"/>
    </row>
    <row r="1177" spans="1:4" x14ac:dyDescent="0.25">
      <c r="A1177" s="89">
        <v>46079</v>
      </c>
      <c r="B1177" s="88" t="s">
        <v>125</v>
      </c>
      <c r="C1177" s="88">
        <v>46.546699999999994</v>
      </c>
      <c r="D1177" s="91"/>
    </row>
    <row r="1178" spans="1:4" x14ac:dyDescent="0.25">
      <c r="A1178" s="89">
        <v>46079</v>
      </c>
      <c r="B1178" s="88" t="s">
        <v>126</v>
      </c>
      <c r="C1178" s="88">
        <v>46.566199999999995</v>
      </c>
      <c r="D1178" s="91"/>
    </row>
    <row r="1179" spans="1:4" x14ac:dyDescent="0.25">
      <c r="A1179" s="89">
        <v>46079</v>
      </c>
      <c r="B1179" s="88" t="s">
        <v>127</v>
      </c>
      <c r="C1179" s="88">
        <v>48.0047</v>
      </c>
      <c r="D1179" s="91"/>
    </row>
    <row r="1180" spans="1:4" x14ac:dyDescent="0.25">
      <c r="A1180" s="89">
        <v>46079</v>
      </c>
      <c r="B1180" s="88" t="s">
        <v>128</v>
      </c>
      <c r="C1180" s="88">
        <v>48.122099999999996</v>
      </c>
      <c r="D1180" s="91"/>
    </row>
    <row r="1181" spans="1:4" x14ac:dyDescent="0.25">
      <c r="A1181" s="89">
        <v>46079</v>
      </c>
      <c r="B1181" s="88" t="s">
        <v>129</v>
      </c>
      <c r="C1181" s="88">
        <v>48.446099999999994</v>
      </c>
      <c r="D1181" s="91"/>
    </row>
    <row r="1182" spans="1:4" x14ac:dyDescent="0.25">
      <c r="A1182" s="89">
        <v>46079</v>
      </c>
      <c r="B1182" s="88" t="s">
        <v>130</v>
      </c>
      <c r="C1182" s="88">
        <v>50.287699999999994</v>
      </c>
      <c r="D1182" s="91"/>
    </row>
    <row r="1183" spans="1:4" x14ac:dyDescent="0.25">
      <c r="A1183" s="89">
        <v>46079</v>
      </c>
      <c r="B1183" s="88" t="s">
        <v>131</v>
      </c>
      <c r="C1183" s="88">
        <v>50.972799999999999</v>
      </c>
      <c r="D1183" s="91"/>
    </row>
    <row r="1184" spans="1:4" x14ac:dyDescent="0.25">
      <c r="A1184" s="89">
        <v>46079</v>
      </c>
      <c r="B1184" s="88" t="s">
        <v>132</v>
      </c>
      <c r="C1184" s="88">
        <v>49.867799999999995</v>
      </c>
      <c r="D1184" s="91"/>
    </row>
    <row r="1185" spans="1:4" x14ac:dyDescent="0.25">
      <c r="A1185" s="89">
        <v>46079</v>
      </c>
      <c r="B1185" s="88" t="s">
        <v>133</v>
      </c>
      <c r="C1185" s="88">
        <v>49.661499999999997</v>
      </c>
      <c r="D1185" s="91"/>
    </row>
    <row r="1186" spans="1:4" x14ac:dyDescent="0.25">
      <c r="A1186" s="89">
        <v>46079</v>
      </c>
      <c r="B1186" s="88" t="s">
        <v>134</v>
      </c>
      <c r="C1186" s="88">
        <v>48.138599999999997</v>
      </c>
      <c r="D1186" s="91"/>
    </row>
    <row r="1187" spans="1:4" x14ac:dyDescent="0.25">
      <c r="A1187" s="89">
        <v>46079</v>
      </c>
      <c r="B1187" s="88" t="s">
        <v>135</v>
      </c>
      <c r="C1187" s="88">
        <v>48.206499999999998</v>
      </c>
      <c r="D1187" s="91"/>
    </row>
    <row r="1188" spans="1:4" x14ac:dyDescent="0.25">
      <c r="A1188" s="89">
        <v>46079</v>
      </c>
      <c r="B1188" s="88" t="s">
        <v>136</v>
      </c>
      <c r="C1188" s="88">
        <v>47.881899999999995</v>
      </c>
      <c r="D1188" s="91"/>
    </row>
    <row r="1189" spans="1:4" x14ac:dyDescent="0.25">
      <c r="A1189" s="89">
        <v>46079</v>
      </c>
      <c r="B1189" s="88" t="s">
        <v>137</v>
      </c>
      <c r="C1189" s="88">
        <v>47.7654</v>
      </c>
      <c r="D1189" s="91"/>
    </row>
    <row r="1190" spans="1:4" x14ac:dyDescent="0.25">
      <c r="A1190" s="89">
        <v>46079</v>
      </c>
      <c r="B1190" s="88" t="s">
        <v>138</v>
      </c>
      <c r="C1190" s="88">
        <v>47.886599999999994</v>
      </c>
      <c r="D1190" s="91"/>
    </row>
    <row r="1191" spans="1:4" x14ac:dyDescent="0.25">
      <c r="A1191" s="89">
        <v>46079</v>
      </c>
      <c r="B1191" s="88" t="s">
        <v>139</v>
      </c>
      <c r="C1191" s="88">
        <v>47.041699999999999</v>
      </c>
      <c r="D1191" s="91"/>
    </row>
    <row r="1192" spans="1:4" x14ac:dyDescent="0.25">
      <c r="A1192" s="89">
        <v>46079</v>
      </c>
      <c r="B1192" s="88" t="s">
        <v>140</v>
      </c>
      <c r="C1192" s="88">
        <v>44.044499999999999</v>
      </c>
      <c r="D1192" s="91"/>
    </row>
    <row r="1193" spans="1:4" x14ac:dyDescent="0.25">
      <c r="A1193" s="89">
        <v>46079</v>
      </c>
      <c r="B1193" s="88" t="s">
        <v>141</v>
      </c>
      <c r="C1193" s="88">
        <v>43.953899999999997</v>
      </c>
      <c r="D1193" s="91"/>
    </row>
    <row r="1194" spans="1:4" x14ac:dyDescent="0.25">
      <c r="A1194" s="89">
        <v>46079</v>
      </c>
      <c r="B1194" s="88" t="s">
        <v>107</v>
      </c>
      <c r="C1194" s="88">
        <v>46.363199999999999</v>
      </c>
      <c r="D1194" s="91"/>
    </row>
    <row r="1195" spans="1:4" x14ac:dyDescent="0.25">
      <c r="A1195" s="89">
        <v>46079</v>
      </c>
      <c r="B1195" s="88" t="s">
        <v>108</v>
      </c>
      <c r="C1195" s="88">
        <v>46.350899999999996</v>
      </c>
      <c r="D1195" s="91"/>
    </row>
    <row r="1196" spans="1:4" x14ac:dyDescent="0.25">
      <c r="A1196" s="89">
        <v>46079</v>
      </c>
      <c r="B1196" s="88" t="s">
        <v>109</v>
      </c>
      <c r="C1196" s="88">
        <v>47.592199999999998</v>
      </c>
      <c r="D1196" s="91"/>
    </row>
    <row r="1197" spans="1:4" x14ac:dyDescent="0.25">
      <c r="A1197" s="89">
        <v>46079</v>
      </c>
      <c r="B1197" s="88" t="s">
        <v>110</v>
      </c>
      <c r="C1197" s="88">
        <v>47.569499999999998</v>
      </c>
      <c r="D1197" s="91"/>
    </row>
    <row r="1198" spans="1:4" x14ac:dyDescent="0.25">
      <c r="A1198" s="89">
        <v>46079</v>
      </c>
      <c r="B1198" s="88" t="s">
        <v>111</v>
      </c>
      <c r="C1198" s="88">
        <v>48.915900000000001</v>
      </c>
      <c r="D1198" s="91"/>
    </row>
    <row r="1199" spans="1:4" x14ac:dyDescent="0.25">
      <c r="A1199" s="89">
        <v>46079</v>
      </c>
      <c r="B1199" s="88" t="s">
        <v>112</v>
      </c>
      <c r="C1199" s="88">
        <v>48.853499999999997</v>
      </c>
      <c r="D1199" s="91"/>
    </row>
    <row r="1200" spans="1:4" x14ac:dyDescent="0.25">
      <c r="A1200" s="89">
        <v>46080</v>
      </c>
      <c r="B1200" s="88" t="s">
        <v>88</v>
      </c>
      <c r="C1200" s="88">
        <v>53.021300000000004</v>
      </c>
      <c r="D1200" s="91"/>
    </row>
    <row r="1201" spans="1:4" x14ac:dyDescent="0.25">
      <c r="A1201" s="89">
        <v>46080</v>
      </c>
      <c r="B1201" s="88" t="s">
        <v>89</v>
      </c>
      <c r="C1201" s="88">
        <v>53.080500000000001</v>
      </c>
      <c r="D1201" s="91"/>
    </row>
    <row r="1202" spans="1:4" x14ac:dyDescent="0.25">
      <c r="A1202" s="89">
        <v>46080</v>
      </c>
      <c r="B1202" s="88" t="s">
        <v>90</v>
      </c>
      <c r="C1202" s="88">
        <v>53.0458</v>
      </c>
      <c r="D1202" s="91"/>
    </row>
    <row r="1203" spans="1:4" x14ac:dyDescent="0.25">
      <c r="A1203" s="89">
        <v>46080</v>
      </c>
      <c r="B1203" s="88" t="s">
        <v>91</v>
      </c>
      <c r="C1203" s="88">
        <v>52.634700000000002</v>
      </c>
      <c r="D1203" s="91"/>
    </row>
    <row r="1204" spans="1:4" x14ac:dyDescent="0.25">
      <c r="A1204" s="89">
        <v>46080</v>
      </c>
      <c r="B1204" s="88" t="s">
        <v>104</v>
      </c>
      <c r="C1204" s="88">
        <v>52.6066</v>
      </c>
      <c r="D1204" s="91"/>
    </row>
    <row r="1205" spans="1:4" x14ac:dyDescent="0.25">
      <c r="A1205" s="89">
        <v>46080</v>
      </c>
      <c r="B1205" s="88" t="s">
        <v>105</v>
      </c>
      <c r="C1205" s="88">
        <v>52.723100000000002</v>
      </c>
      <c r="D1205" s="91"/>
    </row>
    <row r="1206" spans="1:4" x14ac:dyDescent="0.25">
      <c r="A1206" s="89">
        <v>46080</v>
      </c>
      <c r="B1206" s="88" t="s">
        <v>92</v>
      </c>
      <c r="C1206" s="88">
        <v>52.919800000000002</v>
      </c>
      <c r="D1206" s="91"/>
    </row>
    <row r="1207" spans="1:4" x14ac:dyDescent="0.25">
      <c r="A1207" s="89">
        <v>46080</v>
      </c>
      <c r="B1207" s="88" t="s">
        <v>93</v>
      </c>
      <c r="C1207" s="88">
        <v>52.928199999999997</v>
      </c>
      <c r="D1207" s="91"/>
    </row>
    <row r="1208" spans="1:4" x14ac:dyDescent="0.25">
      <c r="A1208" s="89">
        <v>46080</v>
      </c>
      <c r="B1208" s="88" t="s">
        <v>106</v>
      </c>
      <c r="C1208" s="88">
        <v>52.915799999999997</v>
      </c>
      <c r="D1208" s="91"/>
    </row>
    <row r="1209" spans="1:4" x14ac:dyDescent="0.25">
      <c r="A1209" s="89">
        <v>46080</v>
      </c>
      <c r="B1209" s="88" t="s">
        <v>69</v>
      </c>
      <c r="C1209" s="88">
        <v>52.985999999999997</v>
      </c>
      <c r="D1209" s="91"/>
    </row>
    <row r="1210" spans="1:4" x14ac:dyDescent="0.25">
      <c r="A1210" s="89">
        <v>46080</v>
      </c>
      <c r="B1210" s="88" t="s">
        <v>70</v>
      </c>
      <c r="C1210" s="88">
        <v>53.081899999999997</v>
      </c>
      <c r="D1210" s="91"/>
    </row>
    <row r="1211" spans="1:4" x14ac:dyDescent="0.25">
      <c r="A1211" s="89">
        <v>46080</v>
      </c>
      <c r="B1211" s="88" t="s">
        <v>71</v>
      </c>
      <c r="C1211" s="88">
        <v>53.205199999999998</v>
      </c>
      <c r="D1211" s="91"/>
    </row>
    <row r="1212" spans="1:4" x14ac:dyDescent="0.25">
      <c r="A1212" s="89">
        <v>46080</v>
      </c>
      <c r="B1212" s="88" t="s">
        <v>72</v>
      </c>
      <c r="C1212" s="88">
        <v>53.080399999999997</v>
      </c>
      <c r="D1212" s="91"/>
    </row>
    <row r="1213" spans="1:4" x14ac:dyDescent="0.25">
      <c r="A1213" s="89">
        <v>46080</v>
      </c>
      <c r="B1213" s="88" t="s">
        <v>73</v>
      </c>
      <c r="C1213" s="88">
        <v>53.383800000000001</v>
      </c>
      <c r="D1213" s="91"/>
    </row>
    <row r="1214" spans="1:4" x14ac:dyDescent="0.25">
      <c r="A1214" s="89">
        <v>46080</v>
      </c>
      <c r="B1214" s="88" t="s">
        <v>74</v>
      </c>
      <c r="C1214" s="88">
        <v>53.378599999999999</v>
      </c>
      <c r="D1214" s="91"/>
    </row>
    <row r="1215" spans="1:4" x14ac:dyDescent="0.25">
      <c r="A1215" s="89">
        <v>46080</v>
      </c>
      <c r="B1215" s="88" t="s">
        <v>75</v>
      </c>
      <c r="C1215" s="88">
        <v>54.072099999999999</v>
      </c>
      <c r="D1215" s="91"/>
    </row>
    <row r="1216" spans="1:4" x14ac:dyDescent="0.25">
      <c r="A1216" s="89">
        <v>46080</v>
      </c>
      <c r="B1216" s="88" t="s">
        <v>76</v>
      </c>
      <c r="C1216" s="88">
        <v>54.079799999999999</v>
      </c>
      <c r="D1216" s="91"/>
    </row>
    <row r="1217" spans="1:4" x14ac:dyDescent="0.25">
      <c r="A1217" s="89">
        <v>46080</v>
      </c>
      <c r="B1217" s="88" t="s">
        <v>77</v>
      </c>
      <c r="C1217" s="88">
        <v>54.017099999999999</v>
      </c>
      <c r="D1217" s="91"/>
    </row>
    <row r="1218" spans="1:4" x14ac:dyDescent="0.25">
      <c r="A1218" s="89">
        <v>46080</v>
      </c>
      <c r="B1218" s="88" t="s">
        <v>78</v>
      </c>
      <c r="C1218" s="88">
        <v>52.923999999999999</v>
      </c>
      <c r="D1218" s="91"/>
    </row>
    <row r="1219" spans="1:4" x14ac:dyDescent="0.25">
      <c r="A1219" s="89">
        <v>46080</v>
      </c>
      <c r="B1219" s="88" t="s">
        <v>79</v>
      </c>
      <c r="C1219" s="88">
        <v>53.895400000000002</v>
      </c>
      <c r="D1219" s="91"/>
    </row>
    <row r="1220" spans="1:4" x14ac:dyDescent="0.25">
      <c r="A1220" s="89">
        <v>46080</v>
      </c>
      <c r="B1220" s="88" t="s">
        <v>80</v>
      </c>
      <c r="C1220" s="88">
        <v>54.090600000000002</v>
      </c>
      <c r="D1220" s="91"/>
    </row>
    <row r="1221" spans="1:4" x14ac:dyDescent="0.25">
      <c r="A1221" s="89">
        <v>46080</v>
      </c>
      <c r="B1221" s="88" t="s">
        <v>81</v>
      </c>
      <c r="C1221" s="88">
        <v>53.316200000000002</v>
      </c>
      <c r="D1221" s="91"/>
    </row>
    <row r="1222" spans="1:4" x14ac:dyDescent="0.25">
      <c r="A1222" s="89">
        <v>46080</v>
      </c>
      <c r="B1222" s="88" t="s">
        <v>82</v>
      </c>
      <c r="C1222" s="88">
        <v>53.325600000000001</v>
      </c>
      <c r="D1222" s="91"/>
    </row>
    <row r="1223" spans="1:4" x14ac:dyDescent="0.25">
      <c r="A1223" s="89">
        <v>46080</v>
      </c>
      <c r="B1223" s="88" t="s">
        <v>123</v>
      </c>
      <c r="C1223" s="88">
        <v>45.456700000000005</v>
      </c>
      <c r="D1223" s="91"/>
    </row>
    <row r="1224" spans="1:4" x14ac:dyDescent="0.25">
      <c r="A1224" s="89">
        <v>46080</v>
      </c>
      <c r="B1224" s="88" t="s">
        <v>124</v>
      </c>
      <c r="C1224" s="88">
        <v>45.470700000000001</v>
      </c>
      <c r="D1224" s="91"/>
    </row>
    <row r="1225" spans="1:4" x14ac:dyDescent="0.25">
      <c r="A1225" s="89">
        <v>46080</v>
      </c>
      <c r="B1225" s="88" t="s">
        <v>125</v>
      </c>
      <c r="C1225" s="88">
        <v>46.546500000000002</v>
      </c>
      <c r="D1225" s="91"/>
    </row>
    <row r="1226" spans="1:4" x14ac:dyDescent="0.25">
      <c r="A1226" s="89">
        <v>46080</v>
      </c>
      <c r="B1226" s="88" t="s">
        <v>126</v>
      </c>
      <c r="C1226" s="88">
        <v>46.566000000000003</v>
      </c>
      <c r="D1226" s="91"/>
    </row>
    <row r="1227" spans="1:4" x14ac:dyDescent="0.25">
      <c r="A1227" s="89">
        <v>46080</v>
      </c>
      <c r="B1227" s="88" t="s">
        <v>127</v>
      </c>
      <c r="C1227" s="88">
        <v>48.004600000000003</v>
      </c>
      <c r="D1227" s="91"/>
    </row>
    <row r="1228" spans="1:4" x14ac:dyDescent="0.25">
      <c r="A1228" s="89">
        <v>46080</v>
      </c>
      <c r="B1228" s="88" t="s">
        <v>128</v>
      </c>
      <c r="C1228" s="88">
        <v>48.122</v>
      </c>
      <c r="D1228" s="91"/>
    </row>
    <row r="1229" spans="1:4" x14ac:dyDescent="0.25">
      <c r="A1229" s="89">
        <v>46080</v>
      </c>
      <c r="B1229" s="88" t="s">
        <v>129</v>
      </c>
      <c r="C1229" s="88">
        <v>48.446100000000001</v>
      </c>
      <c r="D1229" s="91"/>
    </row>
    <row r="1230" spans="1:4" x14ac:dyDescent="0.25">
      <c r="A1230" s="89">
        <v>46080</v>
      </c>
      <c r="B1230" s="88" t="s">
        <v>130</v>
      </c>
      <c r="C1230" s="88">
        <v>50.2881</v>
      </c>
      <c r="D1230" s="91"/>
    </row>
    <row r="1231" spans="1:4" x14ac:dyDescent="0.25">
      <c r="A1231" s="89">
        <v>46080</v>
      </c>
      <c r="B1231" s="88" t="s">
        <v>131</v>
      </c>
      <c r="C1231" s="88">
        <v>50.973700000000001</v>
      </c>
      <c r="D1231" s="91"/>
    </row>
    <row r="1232" spans="1:4" x14ac:dyDescent="0.25">
      <c r="A1232" s="89">
        <v>46080</v>
      </c>
      <c r="B1232" s="88" t="s">
        <v>132</v>
      </c>
      <c r="C1232" s="88">
        <v>49.868099999999998</v>
      </c>
      <c r="D1232" s="91"/>
    </row>
    <row r="1233" spans="1:4" x14ac:dyDescent="0.25">
      <c r="A1233" s="89">
        <v>46080</v>
      </c>
      <c r="B1233" s="88" t="s">
        <v>133</v>
      </c>
      <c r="C1233" s="88">
        <v>49.661799999999999</v>
      </c>
      <c r="D1233" s="91"/>
    </row>
    <row r="1234" spans="1:4" x14ac:dyDescent="0.25">
      <c r="A1234" s="89">
        <v>46080</v>
      </c>
      <c r="B1234" s="88" t="s">
        <v>134</v>
      </c>
      <c r="C1234" s="88">
        <v>48.139099999999999</v>
      </c>
      <c r="D1234" s="91"/>
    </row>
    <row r="1235" spans="1:4" x14ac:dyDescent="0.25">
      <c r="A1235" s="89">
        <v>46080</v>
      </c>
      <c r="B1235" s="88" t="s">
        <v>135</v>
      </c>
      <c r="C1235" s="88">
        <v>48.206600000000002</v>
      </c>
      <c r="D1235" s="91"/>
    </row>
    <row r="1236" spans="1:4" x14ac:dyDescent="0.25">
      <c r="A1236" s="89">
        <v>46080</v>
      </c>
      <c r="B1236" s="88" t="s">
        <v>136</v>
      </c>
      <c r="C1236" s="88">
        <v>47.882100000000001</v>
      </c>
      <c r="D1236" s="91"/>
    </row>
    <row r="1237" spans="1:4" x14ac:dyDescent="0.25">
      <c r="A1237" s="89">
        <v>46080</v>
      </c>
      <c r="B1237" s="88" t="s">
        <v>137</v>
      </c>
      <c r="C1237" s="88">
        <v>47.765700000000002</v>
      </c>
      <c r="D1237" s="91"/>
    </row>
    <row r="1238" spans="1:4" x14ac:dyDescent="0.25">
      <c r="A1238" s="89">
        <v>46080</v>
      </c>
      <c r="B1238" s="88" t="s">
        <v>138</v>
      </c>
      <c r="C1238" s="88">
        <v>47.886800000000001</v>
      </c>
      <c r="D1238" s="91"/>
    </row>
    <row r="1239" spans="1:4" x14ac:dyDescent="0.25">
      <c r="A1239" s="89">
        <v>46080</v>
      </c>
      <c r="B1239" s="88" t="s">
        <v>139</v>
      </c>
      <c r="C1239" s="88">
        <v>47.042000000000002</v>
      </c>
      <c r="D1239" s="91"/>
    </row>
    <row r="1240" spans="1:4" x14ac:dyDescent="0.25">
      <c r="A1240" s="89">
        <v>46080</v>
      </c>
      <c r="B1240" s="88" t="s">
        <v>140</v>
      </c>
      <c r="C1240" s="88">
        <v>44.0443</v>
      </c>
      <c r="D1240" s="91"/>
    </row>
    <row r="1241" spans="1:4" x14ac:dyDescent="0.25">
      <c r="A1241" s="84">
        <v>46083</v>
      </c>
      <c r="B1241" s="100" t="s">
        <v>148</v>
      </c>
      <c r="C1241" s="101">
        <v>48.16</v>
      </c>
      <c r="D1241" s="91"/>
    </row>
    <row r="1242" spans="1:4" x14ac:dyDescent="0.25">
      <c r="A1242" s="84">
        <v>46083</v>
      </c>
      <c r="B1242" s="100" t="s">
        <v>149</v>
      </c>
      <c r="C1242" s="101">
        <v>48.140900000000002</v>
      </c>
      <c r="D1242" s="91"/>
    </row>
    <row r="1243" spans="1:4" x14ac:dyDescent="0.25">
      <c r="A1243" s="84">
        <v>46083</v>
      </c>
      <c r="B1243" s="100" t="s">
        <v>154</v>
      </c>
      <c r="C1243" s="101">
        <v>49.723799999999997</v>
      </c>
      <c r="D1243" s="91"/>
    </row>
    <row r="1244" spans="1:4" x14ac:dyDescent="0.25">
      <c r="A1244" s="84">
        <v>46083</v>
      </c>
      <c r="B1244" s="100" t="s">
        <v>156</v>
      </c>
      <c r="C1244" s="101">
        <v>49.156100000000002</v>
      </c>
      <c r="D1244" s="91"/>
    </row>
    <row r="1245" spans="1:4" x14ac:dyDescent="0.25">
      <c r="A1245" s="84">
        <v>46083</v>
      </c>
      <c r="B1245" s="100" t="s">
        <v>157</v>
      </c>
      <c r="C1245" s="101">
        <v>49.361400000000003</v>
      </c>
      <c r="D1245" s="91"/>
    </row>
    <row r="1246" spans="1:4" x14ac:dyDescent="0.25">
      <c r="A1246" s="89">
        <v>46083</v>
      </c>
      <c r="B1246" s="88" t="s">
        <v>114</v>
      </c>
      <c r="C1246" s="88">
        <v>46.688800000000001</v>
      </c>
      <c r="D1246" s="91"/>
    </row>
    <row r="1247" spans="1:4" x14ac:dyDescent="0.25">
      <c r="A1247" s="89">
        <v>46083</v>
      </c>
      <c r="B1247" s="88" t="s">
        <v>115</v>
      </c>
      <c r="C1247" s="88">
        <v>46.573700000000002</v>
      </c>
      <c r="D1247" s="91"/>
    </row>
    <row r="1248" spans="1:4" x14ac:dyDescent="0.25">
      <c r="A1248" s="89">
        <v>46083</v>
      </c>
      <c r="B1248" s="88" t="s">
        <v>116</v>
      </c>
      <c r="C1248" s="88">
        <v>46.789700000000003</v>
      </c>
      <c r="D1248" s="91"/>
    </row>
    <row r="1249" spans="1:4" x14ac:dyDescent="0.25">
      <c r="A1249" s="89">
        <v>46083</v>
      </c>
      <c r="B1249" s="88" t="s">
        <v>117</v>
      </c>
      <c r="C1249" s="88">
        <v>46.946399999999997</v>
      </c>
      <c r="D1249" s="91"/>
    </row>
    <row r="1250" spans="1:4" x14ac:dyDescent="0.25">
      <c r="A1250" s="89">
        <v>46083</v>
      </c>
      <c r="B1250" s="88" t="s">
        <v>118</v>
      </c>
      <c r="C1250" s="88">
        <v>46.274299999999997</v>
      </c>
      <c r="D1250" s="91"/>
    </row>
    <row r="1251" spans="1:4" x14ac:dyDescent="0.25">
      <c r="A1251" s="89">
        <v>46083</v>
      </c>
      <c r="B1251" s="88" t="s">
        <v>119</v>
      </c>
      <c r="C1251" s="88">
        <v>46.303100000000001</v>
      </c>
      <c r="D1251" s="91"/>
    </row>
    <row r="1252" spans="1:4" x14ac:dyDescent="0.25">
      <c r="A1252" s="89">
        <v>46083</v>
      </c>
      <c r="B1252" s="88" t="s">
        <v>120</v>
      </c>
      <c r="C1252" s="88">
        <v>45.549900000000001</v>
      </c>
      <c r="D1252" s="91"/>
    </row>
    <row r="1253" spans="1:4" x14ac:dyDescent="0.25">
      <c r="A1253" s="89">
        <v>46083</v>
      </c>
      <c r="B1253" s="88" t="s">
        <v>121</v>
      </c>
      <c r="C1253" s="88">
        <v>45.5565</v>
      </c>
      <c r="D1253" s="91"/>
    </row>
    <row r="1254" spans="1:4" x14ac:dyDescent="0.25">
      <c r="A1254" s="89">
        <v>46083</v>
      </c>
      <c r="B1254" s="88" t="s">
        <v>122</v>
      </c>
      <c r="C1254" s="88">
        <v>45.535800000000002</v>
      </c>
      <c r="D1254" s="91"/>
    </row>
    <row r="1255" spans="1:4" x14ac:dyDescent="0.25">
      <c r="A1255" s="89">
        <v>46083</v>
      </c>
      <c r="B1255" s="88" t="s">
        <v>123</v>
      </c>
      <c r="C1255" s="88">
        <v>45.457000000000001</v>
      </c>
      <c r="D1255" s="91"/>
    </row>
    <row r="1256" spans="1:4" x14ac:dyDescent="0.25">
      <c r="A1256" s="89">
        <v>46083</v>
      </c>
      <c r="B1256" s="88" t="s">
        <v>124</v>
      </c>
      <c r="C1256" s="88">
        <v>45.4711</v>
      </c>
      <c r="D1256" s="91"/>
    </row>
    <row r="1257" spans="1:4" x14ac:dyDescent="0.25">
      <c r="A1257" s="89">
        <v>46083</v>
      </c>
      <c r="B1257" s="88" t="s">
        <v>125</v>
      </c>
      <c r="C1257" s="88">
        <v>46.5471</v>
      </c>
      <c r="D1257" s="91"/>
    </row>
    <row r="1258" spans="1:4" x14ac:dyDescent="0.25">
      <c r="A1258" s="89">
        <v>46083</v>
      </c>
      <c r="B1258" s="88" t="s">
        <v>126</v>
      </c>
      <c r="C1258" s="88">
        <v>46.566699999999997</v>
      </c>
      <c r="D1258" s="91"/>
    </row>
    <row r="1259" spans="1:4" x14ac:dyDescent="0.25">
      <c r="A1259" s="89">
        <v>46083</v>
      </c>
      <c r="B1259" s="88" t="s">
        <v>127</v>
      </c>
      <c r="C1259" s="88">
        <v>48.005200000000002</v>
      </c>
      <c r="D1259" s="91"/>
    </row>
    <row r="1260" spans="1:4" x14ac:dyDescent="0.25">
      <c r="A1260" s="89">
        <v>46083</v>
      </c>
      <c r="B1260" s="88" t="s">
        <v>128</v>
      </c>
      <c r="C1260" s="88">
        <v>48.122799999999998</v>
      </c>
      <c r="D1260" s="91"/>
    </row>
    <row r="1261" spans="1:4" x14ac:dyDescent="0.25">
      <c r="A1261" s="89">
        <v>46083</v>
      </c>
      <c r="B1261" s="88" t="s">
        <v>129</v>
      </c>
      <c r="C1261" s="88">
        <v>48.446599999999997</v>
      </c>
      <c r="D1261" s="91"/>
    </row>
    <row r="1262" spans="1:4" x14ac:dyDescent="0.25">
      <c r="A1262" s="89">
        <v>46083</v>
      </c>
      <c r="B1262" s="88" t="s">
        <v>130</v>
      </c>
      <c r="C1262" s="88">
        <v>50.288600000000002</v>
      </c>
      <c r="D1262" s="91"/>
    </row>
    <row r="1263" spans="1:4" x14ac:dyDescent="0.25">
      <c r="A1263" s="89">
        <v>46083</v>
      </c>
      <c r="B1263" s="88" t="s">
        <v>131</v>
      </c>
      <c r="C1263" s="88">
        <v>50.973999999999997</v>
      </c>
      <c r="D1263" s="91"/>
    </row>
    <row r="1264" spans="1:4" x14ac:dyDescent="0.25">
      <c r="A1264" s="89">
        <v>46083</v>
      </c>
      <c r="B1264" s="88" t="s">
        <v>132</v>
      </c>
      <c r="C1264" s="88">
        <v>49.868400000000001</v>
      </c>
      <c r="D1264" s="91"/>
    </row>
    <row r="1265" spans="1:4" x14ac:dyDescent="0.25">
      <c r="A1265" s="89">
        <v>46083</v>
      </c>
      <c r="B1265" s="88" t="s">
        <v>133</v>
      </c>
      <c r="C1265" s="88">
        <v>49.661999999999999</v>
      </c>
      <c r="D1265" s="91"/>
    </row>
    <row r="1266" spans="1:4" x14ac:dyDescent="0.25">
      <c r="A1266" s="89">
        <v>46083</v>
      </c>
      <c r="B1266" s="88" t="s">
        <v>134</v>
      </c>
      <c r="C1266" s="88">
        <v>48.139200000000002</v>
      </c>
      <c r="D1266" s="91"/>
    </row>
    <row r="1267" spans="1:4" x14ac:dyDescent="0.25">
      <c r="A1267" s="89">
        <v>46083</v>
      </c>
      <c r="B1267" s="88" t="s">
        <v>135</v>
      </c>
      <c r="C1267" s="88">
        <v>48.206800000000001</v>
      </c>
      <c r="D1267" s="91"/>
    </row>
    <row r="1268" spans="1:4" x14ac:dyDescent="0.25">
      <c r="A1268" s="89">
        <v>46083</v>
      </c>
      <c r="B1268" s="88" t="s">
        <v>136</v>
      </c>
      <c r="C1268" s="88">
        <v>47.882300000000001</v>
      </c>
      <c r="D1268" s="91"/>
    </row>
    <row r="1269" spans="1:4" x14ac:dyDescent="0.25">
      <c r="A1269" s="89">
        <v>46083</v>
      </c>
      <c r="B1269" s="88" t="s">
        <v>137</v>
      </c>
      <c r="C1269" s="88">
        <v>47.765900000000002</v>
      </c>
      <c r="D1269" s="91"/>
    </row>
    <row r="1270" spans="1:4" x14ac:dyDescent="0.25">
      <c r="A1270" s="89">
        <v>46083</v>
      </c>
      <c r="B1270" s="88" t="s">
        <v>138</v>
      </c>
      <c r="C1270" s="88">
        <v>47.887</v>
      </c>
      <c r="D1270" s="91"/>
    </row>
    <row r="1271" spans="1:4" x14ac:dyDescent="0.25">
      <c r="A1271" s="89">
        <v>46083</v>
      </c>
      <c r="B1271" s="88" t="s">
        <v>139</v>
      </c>
      <c r="C1271" s="88">
        <v>47.042200000000001</v>
      </c>
      <c r="D1271" s="91"/>
    </row>
    <row r="1272" spans="1:4" x14ac:dyDescent="0.25">
      <c r="A1272" s="89">
        <v>46083</v>
      </c>
      <c r="B1272" s="88" t="s">
        <v>140</v>
      </c>
      <c r="C1272" s="88">
        <v>44.044699999999999</v>
      </c>
      <c r="D1272" s="91"/>
    </row>
    <row r="1273" spans="1:4" x14ac:dyDescent="0.25">
      <c r="A1273" s="89">
        <v>46083</v>
      </c>
      <c r="B1273" s="88" t="s">
        <v>141</v>
      </c>
      <c r="C1273" s="88">
        <v>43.953899999999997</v>
      </c>
      <c r="D1273" s="91"/>
    </row>
    <row r="1274" spans="1:4" x14ac:dyDescent="0.25">
      <c r="A1274" s="89">
        <v>46083</v>
      </c>
      <c r="B1274" s="88" t="s">
        <v>107</v>
      </c>
      <c r="C1274" s="88">
        <v>46.363</v>
      </c>
    </row>
    <row r="1275" spans="1:4" x14ac:dyDescent="0.25">
      <c r="A1275" s="89">
        <v>46083</v>
      </c>
      <c r="B1275" s="88" t="s">
        <v>108</v>
      </c>
      <c r="C1275" s="88">
        <v>46.350700000000003</v>
      </c>
    </row>
    <row r="1276" spans="1:4" x14ac:dyDescent="0.25">
      <c r="A1276" s="89">
        <v>46083</v>
      </c>
      <c r="B1276" s="88" t="s">
        <v>109</v>
      </c>
      <c r="C1276" s="88">
        <v>47.591900000000003</v>
      </c>
    </row>
    <row r="1277" spans="1:4" x14ac:dyDescent="0.25">
      <c r="A1277" s="89">
        <v>46083</v>
      </c>
      <c r="B1277" s="88" t="s">
        <v>110</v>
      </c>
      <c r="C1277" s="88">
        <v>47.569400000000002</v>
      </c>
    </row>
    <row r="1278" spans="1:4" x14ac:dyDescent="0.25">
      <c r="A1278" s="89">
        <v>46083</v>
      </c>
      <c r="B1278" s="88" t="s">
        <v>111</v>
      </c>
      <c r="C1278" s="88">
        <v>48.915700000000001</v>
      </c>
    </row>
    <row r="1279" spans="1:4" x14ac:dyDescent="0.25">
      <c r="A1279" s="89">
        <v>46083</v>
      </c>
      <c r="B1279" s="88" t="s">
        <v>112</v>
      </c>
      <c r="C1279" s="88">
        <v>48.853299999999997</v>
      </c>
    </row>
    <row r="1280" spans="1:4" x14ac:dyDescent="0.25">
      <c r="A1280" s="89">
        <v>46084</v>
      </c>
      <c r="B1280" s="88" t="s">
        <v>123</v>
      </c>
      <c r="C1280" s="88">
        <v>45.457099999999997</v>
      </c>
    </row>
    <row r="1281" spans="1:3" x14ac:dyDescent="0.25">
      <c r="A1281" s="89">
        <v>46084</v>
      </c>
      <c r="B1281" s="88" t="s">
        <v>124</v>
      </c>
      <c r="C1281" s="88">
        <v>45.471400000000003</v>
      </c>
    </row>
    <row r="1282" spans="1:3" x14ac:dyDescent="0.25">
      <c r="A1282" s="89">
        <v>46084</v>
      </c>
      <c r="B1282" s="88" t="s">
        <v>125</v>
      </c>
      <c r="C1282" s="88">
        <v>46.546900000000001</v>
      </c>
    </row>
    <row r="1283" spans="1:3" x14ac:dyDescent="0.25">
      <c r="A1283" s="89">
        <v>46084</v>
      </c>
      <c r="B1283" s="88" t="s">
        <v>126</v>
      </c>
      <c r="C1283" s="88">
        <v>46.566299999999998</v>
      </c>
    </row>
    <row r="1284" spans="1:3" x14ac:dyDescent="0.25">
      <c r="A1284" s="89">
        <v>46084</v>
      </c>
      <c r="B1284" s="88" t="s">
        <v>127</v>
      </c>
      <c r="C1284" s="88">
        <v>48.004800000000003</v>
      </c>
    </row>
    <row r="1285" spans="1:3" x14ac:dyDescent="0.25">
      <c r="A1285" s="89">
        <v>46084</v>
      </c>
      <c r="B1285" s="88" t="s">
        <v>128</v>
      </c>
      <c r="C1285" s="88">
        <v>48.122100000000003</v>
      </c>
    </row>
    <row r="1286" spans="1:3" x14ac:dyDescent="0.25">
      <c r="A1286" s="89">
        <v>46084</v>
      </c>
      <c r="B1286" s="88" t="s">
        <v>129</v>
      </c>
      <c r="C1286" s="88">
        <v>48.446399999999997</v>
      </c>
    </row>
    <row r="1287" spans="1:3" x14ac:dyDescent="0.25">
      <c r="A1287" s="89">
        <v>46084</v>
      </c>
      <c r="B1287" s="88" t="s">
        <v>130</v>
      </c>
      <c r="C1287" s="88">
        <v>50.2883</v>
      </c>
    </row>
    <row r="1288" spans="1:3" x14ac:dyDescent="0.25">
      <c r="A1288" s="89">
        <v>46084</v>
      </c>
      <c r="B1288" s="88" t="s">
        <v>131</v>
      </c>
      <c r="C1288" s="88">
        <v>50.973700000000001</v>
      </c>
    </row>
    <row r="1289" spans="1:3" x14ac:dyDescent="0.25">
      <c r="A1289" s="89">
        <v>46084</v>
      </c>
      <c r="B1289" s="88" t="s">
        <v>132</v>
      </c>
      <c r="C1289" s="88">
        <v>49.868000000000002</v>
      </c>
    </row>
    <row r="1290" spans="1:3" x14ac:dyDescent="0.25">
      <c r="A1290" s="89">
        <v>46084</v>
      </c>
      <c r="B1290" s="88" t="s">
        <v>133</v>
      </c>
      <c r="C1290" s="88">
        <v>49.661700000000003</v>
      </c>
    </row>
    <row r="1291" spans="1:3" x14ac:dyDescent="0.25">
      <c r="A1291" s="89">
        <v>46084</v>
      </c>
      <c r="B1291" s="88" t="s">
        <v>134</v>
      </c>
      <c r="C1291" s="88">
        <v>48.139200000000002</v>
      </c>
    </row>
    <row r="1292" spans="1:3" x14ac:dyDescent="0.25">
      <c r="A1292" s="89">
        <v>46084</v>
      </c>
      <c r="B1292" s="88" t="s">
        <v>135</v>
      </c>
      <c r="C1292" s="88">
        <v>48.206699999999998</v>
      </c>
    </row>
    <row r="1293" spans="1:3" x14ac:dyDescent="0.25">
      <c r="A1293" s="89">
        <v>46084</v>
      </c>
      <c r="B1293" s="88" t="s">
        <v>136</v>
      </c>
      <c r="C1293" s="88">
        <v>47.882199999999997</v>
      </c>
    </row>
    <row r="1294" spans="1:3" x14ac:dyDescent="0.25">
      <c r="A1294" s="89">
        <v>46084</v>
      </c>
      <c r="B1294" s="88" t="s">
        <v>137</v>
      </c>
      <c r="C1294" s="88">
        <v>47.765999999999998</v>
      </c>
    </row>
    <row r="1295" spans="1:3" x14ac:dyDescent="0.25">
      <c r="A1295" s="89">
        <v>46084</v>
      </c>
      <c r="B1295" s="88" t="s">
        <v>138</v>
      </c>
      <c r="C1295" s="88">
        <v>47.887</v>
      </c>
    </row>
    <row r="1296" spans="1:3" x14ac:dyDescent="0.25">
      <c r="A1296" s="89">
        <v>46084</v>
      </c>
      <c r="B1296" s="88" t="s">
        <v>139</v>
      </c>
      <c r="C1296" s="88">
        <v>47.042200000000001</v>
      </c>
    </row>
    <row r="1297" spans="1:3" x14ac:dyDescent="0.25">
      <c r="A1297" s="89">
        <v>46084</v>
      </c>
      <c r="B1297" s="88" t="s">
        <v>140</v>
      </c>
      <c r="C1297" s="88">
        <v>44.044699999999999</v>
      </c>
    </row>
    <row r="1298" spans="1:3" x14ac:dyDescent="0.25">
      <c r="A1298" s="89">
        <v>46084</v>
      </c>
      <c r="B1298" s="88" t="s">
        <v>141</v>
      </c>
      <c r="C1298" s="88">
        <v>43.954000000000001</v>
      </c>
    </row>
    <row r="1299" spans="1:3" x14ac:dyDescent="0.25">
      <c r="A1299" s="84">
        <v>46085</v>
      </c>
      <c r="B1299" s="100" t="s">
        <v>154</v>
      </c>
      <c r="C1299" s="101">
        <v>49.723500000000001</v>
      </c>
    </row>
    <row r="1300" spans="1:3" x14ac:dyDescent="0.25">
      <c r="A1300" s="84">
        <v>46085</v>
      </c>
      <c r="B1300" s="100" t="s">
        <v>155</v>
      </c>
      <c r="C1300" s="101">
        <v>49.036799999999999</v>
      </c>
    </row>
    <row r="1301" spans="1:3" x14ac:dyDescent="0.25">
      <c r="A1301" s="84">
        <v>46085</v>
      </c>
      <c r="B1301" s="100" t="s">
        <v>156</v>
      </c>
      <c r="C1301" s="101">
        <v>49.156100000000002</v>
      </c>
    </row>
    <row r="1302" spans="1:3" x14ac:dyDescent="0.25">
      <c r="A1302" s="84">
        <v>46085</v>
      </c>
      <c r="B1302" s="100" t="s">
        <v>157</v>
      </c>
      <c r="C1302" s="101">
        <v>49.3613</v>
      </c>
    </row>
    <row r="1303" spans="1:3" x14ac:dyDescent="0.25">
      <c r="A1303" s="89">
        <v>46085</v>
      </c>
      <c r="B1303" s="88" t="s">
        <v>123</v>
      </c>
      <c r="C1303" s="88">
        <v>45.456899999999997</v>
      </c>
    </row>
    <row r="1304" spans="1:3" x14ac:dyDescent="0.25">
      <c r="A1304" s="89">
        <v>46085</v>
      </c>
      <c r="B1304" s="88" t="s">
        <v>124</v>
      </c>
      <c r="C1304" s="88">
        <v>45.471200000000003</v>
      </c>
    </row>
    <row r="1305" spans="1:3" x14ac:dyDescent="0.25">
      <c r="A1305" s="89">
        <v>46085</v>
      </c>
      <c r="B1305" s="88" t="s">
        <v>125</v>
      </c>
      <c r="C1305" s="88">
        <v>46.546599999999998</v>
      </c>
    </row>
    <row r="1306" spans="1:3" x14ac:dyDescent="0.25">
      <c r="A1306" s="89">
        <v>46085</v>
      </c>
      <c r="B1306" s="88" t="s">
        <v>126</v>
      </c>
      <c r="C1306" s="88">
        <v>46.566200000000002</v>
      </c>
    </row>
    <row r="1307" spans="1:3" x14ac:dyDescent="0.25">
      <c r="A1307" s="89">
        <v>46085</v>
      </c>
      <c r="B1307" s="88" t="s">
        <v>127</v>
      </c>
      <c r="C1307" s="88">
        <v>48.0045</v>
      </c>
    </row>
    <row r="1308" spans="1:3" x14ac:dyDescent="0.25">
      <c r="A1308" s="89">
        <v>46085</v>
      </c>
      <c r="B1308" s="88" t="s">
        <v>128</v>
      </c>
      <c r="C1308" s="88">
        <v>48.121899999999997</v>
      </c>
    </row>
    <row r="1309" spans="1:3" x14ac:dyDescent="0.25">
      <c r="A1309" s="89">
        <v>46085</v>
      </c>
      <c r="B1309" s="88" t="s">
        <v>129</v>
      </c>
      <c r="C1309" s="88">
        <v>48.446100000000001</v>
      </c>
    </row>
    <row r="1310" spans="1:3" x14ac:dyDescent="0.25">
      <c r="A1310" s="89">
        <v>46085</v>
      </c>
      <c r="B1310" s="88" t="s">
        <v>130</v>
      </c>
      <c r="C1310" s="88">
        <v>50.2879</v>
      </c>
    </row>
    <row r="1311" spans="1:3" x14ac:dyDescent="0.25">
      <c r="A1311" s="89">
        <v>46085</v>
      </c>
      <c r="B1311" s="88" t="s">
        <v>131</v>
      </c>
      <c r="C1311" s="88">
        <v>50.973399999999998</v>
      </c>
    </row>
    <row r="1312" spans="1:3" x14ac:dyDescent="0.25">
      <c r="A1312" s="89">
        <v>46085</v>
      </c>
      <c r="B1312" s="88" t="s">
        <v>132</v>
      </c>
      <c r="C1312" s="88">
        <v>49.867600000000003</v>
      </c>
    </row>
    <row r="1313" spans="1:3" x14ac:dyDescent="0.25">
      <c r="A1313" s="89">
        <v>46085</v>
      </c>
      <c r="B1313" s="88" t="s">
        <v>133</v>
      </c>
      <c r="C1313" s="88">
        <v>49.661299999999997</v>
      </c>
    </row>
    <row r="1314" spans="1:3" x14ac:dyDescent="0.25">
      <c r="A1314" s="89">
        <v>46085</v>
      </c>
      <c r="B1314" s="88" t="s">
        <v>134</v>
      </c>
      <c r="C1314" s="88">
        <v>48.1387</v>
      </c>
    </row>
    <row r="1315" spans="1:3" x14ac:dyDescent="0.25">
      <c r="A1315" s="89">
        <v>46085</v>
      </c>
      <c r="B1315" s="88" t="s">
        <v>135</v>
      </c>
      <c r="C1315" s="88">
        <v>48.206200000000003</v>
      </c>
    </row>
    <row r="1316" spans="1:3" x14ac:dyDescent="0.25">
      <c r="A1316" s="89">
        <v>46085</v>
      </c>
      <c r="B1316" s="88" t="s">
        <v>136</v>
      </c>
      <c r="C1316" s="88">
        <v>47.881799999999998</v>
      </c>
    </row>
    <row r="1317" spans="1:3" x14ac:dyDescent="0.25">
      <c r="A1317" s="89">
        <v>46085</v>
      </c>
      <c r="B1317" s="88" t="s">
        <v>137</v>
      </c>
      <c r="C1317" s="88">
        <v>47.7654</v>
      </c>
    </row>
    <row r="1318" spans="1:3" x14ac:dyDescent="0.25">
      <c r="A1318" s="89">
        <v>46085</v>
      </c>
      <c r="B1318" s="88" t="s">
        <v>138</v>
      </c>
      <c r="C1318" s="88">
        <v>47.886499999999998</v>
      </c>
    </row>
    <row r="1319" spans="1:3" x14ac:dyDescent="0.25">
      <c r="A1319" s="89">
        <v>46085</v>
      </c>
      <c r="B1319" s="88" t="s">
        <v>139</v>
      </c>
      <c r="C1319" s="88">
        <v>47.041899999999998</v>
      </c>
    </row>
    <row r="1320" spans="1:3" x14ac:dyDescent="0.25">
      <c r="A1320" s="89">
        <v>46085</v>
      </c>
      <c r="B1320" s="88" t="s">
        <v>140</v>
      </c>
      <c r="C1320" s="88">
        <v>44.044699999999999</v>
      </c>
    </row>
    <row r="1321" spans="1:3" x14ac:dyDescent="0.25">
      <c r="A1321" s="89">
        <v>46085</v>
      </c>
      <c r="B1321" s="88" t="s">
        <v>141</v>
      </c>
      <c r="C1321" s="88">
        <v>43.953899999999997</v>
      </c>
    </row>
    <row r="1322" spans="1:3" x14ac:dyDescent="0.25">
      <c r="A1322" s="84">
        <v>46086</v>
      </c>
      <c r="B1322" s="88" t="s">
        <v>123</v>
      </c>
      <c r="C1322" s="88">
        <v>45.456900000000005</v>
      </c>
    </row>
    <row r="1323" spans="1:3" x14ac:dyDescent="0.25">
      <c r="A1323" s="84">
        <v>46086</v>
      </c>
      <c r="B1323" s="88" t="s">
        <v>124</v>
      </c>
      <c r="C1323" s="88">
        <v>45.471000000000004</v>
      </c>
    </row>
    <row r="1324" spans="1:3" x14ac:dyDescent="0.25">
      <c r="A1324" s="84">
        <v>46086</v>
      </c>
      <c r="B1324" s="88" t="s">
        <v>125</v>
      </c>
      <c r="C1324" s="88">
        <v>46.546500000000002</v>
      </c>
    </row>
    <row r="1325" spans="1:3" x14ac:dyDescent="0.25">
      <c r="A1325" s="84">
        <v>46086</v>
      </c>
      <c r="B1325" s="88" t="s">
        <v>126</v>
      </c>
      <c r="C1325" s="88">
        <v>46.566000000000003</v>
      </c>
    </row>
    <row r="1326" spans="1:3" x14ac:dyDescent="0.25">
      <c r="A1326" s="84">
        <v>46086</v>
      </c>
      <c r="B1326" s="88" t="s">
        <v>127</v>
      </c>
      <c r="C1326" s="88">
        <v>48.004600000000003</v>
      </c>
    </row>
    <row r="1327" spans="1:3" x14ac:dyDescent="0.25">
      <c r="A1327" s="84">
        <v>46086</v>
      </c>
      <c r="B1327" s="88" t="s">
        <v>128</v>
      </c>
      <c r="C1327" s="88">
        <v>48.122199999999999</v>
      </c>
    </row>
    <row r="1328" spans="1:3" x14ac:dyDescent="0.25">
      <c r="A1328" s="84">
        <v>46086</v>
      </c>
      <c r="B1328" s="88" t="s">
        <v>129</v>
      </c>
      <c r="C1328" s="88">
        <v>48.446300000000001</v>
      </c>
    </row>
    <row r="1329" spans="1:4" x14ac:dyDescent="0.25">
      <c r="A1329" s="84">
        <v>46086</v>
      </c>
      <c r="B1329" s="88" t="s">
        <v>130</v>
      </c>
      <c r="C1329" s="88">
        <v>50.288400000000003</v>
      </c>
    </row>
    <row r="1330" spans="1:4" x14ac:dyDescent="0.25">
      <c r="A1330" s="84">
        <v>46086</v>
      </c>
      <c r="B1330" s="88" t="s">
        <v>131</v>
      </c>
      <c r="C1330" s="88">
        <v>50.974000000000004</v>
      </c>
    </row>
    <row r="1331" spans="1:4" x14ac:dyDescent="0.25">
      <c r="A1331" s="84">
        <v>46086</v>
      </c>
      <c r="B1331" s="88" t="s">
        <v>132</v>
      </c>
      <c r="C1331" s="88">
        <v>49.867899999999999</v>
      </c>
    </row>
    <row r="1332" spans="1:4" x14ac:dyDescent="0.25">
      <c r="A1332" s="84">
        <v>46086</v>
      </c>
      <c r="B1332" s="88" t="s">
        <v>133</v>
      </c>
      <c r="C1332" s="88">
        <v>49.6616</v>
      </c>
    </row>
    <row r="1333" spans="1:4" x14ac:dyDescent="0.25">
      <c r="A1333" s="84">
        <v>46086</v>
      </c>
      <c r="B1333" s="88" t="s">
        <v>134</v>
      </c>
      <c r="C1333" s="88">
        <v>48.1389</v>
      </c>
    </row>
    <row r="1334" spans="1:4" x14ac:dyDescent="0.25">
      <c r="A1334" s="84">
        <v>46086</v>
      </c>
      <c r="B1334" s="88" t="s">
        <v>135</v>
      </c>
      <c r="C1334" s="88">
        <v>48.206400000000002</v>
      </c>
    </row>
    <row r="1335" spans="1:4" x14ac:dyDescent="0.25">
      <c r="A1335" s="84">
        <v>46086</v>
      </c>
      <c r="B1335" s="88" t="s">
        <v>136</v>
      </c>
      <c r="C1335" s="88">
        <v>47.881700000000002</v>
      </c>
    </row>
    <row r="1336" spans="1:4" x14ac:dyDescent="0.25">
      <c r="A1336" s="84">
        <v>46086</v>
      </c>
      <c r="B1336" s="88" t="s">
        <v>137</v>
      </c>
      <c r="C1336" s="88">
        <v>47.765300000000003</v>
      </c>
    </row>
    <row r="1337" spans="1:4" x14ac:dyDescent="0.25">
      <c r="A1337" s="84">
        <v>46086</v>
      </c>
      <c r="B1337" s="88" t="s">
        <v>138</v>
      </c>
      <c r="C1337" s="88">
        <v>47.886499999999998</v>
      </c>
    </row>
    <row r="1338" spans="1:4" x14ac:dyDescent="0.25">
      <c r="A1338" s="84">
        <v>46086</v>
      </c>
      <c r="B1338" s="88" t="s">
        <v>139</v>
      </c>
      <c r="C1338" s="88">
        <v>47.041699999999999</v>
      </c>
    </row>
    <row r="1339" spans="1:4" x14ac:dyDescent="0.25">
      <c r="A1339" s="84">
        <v>46086</v>
      </c>
      <c r="B1339" s="88" t="s">
        <v>140</v>
      </c>
      <c r="C1339" s="88">
        <v>44.044000000000004</v>
      </c>
    </row>
    <row r="1340" spans="1:4" x14ac:dyDescent="0.25">
      <c r="A1340" s="84">
        <v>46086</v>
      </c>
      <c r="B1340" s="88" t="s">
        <v>141</v>
      </c>
      <c r="C1340" s="88">
        <v>43.953200000000002</v>
      </c>
    </row>
    <row r="1341" spans="1:4" x14ac:dyDescent="0.25">
      <c r="A1341" s="84">
        <v>46090</v>
      </c>
      <c r="B1341" s="91" t="s">
        <v>154</v>
      </c>
      <c r="C1341" s="92">
        <v>49.724400000000003</v>
      </c>
      <c r="D1341" s="91"/>
    </row>
    <row r="1342" spans="1:4" x14ac:dyDescent="0.25">
      <c r="A1342" s="84">
        <v>46090</v>
      </c>
      <c r="B1342" s="91" t="s">
        <v>155</v>
      </c>
      <c r="C1342" s="92">
        <v>49.037700000000001</v>
      </c>
      <c r="D1342" s="91"/>
    </row>
    <row r="1343" spans="1:4" x14ac:dyDescent="0.25">
      <c r="A1343" s="84">
        <v>46090</v>
      </c>
      <c r="B1343" s="91" t="s">
        <v>156</v>
      </c>
      <c r="C1343" s="92">
        <v>49.1569</v>
      </c>
      <c r="D1343" s="91"/>
    </row>
    <row r="1344" spans="1:4" x14ac:dyDescent="0.25">
      <c r="A1344" s="84">
        <v>46090</v>
      </c>
      <c r="B1344" s="91" t="s">
        <v>157</v>
      </c>
      <c r="C1344" s="92">
        <v>49.362299999999998</v>
      </c>
      <c r="D1344" s="91"/>
    </row>
    <row r="1345" spans="1:4" x14ac:dyDescent="0.25">
      <c r="A1345" s="84">
        <v>46090</v>
      </c>
      <c r="B1345" s="88" t="s">
        <v>116</v>
      </c>
      <c r="C1345" s="92">
        <v>46.789099999999998</v>
      </c>
      <c r="D1345" s="91"/>
    </row>
    <row r="1346" spans="1:4" x14ac:dyDescent="0.25">
      <c r="A1346" s="84">
        <v>46090</v>
      </c>
      <c r="B1346" s="88" t="s">
        <v>123</v>
      </c>
      <c r="C1346" s="92">
        <v>45.457099999999997</v>
      </c>
      <c r="D1346" s="91"/>
    </row>
    <row r="1347" spans="1:4" x14ac:dyDescent="0.25">
      <c r="A1347" s="84">
        <v>46090</v>
      </c>
      <c r="B1347" s="88" t="s">
        <v>124</v>
      </c>
      <c r="C1347" s="92">
        <v>45.471200000000003</v>
      </c>
      <c r="D1347" s="91"/>
    </row>
    <row r="1348" spans="1:4" x14ac:dyDescent="0.25">
      <c r="A1348" s="84">
        <v>46090</v>
      </c>
      <c r="B1348" s="88" t="s">
        <v>125</v>
      </c>
      <c r="C1348" s="92">
        <v>46.546500000000002</v>
      </c>
      <c r="D1348" s="91"/>
    </row>
    <row r="1349" spans="1:4" x14ac:dyDescent="0.25">
      <c r="A1349" s="84">
        <v>46090</v>
      </c>
      <c r="B1349" s="88" t="s">
        <v>126</v>
      </c>
      <c r="C1349" s="92">
        <v>46.566200000000002</v>
      </c>
      <c r="D1349" s="91"/>
    </row>
    <row r="1350" spans="1:4" x14ac:dyDescent="0.25">
      <c r="A1350" s="84">
        <v>46090</v>
      </c>
      <c r="B1350" s="88" t="s">
        <v>127</v>
      </c>
      <c r="C1350" s="92">
        <v>48.0047</v>
      </c>
      <c r="D1350" s="91"/>
    </row>
    <row r="1351" spans="1:4" x14ac:dyDescent="0.25">
      <c r="A1351" s="84">
        <v>46090</v>
      </c>
      <c r="B1351" s="88" t="s">
        <v>128</v>
      </c>
      <c r="C1351" s="92">
        <v>48.122100000000003</v>
      </c>
      <c r="D1351" s="91"/>
    </row>
    <row r="1352" spans="1:4" x14ac:dyDescent="0.25">
      <c r="A1352" s="84">
        <v>46090</v>
      </c>
      <c r="B1352" s="88" t="s">
        <v>129</v>
      </c>
      <c r="C1352" s="92">
        <v>48.446300000000001</v>
      </c>
      <c r="D1352" s="91"/>
    </row>
    <row r="1353" spans="1:4" x14ac:dyDescent="0.25">
      <c r="A1353" s="84">
        <v>46090</v>
      </c>
      <c r="B1353" s="88" t="s">
        <v>130</v>
      </c>
      <c r="C1353" s="92">
        <v>50.2883</v>
      </c>
      <c r="D1353" s="91"/>
    </row>
    <row r="1354" spans="1:4" x14ac:dyDescent="0.25">
      <c r="A1354" s="84">
        <v>46090</v>
      </c>
      <c r="B1354" s="88" t="s">
        <v>131</v>
      </c>
      <c r="C1354" s="92">
        <v>50.9739</v>
      </c>
      <c r="D1354" s="91"/>
    </row>
    <row r="1355" spans="1:4" x14ac:dyDescent="0.25">
      <c r="A1355" s="84">
        <v>46090</v>
      </c>
      <c r="B1355" s="88" t="s">
        <v>132</v>
      </c>
      <c r="C1355" s="92">
        <v>49.868099999999998</v>
      </c>
      <c r="D1355" s="91"/>
    </row>
    <row r="1356" spans="1:4" x14ac:dyDescent="0.25">
      <c r="A1356" s="84">
        <v>46090</v>
      </c>
      <c r="B1356" s="88" t="s">
        <v>133</v>
      </c>
      <c r="C1356" s="92">
        <v>49.661799999999999</v>
      </c>
      <c r="D1356" s="91"/>
    </row>
    <row r="1357" spans="1:4" x14ac:dyDescent="0.25">
      <c r="A1357" s="84">
        <v>46090</v>
      </c>
      <c r="B1357" s="88" t="s">
        <v>134</v>
      </c>
      <c r="C1357" s="92">
        <v>48.139000000000003</v>
      </c>
      <c r="D1357" s="91"/>
    </row>
    <row r="1358" spans="1:4" x14ac:dyDescent="0.25">
      <c r="A1358" s="84">
        <v>46090</v>
      </c>
      <c r="B1358" s="88" t="s">
        <v>135</v>
      </c>
      <c r="C1358" s="92">
        <v>48.206499999999998</v>
      </c>
      <c r="D1358" s="91"/>
    </row>
    <row r="1359" spans="1:4" x14ac:dyDescent="0.25">
      <c r="A1359" s="84">
        <v>46090</v>
      </c>
      <c r="B1359" s="88" t="s">
        <v>136</v>
      </c>
      <c r="C1359" s="92">
        <v>47.881999999999998</v>
      </c>
      <c r="D1359" s="91"/>
    </row>
    <row r="1360" spans="1:4" x14ac:dyDescent="0.25">
      <c r="A1360" s="84">
        <v>46090</v>
      </c>
      <c r="B1360" s="88" t="s">
        <v>137</v>
      </c>
      <c r="C1360" s="92">
        <v>47.765700000000002</v>
      </c>
      <c r="D1360" s="91"/>
    </row>
    <row r="1361" spans="1:4" x14ac:dyDescent="0.25">
      <c r="A1361" s="84">
        <v>46090</v>
      </c>
      <c r="B1361" s="88" t="s">
        <v>138</v>
      </c>
      <c r="C1361" s="92">
        <v>47.886699999999998</v>
      </c>
      <c r="D1361" s="91"/>
    </row>
    <row r="1362" spans="1:4" x14ac:dyDescent="0.25">
      <c r="A1362" s="84">
        <v>46090</v>
      </c>
      <c r="B1362" s="88" t="s">
        <v>139</v>
      </c>
      <c r="C1362" s="92">
        <v>47.041899999999998</v>
      </c>
      <c r="D1362" s="91"/>
    </row>
    <row r="1363" spans="1:4" x14ac:dyDescent="0.25">
      <c r="A1363" s="84">
        <v>46090</v>
      </c>
      <c r="B1363" s="88" t="s">
        <v>140</v>
      </c>
      <c r="C1363" s="92">
        <v>44.044400000000003</v>
      </c>
      <c r="D1363" s="91"/>
    </row>
    <row r="1364" spans="1:4" x14ac:dyDescent="0.25">
      <c r="A1364" s="84">
        <v>46090</v>
      </c>
      <c r="B1364" s="88" t="s">
        <v>141</v>
      </c>
      <c r="C1364" s="92">
        <v>43.953499999999998</v>
      </c>
      <c r="D1364" s="91"/>
    </row>
    <row r="1365" spans="1:4" x14ac:dyDescent="0.25">
      <c r="A1365" s="84">
        <v>46092</v>
      </c>
      <c r="B1365" s="88" t="s">
        <v>154</v>
      </c>
      <c r="C1365" s="88">
        <v>49.724299999999999</v>
      </c>
    </row>
    <row r="1366" spans="1:4" x14ac:dyDescent="0.25">
      <c r="A1366" s="84">
        <v>46092</v>
      </c>
      <c r="B1366" s="88" t="s">
        <v>155</v>
      </c>
      <c r="C1366" s="88">
        <v>49.037500000000001</v>
      </c>
    </row>
    <row r="1367" spans="1:4" x14ac:dyDescent="0.25">
      <c r="A1367" s="84">
        <v>46092</v>
      </c>
      <c r="B1367" s="88" t="s">
        <v>156</v>
      </c>
      <c r="C1367" s="88">
        <v>49.156700000000001</v>
      </c>
    </row>
    <row r="1368" spans="1:4" x14ac:dyDescent="0.25">
      <c r="A1368" s="84">
        <v>46092</v>
      </c>
      <c r="B1368" s="88" t="s">
        <v>157</v>
      </c>
      <c r="C1368" s="88">
        <v>49.362099999999998</v>
      </c>
    </row>
    <row r="1369" spans="1:4" x14ac:dyDescent="0.25">
      <c r="A1369" s="84">
        <v>46092</v>
      </c>
      <c r="B1369" s="88" t="s">
        <v>123</v>
      </c>
      <c r="C1369" s="88">
        <v>45.4572</v>
      </c>
    </row>
    <row r="1370" spans="1:4" x14ac:dyDescent="0.25">
      <c r="A1370" s="84">
        <v>46092</v>
      </c>
      <c r="B1370" s="88" t="s">
        <v>124</v>
      </c>
      <c r="C1370" s="88">
        <v>45.471299999999999</v>
      </c>
    </row>
    <row r="1371" spans="1:4" x14ac:dyDescent="0.25">
      <c r="A1371" s="84">
        <v>46092</v>
      </c>
      <c r="B1371" s="88" t="s">
        <v>125</v>
      </c>
      <c r="C1371" s="88">
        <v>46.546700000000001</v>
      </c>
    </row>
    <row r="1372" spans="1:4" x14ac:dyDescent="0.25">
      <c r="A1372" s="84">
        <v>46092</v>
      </c>
      <c r="B1372" s="88" t="s">
        <v>126</v>
      </c>
      <c r="C1372" s="88">
        <v>46.566200000000002</v>
      </c>
    </row>
    <row r="1373" spans="1:4" x14ac:dyDescent="0.25">
      <c r="A1373" s="84">
        <v>46092</v>
      </c>
      <c r="B1373" s="88" t="s">
        <v>127</v>
      </c>
      <c r="C1373" s="88">
        <v>48.005000000000003</v>
      </c>
    </row>
    <row r="1374" spans="1:4" x14ac:dyDescent="0.25">
      <c r="A1374" s="84">
        <v>46092</v>
      </c>
      <c r="B1374" s="88" t="s">
        <v>128</v>
      </c>
      <c r="C1374" s="88">
        <v>48.122700000000002</v>
      </c>
    </row>
    <row r="1375" spans="1:4" x14ac:dyDescent="0.25">
      <c r="A1375" s="84">
        <v>46092</v>
      </c>
      <c r="B1375" s="88" t="s">
        <v>129</v>
      </c>
      <c r="C1375" s="88">
        <v>48.446800000000003</v>
      </c>
    </row>
    <row r="1376" spans="1:4" x14ac:dyDescent="0.25">
      <c r="A1376" s="84">
        <v>46092</v>
      </c>
      <c r="B1376" s="88" t="s">
        <v>130</v>
      </c>
      <c r="C1376" s="88">
        <v>50.289000000000001</v>
      </c>
    </row>
    <row r="1377" spans="1:3" x14ac:dyDescent="0.25">
      <c r="A1377" s="84">
        <v>46092</v>
      </c>
      <c r="B1377" s="88" t="s">
        <v>131</v>
      </c>
      <c r="C1377" s="88">
        <v>50.974899999999998</v>
      </c>
    </row>
    <row r="1378" spans="1:3" x14ac:dyDescent="0.25">
      <c r="A1378" s="84">
        <v>46092</v>
      </c>
      <c r="B1378" s="88" t="s">
        <v>132</v>
      </c>
      <c r="C1378" s="88">
        <v>49.868600000000001</v>
      </c>
    </row>
    <row r="1379" spans="1:3" x14ac:dyDescent="0.25">
      <c r="A1379" s="84">
        <v>46092</v>
      </c>
      <c r="B1379" s="88" t="s">
        <v>133</v>
      </c>
      <c r="C1379" s="88">
        <v>49.662399999999998</v>
      </c>
    </row>
    <row r="1380" spans="1:3" x14ac:dyDescent="0.25">
      <c r="A1380" s="84">
        <v>46092</v>
      </c>
      <c r="B1380" s="88" t="s">
        <v>134</v>
      </c>
      <c r="C1380" s="88">
        <v>48.139499999999998</v>
      </c>
    </row>
    <row r="1381" spans="1:3" x14ac:dyDescent="0.25">
      <c r="A1381" s="84">
        <v>46092</v>
      </c>
      <c r="B1381" s="88" t="s">
        <v>135</v>
      </c>
      <c r="C1381" s="88">
        <v>48.206900000000005</v>
      </c>
    </row>
    <row r="1382" spans="1:3" x14ac:dyDescent="0.25">
      <c r="A1382" s="84">
        <v>46092</v>
      </c>
      <c r="B1382" s="88" t="s">
        <v>136</v>
      </c>
      <c r="C1382" s="88">
        <v>47.882300000000001</v>
      </c>
    </row>
    <row r="1383" spans="1:3" x14ac:dyDescent="0.25">
      <c r="A1383" s="84">
        <v>46092</v>
      </c>
      <c r="B1383" s="88" t="s">
        <v>137</v>
      </c>
      <c r="C1383" s="88">
        <v>47.765900000000002</v>
      </c>
    </row>
    <row r="1384" spans="1:3" x14ac:dyDescent="0.25">
      <c r="A1384" s="84">
        <v>46092</v>
      </c>
      <c r="B1384" s="88" t="s">
        <v>138</v>
      </c>
      <c r="C1384" s="88">
        <v>47.8872</v>
      </c>
    </row>
    <row r="1385" spans="1:3" x14ac:dyDescent="0.25">
      <c r="A1385" s="84">
        <v>46092</v>
      </c>
      <c r="B1385" s="88" t="s">
        <v>139</v>
      </c>
      <c r="C1385" s="88">
        <v>47.042200000000001</v>
      </c>
    </row>
    <row r="1386" spans="1:3" x14ac:dyDescent="0.25">
      <c r="A1386" s="84">
        <v>46092</v>
      </c>
      <c r="B1386" s="88" t="s">
        <v>140</v>
      </c>
      <c r="C1386" s="88">
        <v>44.044499999999999</v>
      </c>
    </row>
    <row r="1387" spans="1:3" x14ac:dyDescent="0.25">
      <c r="A1387" s="84">
        <v>46092</v>
      </c>
      <c r="B1387" s="88" t="s">
        <v>141</v>
      </c>
      <c r="C1387" s="88">
        <v>43.953600000000002</v>
      </c>
    </row>
    <row r="1388" spans="1:3" x14ac:dyDescent="0.25">
      <c r="A1388" s="84">
        <v>46094</v>
      </c>
      <c r="B1388" s="88" t="s">
        <v>154</v>
      </c>
      <c r="C1388" s="88">
        <v>49.723999999999997</v>
      </c>
    </row>
    <row r="1389" spans="1:3" x14ac:dyDescent="0.25">
      <c r="A1389" s="84">
        <v>46094</v>
      </c>
      <c r="B1389" s="88" t="s">
        <v>155</v>
      </c>
      <c r="C1389" s="88">
        <v>49.037199999999999</v>
      </c>
    </row>
    <row r="1390" spans="1:3" x14ac:dyDescent="0.25">
      <c r="A1390" s="84">
        <v>46094</v>
      </c>
      <c r="B1390" s="88" t="s">
        <v>156</v>
      </c>
      <c r="C1390" s="88">
        <v>49.156599999999997</v>
      </c>
    </row>
    <row r="1391" spans="1:3" x14ac:dyDescent="0.25">
      <c r="A1391" s="84">
        <v>46094</v>
      </c>
      <c r="B1391" s="88" t="s">
        <v>157</v>
      </c>
      <c r="C1391" s="88">
        <v>49.361899999999999</v>
      </c>
    </row>
    <row r="1392" spans="1:3" x14ac:dyDescent="0.25">
      <c r="A1392" s="84">
        <v>46097</v>
      </c>
      <c r="B1392" s="88" t="s">
        <v>154</v>
      </c>
      <c r="C1392" s="88">
        <v>49.723700000000001</v>
      </c>
    </row>
    <row r="1393" spans="1:3" x14ac:dyDescent="0.25">
      <c r="A1393" s="84">
        <v>46097</v>
      </c>
      <c r="B1393" s="88" t="s">
        <v>155</v>
      </c>
      <c r="C1393" s="88">
        <v>49.037100000000002</v>
      </c>
    </row>
    <row r="1394" spans="1:3" x14ac:dyDescent="0.25">
      <c r="A1394" s="84">
        <v>46097</v>
      </c>
      <c r="B1394" s="88" t="s">
        <v>156</v>
      </c>
      <c r="C1394" s="88">
        <v>49.156300000000002</v>
      </c>
    </row>
    <row r="1395" spans="1:3" x14ac:dyDescent="0.25">
      <c r="A1395" s="84">
        <v>46097</v>
      </c>
      <c r="B1395" s="88" t="s">
        <v>157</v>
      </c>
      <c r="C1395" s="88">
        <v>49.361699999999999</v>
      </c>
    </row>
    <row r="1396" spans="1:3" x14ac:dyDescent="0.25">
      <c r="A1396" s="84">
        <v>46098</v>
      </c>
      <c r="B1396" s="88" t="s">
        <v>154</v>
      </c>
      <c r="C1396" s="88">
        <v>49.723700000000001</v>
      </c>
    </row>
    <row r="1397" spans="1:3" x14ac:dyDescent="0.25">
      <c r="A1397" s="84">
        <v>46098</v>
      </c>
      <c r="B1397" s="88" t="s">
        <v>155</v>
      </c>
      <c r="C1397" s="88">
        <v>49.036799999999999</v>
      </c>
    </row>
    <row r="1398" spans="1:3" x14ac:dyDescent="0.25">
      <c r="A1398" s="84">
        <v>46098</v>
      </c>
      <c r="B1398" s="88" t="s">
        <v>156</v>
      </c>
      <c r="C1398" s="88">
        <v>49.156300000000002</v>
      </c>
    </row>
    <row r="1399" spans="1:3" x14ac:dyDescent="0.25">
      <c r="A1399" s="84">
        <v>46098</v>
      </c>
      <c r="B1399" s="88" t="s">
        <v>157</v>
      </c>
      <c r="C1399" s="88">
        <v>49.361600000000003</v>
      </c>
    </row>
    <row r="1400" spans="1:3" x14ac:dyDescent="0.25">
      <c r="A1400" s="84">
        <v>46099</v>
      </c>
      <c r="B1400" s="88" t="s">
        <v>154</v>
      </c>
      <c r="C1400" s="88">
        <v>49.722900000000003</v>
      </c>
    </row>
    <row r="1401" spans="1:3" x14ac:dyDescent="0.25">
      <c r="A1401" s="84">
        <v>46099</v>
      </c>
      <c r="B1401" s="88" t="s">
        <v>155</v>
      </c>
      <c r="C1401" s="88">
        <v>49.035899999999998</v>
      </c>
    </row>
    <row r="1402" spans="1:3" x14ac:dyDescent="0.25">
      <c r="A1402" s="84">
        <v>46099</v>
      </c>
      <c r="B1402" s="88" t="s">
        <v>156</v>
      </c>
      <c r="C1402" s="88">
        <v>49.1556</v>
      </c>
    </row>
    <row r="1403" spans="1:3" x14ac:dyDescent="0.25">
      <c r="A1403" s="84">
        <v>46099</v>
      </c>
      <c r="B1403" s="88" t="s">
        <v>157</v>
      </c>
      <c r="C1403" s="88">
        <v>49.360700000000001</v>
      </c>
    </row>
    <row r="1404" spans="1:3" x14ac:dyDescent="0.25">
      <c r="A1404" s="84">
        <v>46099</v>
      </c>
      <c r="B1404" s="88" t="s">
        <v>132</v>
      </c>
      <c r="C1404" s="88">
        <v>49.867899999999999</v>
      </c>
    </row>
    <row r="1405" spans="1:3" x14ac:dyDescent="0.25">
      <c r="A1405" s="84">
        <v>46099</v>
      </c>
      <c r="B1405" s="88" t="s">
        <v>133</v>
      </c>
      <c r="C1405" s="88">
        <v>49.6616</v>
      </c>
    </row>
    <row r="1406" spans="1:3" x14ac:dyDescent="0.25">
      <c r="A1406" s="84">
        <v>46099</v>
      </c>
      <c r="B1406" s="88" t="s">
        <v>134</v>
      </c>
      <c r="C1406" s="88">
        <v>48.138500000000001</v>
      </c>
    </row>
    <row r="1407" spans="1:3" x14ac:dyDescent="0.25">
      <c r="A1407" s="84">
        <v>46099</v>
      </c>
      <c r="B1407" s="88" t="s">
        <v>135</v>
      </c>
      <c r="C1407" s="88">
        <v>48.206200000000003</v>
      </c>
    </row>
    <row r="1408" spans="1:3" x14ac:dyDescent="0.25">
      <c r="A1408" s="84">
        <v>46099</v>
      </c>
      <c r="B1408" s="88" t="s">
        <v>136</v>
      </c>
      <c r="C1408" s="88">
        <v>47.881599999999999</v>
      </c>
    </row>
    <row r="1409" spans="1:4" x14ac:dyDescent="0.25">
      <c r="A1409" s="84">
        <v>46099</v>
      </c>
      <c r="B1409" s="88" t="s">
        <v>137</v>
      </c>
      <c r="C1409" s="88">
        <v>47.7652</v>
      </c>
    </row>
    <row r="1410" spans="1:4" x14ac:dyDescent="0.25">
      <c r="A1410" s="84">
        <v>46099</v>
      </c>
      <c r="B1410" s="88" t="s">
        <v>138</v>
      </c>
      <c r="C1410" s="88">
        <v>47.886299999999999</v>
      </c>
    </row>
    <row r="1411" spans="1:4" x14ac:dyDescent="0.25">
      <c r="A1411" s="84">
        <v>46099</v>
      </c>
      <c r="B1411" s="88" t="s">
        <v>139</v>
      </c>
      <c r="C1411" s="88">
        <v>47.041600000000003</v>
      </c>
    </row>
    <row r="1412" spans="1:4" x14ac:dyDescent="0.25">
      <c r="A1412" s="84">
        <v>46099</v>
      </c>
      <c r="B1412" s="88" t="s">
        <v>140</v>
      </c>
      <c r="C1412" s="88">
        <v>44.044499999999999</v>
      </c>
    </row>
    <row r="1413" spans="1:4" x14ac:dyDescent="0.25">
      <c r="A1413" s="84">
        <v>46099</v>
      </c>
      <c r="B1413" s="88" t="s">
        <v>141</v>
      </c>
      <c r="C1413" s="88">
        <v>43.953900000000004</v>
      </c>
    </row>
    <row r="1414" spans="1:4" x14ac:dyDescent="0.25">
      <c r="A1414" s="84">
        <v>46105</v>
      </c>
      <c r="B1414" s="88" t="s">
        <v>148</v>
      </c>
      <c r="C1414" s="88">
        <v>48.159700000000001</v>
      </c>
      <c r="D1414" s="91"/>
    </row>
    <row r="1415" spans="1:4" x14ac:dyDescent="0.25">
      <c r="A1415" s="84">
        <v>46105</v>
      </c>
      <c r="B1415" s="88" t="s">
        <v>149</v>
      </c>
      <c r="C1415" s="88">
        <v>48.140500000000003</v>
      </c>
      <c r="D1415" s="91"/>
    </row>
    <row r="1416" spans="1:4" x14ac:dyDescent="0.25">
      <c r="A1416" s="84">
        <v>46105</v>
      </c>
      <c r="B1416" s="88" t="s">
        <v>150</v>
      </c>
      <c r="C1416" s="88">
        <v>49.052199999999999</v>
      </c>
      <c r="D1416" s="91"/>
    </row>
    <row r="1417" spans="1:4" x14ac:dyDescent="0.25">
      <c r="A1417" s="84">
        <v>46105</v>
      </c>
      <c r="B1417" s="88" t="s">
        <v>151</v>
      </c>
      <c r="C1417" s="88">
        <v>48.999699999999997</v>
      </c>
      <c r="D1417" s="91"/>
    </row>
    <row r="1418" spans="1:4" x14ac:dyDescent="0.25">
      <c r="A1418" s="84">
        <v>46105</v>
      </c>
      <c r="B1418" s="88" t="s">
        <v>152</v>
      </c>
      <c r="C1418" s="88">
        <v>48.834299999999999</v>
      </c>
      <c r="D1418" s="91"/>
    </row>
    <row r="1419" spans="1:4" x14ac:dyDescent="0.25">
      <c r="A1419" s="84">
        <v>46105</v>
      </c>
      <c r="B1419" s="88" t="s">
        <v>153</v>
      </c>
      <c r="C1419" s="88">
        <v>48.628399999999999</v>
      </c>
      <c r="D1419" s="91"/>
    </row>
    <row r="1420" spans="1:4" x14ac:dyDescent="0.25">
      <c r="A1420" s="84">
        <v>46105</v>
      </c>
      <c r="B1420" s="88" t="s">
        <v>154</v>
      </c>
      <c r="C1420" s="88">
        <v>49.722999999999999</v>
      </c>
      <c r="D1420" s="91"/>
    </row>
    <row r="1421" spans="1:4" x14ac:dyDescent="0.25">
      <c r="A1421" s="84">
        <v>46105</v>
      </c>
      <c r="B1421" s="88" t="s">
        <v>155</v>
      </c>
      <c r="C1421" s="88">
        <v>49.035899999999998</v>
      </c>
      <c r="D1421" s="91"/>
    </row>
    <row r="1422" spans="1:4" x14ac:dyDescent="0.25">
      <c r="A1422" s="84">
        <v>46105</v>
      </c>
      <c r="B1422" s="88" t="s">
        <v>156</v>
      </c>
      <c r="C1422" s="88">
        <v>49.1556</v>
      </c>
      <c r="D1422" s="91"/>
    </row>
    <row r="1423" spans="1:4" x14ac:dyDescent="0.25">
      <c r="A1423" s="84">
        <v>46105</v>
      </c>
      <c r="B1423" s="88" t="s">
        <v>157</v>
      </c>
      <c r="C1423" s="88">
        <v>49.360999999999997</v>
      </c>
      <c r="D1423" s="91"/>
    </row>
    <row r="1424" spans="1:4" x14ac:dyDescent="0.25">
      <c r="A1424" s="84">
        <v>46107</v>
      </c>
      <c r="B1424" s="88" t="s">
        <v>148</v>
      </c>
      <c r="C1424" s="88">
        <v>48.159700000000001</v>
      </c>
    </row>
    <row r="1425" spans="1:3" x14ac:dyDescent="0.25">
      <c r="A1425" s="84">
        <v>46107</v>
      </c>
      <c r="B1425" s="88" t="s">
        <v>149</v>
      </c>
      <c r="C1425" s="88">
        <v>48.140300000000003</v>
      </c>
    </row>
    <row r="1426" spans="1:3" x14ac:dyDescent="0.25">
      <c r="A1426" s="84">
        <v>46107</v>
      </c>
      <c r="B1426" s="88" t="s">
        <v>150</v>
      </c>
      <c r="C1426" s="88">
        <v>49.052100000000003</v>
      </c>
    </row>
    <row r="1427" spans="1:3" x14ac:dyDescent="0.25">
      <c r="A1427" s="84">
        <v>46107</v>
      </c>
      <c r="B1427" s="88" t="s">
        <v>151</v>
      </c>
      <c r="C1427" s="88">
        <v>48.999600000000001</v>
      </c>
    </row>
    <row r="1428" spans="1:3" x14ac:dyDescent="0.25">
      <c r="A1428" s="84">
        <v>46107</v>
      </c>
      <c r="B1428" s="88" t="s">
        <v>152</v>
      </c>
      <c r="C1428" s="88">
        <v>48.834499999999998</v>
      </c>
    </row>
    <row r="1429" spans="1:3" x14ac:dyDescent="0.25">
      <c r="A1429" s="84">
        <v>46107</v>
      </c>
      <c r="B1429" s="88" t="s">
        <v>153</v>
      </c>
      <c r="C1429" s="88">
        <v>48.628700000000002</v>
      </c>
    </row>
    <row r="1430" spans="1:3" x14ac:dyDescent="0.25">
      <c r="A1430" s="84">
        <v>46107</v>
      </c>
      <c r="B1430" s="88" t="s">
        <v>154</v>
      </c>
      <c r="C1430" s="88">
        <v>49.723300000000002</v>
      </c>
    </row>
    <row r="1431" spans="1:3" x14ac:dyDescent="0.25">
      <c r="A1431" s="84">
        <v>46107</v>
      </c>
      <c r="B1431" s="88" t="s">
        <v>155</v>
      </c>
      <c r="C1431" s="88">
        <v>49.036200000000001</v>
      </c>
    </row>
    <row r="1432" spans="1:3" x14ac:dyDescent="0.25">
      <c r="A1432" s="84">
        <v>46107</v>
      </c>
      <c r="B1432" s="88" t="s">
        <v>156</v>
      </c>
      <c r="C1432" s="88">
        <v>49.155200000000001</v>
      </c>
    </row>
    <row r="1433" spans="1:3" x14ac:dyDescent="0.25">
      <c r="A1433" s="84">
        <v>46107</v>
      </c>
      <c r="B1433" s="88" t="s">
        <v>157</v>
      </c>
      <c r="C1433" s="88">
        <v>49.3613</v>
      </c>
    </row>
    <row r="1434" spans="1:3" x14ac:dyDescent="0.25">
      <c r="A1434" s="84">
        <v>46111</v>
      </c>
      <c r="B1434" s="88" t="s">
        <v>148</v>
      </c>
      <c r="C1434" s="88">
        <v>48.159500000000001</v>
      </c>
    </row>
    <row r="1435" spans="1:3" x14ac:dyDescent="0.25">
      <c r="A1435" s="84">
        <v>46111</v>
      </c>
      <c r="B1435" s="88" t="s">
        <v>149</v>
      </c>
      <c r="C1435" s="88">
        <v>48.1404</v>
      </c>
    </row>
    <row r="1436" spans="1:3" x14ac:dyDescent="0.25">
      <c r="A1436" s="84">
        <v>46111</v>
      </c>
      <c r="B1436" s="88" t="s">
        <v>150</v>
      </c>
      <c r="C1436" s="88">
        <v>49.052399999999999</v>
      </c>
    </row>
    <row r="1437" spans="1:3" x14ac:dyDescent="0.25">
      <c r="A1437" s="84">
        <v>46111</v>
      </c>
      <c r="B1437" s="88" t="s">
        <v>151</v>
      </c>
      <c r="C1437" s="88">
        <v>48.999699999999997</v>
      </c>
    </row>
    <row r="1438" spans="1:3" x14ac:dyDescent="0.25">
      <c r="A1438" s="84">
        <v>46111</v>
      </c>
      <c r="B1438" s="88" t="s">
        <v>152</v>
      </c>
      <c r="C1438" s="88">
        <v>48.834299999999999</v>
      </c>
    </row>
    <row r="1439" spans="1:3" x14ac:dyDescent="0.25">
      <c r="A1439" s="84">
        <v>46111</v>
      </c>
      <c r="B1439" s="88" t="s">
        <v>154</v>
      </c>
      <c r="C1439" s="88">
        <v>49.723799999999997</v>
      </c>
    </row>
    <row r="1440" spans="1:3" x14ac:dyDescent="0.25">
      <c r="A1440" s="84">
        <v>46111</v>
      </c>
      <c r="B1440" s="88" t="s">
        <v>155</v>
      </c>
      <c r="C1440" s="88">
        <v>49.036799999999999</v>
      </c>
    </row>
    <row r="1441" spans="1:3" x14ac:dyDescent="0.25">
      <c r="A1441" s="84">
        <v>46111</v>
      </c>
      <c r="B1441" s="88" t="s">
        <v>156</v>
      </c>
      <c r="C1441" s="88">
        <v>49.156100000000002</v>
      </c>
    </row>
    <row r="1442" spans="1:3" x14ac:dyDescent="0.25">
      <c r="A1442" s="84">
        <v>46111</v>
      </c>
      <c r="B1442" s="88" t="s">
        <v>157</v>
      </c>
      <c r="C1442" s="88">
        <v>49.361600000000003</v>
      </c>
    </row>
    <row r="1443" spans="1:3" x14ac:dyDescent="0.25">
      <c r="A1443" s="84">
        <v>46113</v>
      </c>
      <c r="B1443" s="88" t="s">
        <v>154</v>
      </c>
      <c r="C1443" s="88">
        <v>49.723700000000001</v>
      </c>
    </row>
    <row r="1444" spans="1:3" x14ac:dyDescent="0.25">
      <c r="A1444" s="84">
        <v>46113</v>
      </c>
      <c r="B1444" s="88" t="s">
        <v>155</v>
      </c>
      <c r="C1444" s="88">
        <v>49.036700000000003</v>
      </c>
    </row>
    <row r="1445" spans="1:3" x14ac:dyDescent="0.25">
      <c r="A1445" s="84">
        <v>46113</v>
      </c>
      <c r="B1445" s="88" t="s">
        <v>156</v>
      </c>
      <c r="C1445" s="88">
        <v>49.155999999999999</v>
      </c>
    </row>
    <row r="1446" spans="1:3" x14ac:dyDescent="0.25">
      <c r="A1446" s="84">
        <v>46113</v>
      </c>
      <c r="B1446" s="88" t="s">
        <v>157</v>
      </c>
      <c r="C1446" s="88">
        <v>49.361499999999999</v>
      </c>
    </row>
    <row r="1447" spans="1:3" x14ac:dyDescent="0.25">
      <c r="A1447" s="84">
        <v>46118</v>
      </c>
      <c r="B1447" s="88" t="s">
        <v>148</v>
      </c>
      <c r="C1447" s="88">
        <v>48.159300000000002</v>
      </c>
    </row>
    <row r="1448" spans="1:3" x14ac:dyDescent="0.25">
      <c r="A1448" s="84">
        <v>46118</v>
      </c>
      <c r="B1448" s="88" t="s">
        <v>149</v>
      </c>
      <c r="C1448" s="88">
        <v>48.140099999999997</v>
      </c>
    </row>
    <row r="1449" spans="1:3" x14ac:dyDescent="0.25">
      <c r="A1449" s="84">
        <v>46118</v>
      </c>
      <c r="B1449" s="88" t="s">
        <v>150</v>
      </c>
      <c r="C1449" s="88">
        <v>49.052199999999999</v>
      </c>
    </row>
    <row r="1450" spans="1:3" x14ac:dyDescent="0.25">
      <c r="A1450" s="84">
        <v>46118</v>
      </c>
      <c r="B1450" s="88" t="s">
        <v>151</v>
      </c>
      <c r="C1450" s="88">
        <v>48.999600000000001</v>
      </c>
    </row>
    <row r="1451" spans="1:3" x14ac:dyDescent="0.25">
      <c r="A1451" s="84">
        <v>46118</v>
      </c>
      <c r="B1451" s="88" t="s">
        <v>152</v>
      </c>
      <c r="C1451" s="88">
        <v>48.834800000000001</v>
      </c>
    </row>
    <row r="1452" spans="1:3" x14ac:dyDescent="0.25">
      <c r="A1452" s="84">
        <v>46118</v>
      </c>
      <c r="B1452" s="88" t="s">
        <v>154</v>
      </c>
      <c r="C1452" s="88">
        <v>49.723599999999998</v>
      </c>
    </row>
    <row r="1453" spans="1:3" x14ac:dyDescent="0.25">
      <c r="A1453" s="84">
        <v>46118</v>
      </c>
      <c r="B1453" s="88" t="s">
        <v>155</v>
      </c>
      <c r="C1453" s="88">
        <v>49.036700000000003</v>
      </c>
    </row>
    <row r="1454" spans="1:3" x14ac:dyDescent="0.25">
      <c r="A1454" s="84">
        <v>46118</v>
      </c>
      <c r="B1454" s="88" t="s">
        <v>156</v>
      </c>
      <c r="C1454" s="88">
        <v>49.156199999999998</v>
      </c>
    </row>
    <row r="1455" spans="1:3" x14ac:dyDescent="0.25">
      <c r="A1455" s="84">
        <v>46118</v>
      </c>
      <c r="B1455" s="88" t="s">
        <v>157</v>
      </c>
      <c r="C1455" s="88">
        <v>49.361499999999999</v>
      </c>
    </row>
    <row r="1456" spans="1:3" x14ac:dyDescent="0.25">
      <c r="A1456" s="84">
        <v>46121</v>
      </c>
      <c r="B1456" s="88" t="s">
        <v>148</v>
      </c>
      <c r="C1456" s="88">
        <v>48.159100000000002</v>
      </c>
    </row>
    <row r="1457" spans="1:4" x14ac:dyDescent="0.25">
      <c r="A1457" s="84">
        <v>46121</v>
      </c>
      <c r="B1457" s="88" t="s">
        <v>149</v>
      </c>
      <c r="C1457" s="88">
        <v>48.139699999999998</v>
      </c>
    </row>
    <row r="1458" spans="1:4" x14ac:dyDescent="0.25">
      <c r="A1458" s="84">
        <v>46121</v>
      </c>
      <c r="B1458" s="88" t="s">
        <v>150</v>
      </c>
      <c r="C1458" s="88">
        <v>49.051400000000001</v>
      </c>
    </row>
    <row r="1459" spans="1:4" x14ac:dyDescent="0.25">
      <c r="A1459" s="84">
        <v>46121</v>
      </c>
      <c r="B1459" s="88" t="s">
        <v>151</v>
      </c>
      <c r="C1459" s="88">
        <v>48.999099999999999</v>
      </c>
    </row>
    <row r="1460" spans="1:4" x14ac:dyDescent="0.25">
      <c r="A1460" s="84">
        <v>46121</v>
      </c>
      <c r="B1460" s="88" t="s">
        <v>152</v>
      </c>
      <c r="C1460" s="88">
        <v>48.834200000000003</v>
      </c>
    </row>
    <row r="1461" spans="1:4" x14ac:dyDescent="0.25">
      <c r="A1461" s="84">
        <v>46121</v>
      </c>
      <c r="B1461" s="88" t="s">
        <v>153</v>
      </c>
      <c r="C1461" s="88">
        <v>48.6282</v>
      </c>
    </row>
    <row r="1462" spans="1:4" x14ac:dyDescent="0.25">
      <c r="A1462" s="84">
        <v>46121</v>
      </c>
      <c r="B1462" s="88" t="s">
        <v>154</v>
      </c>
      <c r="C1462" s="88">
        <v>49.723199999999999</v>
      </c>
    </row>
    <row r="1463" spans="1:4" x14ac:dyDescent="0.25">
      <c r="A1463" s="84">
        <v>46121</v>
      </c>
      <c r="B1463" s="88" t="s">
        <v>155</v>
      </c>
      <c r="C1463" s="88">
        <v>49.036499999999997</v>
      </c>
    </row>
    <row r="1464" spans="1:4" x14ac:dyDescent="0.25">
      <c r="A1464" s="84">
        <v>46121</v>
      </c>
      <c r="B1464" s="88" t="s">
        <v>156</v>
      </c>
      <c r="C1464" s="88">
        <v>49.1554</v>
      </c>
    </row>
    <row r="1465" spans="1:4" x14ac:dyDescent="0.25">
      <c r="A1465" s="84">
        <v>46121</v>
      </c>
      <c r="B1465" s="88" t="s">
        <v>157</v>
      </c>
      <c r="C1465" s="88">
        <v>49.361199999999997</v>
      </c>
    </row>
    <row r="1466" spans="1:4" x14ac:dyDescent="0.25">
      <c r="A1466" s="84">
        <v>46125</v>
      </c>
      <c r="B1466" s="88" t="s">
        <v>148</v>
      </c>
      <c r="C1466" s="88">
        <v>48.159399999999998</v>
      </c>
      <c r="D1466" s="91"/>
    </row>
    <row r="1467" spans="1:4" x14ac:dyDescent="0.25">
      <c r="A1467" s="84">
        <v>46125</v>
      </c>
      <c r="B1467" s="88" t="s">
        <v>149</v>
      </c>
      <c r="C1467" s="88">
        <v>48.139900000000004</v>
      </c>
      <c r="D1467" s="91"/>
    </row>
    <row r="1468" spans="1:4" x14ac:dyDescent="0.25">
      <c r="A1468" s="84">
        <v>46125</v>
      </c>
      <c r="B1468" s="88" t="s">
        <v>150</v>
      </c>
      <c r="C1468" s="88">
        <v>49.051600000000001</v>
      </c>
      <c r="D1468" s="91"/>
    </row>
    <row r="1469" spans="1:4" x14ac:dyDescent="0.25">
      <c r="A1469" s="84">
        <v>46125</v>
      </c>
      <c r="B1469" s="88" t="s">
        <v>151</v>
      </c>
      <c r="C1469" s="88">
        <v>48.998800000000003</v>
      </c>
      <c r="D1469" s="91"/>
    </row>
    <row r="1470" spans="1:4" x14ac:dyDescent="0.25">
      <c r="A1470" s="84">
        <v>46125</v>
      </c>
      <c r="B1470" s="88" t="s">
        <v>152</v>
      </c>
      <c r="C1470" s="88">
        <v>48.8337</v>
      </c>
      <c r="D1470" s="91"/>
    </row>
    <row r="1471" spans="1:4" x14ac:dyDescent="0.25">
      <c r="A1471" s="84">
        <v>46125</v>
      </c>
      <c r="B1471" s="88" t="s">
        <v>154</v>
      </c>
      <c r="C1471" s="88">
        <v>49.723199999999999</v>
      </c>
      <c r="D1471" s="91"/>
    </row>
    <row r="1472" spans="1:4" x14ac:dyDescent="0.25">
      <c r="A1472" s="84">
        <v>46125</v>
      </c>
      <c r="B1472" s="88" t="s">
        <v>155</v>
      </c>
      <c r="C1472" s="88">
        <v>49.036500000000004</v>
      </c>
      <c r="D1472" s="91"/>
    </row>
    <row r="1473" spans="1:4" x14ac:dyDescent="0.25">
      <c r="A1473" s="84">
        <v>46125</v>
      </c>
      <c r="B1473" s="88" t="s">
        <v>156</v>
      </c>
      <c r="C1473" s="88">
        <v>49.1556</v>
      </c>
      <c r="D1473" s="91"/>
    </row>
    <row r="1474" spans="1:4" x14ac:dyDescent="0.25">
      <c r="A1474" s="84">
        <v>46125</v>
      </c>
      <c r="B1474" s="88" t="s">
        <v>157</v>
      </c>
      <c r="C1474" s="88">
        <v>49.3613</v>
      </c>
      <c r="D1474" s="91"/>
    </row>
    <row r="1475" spans="1:4" x14ac:dyDescent="0.25">
      <c r="A1475" s="84">
        <v>46126</v>
      </c>
      <c r="B1475" s="88" t="s">
        <v>148</v>
      </c>
      <c r="C1475" s="88">
        <v>48.159300000000002</v>
      </c>
      <c r="D1475" s="91"/>
    </row>
    <row r="1476" spans="1:4" x14ac:dyDescent="0.25">
      <c r="A1476" s="84">
        <v>46126</v>
      </c>
      <c r="B1476" s="88" t="s">
        <v>149</v>
      </c>
      <c r="C1476" s="88">
        <v>48.139699999999998</v>
      </c>
      <c r="D1476" s="91"/>
    </row>
    <row r="1477" spans="1:4" x14ac:dyDescent="0.25">
      <c r="A1477" s="84">
        <v>46126</v>
      </c>
      <c r="B1477" s="88" t="s">
        <v>150</v>
      </c>
      <c r="C1477" s="88">
        <v>49.051499999999997</v>
      </c>
      <c r="D1477" s="91"/>
    </row>
    <row r="1478" spans="1:4" x14ac:dyDescent="0.25">
      <c r="A1478" s="84">
        <v>46126</v>
      </c>
      <c r="B1478" s="88" t="s">
        <v>151</v>
      </c>
      <c r="C1478" s="88">
        <v>48.998800000000003</v>
      </c>
      <c r="D1478" s="91"/>
    </row>
    <row r="1479" spans="1:4" x14ac:dyDescent="0.25">
      <c r="A1479" s="84">
        <v>46126</v>
      </c>
      <c r="B1479" s="88" t="s">
        <v>154</v>
      </c>
      <c r="C1479" s="88">
        <v>49.722900000000003</v>
      </c>
      <c r="D1479" s="91"/>
    </row>
    <row r="1480" spans="1:4" x14ac:dyDescent="0.25">
      <c r="A1480" s="84">
        <v>46126</v>
      </c>
      <c r="B1480" s="88" t="s">
        <v>155</v>
      </c>
      <c r="C1480" s="88">
        <v>49.036299999999997</v>
      </c>
      <c r="D1480" s="91"/>
    </row>
    <row r="1481" spans="1:4" x14ac:dyDescent="0.25">
      <c r="A1481" s="84">
        <v>46126</v>
      </c>
      <c r="B1481" s="88" t="s">
        <v>156</v>
      </c>
      <c r="C1481" s="88">
        <v>49.155500000000004</v>
      </c>
      <c r="D1481" s="91"/>
    </row>
    <row r="1482" spans="1:4" x14ac:dyDescent="0.25">
      <c r="A1482" s="84">
        <v>46126</v>
      </c>
      <c r="B1482" s="88" t="s">
        <v>157</v>
      </c>
      <c r="C1482" s="88">
        <v>49.360999999999997</v>
      </c>
      <c r="D1482" s="91"/>
    </row>
    <row r="1483" spans="1:4" x14ac:dyDescent="0.25">
      <c r="A1483" s="84">
        <v>46127</v>
      </c>
      <c r="B1483" s="88" t="s">
        <v>148</v>
      </c>
      <c r="C1483" s="88">
        <v>48.158799999999999</v>
      </c>
    </row>
    <row r="1484" spans="1:4" x14ac:dyDescent="0.25">
      <c r="A1484" s="84">
        <v>46127</v>
      </c>
      <c r="B1484" s="88" t="s">
        <v>149</v>
      </c>
      <c r="C1484" s="88">
        <v>48.139299999999999</v>
      </c>
    </row>
    <row r="1485" spans="1:4" x14ac:dyDescent="0.25">
      <c r="A1485" s="84">
        <v>46127</v>
      </c>
      <c r="B1485" s="88" t="s">
        <v>150</v>
      </c>
      <c r="C1485" s="88">
        <v>49.051900000000003</v>
      </c>
    </row>
    <row r="1486" spans="1:4" x14ac:dyDescent="0.25">
      <c r="A1486" s="84">
        <v>46127</v>
      </c>
      <c r="B1486" s="88" t="s">
        <v>151</v>
      </c>
      <c r="C1486" s="88">
        <v>48.999200000000002</v>
      </c>
    </row>
    <row r="1487" spans="1:4" x14ac:dyDescent="0.25">
      <c r="A1487" s="84">
        <v>46127</v>
      </c>
      <c r="B1487" s="88" t="s">
        <v>152</v>
      </c>
      <c r="C1487" s="88">
        <v>48.833599999999997</v>
      </c>
    </row>
    <row r="1488" spans="1:4" x14ac:dyDescent="0.25">
      <c r="A1488" s="84">
        <v>46127</v>
      </c>
      <c r="B1488" s="88" t="s">
        <v>153</v>
      </c>
      <c r="C1488" s="88">
        <v>48.628100000000003</v>
      </c>
    </row>
    <row r="1489" spans="1:4" x14ac:dyDescent="0.25">
      <c r="A1489" s="84">
        <v>46127</v>
      </c>
      <c r="B1489" s="88" t="s">
        <v>154</v>
      </c>
      <c r="C1489" s="88">
        <v>49.723100000000002</v>
      </c>
    </row>
    <row r="1490" spans="1:4" x14ac:dyDescent="0.25">
      <c r="A1490" s="84">
        <v>46127</v>
      </c>
      <c r="B1490" s="88" t="s">
        <v>155</v>
      </c>
      <c r="C1490" s="88">
        <v>49.0364</v>
      </c>
    </row>
    <row r="1491" spans="1:4" x14ac:dyDescent="0.25">
      <c r="A1491" s="84">
        <v>46127</v>
      </c>
      <c r="B1491" s="88" t="s">
        <v>156</v>
      </c>
      <c r="C1491" s="88">
        <v>49.155799999999999</v>
      </c>
    </row>
    <row r="1492" spans="1:4" x14ac:dyDescent="0.25">
      <c r="A1492" s="84">
        <v>46127</v>
      </c>
      <c r="B1492" s="88" t="s">
        <v>157</v>
      </c>
      <c r="C1492" s="88">
        <v>49.3613</v>
      </c>
    </row>
    <row r="1493" spans="1:4" x14ac:dyDescent="0.25">
      <c r="A1493" s="84">
        <v>46127</v>
      </c>
      <c r="B1493" s="88" t="s">
        <v>120</v>
      </c>
      <c r="C1493" s="88">
        <v>45.549700000000009</v>
      </c>
      <c r="D1493" s="91"/>
    </row>
    <row r="1494" spans="1:4" x14ac:dyDescent="0.25">
      <c r="A1494" s="84">
        <v>46127</v>
      </c>
      <c r="B1494" s="88" t="s">
        <v>121</v>
      </c>
      <c r="C1494" s="88">
        <v>45.556800000000003</v>
      </c>
      <c r="D1494" s="91"/>
    </row>
    <row r="1495" spans="1:4" x14ac:dyDescent="0.25">
      <c r="A1495" s="84">
        <v>46127</v>
      </c>
      <c r="B1495" s="88" t="s">
        <v>122</v>
      </c>
      <c r="C1495" s="88">
        <v>45.535700000000006</v>
      </c>
      <c r="D1495" s="91"/>
    </row>
    <row r="1496" spans="1:4" x14ac:dyDescent="0.25">
      <c r="A1496" s="84">
        <v>46127</v>
      </c>
      <c r="B1496" s="88" t="s">
        <v>123</v>
      </c>
      <c r="C1496" s="88">
        <v>45.457050000000002</v>
      </c>
      <c r="D1496" s="91"/>
    </row>
    <row r="1497" spans="1:4" x14ac:dyDescent="0.25">
      <c r="A1497" s="84">
        <v>46127</v>
      </c>
      <c r="B1497" s="88" t="s">
        <v>124</v>
      </c>
      <c r="C1497" s="88">
        <v>45.471250000000005</v>
      </c>
      <c r="D1497" s="91"/>
    </row>
    <row r="1498" spans="1:4" x14ac:dyDescent="0.25">
      <c r="A1498" s="84">
        <v>46127</v>
      </c>
      <c r="B1498" s="88" t="s">
        <v>125</v>
      </c>
      <c r="C1498" s="88">
        <v>46.546900000000008</v>
      </c>
      <c r="D1498" s="91"/>
    </row>
    <row r="1499" spans="1:4" x14ac:dyDescent="0.25">
      <c r="A1499" s="84">
        <v>46127</v>
      </c>
      <c r="B1499" s="88" t="s">
        <v>126</v>
      </c>
      <c r="C1499" s="88">
        <v>46.566500000000005</v>
      </c>
      <c r="D1499" s="91"/>
    </row>
    <row r="1500" spans="1:4" x14ac:dyDescent="0.25">
      <c r="A1500" s="84">
        <v>46127</v>
      </c>
      <c r="B1500" s="88" t="s">
        <v>127</v>
      </c>
      <c r="C1500" s="88">
        <v>48.005050000000004</v>
      </c>
      <c r="D1500" s="91"/>
    </row>
    <row r="1501" spans="1:4" x14ac:dyDescent="0.25">
      <c r="A1501" s="84">
        <v>46127</v>
      </c>
      <c r="B1501" s="88" t="s">
        <v>128</v>
      </c>
      <c r="C1501" s="88">
        <v>48.122550000000004</v>
      </c>
      <c r="D1501" s="91"/>
    </row>
    <row r="1502" spans="1:4" x14ac:dyDescent="0.25">
      <c r="A1502" s="84">
        <v>46127</v>
      </c>
      <c r="B1502" s="88" t="s">
        <v>129</v>
      </c>
      <c r="C1502" s="88">
        <v>48.447099999999999</v>
      </c>
      <c r="D1502" s="91"/>
    </row>
    <row r="1503" spans="1:4" x14ac:dyDescent="0.25">
      <c r="A1503" s="84">
        <v>46127</v>
      </c>
      <c r="B1503" s="88" t="s">
        <v>130</v>
      </c>
      <c r="C1503" s="88">
        <v>50.289000000000001</v>
      </c>
      <c r="D1503" s="91"/>
    </row>
    <row r="1504" spans="1:4" x14ac:dyDescent="0.25">
      <c r="A1504" s="84">
        <v>46127</v>
      </c>
      <c r="B1504" s="88" t="s">
        <v>131</v>
      </c>
      <c r="C1504" s="88">
        <v>50.974700000000006</v>
      </c>
      <c r="D1504" s="91"/>
    </row>
    <row r="1505" spans="1:4" x14ac:dyDescent="0.25">
      <c r="A1505" s="84">
        <v>46128</v>
      </c>
      <c r="B1505" s="91" t="s">
        <v>150</v>
      </c>
      <c r="C1505" s="88">
        <v>49.051600000000001</v>
      </c>
      <c r="D1505" s="91"/>
    </row>
    <row r="1506" spans="1:4" x14ac:dyDescent="0.25">
      <c r="A1506" s="84">
        <v>46128</v>
      </c>
      <c r="B1506" s="91" t="s">
        <v>151</v>
      </c>
      <c r="C1506" s="88">
        <v>48.998999999999995</v>
      </c>
      <c r="D1506" s="91"/>
    </row>
    <row r="1507" spans="1:4" x14ac:dyDescent="0.25">
      <c r="A1507" s="84">
        <v>46128</v>
      </c>
      <c r="B1507" s="91" t="s">
        <v>152</v>
      </c>
      <c r="C1507" s="88">
        <v>48.8339</v>
      </c>
      <c r="D1507" s="91"/>
    </row>
    <row r="1508" spans="1:4" x14ac:dyDescent="0.25">
      <c r="A1508" s="84">
        <v>46128</v>
      </c>
      <c r="B1508" s="91" t="s">
        <v>153</v>
      </c>
      <c r="C1508" s="88">
        <v>48.628099999999996</v>
      </c>
      <c r="D1508" s="91"/>
    </row>
    <row r="1509" spans="1:4" x14ac:dyDescent="0.25">
      <c r="A1509" s="84">
        <v>46128</v>
      </c>
      <c r="B1509" s="91" t="s">
        <v>148</v>
      </c>
      <c r="C1509" s="88">
        <v>48.158999999999999</v>
      </c>
      <c r="D1509" s="91"/>
    </row>
    <row r="1510" spans="1:4" x14ac:dyDescent="0.25">
      <c r="A1510" s="84">
        <v>46128</v>
      </c>
      <c r="B1510" s="91" t="s">
        <v>149</v>
      </c>
      <c r="C1510" s="88">
        <v>48.139499999999998</v>
      </c>
      <c r="D1510" s="91"/>
    </row>
    <row r="1511" spans="1:4" x14ac:dyDescent="0.25">
      <c r="A1511" s="84">
        <v>46128</v>
      </c>
      <c r="B1511" s="91" t="s">
        <v>154</v>
      </c>
      <c r="C1511" s="88">
        <v>49.7226</v>
      </c>
      <c r="D1511" s="91"/>
    </row>
    <row r="1512" spans="1:4" x14ac:dyDescent="0.25">
      <c r="A1512" s="84">
        <v>46128</v>
      </c>
      <c r="B1512" s="91" t="s">
        <v>155</v>
      </c>
      <c r="C1512" s="88">
        <v>49.035699999999999</v>
      </c>
      <c r="D1512" s="91"/>
    </row>
    <row r="1513" spans="1:4" x14ac:dyDescent="0.25">
      <c r="A1513" s="84">
        <v>46128</v>
      </c>
      <c r="B1513" s="91" t="s">
        <v>156</v>
      </c>
      <c r="C1513" s="88">
        <v>49.155099999999997</v>
      </c>
      <c r="D1513" s="91"/>
    </row>
    <row r="1514" spans="1:4" x14ac:dyDescent="0.25">
      <c r="A1514" s="84">
        <v>46128</v>
      </c>
      <c r="B1514" s="91" t="s">
        <v>157</v>
      </c>
      <c r="C1514" s="88">
        <v>49.360599999999998</v>
      </c>
      <c r="D1514" s="91"/>
    </row>
    <row r="1515" spans="1:4" x14ac:dyDescent="0.25">
      <c r="A1515" s="84">
        <v>46134</v>
      </c>
      <c r="B1515" s="88" t="s">
        <v>150</v>
      </c>
      <c r="C1515" s="88">
        <v>49.051499999999997</v>
      </c>
    </row>
    <row r="1516" spans="1:4" x14ac:dyDescent="0.25">
      <c r="A1516" s="84">
        <v>46134</v>
      </c>
      <c r="B1516" s="88" t="s">
        <v>151</v>
      </c>
      <c r="C1516" s="88">
        <v>48.998800000000003</v>
      </c>
    </row>
    <row r="1517" spans="1:4" x14ac:dyDescent="0.25">
      <c r="A1517" s="84">
        <v>46134</v>
      </c>
      <c r="B1517" s="88" t="s">
        <v>154</v>
      </c>
      <c r="C1517" s="88">
        <v>49.7226</v>
      </c>
    </row>
    <row r="1518" spans="1:4" x14ac:dyDescent="0.25">
      <c r="A1518" s="84">
        <v>46134</v>
      </c>
      <c r="B1518" s="88" t="s">
        <v>155</v>
      </c>
      <c r="C1518" s="88">
        <v>49.035800000000002</v>
      </c>
    </row>
    <row r="1519" spans="1:4" x14ac:dyDescent="0.25">
      <c r="A1519" s="84">
        <v>46134</v>
      </c>
      <c r="B1519" s="88" t="s">
        <v>156</v>
      </c>
      <c r="C1519" s="88">
        <v>49.155099999999997</v>
      </c>
    </row>
    <row r="1520" spans="1:4" x14ac:dyDescent="0.25">
      <c r="A1520" s="84">
        <v>46134</v>
      </c>
      <c r="B1520" s="88" t="s">
        <v>157</v>
      </c>
      <c r="C1520" s="88">
        <v>49.360599999999998</v>
      </c>
    </row>
    <row r="1521" spans="1:4" x14ac:dyDescent="0.25">
      <c r="A1521" s="84">
        <v>46135</v>
      </c>
      <c r="B1521" s="88" t="s">
        <v>88</v>
      </c>
      <c r="C1521" s="88">
        <v>53.021800000000006</v>
      </c>
      <c r="D1521" s="91"/>
    </row>
    <row r="1522" spans="1:4" x14ac:dyDescent="0.25">
      <c r="A1522" s="84">
        <v>46135</v>
      </c>
      <c r="B1522" s="88" t="s">
        <v>89</v>
      </c>
      <c r="C1522" s="88">
        <v>53.080500000000001</v>
      </c>
      <c r="D1522" s="91"/>
    </row>
    <row r="1523" spans="1:4" x14ac:dyDescent="0.25">
      <c r="A1523" s="84">
        <v>46135</v>
      </c>
      <c r="B1523" s="88" t="s">
        <v>90</v>
      </c>
      <c r="C1523" s="88">
        <v>53.045400000000001</v>
      </c>
      <c r="D1523" s="91"/>
    </row>
    <row r="1524" spans="1:4" x14ac:dyDescent="0.25">
      <c r="A1524" s="84">
        <v>46135</v>
      </c>
      <c r="B1524" s="88" t="s">
        <v>91</v>
      </c>
      <c r="C1524" s="88">
        <v>52.633800000000001</v>
      </c>
      <c r="D1524" s="91"/>
    </row>
    <row r="1525" spans="1:4" x14ac:dyDescent="0.25">
      <c r="A1525" s="84">
        <v>46135</v>
      </c>
      <c r="B1525" s="88" t="s">
        <v>104</v>
      </c>
      <c r="C1525" s="88">
        <v>52.606500000000004</v>
      </c>
      <c r="D1525" s="91"/>
    </row>
    <row r="1526" spans="1:4" x14ac:dyDescent="0.25">
      <c r="A1526" s="84">
        <v>46135</v>
      </c>
      <c r="B1526" s="88" t="s">
        <v>105</v>
      </c>
      <c r="C1526" s="88">
        <v>52.723300000000002</v>
      </c>
      <c r="D1526" s="91"/>
    </row>
    <row r="1527" spans="1:4" x14ac:dyDescent="0.25">
      <c r="A1527" s="84">
        <v>46135</v>
      </c>
      <c r="B1527" s="88" t="s">
        <v>92</v>
      </c>
      <c r="C1527" s="88">
        <v>52.919800000000002</v>
      </c>
      <c r="D1527" s="91"/>
    </row>
    <row r="1528" spans="1:4" x14ac:dyDescent="0.25">
      <c r="A1528" s="84">
        <v>46135</v>
      </c>
      <c r="B1528" s="88" t="s">
        <v>93</v>
      </c>
      <c r="C1528" s="88">
        <v>52.928100000000001</v>
      </c>
      <c r="D1528" s="91"/>
    </row>
    <row r="1529" spans="1:4" x14ac:dyDescent="0.25">
      <c r="A1529" s="84">
        <v>46135</v>
      </c>
      <c r="B1529" s="88" t="s">
        <v>106</v>
      </c>
      <c r="C1529" s="88">
        <v>52.915500000000002</v>
      </c>
      <c r="D1529" s="91"/>
    </row>
    <row r="1530" spans="1:4" x14ac:dyDescent="0.25">
      <c r="A1530" s="84">
        <v>46135</v>
      </c>
      <c r="B1530" s="88" t="s">
        <v>69</v>
      </c>
      <c r="C1530" s="88">
        <v>52.985900000000001</v>
      </c>
      <c r="D1530" s="91"/>
    </row>
    <row r="1531" spans="1:4" x14ac:dyDescent="0.25">
      <c r="A1531" s="84">
        <v>46135</v>
      </c>
      <c r="B1531" s="88" t="s">
        <v>70</v>
      </c>
      <c r="C1531" s="88">
        <v>53.080800000000004</v>
      </c>
      <c r="D1531" s="91"/>
    </row>
    <row r="1532" spans="1:4" x14ac:dyDescent="0.25">
      <c r="A1532" s="84">
        <v>46135</v>
      </c>
      <c r="B1532" s="88" t="s">
        <v>71</v>
      </c>
      <c r="C1532" s="88">
        <v>53.205300000000001</v>
      </c>
      <c r="D1532" s="91"/>
    </row>
    <row r="1533" spans="1:4" x14ac:dyDescent="0.25">
      <c r="A1533" s="84">
        <v>46135</v>
      </c>
      <c r="B1533" s="88" t="s">
        <v>72</v>
      </c>
      <c r="C1533" s="88">
        <v>53.080200000000005</v>
      </c>
      <c r="D1533" s="91"/>
    </row>
    <row r="1534" spans="1:4" x14ac:dyDescent="0.25">
      <c r="A1534" s="84">
        <v>46135</v>
      </c>
      <c r="B1534" s="88" t="s">
        <v>73</v>
      </c>
      <c r="C1534" s="88">
        <v>53.383700000000005</v>
      </c>
      <c r="D1534" s="91"/>
    </row>
    <row r="1535" spans="1:4" x14ac:dyDescent="0.25">
      <c r="A1535" s="84">
        <v>46135</v>
      </c>
      <c r="B1535" s="88" t="s">
        <v>74</v>
      </c>
      <c r="C1535" s="88">
        <v>53.379100000000001</v>
      </c>
      <c r="D1535" s="91"/>
    </row>
    <row r="1536" spans="1:4" x14ac:dyDescent="0.25">
      <c r="A1536" s="84">
        <v>46135</v>
      </c>
      <c r="B1536" s="88" t="s">
        <v>75</v>
      </c>
      <c r="C1536" s="88">
        <v>54.072400000000002</v>
      </c>
      <c r="D1536" s="91"/>
    </row>
    <row r="1537" spans="1:4" x14ac:dyDescent="0.25">
      <c r="A1537" s="84">
        <v>46135</v>
      </c>
      <c r="B1537" s="88" t="s">
        <v>76</v>
      </c>
      <c r="C1537" s="88">
        <v>54.079700000000003</v>
      </c>
      <c r="D1537" s="91"/>
    </row>
    <row r="1538" spans="1:4" x14ac:dyDescent="0.25">
      <c r="A1538" s="84">
        <v>46135</v>
      </c>
      <c r="B1538" s="88" t="s">
        <v>77</v>
      </c>
      <c r="C1538" s="88">
        <v>54.0167</v>
      </c>
      <c r="D1538" s="91"/>
    </row>
    <row r="1539" spans="1:4" x14ac:dyDescent="0.25">
      <c r="A1539" s="84">
        <v>46135</v>
      </c>
      <c r="B1539" s="88" t="s">
        <v>78</v>
      </c>
      <c r="C1539" s="88">
        <v>52.923900000000003</v>
      </c>
      <c r="D1539" s="91"/>
    </row>
    <row r="1540" spans="1:4" x14ac:dyDescent="0.25">
      <c r="A1540" s="84">
        <v>46135</v>
      </c>
      <c r="B1540" s="88" t="s">
        <v>79</v>
      </c>
      <c r="C1540" s="88">
        <v>53.894800000000004</v>
      </c>
      <c r="D1540" s="91"/>
    </row>
    <row r="1541" spans="1:4" x14ac:dyDescent="0.25">
      <c r="A1541" s="84">
        <v>46135</v>
      </c>
      <c r="B1541" s="88" t="s">
        <v>80</v>
      </c>
      <c r="C1541" s="88">
        <v>54.090200000000003</v>
      </c>
      <c r="D1541" s="91"/>
    </row>
    <row r="1542" spans="1:4" x14ac:dyDescent="0.25">
      <c r="A1542" s="84">
        <v>46135</v>
      </c>
      <c r="B1542" s="88" t="s">
        <v>81</v>
      </c>
      <c r="C1542" s="88">
        <v>53.315800000000003</v>
      </c>
      <c r="D1542" s="91"/>
    </row>
    <row r="1543" spans="1:4" x14ac:dyDescent="0.25">
      <c r="A1543" s="84">
        <v>46135</v>
      </c>
      <c r="B1543" s="88" t="s">
        <v>82</v>
      </c>
      <c r="C1543" s="88">
        <v>53.3245</v>
      </c>
      <c r="D1543" s="91"/>
    </row>
    <row r="1544" spans="1:4" x14ac:dyDescent="0.25">
      <c r="A1544" s="84">
        <v>46135</v>
      </c>
      <c r="B1544" s="88" t="s">
        <v>114</v>
      </c>
      <c r="C1544" s="88">
        <v>46.687200000000004</v>
      </c>
      <c r="D1544" s="91"/>
    </row>
    <row r="1545" spans="1:4" x14ac:dyDescent="0.25">
      <c r="A1545" s="84">
        <v>46135</v>
      </c>
      <c r="B1545" s="88" t="s">
        <v>115</v>
      </c>
      <c r="C1545" s="88">
        <v>46.572000000000003</v>
      </c>
      <c r="D1545" s="91"/>
    </row>
    <row r="1546" spans="1:4" x14ac:dyDescent="0.25">
      <c r="A1546" s="84">
        <v>46135</v>
      </c>
      <c r="B1546" s="88" t="s">
        <v>116</v>
      </c>
      <c r="C1546" s="88">
        <v>46.7881</v>
      </c>
      <c r="D1546" s="91"/>
    </row>
    <row r="1547" spans="1:4" x14ac:dyDescent="0.25">
      <c r="A1547" s="84">
        <v>46135</v>
      </c>
      <c r="B1547" s="88" t="s">
        <v>117</v>
      </c>
      <c r="C1547" s="88">
        <v>46.944800000000001</v>
      </c>
      <c r="D1547" s="91"/>
    </row>
    <row r="1548" spans="1:4" x14ac:dyDescent="0.25">
      <c r="A1548" s="84">
        <v>46135</v>
      </c>
      <c r="B1548" s="88" t="s">
        <v>118</v>
      </c>
      <c r="C1548" s="88">
        <v>46.273000000000003</v>
      </c>
      <c r="D1548" s="91"/>
    </row>
    <row r="1549" spans="1:4" x14ac:dyDescent="0.25">
      <c r="A1549" s="84">
        <v>46135</v>
      </c>
      <c r="B1549" s="88" t="s">
        <v>119</v>
      </c>
      <c r="C1549" s="88">
        <v>46.3018</v>
      </c>
      <c r="D1549" s="91"/>
    </row>
    <row r="1550" spans="1:4" x14ac:dyDescent="0.25">
      <c r="A1550" s="84">
        <v>46135</v>
      </c>
      <c r="B1550" s="88" t="s">
        <v>120</v>
      </c>
      <c r="C1550" s="88">
        <v>45.549100000000003</v>
      </c>
      <c r="D1550" s="91"/>
    </row>
    <row r="1551" spans="1:4" x14ac:dyDescent="0.25">
      <c r="A1551" s="84">
        <v>46135</v>
      </c>
      <c r="B1551" s="88" t="s">
        <v>121</v>
      </c>
      <c r="C1551" s="88">
        <v>45.555900000000001</v>
      </c>
      <c r="D1551" s="91"/>
    </row>
    <row r="1552" spans="1:4" x14ac:dyDescent="0.25">
      <c r="A1552" s="84">
        <v>46135</v>
      </c>
      <c r="B1552" s="88" t="s">
        <v>122</v>
      </c>
      <c r="C1552" s="88">
        <v>45.535000000000004</v>
      </c>
      <c r="D1552" s="91"/>
    </row>
    <row r="1553" spans="1:4" x14ac:dyDescent="0.25">
      <c r="A1553" s="84">
        <v>46135</v>
      </c>
      <c r="B1553" s="88" t="s">
        <v>123</v>
      </c>
      <c r="C1553" s="88">
        <v>45.456000000000003</v>
      </c>
      <c r="D1553" s="91"/>
    </row>
    <row r="1554" spans="1:4" x14ac:dyDescent="0.25">
      <c r="A1554" s="84">
        <v>46135</v>
      </c>
      <c r="B1554" s="88" t="s">
        <v>124</v>
      </c>
      <c r="C1554" s="88">
        <v>45.470300000000002</v>
      </c>
      <c r="D1554" s="91"/>
    </row>
    <row r="1555" spans="1:4" x14ac:dyDescent="0.25">
      <c r="A1555" s="84">
        <v>46135</v>
      </c>
      <c r="B1555" s="88" t="s">
        <v>125</v>
      </c>
      <c r="C1555" s="88">
        <v>46.5458</v>
      </c>
      <c r="D1555" s="91"/>
    </row>
    <row r="1556" spans="1:4" x14ac:dyDescent="0.25">
      <c r="A1556" s="84">
        <v>46135</v>
      </c>
      <c r="B1556" s="88" t="s">
        <v>126</v>
      </c>
      <c r="C1556" s="88">
        <v>46.565300000000001</v>
      </c>
      <c r="D1556" s="91"/>
    </row>
    <row r="1557" spans="1:4" x14ac:dyDescent="0.25">
      <c r="A1557" s="84">
        <v>46135</v>
      </c>
      <c r="B1557" s="88" t="s">
        <v>127</v>
      </c>
      <c r="C1557" s="88">
        <v>48.003600000000006</v>
      </c>
      <c r="D1557" s="91"/>
    </row>
    <row r="1558" spans="1:4" x14ac:dyDescent="0.25">
      <c r="A1558" s="84">
        <v>46135</v>
      </c>
      <c r="B1558" s="88" t="s">
        <v>128</v>
      </c>
      <c r="C1558" s="88">
        <v>48.120900000000006</v>
      </c>
      <c r="D1558" s="91"/>
    </row>
    <row r="1559" spans="1:4" x14ac:dyDescent="0.25">
      <c r="A1559" s="84">
        <v>46135</v>
      </c>
      <c r="B1559" s="88" t="s">
        <v>132</v>
      </c>
      <c r="C1559" s="88">
        <v>49.867000000000004</v>
      </c>
      <c r="D1559" s="91"/>
    </row>
    <row r="1560" spans="1:4" x14ac:dyDescent="0.25">
      <c r="A1560" s="84">
        <v>46135</v>
      </c>
      <c r="B1560" s="88" t="s">
        <v>133</v>
      </c>
      <c r="C1560" s="88">
        <v>49.660600000000002</v>
      </c>
      <c r="D1560" s="91"/>
    </row>
    <row r="1561" spans="1:4" x14ac:dyDescent="0.25">
      <c r="A1561" s="84">
        <v>46135</v>
      </c>
      <c r="B1561" s="88" t="s">
        <v>134</v>
      </c>
      <c r="C1561" s="88">
        <v>48.137500000000003</v>
      </c>
      <c r="D1561" s="91"/>
    </row>
    <row r="1562" spans="1:4" x14ac:dyDescent="0.25">
      <c r="A1562" s="84">
        <v>46135</v>
      </c>
      <c r="B1562" s="88" t="s">
        <v>135</v>
      </c>
      <c r="C1562" s="88">
        <v>48.205100000000002</v>
      </c>
      <c r="D1562" s="91"/>
    </row>
    <row r="1563" spans="1:4" x14ac:dyDescent="0.25">
      <c r="A1563" s="84">
        <v>46135</v>
      </c>
      <c r="B1563" s="88" t="s">
        <v>136</v>
      </c>
      <c r="C1563" s="88">
        <v>47.880800000000001</v>
      </c>
      <c r="D1563" s="91"/>
    </row>
    <row r="1564" spans="1:4" x14ac:dyDescent="0.25">
      <c r="A1564" s="84">
        <v>46135</v>
      </c>
      <c r="B1564" s="88" t="s">
        <v>137</v>
      </c>
      <c r="C1564" s="88">
        <v>47.764200000000002</v>
      </c>
      <c r="D1564" s="91"/>
    </row>
    <row r="1565" spans="1:4" x14ac:dyDescent="0.25">
      <c r="A1565" s="84">
        <v>46135</v>
      </c>
      <c r="B1565" s="88" t="s">
        <v>138</v>
      </c>
      <c r="C1565" s="88">
        <v>47.885400000000004</v>
      </c>
      <c r="D1565" s="91"/>
    </row>
    <row r="1566" spans="1:4" x14ac:dyDescent="0.25">
      <c r="A1566" s="84">
        <v>46135</v>
      </c>
      <c r="B1566" s="88" t="s">
        <v>140</v>
      </c>
      <c r="C1566" s="88">
        <v>44.043700000000001</v>
      </c>
      <c r="D1566" s="91"/>
    </row>
    <row r="1567" spans="1:4" x14ac:dyDescent="0.25">
      <c r="A1567" s="84">
        <v>46135</v>
      </c>
      <c r="B1567" s="88" t="s">
        <v>141</v>
      </c>
      <c r="C1567" s="88">
        <v>43.953200000000002</v>
      </c>
      <c r="D1567" s="91"/>
    </row>
    <row r="1568" spans="1:4" x14ac:dyDescent="0.25">
      <c r="A1568" s="84">
        <v>46135</v>
      </c>
      <c r="B1568" s="88" t="s">
        <v>107</v>
      </c>
      <c r="C1568" s="88">
        <v>46.362299999999998</v>
      </c>
      <c r="D1568" s="91"/>
    </row>
    <row r="1569" spans="1:4" x14ac:dyDescent="0.25">
      <c r="A1569" s="84">
        <v>46135</v>
      </c>
      <c r="B1569" s="88" t="s">
        <v>108</v>
      </c>
      <c r="C1569" s="88">
        <v>46.350099999999998</v>
      </c>
      <c r="D1569" s="91"/>
    </row>
    <row r="1570" spans="1:4" x14ac:dyDescent="0.25">
      <c r="A1570" s="84">
        <v>46135</v>
      </c>
      <c r="B1570" s="88" t="s">
        <v>109</v>
      </c>
      <c r="C1570" s="88">
        <v>47.5901</v>
      </c>
      <c r="D1570" s="91"/>
    </row>
    <row r="1571" spans="1:4" x14ac:dyDescent="0.25">
      <c r="A1571" s="84">
        <v>46135</v>
      </c>
      <c r="B1571" s="88" t="s">
        <v>110</v>
      </c>
      <c r="C1571" s="88">
        <v>47.567599999999999</v>
      </c>
      <c r="D1571" s="91"/>
    </row>
    <row r="1572" spans="1:4" x14ac:dyDescent="0.25">
      <c r="A1572" s="84">
        <v>46135</v>
      </c>
      <c r="B1572" s="88" t="s">
        <v>111</v>
      </c>
      <c r="C1572" s="88">
        <v>48.913799999999995</v>
      </c>
      <c r="D1572" s="91"/>
    </row>
    <row r="1573" spans="1:4" x14ac:dyDescent="0.25">
      <c r="A1573" s="84">
        <v>46135</v>
      </c>
      <c r="B1573" s="88" t="s">
        <v>112</v>
      </c>
      <c r="C1573" s="88">
        <v>48.851499999999994</v>
      </c>
      <c r="D1573" s="91"/>
    </row>
    <row r="1574" spans="1:4" x14ac:dyDescent="0.25">
      <c r="A1574" s="84">
        <v>46136</v>
      </c>
      <c r="B1574" s="88" t="s">
        <v>148</v>
      </c>
      <c r="C1574" s="88">
        <v>48.158799999999999</v>
      </c>
    </row>
    <row r="1575" spans="1:4" x14ac:dyDescent="0.25">
      <c r="A1575" s="84">
        <v>46136</v>
      </c>
      <c r="B1575" s="88" t="s">
        <v>149</v>
      </c>
      <c r="C1575" s="88">
        <v>48.139200000000002</v>
      </c>
    </row>
    <row r="1576" spans="1:4" x14ac:dyDescent="0.25">
      <c r="A1576" s="84">
        <v>46136</v>
      </c>
      <c r="B1576" s="88" t="s">
        <v>150</v>
      </c>
      <c r="C1576" s="88">
        <v>49.051400000000001</v>
      </c>
    </row>
    <row r="1577" spans="1:4" x14ac:dyDescent="0.25">
      <c r="A1577" s="84">
        <v>46136</v>
      </c>
      <c r="B1577" s="88" t="s">
        <v>151</v>
      </c>
      <c r="C1577" s="88">
        <v>48.998699999999999</v>
      </c>
    </row>
    <row r="1578" spans="1:4" x14ac:dyDescent="0.25">
      <c r="A1578" s="84">
        <v>46136</v>
      </c>
      <c r="B1578" s="88" t="s">
        <v>152</v>
      </c>
      <c r="C1578" s="88">
        <v>48.833500000000001</v>
      </c>
    </row>
    <row r="1579" spans="1:4" x14ac:dyDescent="0.25">
      <c r="A1579" s="84">
        <v>46136</v>
      </c>
      <c r="B1579" s="88" t="s">
        <v>153</v>
      </c>
      <c r="C1579" s="88">
        <v>48.627899999999997</v>
      </c>
    </row>
    <row r="1580" spans="1:4" x14ac:dyDescent="0.25">
      <c r="A1580" s="84">
        <v>46136</v>
      </c>
      <c r="B1580" s="88" t="s">
        <v>154</v>
      </c>
      <c r="C1580" s="88">
        <v>49.722999999999999</v>
      </c>
    </row>
    <row r="1581" spans="1:4" x14ac:dyDescent="0.25">
      <c r="A1581" s="84">
        <v>46136</v>
      </c>
      <c r="B1581" s="88" t="s">
        <v>155</v>
      </c>
      <c r="C1581" s="88">
        <v>49.036299999999997</v>
      </c>
    </row>
    <row r="1582" spans="1:4" x14ac:dyDescent="0.25">
      <c r="A1582" s="84">
        <v>46136</v>
      </c>
      <c r="B1582" s="88" t="s">
        <v>156</v>
      </c>
      <c r="C1582" s="88">
        <v>49.1554</v>
      </c>
    </row>
    <row r="1583" spans="1:4" x14ac:dyDescent="0.25">
      <c r="A1583" s="84">
        <v>46136</v>
      </c>
      <c r="B1583" s="88" t="s">
        <v>157</v>
      </c>
      <c r="C1583" s="88">
        <v>49.3611</v>
      </c>
    </row>
    <row r="1584" spans="1:4" x14ac:dyDescent="0.25">
      <c r="A1584" s="84">
        <v>46139</v>
      </c>
      <c r="B1584" s="88" t="s">
        <v>148</v>
      </c>
      <c r="C1584" s="88">
        <v>48.159100000000002</v>
      </c>
      <c r="D1584" s="91"/>
    </row>
    <row r="1585" spans="1:4" x14ac:dyDescent="0.25">
      <c r="A1585" s="84">
        <v>46139</v>
      </c>
      <c r="B1585" s="88" t="s">
        <v>149</v>
      </c>
      <c r="C1585" s="88">
        <v>48.139600000000002</v>
      </c>
      <c r="D1585" s="91"/>
    </row>
    <row r="1586" spans="1:4" x14ac:dyDescent="0.25">
      <c r="A1586" s="84">
        <v>46139</v>
      </c>
      <c r="B1586" s="88" t="s">
        <v>150</v>
      </c>
      <c r="C1586" s="88">
        <v>49.051499999999997</v>
      </c>
      <c r="D1586" s="91"/>
    </row>
    <row r="1587" spans="1:4" x14ac:dyDescent="0.25">
      <c r="A1587" s="84">
        <v>46139</v>
      </c>
      <c r="B1587" s="88" t="s">
        <v>151</v>
      </c>
      <c r="C1587" s="88">
        <v>48.998800000000003</v>
      </c>
      <c r="D1587" s="91"/>
    </row>
    <row r="1588" spans="1:4" x14ac:dyDescent="0.25">
      <c r="A1588" s="84">
        <v>46139</v>
      </c>
      <c r="B1588" s="88" t="s">
        <v>152</v>
      </c>
      <c r="C1588" s="88">
        <v>48.833599999999997</v>
      </c>
      <c r="D1588" s="91"/>
    </row>
    <row r="1589" spans="1:4" x14ac:dyDescent="0.25">
      <c r="A1589" s="84">
        <v>46139</v>
      </c>
      <c r="B1589" s="88" t="s">
        <v>153</v>
      </c>
      <c r="C1589" s="88">
        <v>48.628</v>
      </c>
      <c r="D1589" s="91"/>
    </row>
    <row r="1590" spans="1:4" x14ac:dyDescent="0.25">
      <c r="A1590" s="84">
        <v>46139</v>
      </c>
      <c r="B1590" s="88" t="s">
        <v>154</v>
      </c>
      <c r="C1590" s="88">
        <v>49.722700000000003</v>
      </c>
      <c r="D1590" s="91"/>
    </row>
    <row r="1591" spans="1:4" x14ac:dyDescent="0.25">
      <c r="A1591" s="84">
        <v>46139</v>
      </c>
      <c r="B1591" s="88" t="s">
        <v>155</v>
      </c>
      <c r="C1591" s="88">
        <v>49.036000000000001</v>
      </c>
      <c r="D1591" s="91"/>
    </row>
    <row r="1592" spans="1:4" x14ac:dyDescent="0.25">
      <c r="A1592" s="84">
        <v>46139</v>
      </c>
      <c r="B1592" s="88" t="s">
        <v>156</v>
      </c>
      <c r="C1592" s="88">
        <v>49.155000000000001</v>
      </c>
      <c r="D1592" s="91"/>
    </row>
    <row r="1593" spans="1:4" x14ac:dyDescent="0.25">
      <c r="A1593" s="84">
        <v>46139</v>
      </c>
      <c r="B1593" s="88" t="s">
        <v>157</v>
      </c>
      <c r="C1593" s="88">
        <v>49.360799999999998</v>
      </c>
      <c r="D1593" s="91"/>
    </row>
    <row r="1594" spans="1:4" x14ac:dyDescent="0.25">
      <c r="A1594" s="84">
        <v>46141</v>
      </c>
      <c r="B1594" s="88" t="s">
        <v>148</v>
      </c>
      <c r="C1594" s="88">
        <v>48.159300000000002</v>
      </c>
    </row>
    <row r="1595" spans="1:4" x14ac:dyDescent="0.25">
      <c r="A1595" s="84">
        <v>46141</v>
      </c>
      <c r="B1595" s="88" t="s">
        <v>149</v>
      </c>
      <c r="C1595" s="88">
        <v>48.139600000000002</v>
      </c>
    </row>
    <row r="1596" spans="1:4" x14ac:dyDescent="0.25">
      <c r="A1596" s="84">
        <v>46141</v>
      </c>
      <c r="B1596" s="88" t="s">
        <v>150</v>
      </c>
      <c r="C1596" s="88">
        <v>49.051499999999997</v>
      </c>
    </row>
    <row r="1597" spans="1:4" x14ac:dyDescent="0.25">
      <c r="A1597" s="84">
        <v>46141</v>
      </c>
      <c r="B1597" s="88" t="s">
        <v>151</v>
      </c>
      <c r="C1597" s="88">
        <v>48.998699999999999</v>
      </c>
    </row>
    <row r="1598" spans="1:4" x14ac:dyDescent="0.25">
      <c r="A1598" s="84">
        <v>46141</v>
      </c>
      <c r="B1598" s="88" t="s">
        <v>152</v>
      </c>
      <c r="C1598" s="88">
        <v>48.833599999999997</v>
      </c>
    </row>
    <row r="1599" spans="1:4" x14ac:dyDescent="0.25">
      <c r="A1599" s="84">
        <v>46141</v>
      </c>
      <c r="B1599" s="88" t="s">
        <v>153</v>
      </c>
      <c r="C1599" s="88">
        <v>48.627899999999997</v>
      </c>
    </row>
    <row r="1600" spans="1:4" x14ac:dyDescent="0.25">
      <c r="A1600" s="84">
        <v>46141</v>
      </c>
      <c r="B1600" s="88" t="s">
        <v>154</v>
      </c>
      <c r="C1600" s="88">
        <v>49.722900000000003</v>
      </c>
    </row>
    <row r="1601" spans="1:4" x14ac:dyDescent="0.25">
      <c r="A1601" s="84">
        <v>46141</v>
      </c>
      <c r="B1601" s="88" t="s">
        <v>155</v>
      </c>
      <c r="C1601" s="88">
        <v>49.036299999999997</v>
      </c>
    </row>
    <row r="1602" spans="1:4" x14ac:dyDescent="0.25">
      <c r="A1602" s="84">
        <v>46141</v>
      </c>
      <c r="B1602" s="88" t="s">
        <v>156</v>
      </c>
      <c r="C1602" s="88">
        <v>49.155299999999997</v>
      </c>
    </row>
    <row r="1603" spans="1:4" x14ac:dyDescent="0.25">
      <c r="A1603" s="84">
        <v>46141</v>
      </c>
      <c r="B1603" s="88" t="s">
        <v>157</v>
      </c>
      <c r="C1603" s="88">
        <v>49.3611</v>
      </c>
    </row>
    <row r="1604" spans="1:4" x14ac:dyDescent="0.25">
      <c r="A1604" s="84">
        <v>46142</v>
      </c>
      <c r="B1604" s="88" t="s">
        <v>88</v>
      </c>
      <c r="C1604" s="88">
        <v>53.021700000000003</v>
      </c>
      <c r="D1604" s="91"/>
    </row>
    <row r="1605" spans="1:4" x14ac:dyDescent="0.25">
      <c r="A1605" s="84">
        <v>46142</v>
      </c>
      <c r="B1605" s="88" t="s">
        <v>89</v>
      </c>
      <c r="C1605" s="88">
        <v>53.080000000000005</v>
      </c>
      <c r="D1605" s="91"/>
    </row>
    <row r="1606" spans="1:4" x14ac:dyDescent="0.25">
      <c r="A1606" s="84">
        <v>46142</v>
      </c>
      <c r="B1606" s="88" t="s">
        <v>90</v>
      </c>
      <c r="C1606" s="88">
        <v>53.045100000000005</v>
      </c>
      <c r="D1606" s="91"/>
    </row>
    <row r="1607" spans="1:4" x14ac:dyDescent="0.25">
      <c r="A1607" s="84">
        <v>46142</v>
      </c>
      <c r="B1607" s="88" t="s">
        <v>91</v>
      </c>
      <c r="C1607" s="88">
        <v>52.633100000000006</v>
      </c>
      <c r="D1607" s="91"/>
    </row>
    <row r="1608" spans="1:4" x14ac:dyDescent="0.25">
      <c r="A1608" s="84">
        <v>46142</v>
      </c>
      <c r="B1608" s="88" t="s">
        <v>104</v>
      </c>
      <c r="C1608" s="88">
        <v>52.606000000000002</v>
      </c>
      <c r="D1608" s="91"/>
    </row>
    <row r="1609" spans="1:4" x14ac:dyDescent="0.25">
      <c r="A1609" s="84">
        <v>46142</v>
      </c>
      <c r="B1609" s="88" t="s">
        <v>105</v>
      </c>
      <c r="C1609" s="88">
        <v>52.722900000000003</v>
      </c>
      <c r="D1609" s="91"/>
    </row>
    <row r="1610" spans="1:4" x14ac:dyDescent="0.25">
      <c r="A1610" s="84">
        <v>46142</v>
      </c>
      <c r="B1610" s="88" t="s">
        <v>92</v>
      </c>
      <c r="C1610" s="88">
        <v>52.919200000000004</v>
      </c>
      <c r="D1610" s="91"/>
    </row>
    <row r="1611" spans="1:4" x14ac:dyDescent="0.25">
      <c r="A1611" s="84">
        <v>46142</v>
      </c>
      <c r="B1611" s="88" t="s">
        <v>93</v>
      </c>
      <c r="C1611" s="88">
        <v>52.927600000000005</v>
      </c>
      <c r="D1611" s="91"/>
    </row>
    <row r="1612" spans="1:4" x14ac:dyDescent="0.25">
      <c r="A1612" s="84">
        <v>46142</v>
      </c>
      <c r="B1612" s="88" t="s">
        <v>106</v>
      </c>
      <c r="C1612" s="88">
        <v>52.915700000000001</v>
      </c>
      <c r="D1612" s="91"/>
    </row>
    <row r="1613" spans="1:4" x14ac:dyDescent="0.25">
      <c r="A1613" s="84">
        <v>46142</v>
      </c>
      <c r="B1613" s="88" t="s">
        <v>69</v>
      </c>
      <c r="C1613" s="88">
        <v>52.9861</v>
      </c>
      <c r="D1613" s="91"/>
    </row>
    <row r="1614" spans="1:4" x14ac:dyDescent="0.25">
      <c r="A1614" s="84">
        <v>46142</v>
      </c>
      <c r="B1614" s="88" t="s">
        <v>70</v>
      </c>
      <c r="C1614" s="88">
        <v>53.080900000000007</v>
      </c>
      <c r="D1614" s="91"/>
    </row>
    <row r="1615" spans="1:4" x14ac:dyDescent="0.25">
      <c r="A1615" s="84">
        <v>46142</v>
      </c>
      <c r="B1615" s="88" t="s">
        <v>71</v>
      </c>
      <c r="C1615" s="88">
        <v>53.205600000000004</v>
      </c>
      <c r="D1615" s="91"/>
    </row>
    <row r="1616" spans="1:4" x14ac:dyDescent="0.25">
      <c r="A1616" s="84">
        <v>46142</v>
      </c>
      <c r="B1616" s="88" t="s">
        <v>72</v>
      </c>
      <c r="C1616" s="88">
        <v>53.080600000000004</v>
      </c>
      <c r="D1616" s="91"/>
    </row>
    <row r="1617" spans="1:4" x14ac:dyDescent="0.25">
      <c r="A1617" s="84">
        <v>46142</v>
      </c>
      <c r="B1617" s="88" t="s">
        <v>73</v>
      </c>
      <c r="C1617" s="88">
        <v>53.383800000000001</v>
      </c>
      <c r="D1617" s="91"/>
    </row>
    <row r="1618" spans="1:4" x14ac:dyDescent="0.25">
      <c r="A1618" s="84">
        <v>46142</v>
      </c>
      <c r="B1618" s="88" t="s">
        <v>74</v>
      </c>
      <c r="C1618" s="88">
        <v>53.379100000000001</v>
      </c>
      <c r="D1618" s="91"/>
    </row>
    <row r="1619" spans="1:4" x14ac:dyDescent="0.25">
      <c r="A1619" s="84">
        <v>46142</v>
      </c>
      <c r="B1619" s="88" t="s">
        <v>75</v>
      </c>
      <c r="C1619" s="88">
        <v>54.073</v>
      </c>
      <c r="D1619" s="91"/>
    </row>
    <row r="1620" spans="1:4" x14ac:dyDescent="0.25">
      <c r="A1620" s="84">
        <v>46142</v>
      </c>
      <c r="B1620" s="88" t="s">
        <v>76</v>
      </c>
      <c r="C1620" s="88">
        <v>54.080300000000001</v>
      </c>
      <c r="D1620" s="91"/>
    </row>
    <row r="1621" spans="1:4" x14ac:dyDescent="0.25">
      <c r="A1621" s="84">
        <v>46142</v>
      </c>
      <c r="B1621" s="88" t="s">
        <v>77</v>
      </c>
      <c r="C1621" s="88">
        <v>54.017300000000006</v>
      </c>
      <c r="D1621" s="91"/>
    </row>
    <row r="1622" spans="1:4" x14ac:dyDescent="0.25">
      <c r="A1622" s="84">
        <v>46142</v>
      </c>
      <c r="B1622" s="88" t="s">
        <v>78</v>
      </c>
      <c r="C1622" s="88">
        <v>52.924100000000003</v>
      </c>
      <c r="D1622" s="91"/>
    </row>
    <row r="1623" spans="1:4" x14ac:dyDescent="0.25">
      <c r="A1623" s="84">
        <v>46142</v>
      </c>
      <c r="B1623" s="88" t="s">
        <v>79</v>
      </c>
      <c r="C1623" s="88">
        <v>53.895300000000006</v>
      </c>
      <c r="D1623" s="91"/>
    </row>
    <row r="1624" spans="1:4" x14ac:dyDescent="0.25">
      <c r="A1624" s="84">
        <v>46142</v>
      </c>
      <c r="B1624" s="88" t="s">
        <v>80</v>
      </c>
      <c r="C1624" s="88">
        <v>54.090800000000002</v>
      </c>
      <c r="D1624" s="91"/>
    </row>
    <row r="1625" spans="1:4" x14ac:dyDescent="0.25">
      <c r="A1625" s="84">
        <v>46142</v>
      </c>
      <c r="B1625" s="88" t="s">
        <v>81</v>
      </c>
      <c r="C1625" s="88">
        <v>53.316200000000002</v>
      </c>
      <c r="D1625" s="91"/>
    </row>
    <row r="1626" spans="1:4" x14ac:dyDescent="0.25">
      <c r="A1626" s="84">
        <v>46142</v>
      </c>
      <c r="B1626" s="88" t="s">
        <v>82</v>
      </c>
      <c r="C1626" s="88">
        <v>53.324600000000004</v>
      </c>
      <c r="D1626" s="91"/>
    </row>
    <row r="1627" spans="1:4" x14ac:dyDescent="0.25">
      <c r="A1627" s="84">
        <v>46142</v>
      </c>
      <c r="B1627" s="88" t="s">
        <v>148</v>
      </c>
      <c r="C1627" s="88">
        <v>48.159400000000005</v>
      </c>
    </row>
    <row r="1628" spans="1:4" x14ac:dyDescent="0.25">
      <c r="A1628" s="84">
        <v>46142</v>
      </c>
      <c r="B1628" s="88" t="s">
        <v>149</v>
      </c>
      <c r="C1628" s="88">
        <v>48.139800000000001</v>
      </c>
    </row>
    <row r="1629" spans="1:4" x14ac:dyDescent="0.25">
      <c r="A1629" s="84">
        <v>46142</v>
      </c>
      <c r="B1629" s="88" t="s">
        <v>150</v>
      </c>
      <c r="C1629" s="88">
        <v>49.051200000000001</v>
      </c>
    </row>
    <row r="1630" spans="1:4" x14ac:dyDescent="0.25">
      <c r="A1630" s="84">
        <v>46142</v>
      </c>
      <c r="B1630" s="88" t="s">
        <v>151</v>
      </c>
      <c r="C1630" s="88">
        <v>48.998600000000003</v>
      </c>
    </row>
    <row r="1631" spans="1:4" x14ac:dyDescent="0.25">
      <c r="A1631" s="84">
        <v>46142</v>
      </c>
      <c r="B1631" s="88" t="s">
        <v>152</v>
      </c>
      <c r="C1631" s="88">
        <v>48.833400000000005</v>
      </c>
    </row>
    <row r="1632" spans="1:4" x14ac:dyDescent="0.25">
      <c r="A1632" s="84">
        <v>46142</v>
      </c>
      <c r="B1632" s="88" t="s">
        <v>153</v>
      </c>
      <c r="C1632" s="88">
        <v>48.627800000000001</v>
      </c>
    </row>
    <row r="1633" spans="1:4" x14ac:dyDescent="0.25">
      <c r="A1633" s="84">
        <v>46142</v>
      </c>
      <c r="B1633" s="88" t="s">
        <v>154</v>
      </c>
      <c r="C1633" s="88">
        <v>49.722200000000001</v>
      </c>
    </row>
    <row r="1634" spans="1:4" x14ac:dyDescent="0.25">
      <c r="A1634" s="84">
        <v>46142</v>
      </c>
      <c r="B1634" s="88" t="s">
        <v>155</v>
      </c>
      <c r="C1634" s="88">
        <v>49.035600000000002</v>
      </c>
    </row>
    <row r="1635" spans="1:4" x14ac:dyDescent="0.25">
      <c r="A1635" s="84">
        <v>46142</v>
      </c>
      <c r="B1635" s="88" t="s">
        <v>156</v>
      </c>
      <c r="C1635" s="88">
        <v>49.155100000000004</v>
      </c>
    </row>
    <row r="1636" spans="1:4" x14ac:dyDescent="0.25">
      <c r="A1636" s="84">
        <v>46142</v>
      </c>
      <c r="B1636" s="88" t="s">
        <v>157</v>
      </c>
      <c r="C1636" s="88">
        <v>49.360900000000001</v>
      </c>
    </row>
    <row r="1637" spans="1:4" x14ac:dyDescent="0.25">
      <c r="A1637" s="84">
        <v>46146</v>
      </c>
      <c r="B1637" s="88" t="s">
        <v>148</v>
      </c>
      <c r="C1637" s="88">
        <v>48.159100000000002</v>
      </c>
    </row>
    <row r="1638" spans="1:4" x14ac:dyDescent="0.25">
      <c r="A1638" s="84">
        <v>46146</v>
      </c>
      <c r="B1638" s="88" t="s">
        <v>149</v>
      </c>
      <c r="C1638" s="88">
        <v>48.139600000000002</v>
      </c>
    </row>
    <row r="1639" spans="1:4" x14ac:dyDescent="0.25">
      <c r="A1639" s="84">
        <v>46146</v>
      </c>
      <c r="B1639" s="88" t="s">
        <v>150</v>
      </c>
      <c r="C1639" s="88">
        <v>49.051400000000001</v>
      </c>
    </row>
    <row r="1640" spans="1:4" x14ac:dyDescent="0.25">
      <c r="A1640" s="84">
        <v>46146</v>
      </c>
      <c r="B1640" s="88" t="s">
        <v>151</v>
      </c>
      <c r="C1640" s="88">
        <v>48.998699999999999</v>
      </c>
    </row>
    <row r="1641" spans="1:4" x14ac:dyDescent="0.25">
      <c r="A1641" s="84">
        <v>46146</v>
      </c>
      <c r="B1641" s="88" t="s">
        <v>152</v>
      </c>
      <c r="C1641" s="88">
        <v>48.833500000000001</v>
      </c>
    </row>
    <row r="1642" spans="1:4" x14ac:dyDescent="0.25">
      <c r="A1642" s="84">
        <v>46146</v>
      </c>
      <c r="B1642" s="88" t="s">
        <v>153</v>
      </c>
      <c r="C1642" s="88">
        <v>48.627699999999997</v>
      </c>
    </row>
    <row r="1643" spans="1:4" x14ac:dyDescent="0.25">
      <c r="A1643" s="84">
        <v>46146</v>
      </c>
      <c r="B1643" s="88" t="s">
        <v>154</v>
      </c>
      <c r="C1643" s="88">
        <v>49.7226</v>
      </c>
    </row>
    <row r="1644" spans="1:4" x14ac:dyDescent="0.25">
      <c r="A1644" s="84">
        <v>46146</v>
      </c>
      <c r="B1644" s="88" t="s">
        <v>155</v>
      </c>
      <c r="C1644" s="88">
        <v>49.036000000000001</v>
      </c>
    </row>
    <row r="1645" spans="1:4" x14ac:dyDescent="0.25">
      <c r="A1645" s="84">
        <v>46146</v>
      </c>
      <c r="B1645" s="88" t="s">
        <v>156</v>
      </c>
      <c r="C1645" s="88">
        <v>49.155299999999997</v>
      </c>
    </row>
    <row r="1646" spans="1:4" x14ac:dyDescent="0.25">
      <c r="A1646" s="84">
        <v>46146</v>
      </c>
      <c r="B1646" s="88" t="s">
        <v>157</v>
      </c>
      <c r="C1646" s="88">
        <v>49.360900000000001</v>
      </c>
    </row>
    <row r="1647" spans="1:4" x14ac:dyDescent="0.25">
      <c r="A1647" s="84">
        <v>46147</v>
      </c>
      <c r="B1647" s="88" t="s">
        <v>148</v>
      </c>
      <c r="C1647" s="88">
        <v>48.159100000000002</v>
      </c>
      <c r="D1647" s="91"/>
    </row>
    <row r="1648" spans="1:4" x14ac:dyDescent="0.25">
      <c r="A1648" s="84">
        <v>46147</v>
      </c>
      <c r="B1648" s="88" t="s">
        <v>149</v>
      </c>
      <c r="C1648" s="88">
        <v>48.139499999999998</v>
      </c>
      <c r="D1648" s="91"/>
    </row>
    <row r="1649" spans="1:4" x14ac:dyDescent="0.25">
      <c r="A1649" s="84">
        <v>46147</v>
      </c>
      <c r="B1649" s="88" t="s">
        <v>150</v>
      </c>
      <c r="C1649" s="88">
        <v>49.051400000000001</v>
      </c>
      <c r="D1649" s="91"/>
    </row>
    <row r="1650" spans="1:4" x14ac:dyDescent="0.25">
      <c r="A1650" s="84">
        <v>46147</v>
      </c>
      <c r="B1650" s="88" t="s">
        <v>151</v>
      </c>
      <c r="C1650" s="88">
        <v>48.998600000000003</v>
      </c>
      <c r="D1650" s="91"/>
    </row>
    <row r="1651" spans="1:4" x14ac:dyDescent="0.25">
      <c r="A1651" s="84">
        <v>46147</v>
      </c>
      <c r="B1651" s="88" t="s">
        <v>152</v>
      </c>
      <c r="C1651" s="88">
        <v>48.833399999999997</v>
      </c>
      <c r="D1651" s="91"/>
    </row>
    <row r="1652" spans="1:4" x14ac:dyDescent="0.25">
      <c r="A1652" s="84">
        <v>46147</v>
      </c>
      <c r="B1652" s="88" t="s">
        <v>153</v>
      </c>
      <c r="C1652" s="88">
        <v>48.627699999999997</v>
      </c>
      <c r="D1652" s="91"/>
    </row>
    <row r="1653" spans="1:4" x14ac:dyDescent="0.25">
      <c r="A1653" s="84">
        <v>46147</v>
      </c>
      <c r="B1653" s="88" t="s">
        <v>154</v>
      </c>
      <c r="C1653" s="88">
        <v>49.722700000000003</v>
      </c>
      <c r="D1653" s="91"/>
    </row>
    <row r="1654" spans="1:4" x14ac:dyDescent="0.25">
      <c r="A1654" s="84">
        <v>46147</v>
      </c>
      <c r="B1654" s="88" t="s">
        <v>155</v>
      </c>
      <c r="C1654" s="88">
        <v>49.036099999999998</v>
      </c>
      <c r="D1654" s="91"/>
    </row>
    <row r="1655" spans="1:4" x14ac:dyDescent="0.25">
      <c r="A1655" s="84">
        <v>46147</v>
      </c>
      <c r="B1655" s="88" t="s">
        <v>156</v>
      </c>
      <c r="C1655" s="88">
        <v>49.155000000000001</v>
      </c>
      <c r="D1655" s="91"/>
    </row>
    <row r="1656" spans="1:4" x14ac:dyDescent="0.25">
      <c r="A1656" s="84">
        <v>46147</v>
      </c>
      <c r="B1656" s="88" t="s">
        <v>157</v>
      </c>
      <c r="C1656" s="88">
        <v>49.360900000000001</v>
      </c>
      <c r="D1656" s="91"/>
    </row>
    <row r="1657" spans="1:4" x14ac:dyDescent="0.25">
      <c r="A1657" s="84">
        <v>46148</v>
      </c>
      <c r="B1657" s="88" t="s">
        <v>114</v>
      </c>
      <c r="C1657" s="88">
        <v>46.686999999999998</v>
      </c>
    </row>
    <row r="1658" spans="1:4" x14ac:dyDescent="0.25">
      <c r="A1658" s="84">
        <v>46148</v>
      </c>
      <c r="B1658" s="88" t="s">
        <v>115</v>
      </c>
      <c r="C1658" s="88">
        <v>46.571799999999996</v>
      </c>
    </row>
    <row r="1659" spans="1:4" x14ac:dyDescent="0.25">
      <c r="A1659" s="84">
        <v>46148</v>
      </c>
      <c r="B1659" s="88" t="s">
        <v>116</v>
      </c>
      <c r="C1659" s="88">
        <v>46.788199999999996</v>
      </c>
    </row>
    <row r="1660" spans="1:4" x14ac:dyDescent="0.25">
      <c r="A1660" s="84">
        <v>46148</v>
      </c>
      <c r="B1660" s="88" t="s">
        <v>117</v>
      </c>
      <c r="C1660" s="88">
        <v>46.944899999999997</v>
      </c>
    </row>
    <row r="1661" spans="1:4" x14ac:dyDescent="0.25">
      <c r="A1661" s="84">
        <v>46148</v>
      </c>
      <c r="B1661" s="88" t="s">
        <v>118</v>
      </c>
      <c r="C1661" s="88">
        <v>46.272500000000001</v>
      </c>
    </row>
    <row r="1662" spans="1:4" x14ac:dyDescent="0.25">
      <c r="A1662" s="84">
        <v>46148</v>
      </c>
      <c r="B1662" s="88" t="s">
        <v>119</v>
      </c>
      <c r="C1662" s="88">
        <v>46.301200000000001</v>
      </c>
    </row>
    <row r="1663" spans="1:4" x14ac:dyDescent="0.25">
      <c r="A1663" s="84">
        <v>46148</v>
      </c>
      <c r="B1663" s="88" t="s">
        <v>120</v>
      </c>
      <c r="C1663" s="88">
        <v>45.548900000000003</v>
      </c>
    </row>
    <row r="1664" spans="1:4" x14ac:dyDescent="0.25">
      <c r="A1664" s="84">
        <v>46148</v>
      </c>
      <c r="B1664" s="88" t="s">
        <v>121</v>
      </c>
      <c r="C1664" s="88">
        <v>45.555399999999999</v>
      </c>
    </row>
    <row r="1665" spans="1:4" x14ac:dyDescent="0.25">
      <c r="A1665" s="84">
        <v>46148</v>
      </c>
      <c r="B1665" s="88" t="s">
        <v>122</v>
      </c>
      <c r="C1665" s="88">
        <v>45.534500000000001</v>
      </c>
    </row>
    <row r="1666" spans="1:4" x14ac:dyDescent="0.25">
      <c r="A1666" s="84">
        <v>46148</v>
      </c>
      <c r="B1666" s="88" t="s">
        <v>123</v>
      </c>
      <c r="C1666" s="88">
        <v>45.455600000000004</v>
      </c>
    </row>
    <row r="1667" spans="1:4" x14ac:dyDescent="0.25">
      <c r="A1667" s="84">
        <v>46148</v>
      </c>
      <c r="B1667" s="88" t="s">
        <v>124</v>
      </c>
      <c r="C1667" s="88">
        <v>45.469799999999999</v>
      </c>
    </row>
    <row r="1668" spans="1:4" x14ac:dyDescent="0.25">
      <c r="A1668" s="84">
        <v>46148</v>
      </c>
      <c r="B1668" s="88" t="s">
        <v>125</v>
      </c>
      <c r="C1668" s="88">
        <v>46.5458</v>
      </c>
    </row>
    <row r="1669" spans="1:4" x14ac:dyDescent="0.25">
      <c r="A1669" s="84">
        <v>46148</v>
      </c>
      <c r="B1669" s="88" t="s">
        <v>126</v>
      </c>
      <c r="C1669" s="88">
        <v>46.565600000000003</v>
      </c>
    </row>
    <row r="1670" spans="1:4" x14ac:dyDescent="0.25">
      <c r="A1670" s="84">
        <v>46148</v>
      </c>
      <c r="B1670" s="88" t="s">
        <v>132</v>
      </c>
      <c r="C1670" s="88">
        <v>49.867599999999996</v>
      </c>
    </row>
    <row r="1671" spans="1:4" x14ac:dyDescent="0.25">
      <c r="A1671" s="84">
        <v>46148</v>
      </c>
      <c r="B1671" s="88" t="s">
        <v>133</v>
      </c>
      <c r="C1671" s="88">
        <v>49.661200000000001</v>
      </c>
    </row>
    <row r="1672" spans="1:4" x14ac:dyDescent="0.25">
      <c r="A1672" s="84">
        <v>46148</v>
      </c>
      <c r="B1672" s="88" t="s">
        <v>134</v>
      </c>
      <c r="C1672" s="88">
        <v>48.137099999999997</v>
      </c>
    </row>
    <row r="1673" spans="1:4" x14ac:dyDescent="0.25">
      <c r="A1673" s="84">
        <v>46148</v>
      </c>
      <c r="B1673" s="88" t="s">
        <v>136</v>
      </c>
      <c r="C1673" s="88">
        <v>47.880299999999998</v>
      </c>
    </row>
    <row r="1674" spans="1:4" x14ac:dyDescent="0.25">
      <c r="A1674" s="84">
        <v>46148</v>
      </c>
      <c r="B1674" s="88" t="s">
        <v>137</v>
      </c>
      <c r="C1674" s="88">
        <v>47.763999999999996</v>
      </c>
    </row>
    <row r="1675" spans="1:4" x14ac:dyDescent="0.25">
      <c r="A1675" s="84">
        <v>46148</v>
      </c>
      <c r="B1675" s="88" t="s">
        <v>138</v>
      </c>
      <c r="C1675" s="88">
        <v>47.884999999999998</v>
      </c>
    </row>
    <row r="1676" spans="1:4" x14ac:dyDescent="0.25">
      <c r="A1676" s="84">
        <v>46148</v>
      </c>
      <c r="B1676" s="88" t="s">
        <v>140</v>
      </c>
      <c r="C1676" s="88">
        <v>44.042000000000002</v>
      </c>
    </row>
    <row r="1677" spans="1:4" x14ac:dyDescent="0.25">
      <c r="A1677" s="84">
        <v>46148</v>
      </c>
      <c r="B1677" s="88" t="s">
        <v>141</v>
      </c>
      <c r="C1677" s="88">
        <v>43.951599999999999</v>
      </c>
    </row>
    <row r="1678" spans="1:4" x14ac:dyDescent="0.25">
      <c r="A1678" s="84">
        <v>46148</v>
      </c>
      <c r="B1678" s="88" t="s">
        <v>107</v>
      </c>
      <c r="C1678" s="88">
        <v>46.363199999999999</v>
      </c>
    </row>
    <row r="1679" spans="1:4" x14ac:dyDescent="0.25">
      <c r="A1679" s="84">
        <v>46148</v>
      </c>
      <c r="B1679" s="88" t="s">
        <v>108</v>
      </c>
      <c r="C1679" s="88">
        <v>46.350999999999999</v>
      </c>
    </row>
    <row r="1680" spans="1:4" x14ac:dyDescent="0.25">
      <c r="A1680" s="84">
        <v>46149</v>
      </c>
      <c r="B1680" s="88" t="s">
        <v>148</v>
      </c>
      <c r="C1680" s="88">
        <v>48.158900000000003</v>
      </c>
      <c r="D1680" s="91"/>
    </row>
    <row r="1681" spans="1:4" x14ac:dyDescent="0.25">
      <c r="A1681" s="84">
        <v>46149</v>
      </c>
      <c r="B1681" s="88" t="s">
        <v>149</v>
      </c>
      <c r="C1681" s="88">
        <v>48.139299999999999</v>
      </c>
      <c r="D1681" s="91"/>
    </row>
    <row r="1682" spans="1:4" x14ac:dyDescent="0.25">
      <c r="A1682" s="84">
        <v>46149</v>
      </c>
      <c r="B1682" s="88" t="s">
        <v>150</v>
      </c>
      <c r="C1682" s="88">
        <v>49.051299999999998</v>
      </c>
      <c r="D1682" s="91"/>
    </row>
    <row r="1683" spans="1:4" x14ac:dyDescent="0.25">
      <c r="A1683" s="84">
        <v>46149</v>
      </c>
      <c r="B1683" s="88" t="s">
        <v>151</v>
      </c>
      <c r="C1683" s="88">
        <v>48.998600000000003</v>
      </c>
      <c r="D1683" s="91"/>
    </row>
    <row r="1684" spans="1:4" x14ac:dyDescent="0.25">
      <c r="A1684" s="84">
        <v>46149</v>
      </c>
      <c r="B1684" s="88" t="s">
        <v>152</v>
      </c>
      <c r="C1684" s="88">
        <v>48.833399999999997</v>
      </c>
      <c r="D1684" s="91"/>
    </row>
    <row r="1685" spans="1:4" x14ac:dyDescent="0.25">
      <c r="A1685" s="84">
        <v>46149</v>
      </c>
      <c r="B1685" s="88" t="s">
        <v>153</v>
      </c>
      <c r="C1685" s="88">
        <v>48.627800000000001</v>
      </c>
      <c r="D1685" s="91"/>
    </row>
    <row r="1686" spans="1:4" x14ac:dyDescent="0.25">
      <c r="A1686" s="84">
        <v>46149</v>
      </c>
      <c r="B1686" s="88" t="s">
        <v>154</v>
      </c>
      <c r="C1686" s="88">
        <v>49.7226</v>
      </c>
      <c r="D1686" s="91"/>
    </row>
    <row r="1687" spans="1:4" x14ac:dyDescent="0.25">
      <c r="A1687" s="84">
        <v>46149</v>
      </c>
      <c r="B1687" s="88" t="s">
        <v>155</v>
      </c>
      <c r="C1687" s="88">
        <v>49.036099999999998</v>
      </c>
      <c r="D1687" s="91"/>
    </row>
    <row r="1688" spans="1:4" x14ac:dyDescent="0.25">
      <c r="A1688" s="84">
        <v>46149</v>
      </c>
      <c r="B1688" s="88" t="s">
        <v>156</v>
      </c>
      <c r="C1688" s="88">
        <v>49.155299999999997</v>
      </c>
      <c r="D1688" s="91"/>
    </row>
    <row r="1689" spans="1:4" x14ac:dyDescent="0.25">
      <c r="A1689" s="84">
        <v>46149</v>
      </c>
      <c r="B1689" s="88" t="s">
        <v>157</v>
      </c>
      <c r="C1689" s="88">
        <v>49.360999999999997</v>
      </c>
      <c r="D1689" s="91"/>
    </row>
    <row r="1690" spans="1:4" x14ac:dyDescent="0.25">
      <c r="A1690" s="84">
        <v>46150</v>
      </c>
      <c r="B1690" s="91" t="s">
        <v>88</v>
      </c>
      <c r="C1690" s="88">
        <v>53.0212</v>
      </c>
      <c r="D1690" s="91"/>
    </row>
    <row r="1691" spans="1:4" x14ac:dyDescent="0.25">
      <c r="A1691" s="84">
        <v>46150</v>
      </c>
      <c r="B1691" s="88" t="s">
        <v>89</v>
      </c>
      <c r="C1691" s="88">
        <v>53.079799999999999</v>
      </c>
      <c r="D1691" s="91"/>
    </row>
    <row r="1692" spans="1:4" x14ac:dyDescent="0.25">
      <c r="A1692" s="84">
        <v>46150</v>
      </c>
      <c r="B1692" s="88" t="s">
        <v>90</v>
      </c>
      <c r="C1692" s="88">
        <v>53.044800000000002</v>
      </c>
      <c r="D1692" s="91"/>
    </row>
    <row r="1693" spans="1:4" x14ac:dyDescent="0.25">
      <c r="A1693" s="84">
        <v>46150</v>
      </c>
      <c r="B1693" s="88" t="s">
        <v>91</v>
      </c>
      <c r="C1693" s="88">
        <v>52.632899999999999</v>
      </c>
      <c r="D1693" s="91"/>
    </row>
    <row r="1694" spans="1:4" x14ac:dyDescent="0.25">
      <c r="A1694" s="84">
        <v>46150</v>
      </c>
      <c r="B1694" s="88" t="s">
        <v>104</v>
      </c>
      <c r="C1694" s="88">
        <v>52.606099999999998</v>
      </c>
      <c r="D1694" s="91"/>
    </row>
    <row r="1695" spans="1:4" x14ac:dyDescent="0.25">
      <c r="A1695" s="84">
        <v>46150</v>
      </c>
      <c r="B1695" s="88" t="s">
        <v>105</v>
      </c>
      <c r="C1695" s="88">
        <v>52.723100000000002</v>
      </c>
      <c r="D1695" s="91"/>
    </row>
    <row r="1696" spans="1:4" x14ac:dyDescent="0.25">
      <c r="A1696" s="84">
        <v>46150</v>
      </c>
      <c r="B1696" s="88" t="s">
        <v>92</v>
      </c>
      <c r="C1696" s="88">
        <v>52.9191</v>
      </c>
      <c r="D1696" s="91"/>
    </row>
    <row r="1697" spans="1:4" x14ac:dyDescent="0.25">
      <c r="A1697" s="84">
        <v>46150</v>
      </c>
      <c r="B1697" s="88" t="s">
        <v>93</v>
      </c>
      <c r="C1697" s="88">
        <v>52.927599999999998</v>
      </c>
      <c r="D1697" s="91"/>
    </row>
    <row r="1698" spans="1:4" x14ac:dyDescent="0.25">
      <c r="A1698" s="84">
        <v>46150</v>
      </c>
      <c r="B1698" s="88" t="s">
        <v>106</v>
      </c>
      <c r="C1698" s="88">
        <v>52.914900000000003</v>
      </c>
      <c r="D1698" s="91"/>
    </row>
    <row r="1699" spans="1:4" x14ac:dyDescent="0.25">
      <c r="A1699" s="84">
        <v>46150</v>
      </c>
      <c r="B1699" s="88" t="s">
        <v>69</v>
      </c>
      <c r="C1699" s="88">
        <v>52.985399999999998</v>
      </c>
      <c r="D1699" s="91"/>
    </row>
    <row r="1700" spans="1:4" x14ac:dyDescent="0.25">
      <c r="A1700" s="84">
        <v>46150</v>
      </c>
      <c r="B1700" s="88" t="s">
        <v>70</v>
      </c>
      <c r="C1700" s="88">
        <v>53.08</v>
      </c>
      <c r="D1700" s="91"/>
    </row>
    <row r="1701" spans="1:4" x14ac:dyDescent="0.25">
      <c r="A1701" s="84">
        <v>46150</v>
      </c>
      <c r="B1701" s="88" t="s">
        <v>71</v>
      </c>
      <c r="C1701" s="88">
        <v>53.204900000000002</v>
      </c>
      <c r="D1701" s="91"/>
    </row>
    <row r="1702" spans="1:4" x14ac:dyDescent="0.25">
      <c r="A1702" s="84">
        <v>46150</v>
      </c>
      <c r="B1702" s="88" t="s">
        <v>72</v>
      </c>
      <c r="C1702" s="88">
        <v>53.079799999999999</v>
      </c>
      <c r="D1702" s="91"/>
    </row>
    <row r="1703" spans="1:4" x14ac:dyDescent="0.25">
      <c r="A1703" s="84">
        <v>46150</v>
      </c>
      <c r="B1703" s="88" t="s">
        <v>73</v>
      </c>
      <c r="C1703" s="88">
        <v>53.383000000000003</v>
      </c>
      <c r="D1703" s="91"/>
    </row>
    <row r="1704" spans="1:4" x14ac:dyDescent="0.25">
      <c r="A1704" s="84">
        <v>46150</v>
      </c>
      <c r="B1704" s="88" t="s">
        <v>74</v>
      </c>
      <c r="C1704" s="88">
        <v>53.378500000000003</v>
      </c>
      <c r="D1704" s="91"/>
    </row>
    <row r="1705" spans="1:4" x14ac:dyDescent="0.25">
      <c r="A1705" s="84">
        <v>46150</v>
      </c>
      <c r="B1705" s="88" t="s">
        <v>75</v>
      </c>
      <c r="C1705" s="88">
        <v>54.071800000000003</v>
      </c>
      <c r="D1705" s="91"/>
    </row>
    <row r="1706" spans="1:4" x14ac:dyDescent="0.25">
      <c r="A1706" s="84">
        <v>46150</v>
      </c>
      <c r="B1706" s="88" t="s">
        <v>76</v>
      </c>
      <c r="C1706" s="88">
        <v>54.0792</v>
      </c>
      <c r="D1706" s="91"/>
    </row>
    <row r="1707" spans="1:4" x14ac:dyDescent="0.25">
      <c r="A1707" s="84">
        <v>46150</v>
      </c>
      <c r="B1707" s="88" t="s">
        <v>77</v>
      </c>
      <c r="C1707" s="88">
        <v>54.016199999999998</v>
      </c>
      <c r="D1707" s="91"/>
    </row>
    <row r="1708" spans="1:4" x14ac:dyDescent="0.25">
      <c r="A1708" s="84">
        <v>46150</v>
      </c>
      <c r="B1708" s="88" t="s">
        <v>78</v>
      </c>
      <c r="C1708" s="88">
        <v>52.923299999999998</v>
      </c>
      <c r="D1708" s="91"/>
    </row>
    <row r="1709" spans="1:4" x14ac:dyDescent="0.25">
      <c r="A1709" s="84">
        <v>46150</v>
      </c>
      <c r="B1709" s="88" t="s">
        <v>79</v>
      </c>
      <c r="C1709" s="88">
        <v>53.894100000000002</v>
      </c>
      <c r="D1709" s="91"/>
    </row>
    <row r="1710" spans="1:4" x14ac:dyDescent="0.25">
      <c r="A1710" s="84">
        <v>46150</v>
      </c>
      <c r="B1710" s="88" t="s">
        <v>80</v>
      </c>
      <c r="C1710" s="88">
        <v>54.089599999999997</v>
      </c>
      <c r="D1710" s="91"/>
    </row>
    <row r="1711" spans="1:4" x14ac:dyDescent="0.25">
      <c r="A1711" s="84">
        <v>46150</v>
      </c>
      <c r="B1711" s="88" t="s">
        <v>81</v>
      </c>
      <c r="C1711" s="88">
        <v>53.3155</v>
      </c>
      <c r="D1711" s="91"/>
    </row>
    <row r="1712" spans="1:4" x14ac:dyDescent="0.25">
      <c r="A1712" s="84">
        <v>46150</v>
      </c>
      <c r="B1712" s="88" t="s">
        <v>82</v>
      </c>
      <c r="C1712" s="88">
        <v>53.323799999999999</v>
      </c>
      <c r="D1712" s="91"/>
    </row>
    <row r="1713" spans="1:4" x14ac:dyDescent="0.25">
      <c r="A1713" s="84">
        <v>46153</v>
      </c>
      <c r="B1713" s="88" t="s">
        <v>148</v>
      </c>
      <c r="C1713" s="88">
        <v>48.1586</v>
      </c>
      <c r="D1713" s="91"/>
    </row>
    <row r="1714" spans="1:4" x14ac:dyDescent="0.25">
      <c r="A1714" s="84">
        <v>46153</v>
      </c>
      <c r="B1714" s="88" t="s">
        <v>149</v>
      </c>
      <c r="C1714" s="88">
        <v>48.139200000000002</v>
      </c>
      <c r="D1714" s="91"/>
    </row>
    <row r="1715" spans="1:4" x14ac:dyDescent="0.25">
      <c r="A1715" s="84">
        <v>46153</v>
      </c>
      <c r="B1715" s="88" t="s">
        <v>150</v>
      </c>
      <c r="C1715" s="88">
        <v>49.051099999999998</v>
      </c>
      <c r="D1715" s="91"/>
    </row>
    <row r="1716" spans="1:4" x14ac:dyDescent="0.25">
      <c r="A1716" s="84">
        <v>46153</v>
      </c>
      <c r="B1716" s="88" t="s">
        <v>151</v>
      </c>
      <c r="C1716" s="88">
        <v>48.998399999999997</v>
      </c>
      <c r="D1716" s="91"/>
    </row>
    <row r="1717" spans="1:4" x14ac:dyDescent="0.25">
      <c r="A1717" s="84">
        <v>46153</v>
      </c>
      <c r="B1717" s="88" t="s">
        <v>152</v>
      </c>
      <c r="C1717" s="88">
        <v>48.833399999999997</v>
      </c>
      <c r="D1717" s="91"/>
    </row>
    <row r="1718" spans="1:4" x14ac:dyDescent="0.25">
      <c r="A1718" s="84">
        <v>46153</v>
      </c>
      <c r="B1718" s="88" t="s">
        <v>153</v>
      </c>
      <c r="C1718" s="88">
        <v>48.627800000000001</v>
      </c>
      <c r="D1718" s="91"/>
    </row>
    <row r="1719" spans="1:4" x14ac:dyDescent="0.25">
      <c r="A1719" s="84">
        <v>46153</v>
      </c>
      <c r="B1719" s="88" t="s">
        <v>154</v>
      </c>
      <c r="C1719" s="88">
        <v>49.722499999999997</v>
      </c>
      <c r="D1719" s="91"/>
    </row>
    <row r="1720" spans="1:4" x14ac:dyDescent="0.25">
      <c r="A1720" s="84">
        <v>46153</v>
      </c>
      <c r="B1720" s="88" t="s">
        <v>155</v>
      </c>
      <c r="C1720" s="88">
        <v>49.035800000000002</v>
      </c>
      <c r="D1720" s="91"/>
    </row>
    <row r="1721" spans="1:4" x14ac:dyDescent="0.25">
      <c r="A1721" s="84">
        <v>46153</v>
      </c>
      <c r="B1721" s="88" t="s">
        <v>156</v>
      </c>
      <c r="C1721" s="88">
        <v>49.155000000000001</v>
      </c>
      <c r="D1721" s="91"/>
    </row>
    <row r="1722" spans="1:4" x14ac:dyDescent="0.25">
      <c r="A1722" s="84">
        <v>46153</v>
      </c>
      <c r="B1722" s="88" t="s">
        <v>157</v>
      </c>
      <c r="C1722" s="88">
        <v>49.360700000000001</v>
      </c>
      <c r="D1722" s="91"/>
    </row>
    <row r="1723" spans="1:4" x14ac:dyDescent="0.25">
      <c r="A1723" s="84">
        <v>46153</v>
      </c>
      <c r="B1723" s="88" t="s">
        <v>114</v>
      </c>
      <c r="C1723" s="88">
        <v>46.687800000000003</v>
      </c>
      <c r="D1723" s="104"/>
    </row>
    <row r="1724" spans="1:4" x14ac:dyDescent="0.25">
      <c r="A1724" s="84">
        <v>46153</v>
      </c>
      <c r="B1724" s="88" t="s">
        <v>115</v>
      </c>
      <c r="C1724" s="88">
        <v>46.572899999999997</v>
      </c>
      <c r="D1724" s="104"/>
    </row>
    <row r="1725" spans="1:4" x14ac:dyDescent="0.25">
      <c r="A1725" s="84">
        <v>46153</v>
      </c>
      <c r="B1725" s="88" t="s">
        <v>116</v>
      </c>
      <c r="C1725" s="88">
        <v>46.788499999999999</v>
      </c>
      <c r="D1725" s="104"/>
    </row>
    <row r="1726" spans="1:4" x14ac:dyDescent="0.25">
      <c r="A1726" s="84">
        <v>46153</v>
      </c>
      <c r="B1726" s="88" t="s">
        <v>117</v>
      </c>
      <c r="C1726" s="88">
        <v>46.945300000000003</v>
      </c>
      <c r="D1726" s="104"/>
    </row>
    <row r="1727" spans="1:4" x14ac:dyDescent="0.25">
      <c r="A1727" s="84">
        <v>46153</v>
      </c>
      <c r="B1727" s="88" t="s">
        <v>118</v>
      </c>
      <c r="C1727" s="88">
        <v>46.273499999999999</v>
      </c>
      <c r="D1727" s="104"/>
    </row>
    <row r="1728" spans="1:4" x14ac:dyDescent="0.25">
      <c r="A1728" s="84">
        <v>46153</v>
      </c>
      <c r="B1728" s="88" t="s">
        <v>119</v>
      </c>
      <c r="C1728" s="88">
        <v>46.302199999999999</v>
      </c>
      <c r="D1728" s="104"/>
    </row>
    <row r="1729" spans="1:4" x14ac:dyDescent="0.25">
      <c r="A1729" s="84">
        <v>46153</v>
      </c>
      <c r="B1729" s="88" t="s">
        <v>120</v>
      </c>
      <c r="C1729" s="88">
        <v>45.549399999999999</v>
      </c>
      <c r="D1729" s="104"/>
    </row>
    <row r="1730" spans="1:4" x14ac:dyDescent="0.25">
      <c r="A1730" s="84">
        <v>46153</v>
      </c>
      <c r="B1730" s="88" t="s">
        <v>121</v>
      </c>
      <c r="C1730" s="88">
        <v>45.556100000000001</v>
      </c>
      <c r="D1730" s="104"/>
    </row>
    <row r="1731" spans="1:4" x14ac:dyDescent="0.25">
      <c r="A1731" s="84">
        <v>46153</v>
      </c>
      <c r="B1731" s="88" t="s">
        <v>122</v>
      </c>
      <c r="C1731" s="88">
        <v>45.534999999999997</v>
      </c>
      <c r="D1731" s="104"/>
    </row>
    <row r="1732" spans="1:4" x14ac:dyDescent="0.25">
      <c r="A1732" s="84">
        <v>46153</v>
      </c>
      <c r="B1732" s="88" t="s">
        <v>123</v>
      </c>
      <c r="C1732" s="88">
        <v>45.456299999999999</v>
      </c>
      <c r="D1732" s="104"/>
    </row>
    <row r="1733" spans="1:4" x14ac:dyDescent="0.25">
      <c r="A1733" s="84">
        <v>46153</v>
      </c>
      <c r="B1733" s="88" t="s">
        <v>124</v>
      </c>
      <c r="C1733" s="88">
        <v>45.470399999999998</v>
      </c>
      <c r="D1733" s="104"/>
    </row>
    <row r="1734" spans="1:4" x14ac:dyDescent="0.25">
      <c r="A1734" s="84">
        <v>46153</v>
      </c>
      <c r="B1734" s="88" t="s">
        <v>125</v>
      </c>
      <c r="C1734" s="88">
        <v>46.546300000000002</v>
      </c>
      <c r="D1734" s="104"/>
    </row>
    <row r="1735" spans="1:4" x14ac:dyDescent="0.25">
      <c r="A1735" s="84">
        <v>46153</v>
      </c>
      <c r="B1735" s="88" t="s">
        <v>126</v>
      </c>
      <c r="C1735" s="88">
        <v>46.566000000000003</v>
      </c>
      <c r="D1735" s="104"/>
    </row>
    <row r="1736" spans="1:4" x14ac:dyDescent="0.25">
      <c r="A1736" s="84">
        <v>46153</v>
      </c>
      <c r="B1736" s="88" t="s">
        <v>127</v>
      </c>
      <c r="C1736" s="88">
        <v>48.004399999999997</v>
      </c>
      <c r="D1736" s="104"/>
    </row>
    <row r="1737" spans="1:4" x14ac:dyDescent="0.25">
      <c r="A1737" s="84">
        <v>46153</v>
      </c>
      <c r="B1737" s="88" t="s">
        <v>128</v>
      </c>
      <c r="C1737" s="88">
        <v>48.1218</v>
      </c>
      <c r="D1737" s="104"/>
    </row>
    <row r="1738" spans="1:4" x14ac:dyDescent="0.25">
      <c r="A1738" s="84">
        <v>46153</v>
      </c>
      <c r="B1738" s="88" t="s">
        <v>129</v>
      </c>
      <c r="C1738" s="88">
        <v>48.446199999999997</v>
      </c>
      <c r="D1738" s="104"/>
    </row>
    <row r="1739" spans="1:4" x14ac:dyDescent="0.25">
      <c r="A1739" s="84">
        <v>46153</v>
      </c>
      <c r="B1739" s="88" t="s">
        <v>130</v>
      </c>
      <c r="C1739" s="88">
        <v>50.288499999999999</v>
      </c>
      <c r="D1739" s="104"/>
    </row>
    <row r="1740" spans="1:4" x14ac:dyDescent="0.25">
      <c r="A1740" s="84">
        <v>46153</v>
      </c>
      <c r="B1740" s="88" t="s">
        <v>131</v>
      </c>
      <c r="C1740" s="88">
        <v>50.974499999999999</v>
      </c>
      <c r="D1740" s="104"/>
    </row>
    <row r="1741" spans="1:4" x14ac:dyDescent="0.25">
      <c r="A1741" s="84">
        <v>46153</v>
      </c>
      <c r="B1741" s="88" t="s">
        <v>132</v>
      </c>
      <c r="C1741" s="88">
        <v>49.868000000000002</v>
      </c>
      <c r="D1741" s="104"/>
    </row>
    <row r="1742" spans="1:4" x14ac:dyDescent="0.25">
      <c r="A1742" s="84">
        <v>46153</v>
      </c>
      <c r="B1742" s="88" t="s">
        <v>133</v>
      </c>
      <c r="C1742" s="88">
        <v>49.661700000000003</v>
      </c>
      <c r="D1742" s="104"/>
    </row>
    <row r="1743" spans="1:4" x14ac:dyDescent="0.25">
      <c r="A1743" s="84">
        <v>46153</v>
      </c>
      <c r="B1743" s="88" t="s">
        <v>134</v>
      </c>
      <c r="C1743" s="88">
        <v>48.138300000000001</v>
      </c>
      <c r="D1743" s="104"/>
    </row>
    <row r="1744" spans="1:4" x14ac:dyDescent="0.25">
      <c r="A1744" s="84">
        <v>46153</v>
      </c>
      <c r="B1744" s="88" t="s">
        <v>135</v>
      </c>
      <c r="C1744" s="88">
        <v>48.2059</v>
      </c>
      <c r="D1744" s="104"/>
    </row>
    <row r="1745" spans="1:4" x14ac:dyDescent="0.25">
      <c r="A1745" s="84">
        <v>46153</v>
      </c>
      <c r="B1745" s="88" t="s">
        <v>136</v>
      </c>
      <c r="C1745" s="88">
        <v>47.881</v>
      </c>
      <c r="D1745" s="104"/>
    </row>
    <row r="1746" spans="1:4" x14ac:dyDescent="0.25">
      <c r="A1746" s="84">
        <v>46153</v>
      </c>
      <c r="B1746" s="88" t="s">
        <v>137</v>
      </c>
      <c r="C1746" s="88">
        <v>47.764699999999998</v>
      </c>
      <c r="D1746" s="104"/>
    </row>
    <row r="1747" spans="1:4" x14ac:dyDescent="0.25">
      <c r="A1747" s="84">
        <v>46153</v>
      </c>
      <c r="B1747" s="88" t="s">
        <v>138</v>
      </c>
      <c r="C1747" s="88">
        <v>47.8857</v>
      </c>
      <c r="D1747" s="104"/>
    </row>
    <row r="1748" spans="1:4" x14ac:dyDescent="0.25">
      <c r="A1748" s="84">
        <v>46153</v>
      </c>
      <c r="B1748" s="88" t="s">
        <v>139</v>
      </c>
      <c r="C1748" s="88">
        <v>47.0411</v>
      </c>
      <c r="D1748" s="104"/>
    </row>
    <row r="1749" spans="1:4" x14ac:dyDescent="0.25">
      <c r="A1749" s="84">
        <v>46153</v>
      </c>
      <c r="B1749" s="88" t="s">
        <v>140</v>
      </c>
      <c r="C1749" s="88">
        <v>44.043500000000002</v>
      </c>
      <c r="D1749" s="104"/>
    </row>
    <row r="1750" spans="1:4" x14ac:dyDescent="0.25">
      <c r="A1750" s="84">
        <v>46153</v>
      </c>
      <c r="B1750" s="88" t="s">
        <v>141</v>
      </c>
      <c r="C1750" s="88">
        <v>43.9529</v>
      </c>
      <c r="D1750" s="104"/>
    </row>
    <row r="1751" spans="1:4" x14ac:dyDescent="0.25">
      <c r="A1751" s="84">
        <v>46153</v>
      </c>
      <c r="B1751" s="88" t="s">
        <v>107</v>
      </c>
      <c r="C1751" s="88">
        <v>46.362099999999998</v>
      </c>
      <c r="D1751" s="104"/>
    </row>
    <row r="1752" spans="1:4" x14ac:dyDescent="0.25">
      <c r="A1752" s="84">
        <v>46153</v>
      </c>
      <c r="B1752" s="88" t="s">
        <v>108</v>
      </c>
      <c r="C1752" s="88">
        <v>46.349699999999999</v>
      </c>
      <c r="D1752" s="104"/>
    </row>
    <row r="1753" spans="1:4" x14ac:dyDescent="0.25">
      <c r="A1753" s="84">
        <v>46154</v>
      </c>
      <c r="B1753" s="88" t="s">
        <v>88</v>
      </c>
      <c r="C1753" s="88">
        <v>53.020600000000002</v>
      </c>
      <c r="D1753" s="91"/>
    </row>
    <row r="1754" spans="1:4" x14ac:dyDescent="0.25">
      <c r="A1754" s="84">
        <v>46154</v>
      </c>
      <c r="B1754" s="88" t="s">
        <v>89</v>
      </c>
      <c r="C1754" s="88">
        <v>53.079099999999997</v>
      </c>
      <c r="D1754" s="91"/>
    </row>
    <row r="1755" spans="1:4" x14ac:dyDescent="0.25">
      <c r="A1755" s="84">
        <v>46154</v>
      </c>
      <c r="B1755" s="88" t="s">
        <v>90</v>
      </c>
      <c r="C1755" s="88">
        <v>53.0441</v>
      </c>
      <c r="D1755" s="91"/>
    </row>
    <row r="1756" spans="1:4" x14ac:dyDescent="0.25">
      <c r="A1756" s="84">
        <v>46154</v>
      </c>
      <c r="B1756" s="88" t="s">
        <v>91</v>
      </c>
      <c r="C1756" s="88">
        <v>52.632100000000001</v>
      </c>
      <c r="D1756" s="91"/>
    </row>
    <row r="1757" spans="1:4" x14ac:dyDescent="0.25">
      <c r="A1757" s="84">
        <v>46154</v>
      </c>
      <c r="B1757" s="88" t="s">
        <v>104</v>
      </c>
      <c r="C1757" s="88">
        <v>52.6053</v>
      </c>
      <c r="D1757" s="91"/>
    </row>
    <row r="1758" spans="1:4" x14ac:dyDescent="0.25">
      <c r="A1758" s="84">
        <v>46154</v>
      </c>
      <c r="B1758" s="88" t="s">
        <v>92</v>
      </c>
      <c r="C1758" s="88">
        <v>52.918599999999998</v>
      </c>
      <c r="D1758" s="91"/>
    </row>
    <row r="1759" spans="1:4" x14ac:dyDescent="0.25">
      <c r="A1759" s="84">
        <v>46154</v>
      </c>
      <c r="B1759" s="88" t="s">
        <v>93</v>
      </c>
      <c r="C1759" s="88">
        <v>52.926900000000003</v>
      </c>
      <c r="D1759" s="91"/>
    </row>
    <row r="1760" spans="1:4" x14ac:dyDescent="0.25">
      <c r="A1760" s="84">
        <v>46154</v>
      </c>
      <c r="B1760" s="88" t="s">
        <v>106</v>
      </c>
      <c r="C1760" s="88">
        <v>52.9148</v>
      </c>
      <c r="D1760" s="91"/>
    </row>
    <row r="1761" spans="1:4" x14ac:dyDescent="0.25">
      <c r="A1761" s="84">
        <v>46154</v>
      </c>
      <c r="B1761" s="88" t="s">
        <v>69</v>
      </c>
      <c r="C1761" s="88">
        <v>52.985399999999998</v>
      </c>
      <c r="D1761" s="91"/>
    </row>
    <row r="1762" spans="1:4" x14ac:dyDescent="0.25">
      <c r="A1762" s="107">
        <v>46154</v>
      </c>
      <c r="B1762" s="108" t="s">
        <v>70</v>
      </c>
      <c r="C1762" s="108">
        <v>53.08</v>
      </c>
      <c r="D1762" s="109"/>
    </row>
    <row r="1763" spans="1:4" x14ac:dyDescent="0.25">
      <c r="A1763" s="107">
        <v>46154</v>
      </c>
      <c r="B1763" s="108" t="s">
        <v>71</v>
      </c>
      <c r="C1763" s="108">
        <v>53.204999999999998</v>
      </c>
      <c r="D1763" s="109"/>
    </row>
    <row r="1764" spans="1:4" x14ac:dyDescent="0.25">
      <c r="A1764" s="84">
        <v>46154</v>
      </c>
      <c r="B1764" s="88" t="s">
        <v>72</v>
      </c>
      <c r="C1764" s="88">
        <v>53.079099999999997</v>
      </c>
      <c r="D1764" s="91"/>
    </row>
    <row r="1765" spans="1:4" x14ac:dyDescent="0.25">
      <c r="A1765" s="84">
        <v>46154</v>
      </c>
      <c r="B1765" s="88" t="s">
        <v>73</v>
      </c>
      <c r="C1765" s="88">
        <v>53.383099999999999</v>
      </c>
      <c r="D1765" s="91"/>
    </row>
    <row r="1766" spans="1:4" x14ac:dyDescent="0.25">
      <c r="A1766" s="84">
        <v>46154</v>
      </c>
      <c r="B1766" s="88" t="s">
        <v>74</v>
      </c>
      <c r="C1766" s="88">
        <v>53.378299999999996</v>
      </c>
      <c r="D1766" s="91"/>
    </row>
    <row r="1767" spans="1:4" x14ac:dyDescent="0.25">
      <c r="A1767" s="84">
        <v>46154</v>
      </c>
      <c r="B1767" s="88" t="s">
        <v>75</v>
      </c>
      <c r="C1767" s="88">
        <v>54.072600000000001</v>
      </c>
      <c r="D1767" s="91"/>
    </row>
    <row r="1768" spans="1:4" x14ac:dyDescent="0.25">
      <c r="A1768" s="84">
        <v>46154</v>
      </c>
      <c r="B1768" s="88" t="s">
        <v>76</v>
      </c>
      <c r="C1768" s="88">
        <v>54.079899999999995</v>
      </c>
      <c r="D1768" s="91"/>
    </row>
    <row r="1769" spans="1:4" x14ac:dyDescent="0.25">
      <c r="A1769" s="84">
        <v>46154</v>
      </c>
      <c r="B1769" s="88" t="s">
        <v>77</v>
      </c>
      <c r="C1769" s="88">
        <v>54.0167</v>
      </c>
      <c r="D1769" s="91"/>
    </row>
    <row r="1770" spans="1:4" x14ac:dyDescent="0.25">
      <c r="A1770" s="84">
        <v>46154</v>
      </c>
      <c r="B1770" s="88" t="s">
        <v>78</v>
      </c>
      <c r="C1770" s="88">
        <v>52.923299999999998</v>
      </c>
      <c r="D1770" s="91"/>
    </row>
    <row r="1771" spans="1:4" x14ac:dyDescent="0.25">
      <c r="A1771" s="84">
        <v>46154</v>
      </c>
      <c r="B1771" s="88" t="s">
        <v>79</v>
      </c>
      <c r="C1771" s="88">
        <v>53.893999999999998</v>
      </c>
      <c r="D1771" s="91"/>
    </row>
    <row r="1772" spans="1:4" x14ac:dyDescent="0.25">
      <c r="A1772" s="84">
        <v>46154</v>
      </c>
      <c r="B1772" s="88" t="s">
        <v>80</v>
      </c>
      <c r="C1772" s="88">
        <v>54.090299999999999</v>
      </c>
      <c r="D1772" s="91"/>
    </row>
    <row r="1773" spans="1:4" x14ac:dyDescent="0.25">
      <c r="A1773" s="84">
        <v>46154</v>
      </c>
      <c r="B1773" s="88" t="s">
        <v>81</v>
      </c>
      <c r="C1773" s="88">
        <v>53.3155</v>
      </c>
      <c r="D1773" s="91"/>
    </row>
    <row r="1774" spans="1:4" x14ac:dyDescent="0.25">
      <c r="A1774" s="84">
        <v>46154</v>
      </c>
      <c r="B1774" s="88" t="s">
        <v>82</v>
      </c>
      <c r="C1774" s="88">
        <v>53.323399999999999</v>
      </c>
      <c r="D1774" s="91"/>
    </row>
    <row r="1775" spans="1:4" x14ac:dyDescent="0.25">
      <c r="A1775" s="84">
        <v>46157</v>
      </c>
      <c r="B1775" s="88" t="s">
        <v>148</v>
      </c>
      <c r="C1775" s="91">
        <v>48.1586</v>
      </c>
      <c r="D1775" s="91"/>
    </row>
    <row r="1776" spans="1:4" x14ac:dyDescent="0.25">
      <c r="A1776" s="84">
        <v>46157</v>
      </c>
      <c r="B1776" s="88" t="s">
        <v>149</v>
      </c>
      <c r="C1776" s="88">
        <v>48.139099999999999</v>
      </c>
      <c r="D1776" s="91"/>
    </row>
    <row r="1777" spans="1:4" x14ac:dyDescent="0.25">
      <c r="A1777" s="84">
        <v>46157</v>
      </c>
      <c r="B1777" s="88" t="s">
        <v>150</v>
      </c>
      <c r="C1777" s="88">
        <v>49.051400000000001</v>
      </c>
      <c r="D1777" s="91"/>
    </row>
    <row r="1778" spans="1:4" x14ac:dyDescent="0.25">
      <c r="A1778" s="84">
        <v>46157</v>
      </c>
      <c r="B1778" s="88" t="s">
        <v>151</v>
      </c>
      <c r="C1778" s="88">
        <v>48.998600000000003</v>
      </c>
      <c r="D1778" s="91"/>
    </row>
    <row r="1779" spans="1:4" x14ac:dyDescent="0.25">
      <c r="A1779" s="84">
        <v>46157</v>
      </c>
      <c r="B1779" s="88" t="s">
        <v>152</v>
      </c>
      <c r="C1779" s="88">
        <v>48.833600000000004</v>
      </c>
      <c r="D1779" s="91"/>
    </row>
    <row r="1780" spans="1:4" x14ac:dyDescent="0.25">
      <c r="A1780" s="84">
        <v>46157</v>
      </c>
      <c r="B1780" s="88" t="s">
        <v>153</v>
      </c>
      <c r="C1780" s="88">
        <v>48.627900000000004</v>
      </c>
      <c r="D1780" s="91"/>
    </row>
    <row r="1781" spans="1:4" x14ac:dyDescent="0.25">
      <c r="A1781" s="84">
        <v>46157</v>
      </c>
      <c r="B1781" s="88" t="s">
        <v>154</v>
      </c>
      <c r="C1781" s="88">
        <v>49.7226</v>
      </c>
      <c r="D1781" s="91"/>
    </row>
    <row r="1782" spans="1:4" x14ac:dyDescent="0.25">
      <c r="A1782" s="84">
        <v>46157</v>
      </c>
      <c r="B1782" s="88" t="s">
        <v>155</v>
      </c>
      <c r="C1782" s="88">
        <v>49.036100000000005</v>
      </c>
      <c r="D1782" s="91"/>
    </row>
    <row r="1783" spans="1:4" x14ac:dyDescent="0.25">
      <c r="A1783" s="84">
        <v>46157</v>
      </c>
      <c r="B1783" s="88" t="s">
        <v>156</v>
      </c>
      <c r="C1783" s="88">
        <v>49.154900000000005</v>
      </c>
      <c r="D1783" s="91"/>
    </row>
    <row r="1784" spans="1:4" x14ac:dyDescent="0.25">
      <c r="A1784" s="84">
        <v>46157</v>
      </c>
      <c r="B1784" s="88" t="s">
        <v>157</v>
      </c>
      <c r="C1784" s="88">
        <v>49.360900000000001</v>
      </c>
      <c r="D1784" s="91"/>
    </row>
    <row r="1785" spans="1:4" x14ac:dyDescent="0.25">
      <c r="A1785" s="84">
        <v>46160</v>
      </c>
      <c r="B1785" s="88" t="s">
        <v>148</v>
      </c>
      <c r="C1785" s="88">
        <v>48.159100000000002</v>
      </c>
      <c r="D1785" s="91"/>
    </row>
    <row r="1786" spans="1:4" x14ac:dyDescent="0.25">
      <c r="A1786" s="84">
        <v>46160</v>
      </c>
      <c r="B1786" s="88" t="s">
        <v>149</v>
      </c>
      <c r="C1786" s="88">
        <v>48.139699999999998</v>
      </c>
      <c r="D1786" s="91"/>
    </row>
    <row r="1787" spans="1:4" x14ac:dyDescent="0.25">
      <c r="A1787" s="84">
        <v>46160</v>
      </c>
      <c r="B1787" s="88" t="s">
        <v>150</v>
      </c>
      <c r="C1787" s="88">
        <v>49.0518</v>
      </c>
      <c r="D1787" s="91"/>
    </row>
    <row r="1788" spans="1:4" x14ac:dyDescent="0.25">
      <c r="A1788" s="84">
        <v>46160</v>
      </c>
      <c r="B1788" s="88" t="s">
        <v>151</v>
      </c>
      <c r="C1788" s="88">
        <v>48.999200000000002</v>
      </c>
      <c r="D1788" s="91"/>
    </row>
    <row r="1789" spans="1:4" x14ac:dyDescent="0.25">
      <c r="A1789" s="84">
        <v>46160</v>
      </c>
      <c r="B1789" s="88" t="s">
        <v>152</v>
      </c>
      <c r="C1789" s="88">
        <v>48.8337</v>
      </c>
      <c r="D1789" s="91"/>
    </row>
    <row r="1790" spans="1:4" x14ac:dyDescent="0.25">
      <c r="A1790" s="84">
        <v>46160</v>
      </c>
      <c r="B1790" s="88" t="s">
        <v>153</v>
      </c>
      <c r="C1790" s="88">
        <v>48.6282</v>
      </c>
      <c r="D1790" s="91"/>
    </row>
    <row r="1791" spans="1:4" x14ac:dyDescent="0.25">
      <c r="A1791" s="84">
        <v>46160</v>
      </c>
      <c r="B1791" s="88" t="s">
        <v>154</v>
      </c>
      <c r="C1791" s="88">
        <v>49.722900000000003</v>
      </c>
      <c r="D1791" s="91"/>
    </row>
    <row r="1792" spans="1:4" x14ac:dyDescent="0.25">
      <c r="A1792" s="84">
        <v>46160</v>
      </c>
      <c r="B1792" s="88" t="s">
        <v>155</v>
      </c>
      <c r="C1792" s="88">
        <v>49.036499999999997</v>
      </c>
      <c r="D1792" s="91"/>
    </row>
    <row r="1793" spans="1:4" x14ac:dyDescent="0.25">
      <c r="A1793" s="84">
        <v>46160</v>
      </c>
      <c r="B1793" s="88" t="s">
        <v>156</v>
      </c>
      <c r="C1793" s="88">
        <v>49.155000000000001</v>
      </c>
      <c r="D1793" s="91"/>
    </row>
    <row r="1794" spans="1:4" x14ac:dyDescent="0.25">
      <c r="A1794" s="84">
        <v>46160</v>
      </c>
      <c r="B1794" s="88" t="s">
        <v>157</v>
      </c>
      <c r="C1794" s="88">
        <v>49.3611</v>
      </c>
      <c r="D1794" s="91"/>
    </row>
    <row r="1795" spans="1:4" x14ac:dyDescent="0.25">
      <c r="A1795" s="84">
        <v>46161</v>
      </c>
      <c r="B1795" s="88" t="s">
        <v>88</v>
      </c>
      <c r="C1795" s="88">
        <v>53.0212</v>
      </c>
      <c r="D1795" s="91"/>
    </row>
    <row r="1796" spans="1:4" x14ac:dyDescent="0.25">
      <c r="A1796" s="84">
        <v>46161</v>
      </c>
      <c r="B1796" s="88" t="s">
        <v>89</v>
      </c>
      <c r="C1796" s="88">
        <v>53.078699999999998</v>
      </c>
      <c r="D1796" s="91"/>
    </row>
    <row r="1797" spans="1:4" x14ac:dyDescent="0.25">
      <c r="A1797" s="84">
        <v>46161</v>
      </c>
      <c r="B1797" s="88" t="s">
        <v>90</v>
      </c>
      <c r="C1797" s="88">
        <v>53.043700000000001</v>
      </c>
      <c r="D1797" s="91"/>
    </row>
    <row r="1798" spans="1:4" x14ac:dyDescent="0.25">
      <c r="A1798" s="84">
        <v>46161</v>
      </c>
      <c r="B1798" s="88" t="s">
        <v>91</v>
      </c>
      <c r="C1798" s="88">
        <v>52.631</v>
      </c>
      <c r="D1798" s="91"/>
    </row>
    <row r="1799" spans="1:4" x14ac:dyDescent="0.25">
      <c r="A1799" s="84">
        <v>46161</v>
      </c>
      <c r="B1799" s="88" t="s">
        <v>104</v>
      </c>
      <c r="C1799" s="88">
        <v>52.604599999999998</v>
      </c>
      <c r="D1799" s="91"/>
    </row>
    <row r="1800" spans="1:4" x14ac:dyDescent="0.25">
      <c r="A1800" s="84">
        <v>46161</v>
      </c>
      <c r="B1800" s="88" t="s">
        <v>105</v>
      </c>
      <c r="C1800" s="88">
        <v>52.722099999999998</v>
      </c>
      <c r="D1800" s="91"/>
    </row>
    <row r="1801" spans="1:4" x14ac:dyDescent="0.25">
      <c r="A1801" s="84">
        <v>46161</v>
      </c>
      <c r="B1801" s="88" t="s">
        <v>92</v>
      </c>
      <c r="C1801" s="88">
        <v>52.917899999999996</v>
      </c>
      <c r="D1801" s="91"/>
    </row>
    <row r="1802" spans="1:4" x14ac:dyDescent="0.25">
      <c r="A1802" s="84">
        <v>46161</v>
      </c>
      <c r="B1802" s="88" t="s">
        <v>93</v>
      </c>
      <c r="C1802" s="88">
        <v>52.926400000000001</v>
      </c>
      <c r="D1802" s="91"/>
    </row>
    <row r="1803" spans="1:4" x14ac:dyDescent="0.25">
      <c r="A1803" s="84">
        <v>46161</v>
      </c>
      <c r="B1803" s="88" t="s">
        <v>106</v>
      </c>
      <c r="C1803" s="88">
        <v>52.914899999999996</v>
      </c>
      <c r="D1803" s="91"/>
    </row>
    <row r="1804" spans="1:4" x14ac:dyDescent="0.25">
      <c r="A1804" s="84">
        <v>46161</v>
      </c>
      <c r="B1804" s="88" t="s">
        <v>69</v>
      </c>
      <c r="C1804" s="88">
        <v>52.985299999999995</v>
      </c>
      <c r="D1804" s="91"/>
    </row>
    <row r="1805" spans="1:4" x14ac:dyDescent="0.25">
      <c r="A1805" s="84">
        <v>46161</v>
      </c>
      <c r="B1805" s="88" t="s">
        <v>70</v>
      </c>
      <c r="C1805" s="88">
        <v>53.079899999999995</v>
      </c>
      <c r="D1805" s="91"/>
    </row>
    <row r="1806" spans="1:4" x14ac:dyDescent="0.25">
      <c r="A1806" s="84">
        <v>46161</v>
      </c>
      <c r="B1806" s="88" t="s">
        <v>71</v>
      </c>
      <c r="C1806" s="88">
        <v>53.204899999999995</v>
      </c>
      <c r="D1806" s="91"/>
    </row>
    <row r="1807" spans="1:4" x14ac:dyDescent="0.25">
      <c r="A1807" s="84">
        <v>46161</v>
      </c>
      <c r="B1807" s="88" t="s">
        <v>72</v>
      </c>
      <c r="C1807" s="88">
        <v>53.078699999999998</v>
      </c>
      <c r="D1807" s="91"/>
    </row>
    <row r="1808" spans="1:4" x14ac:dyDescent="0.25">
      <c r="A1808" s="84">
        <v>46161</v>
      </c>
      <c r="B1808" s="88" t="s">
        <v>73</v>
      </c>
      <c r="C1808" s="88">
        <v>53.382999999999996</v>
      </c>
      <c r="D1808" s="91"/>
    </row>
    <row r="1809" spans="1:4" x14ac:dyDescent="0.25">
      <c r="A1809" s="84">
        <v>46161</v>
      </c>
      <c r="B1809" s="88" t="s">
        <v>74</v>
      </c>
      <c r="C1809" s="88">
        <v>53.378099999999996</v>
      </c>
      <c r="D1809" s="91"/>
    </row>
    <row r="1810" spans="1:4" x14ac:dyDescent="0.25">
      <c r="A1810" s="84">
        <v>46161</v>
      </c>
      <c r="B1810" s="88" t="s">
        <v>75</v>
      </c>
      <c r="C1810" s="88">
        <v>54.072800000000001</v>
      </c>
      <c r="D1810" s="91"/>
    </row>
    <row r="1811" spans="1:4" x14ac:dyDescent="0.25">
      <c r="A1811" s="84">
        <v>46161</v>
      </c>
      <c r="B1811" s="88" t="s">
        <v>76</v>
      </c>
      <c r="C1811" s="88">
        <v>54.08</v>
      </c>
      <c r="D1811" s="91"/>
    </row>
    <row r="1812" spans="1:4" x14ac:dyDescent="0.25">
      <c r="A1812" s="84">
        <v>46161</v>
      </c>
      <c r="B1812" s="88" t="s">
        <v>77</v>
      </c>
      <c r="C1812" s="88">
        <v>54.016999999999996</v>
      </c>
      <c r="D1812" s="91"/>
    </row>
    <row r="1813" spans="1:4" x14ac:dyDescent="0.25">
      <c r="A1813" s="84">
        <v>46161</v>
      </c>
      <c r="B1813" s="88" t="s">
        <v>78</v>
      </c>
      <c r="C1813" s="88">
        <v>52.923499999999997</v>
      </c>
      <c r="D1813" s="91"/>
    </row>
    <row r="1814" spans="1:4" x14ac:dyDescent="0.25">
      <c r="A1814" s="84">
        <v>46161</v>
      </c>
      <c r="B1814" s="88" t="s">
        <v>79</v>
      </c>
      <c r="C1814" s="88">
        <v>53.893899999999995</v>
      </c>
      <c r="D1814" s="91"/>
    </row>
    <row r="1815" spans="1:4" x14ac:dyDescent="0.25">
      <c r="A1815" s="84">
        <v>46161</v>
      </c>
      <c r="B1815" s="88" t="s">
        <v>80</v>
      </c>
      <c r="C1815" s="88">
        <v>54.090399999999995</v>
      </c>
      <c r="D1815" s="91"/>
    </row>
    <row r="1816" spans="1:4" x14ac:dyDescent="0.25">
      <c r="A1816" s="84">
        <v>46161</v>
      </c>
      <c r="B1816" s="88" t="s">
        <v>81</v>
      </c>
      <c r="C1816" s="88">
        <v>53.3155</v>
      </c>
      <c r="D1816" s="91"/>
    </row>
    <row r="1817" spans="1:4" x14ac:dyDescent="0.25">
      <c r="A1817" s="84">
        <v>46161</v>
      </c>
      <c r="B1817" s="88" t="s">
        <v>82</v>
      </c>
      <c r="C1817" s="88">
        <v>53.323499999999996</v>
      </c>
      <c r="D1817" s="91"/>
    </row>
    <row r="1818" spans="1:4" x14ac:dyDescent="0.25">
      <c r="A1818" s="84">
        <v>46162</v>
      </c>
      <c r="B1818" s="88" t="s">
        <v>114</v>
      </c>
      <c r="C1818" s="88">
        <v>46.686399999999999</v>
      </c>
    </row>
    <row r="1819" spans="1:4" x14ac:dyDescent="0.25">
      <c r="A1819" s="84">
        <v>46162</v>
      </c>
      <c r="B1819" s="88" t="s">
        <v>115</v>
      </c>
      <c r="C1819" s="88">
        <v>46.570999999999998</v>
      </c>
    </row>
    <row r="1820" spans="1:4" x14ac:dyDescent="0.25">
      <c r="A1820" s="84">
        <v>46162</v>
      </c>
      <c r="B1820" s="88" t="s">
        <v>117</v>
      </c>
      <c r="C1820" s="88">
        <v>46.944099999999999</v>
      </c>
    </row>
    <row r="1821" spans="1:4" x14ac:dyDescent="0.25">
      <c r="A1821" s="84">
        <v>46162</v>
      </c>
      <c r="B1821" s="88" t="s">
        <v>118</v>
      </c>
      <c r="C1821" s="88">
        <v>46.271899999999995</v>
      </c>
    </row>
    <row r="1822" spans="1:4" x14ac:dyDescent="0.25">
      <c r="A1822" s="84">
        <v>46162</v>
      </c>
      <c r="B1822" s="88" t="s">
        <v>119</v>
      </c>
      <c r="C1822" s="88">
        <v>46.300599999999996</v>
      </c>
    </row>
    <row r="1823" spans="1:4" x14ac:dyDescent="0.25">
      <c r="A1823" s="84">
        <v>46162</v>
      </c>
      <c r="B1823" s="88" t="s">
        <v>120</v>
      </c>
      <c r="C1823" s="88">
        <v>45.547799999999995</v>
      </c>
    </row>
    <row r="1824" spans="1:4" x14ac:dyDescent="0.25">
      <c r="A1824" s="84">
        <v>46162</v>
      </c>
      <c r="B1824" s="88" t="s">
        <v>121</v>
      </c>
      <c r="C1824" s="88">
        <v>45.554400000000001</v>
      </c>
    </row>
    <row r="1825" spans="1:3" x14ac:dyDescent="0.25">
      <c r="A1825" s="84">
        <v>46162</v>
      </c>
      <c r="B1825" s="88" t="s">
        <v>122</v>
      </c>
      <c r="C1825" s="88">
        <v>45.5336</v>
      </c>
    </row>
    <row r="1826" spans="1:3" x14ac:dyDescent="0.25">
      <c r="A1826" s="84">
        <v>46162</v>
      </c>
      <c r="B1826" s="88" t="s">
        <v>123</v>
      </c>
      <c r="C1826" s="88">
        <v>45.454699999999995</v>
      </c>
    </row>
    <row r="1827" spans="1:3" x14ac:dyDescent="0.25">
      <c r="A1827" s="84">
        <v>46162</v>
      </c>
      <c r="B1827" s="88" t="s">
        <v>124</v>
      </c>
      <c r="C1827" s="88">
        <v>45.468899999999998</v>
      </c>
    </row>
    <row r="1828" spans="1:3" x14ac:dyDescent="0.25">
      <c r="A1828" s="84">
        <v>46162</v>
      </c>
      <c r="B1828" s="88" t="s">
        <v>125</v>
      </c>
      <c r="C1828" s="88">
        <v>46.5441</v>
      </c>
    </row>
    <row r="1829" spans="1:3" x14ac:dyDescent="0.25">
      <c r="A1829" s="84">
        <v>46162</v>
      </c>
      <c r="B1829" s="88" t="s">
        <v>126</v>
      </c>
      <c r="C1829" s="88">
        <v>46.563699999999997</v>
      </c>
    </row>
    <row r="1830" spans="1:3" x14ac:dyDescent="0.25">
      <c r="A1830" s="84">
        <v>46162</v>
      </c>
      <c r="B1830" s="88" t="s">
        <v>127</v>
      </c>
      <c r="C1830" s="88">
        <v>48.002400000000002</v>
      </c>
    </row>
    <row r="1831" spans="1:3" x14ac:dyDescent="0.25">
      <c r="A1831" s="84">
        <v>46162</v>
      </c>
      <c r="B1831" s="88" t="s">
        <v>128</v>
      </c>
      <c r="C1831" s="88">
        <v>48.119900000000001</v>
      </c>
    </row>
    <row r="1832" spans="1:3" x14ac:dyDescent="0.25">
      <c r="A1832" s="84">
        <v>46162</v>
      </c>
      <c r="B1832" s="88" t="s">
        <v>129</v>
      </c>
      <c r="C1832" s="88">
        <v>48.444600000000001</v>
      </c>
    </row>
    <row r="1833" spans="1:3" x14ac:dyDescent="0.25">
      <c r="A1833" s="84">
        <v>46162</v>
      </c>
      <c r="B1833" s="88" t="s">
        <v>130</v>
      </c>
      <c r="C1833" s="88">
        <v>50.286299999999997</v>
      </c>
    </row>
    <row r="1834" spans="1:3" x14ac:dyDescent="0.25">
      <c r="A1834" s="84">
        <v>46162</v>
      </c>
      <c r="B1834" s="88" t="s">
        <v>131</v>
      </c>
      <c r="C1834" s="88">
        <v>50.971599999999995</v>
      </c>
    </row>
    <row r="1835" spans="1:3" x14ac:dyDescent="0.25">
      <c r="A1835" s="84">
        <v>46162</v>
      </c>
      <c r="B1835" s="88" t="s">
        <v>132</v>
      </c>
      <c r="C1835" s="88">
        <v>49.866399999999999</v>
      </c>
    </row>
    <row r="1836" spans="1:3" x14ac:dyDescent="0.25">
      <c r="A1836" s="84">
        <v>46162</v>
      </c>
      <c r="B1836" s="88" t="s">
        <v>133</v>
      </c>
      <c r="C1836" s="88">
        <v>49.6601</v>
      </c>
    </row>
    <row r="1837" spans="1:3" x14ac:dyDescent="0.25">
      <c r="A1837" s="84">
        <v>46162</v>
      </c>
      <c r="B1837" s="88" t="s">
        <v>134</v>
      </c>
      <c r="C1837" s="88">
        <v>48.136499999999998</v>
      </c>
    </row>
    <row r="1838" spans="1:3" x14ac:dyDescent="0.25">
      <c r="A1838" s="84">
        <v>46162</v>
      </c>
      <c r="B1838" s="88" t="s">
        <v>135</v>
      </c>
      <c r="C1838" s="88">
        <v>48.204099999999997</v>
      </c>
    </row>
    <row r="1839" spans="1:3" x14ac:dyDescent="0.25">
      <c r="A1839" s="84">
        <v>46162</v>
      </c>
      <c r="B1839" s="88" t="s">
        <v>136</v>
      </c>
      <c r="C1839" s="88">
        <v>47.879399999999997</v>
      </c>
    </row>
    <row r="1840" spans="1:3" x14ac:dyDescent="0.25">
      <c r="A1840" s="84">
        <v>46162</v>
      </c>
      <c r="B1840" s="88" t="s">
        <v>137</v>
      </c>
      <c r="C1840" s="88">
        <v>47.763100000000001</v>
      </c>
    </row>
    <row r="1841" spans="1:4" x14ac:dyDescent="0.25">
      <c r="A1841" s="84">
        <v>46162</v>
      </c>
      <c r="B1841" s="88" t="s">
        <v>138</v>
      </c>
      <c r="C1841" s="88">
        <v>47.884099999999997</v>
      </c>
    </row>
    <row r="1842" spans="1:4" x14ac:dyDescent="0.25">
      <c r="A1842" s="84">
        <v>46162</v>
      </c>
      <c r="B1842" s="88" t="s">
        <v>140</v>
      </c>
      <c r="C1842" s="88">
        <v>44.0428</v>
      </c>
    </row>
    <row r="1843" spans="1:4" x14ac:dyDescent="0.25">
      <c r="A1843" s="84">
        <v>46162</v>
      </c>
      <c r="B1843" s="88" t="s">
        <v>141</v>
      </c>
      <c r="C1843" s="88">
        <v>43.951999999999998</v>
      </c>
    </row>
    <row r="1844" spans="1:4" x14ac:dyDescent="0.25">
      <c r="A1844" s="84">
        <v>46162</v>
      </c>
      <c r="B1844" s="88" t="s">
        <v>107</v>
      </c>
      <c r="C1844" s="88">
        <v>46.362299999999998</v>
      </c>
    </row>
    <row r="1845" spans="1:4" x14ac:dyDescent="0.25">
      <c r="A1845" s="84">
        <v>46162</v>
      </c>
      <c r="B1845" s="88" t="s">
        <v>108</v>
      </c>
      <c r="C1845" s="88">
        <v>46.349899999999998</v>
      </c>
    </row>
    <row r="1846" spans="1:4" x14ac:dyDescent="0.25">
      <c r="A1846" s="84">
        <v>46162</v>
      </c>
      <c r="B1846" s="88" t="s">
        <v>109</v>
      </c>
      <c r="C1846" s="88">
        <v>47.590400000000002</v>
      </c>
    </row>
    <row r="1847" spans="1:4" x14ac:dyDescent="0.25">
      <c r="A1847" s="84">
        <v>46162</v>
      </c>
      <c r="B1847" s="88" t="s">
        <v>110</v>
      </c>
      <c r="C1847" s="88">
        <v>47.567500000000003</v>
      </c>
    </row>
    <row r="1848" spans="1:4" x14ac:dyDescent="0.25">
      <c r="A1848" s="84">
        <v>46162</v>
      </c>
      <c r="B1848" s="88" t="s">
        <v>111</v>
      </c>
      <c r="C1848" s="88">
        <v>48.914299999999997</v>
      </c>
    </row>
    <row r="1849" spans="1:4" x14ac:dyDescent="0.25">
      <c r="A1849" s="84">
        <v>46162</v>
      </c>
      <c r="B1849" s="88" t="s">
        <v>112</v>
      </c>
      <c r="C1849" s="88">
        <v>48.851700000000001</v>
      </c>
    </row>
    <row r="1850" spans="1:4" x14ac:dyDescent="0.25">
      <c r="A1850" s="84">
        <v>46162</v>
      </c>
      <c r="B1850" s="88" t="s">
        <v>148</v>
      </c>
      <c r="C1850" s="88">
        <v>48.158200000000001</v>
      </c>
      <c r="D1850" s="91"/>
    </row>
    <row r="1851" spans="1:4" x14ac:dyDescent="0.25">
      <c r="A1851" s="84">
        <v>46162</v>
      </c>
      <c r="B1851" s="88" t="s">
        <v>149</v>
      </c>
      <c r="C1851" s="88">
        <v>48.138800000000003</v>
      </c>
      <c r="D1851" s="91"/>
    </row>
    <row r="1852" spans="1:4" x14ac:dyDescent="0.25">
      <c r="A1852" s="84">
        <v>46162</v>
      </c>
      <c r="B1852" s="88" t="s">
        <v>150</v>
      </c>
      <c r="C1852" s="88">
        <v>49.0501</v>
      </c>
      <c r="D1852" s="91"/>
    </row>
    <row r="1853" spans="1:4" x14ac:dyDescent="0.25">
      <c r="A1853" s="84">
        <v>46162</v>
      </c>
      <c r="B1853" s="88" t="s">
        <v>151</v>
      </c>
      <c r="C1853" s="88">
        <v>48.997500000000002</v>
      </c>
      <c r="D1853" s="91"/>
    </row>
    <row r="1854" spans="1:4" x14ac:dyDescent="0.25">
      <c r="A1854" s="84">
        <v>46162</v>
      </c>
      <c r="B1854" s="88" t="s">
        <v>152</v>
      </c>
      <c r="C1854" s="88">
        <v>48.832500000000003</v>
      </c>
      <c r="D1854" s="91"/>
    </row>
    <row r="1855" spans="1:4" x14ac:dyDescent="0.25">
      <c r="A1855" s="84">
        <v>46162</v>
      </c>
      <c r="B1855" s="88" t="s">
        <v>153</v>
      </c>
      <c r="C1855" s="88">
        <v>48.626800000000003</v>
      </c>
      <c r="D1855" s="91"/>
    </row>
    <row r="1856" spans="1:4" x14ac:dyDescent="0.25">
      <c r="A1856" s="84">
        <v>46162</v>
      </c>
      <c r="B1856" s="88" t="s">
        <v>154</v>
      </c>
      <c r="C1856" s="88">
        <v>49.720300000000002</v>
      </c>
      <c r="D1856" s="91"/>
    </row>
    <row r="1857" spans="1:4" x14ac:dyDescent="0.25">
      <c r="A1857" s="84">
        <v>46162</v>
      </c>
      <c r="B1857" s="88" t="s">
        <v>155</v>
      </c>
      <c r="C1857" s="88">
        <v>49.034199999999998</v>
      </c>
      <c r="D1857" s="91"/>
    </row>
    <row r="1858" spans="1:4" x14ac:dyDescent="0.25">
      <c r="A1858" s="84">
        <v>46162</v>
      </c>
      <c r="B1858" s="88" t="s">
        <v>156</v>
      </c>
      <c r="C1858" s="88">
        <v>49.152999999999999</v>
      </c>
      <c r="D1858" s="91"/>
    </row>
    <row r="1859" spans="1:4" x14ac:dyDescent="0.25">
      <c r="A1859" s="84">
        <v>46162</v>
      </c>
      <c r="B1859" s="88" t="s">
        <v>157</v>
      </c>
      <c r="C1859" s="88">
        <v>49.359400000000001</v>
      </c>
      <c r="D1859" s="91"/>
    </row>
    <row r="1860" spans="1:4" x14ac:dyDescent="0.25">
      <c r="A1860" s="84">
        <v>46163</v>
      </c>
      <c r="B1860" s="88" t="s">
        <v>148</v>
      </c>
      <c r="C1860" s="88">
        <v>48.158000000000001</v>
      </c>
      <c r="D1860" s="91"/>
    </row>
    <row r="1861" spans="1:4" x14ac:dyDescent="0.25">
      <c r="A1861" s="84">
        <v>46163</v>
      </c>
      <c r="B1861" s="88" t="s">
        <v>149</v>
      </c>
      <c r="C1861" s="88">
        <v>48.138500000000001</v>
      </c>
      <c r="D1861" s="91"/>
    </row>
    <row r="1862" spans="1:4" x14ac:dyDescent="0.25">
      <c r="A1862" s="84">
        <v>46163</v>
      </c>
      <c r="B1862" s="88" t="s">
        <v>150</v>
      </c>
      <c r="C1862" s="88">
        <v>49.0503</v>
      </c>
      <c r="D1862" s="91"/>
    </row>
    <row r="1863" spans="1:4" x14ac:dyDescent="0.25">
      <c r="A1863" s="84">
        <v>46163</v>
      </c>
      <c r="B1863" s="88" t="s">
        <v>151</v>
      </c>
      <c r="C1863" s="88">
        <v>48.997599999999998</v>
      </c>
      <c r="D1863" s="91"/>
    </row>
    <row r="1864" spans="1:4" x14ac:dyDescent="0.25">
      <c r="A1864" s="84">
        <v>46163</v>
      </c>
      <c r="B1864" s="88" t="s">
        <v>152</v>
      </c>
      <c r="C1864" s="88">
        <v>48.832500000000003</v>
      </c>
      <c r="D1864" s="91"/>
    </row>
    <row r="1865" spans="1:4" x14ac:dyDescent="0.25">
      <c r="A1865" s="84">
        <v>46163</v>
      </c>
      <c r="B1865" s="88" t="s">
        <v>153</v>
      </c>
      <c r="C1865" s="88">
        <v>48.627099999999999</v>
      </c>
      <c r="D1865" s="91"/>
    </row>
    <row r="1866" spans="1:4" x14ac:dyDescent="0.25">
      <c r="A1866" s="84">
        <v>46163</v>
      </c>
      <c r="B1866" s="88" t="s">
        <v>154</v>
      </c>
      <c r="C1866" s="88">
        <v>49.720100000000002</v>
      </c>
      <c r="D1866" s="91"/>
    </row>
    <row r="1867" spans="1:4" x14ac:dyDescent="0.25">
      <c r="A1867" s="84">
        <v>46163</v>
      </c>
      <c r="B1867" s="88" t="s">
        <v>155</v>
      </c>
      <c r="C1867" s="88">
        <v>49.034100000000002</v>
      </c>
      <c r="D1867" s="91"/>
    </row>
    <row r="1868" spans="1:4" x14ac:dyDescent="0.25">
      <c r="A1868" s="84">
        <v>46163</v>
      </c>
      <c r="B1868" s="88" t="s">
        <v>156</v>
      </c>
      <c r="C1868" s="88">
        <v>49.153399999999998</v>
      </c>
      <c r="D1868" s="91"/>
    </row>
    <row r="1869" spans="1:4" x14ac:dyDescent="0.25">
      <c r="A1869" s="84">
        <v>46163</v>
      </c>
      <c r="B1869" s="88" t="s">
        <v>157</v>
      </c>
      <c r="C1869" s="88">
        <v>49.3596</v>
      </c>
      <c r="D1869" s="91"/>
    </row>
    <row r="1870" spans="1:4" x14ac:dyDescent="0.25">
      <c r="A1870" s="84">
        <v>46164</v>
      </c>
      <c r="B1870" s="88" t="s">
        <v>148</v>
      </c>
      <c r="C1870" s="88">
        <v>48.157899999999998</v>
      </c>
    </row>
    <row r="1871" spans="1:4" x14ac:dyDescent="0.25">
      <c r="A1871" s="84">
        <v>46164</v>
      </c>
      <c r="B1871" s="88" t="s">
        <v>149</v>
      </c>
      <c r="C1871" s="88">
        <v>48.138300000000001</v>
      </c>
    </row>
    <row r="1872" spans="1:4" x14ac:dyDescent="0.25">
      <c r="A1872" s="84">
        <v>46164</v>
      </c>
      <c r="B1872" s="88" t="s">
        <v>150</v>
      </c>
      <c r="C1872" s="88">
        <v>49.0501</v>
      </c>
    </row>
    <row r="1873" spans="1:3" x14ac:dyDescent="0.25">
      <c r="A1873" s="84">
        <v>46164</v>
      </c>
      <c r="B1873" s="88" t="s">
        <v>151</v>
      </c>
      <c r="C1873" s="88">
        <v>48.997500000000002</v>
      </c>
    </row>
    <row r="1874" spans="1:3" x14ac:dyDescent="0.25">
      <c r="A1874" s="84">
        <v>46164</v>
      </c>
      <c r="B1874" s="88" t="s">
        <v>152</v>
      </c>
      <c r="C1874" s="88">
        <v>48.832099999999997</v>
      </c>
    </row>
    <row r="1875" spans="1:3" x14ac:dyDescent="0.25">
      <c r="A1875" s="84">
        <v>46164</v>
      </c>
      <c r="B1875" s="88" t="s">
        <v>153</v>
      </c>
      <c r="C1875" s="88">
        <v>48.626600000000003</v>
      </c>
    </row>
    <row r="1876" spans="1:3" x14ac:dyDescent="0.25">
      <c r="A1876" s="84">
        <v>46164</v>
      </c>
      <c r="B1876" s="88" t="s">
        <v>154</v>
      </c>
      <c r="C1876" s="88">
        <v>49.719799999999999</v>
      </c>
    </row>
    <row r="1877" spans="1:3" x14ac:dyDescent="0.25">
      <c r="A1877" s="84">
        <v>46164</v>
      </c>
      <c r="B1877" s="88" t="s">
        <v>155</v>
      </c>
      <c r="C1877" s="88">
        <v>49.034300000000002</v>
      </c>
    </row>
    <row r="1878" spans="1:3" x14ac:dyDescent="0.25">
      <c r="A1878" s="84">
        <v>46164</v>
      </c>
      <c r="B1878" s="88" t="s">
        <v>156</v>
      </c>
      <c r="C1878" s="88">
        <v>49.153300000000002</v>
      </c>
    </row>
    <row r="1879" spans="1:3" x14ac:dyDescent="0.25">
      <c r="A1879" s="84">
        <v>46164</v>
      </c>
      <c r="B1879" s="88" t="s">
        <v>157</v>
      </c>
      <c r="C1879" s="88">
        <v>49.3598</v>
      </c>
    </row>
    <row r="1880" spans="1:3" x14ac:dyDescent="0.25">
      <c r="A1880" s="84">
        <v>46167</v>
      </c>
      <c r="B1880" s="88" t="s">
        <v>148</v>
      </c>
      <c r="C1880" s="88">
        <v>48.157899999999998</v>
      </c>
    </row>
    <row r="1881" spans="1:3" x14ac:dyDescent="0.25">
      <c r="A1881" s="84">
        <v>46167</v>
      </c>
      <c r="B1881" s="88" t="s">
        <v>149</v>
      </c>
      <c r="C1881" s="88">
        <v>48.138300000000001</v>
      </c>
    </row>
    <row r="1882" spans="1:3" x14ac:dyDescent="0.25">
      <c r="A1882" s="84">
        <v>46167</v>
      </c>
      <c r="B1882" s="88" t="s">
        <v>150</v>
      </c>
      <c r="C1882" s="88">
        <v>49.0501</v>
      </c>
    </row>
    <row r="1883" spans="1:3" x14ac:dyDescent="0.25">
      <c r="A1883" s="84">
        <v>46167</v>
      </c>
      <c r="B1883" s="88" t="s">
        <v>151</v>
      </c>
      <c r="C1883" s="88">
        <v>48.997300000000003</v>
      </c>
    </row>
    <row r="1884" spans="1:3" x14ac:dyDescent="0.25">
      <c r="A1884" s="84">
        <v>46167</v>
      </c>
      <c r="B1884" s="88" t="s">
        <v>152</v>
      </c>
      <c r="C1884" s="88">
        <v>48.8322</v>
      </c>
    </row>
    <row r="1885" spans="1:3" x14ac:dyDescent="0.25">
      <c r="A1885" s="84">
        <v>46167</v>
      </c>
      <c r="B1885" s="88" t="s">
        <v>153</v>
      </c>
      <c r="C1885" s="88">
        <v>48.626600000000003</v>
      </c>
    </row>
    <row r="1886" spans="1:3" x14ac:dyDescent="0.25">
      <c r="A1886" s="84">
        <v>46167</v>
      </c>
      <c r="B1886" s="88" t="s">
        <v>154</v>
      </c>
      <c r="C1886" s="88">
        <v>49.7196</v>
      </c>
    </row>
    <row r="1887" spans="1:3" x14ac:dyDescent="0.25">
      <c r="A1887" s="84">
        <v>46167</v>
      </c>
      <c r="B1887" s="88" t="s">
        <v>155</v>
      </c>
      <c r="C1887" s="88">
        <v>49.034300000000002</v>
      </c>
    </row>
    <row r="1888" spans="1:3" x14ac:dyDescent="0.25">
      <c r="A1888" s="84">
        <v>46167</v>
      </c>
      <c r="B1888" s="88" t="s">
        <v>156</v>
      </c>
      <c r="C1888" s="88">
        <v>49.152999999999999</v>
      </c>
    </row>
    <row r="1889" spans="1:4" x14ac:dyDescent="0.25">
      <c r="A1889" s="84">
        <v>46167</v>
      </c>
      <c r="B1889" s="88" t="s">
        <v>157</v>
      </c>
      <c r="C1889" s="88">
        <v>49.359699999999997</v>
      </c>
    </row>
    <row r="1890" spans="1:4" x14ac:dyDescent="0.25">
      <c r="A1890" s="84">
        <v>46168</v>
      </c>
      <c r="B1890" s="88" t="s">
        <v>148</v>
      </c>
      <c r="C1890" s="88">
        <v>48.158000000000001</v>
      </c>
    </row>
    <row r="1891" spans="1:4" x14ac:dyDescent="0.25">
      <c r="A1891" s="84">
        <v>46168</v>
      </c>
      <c r="B1891" s="88" t="s">
        <v>149</v>
      </c>
      <c r="C1891" s="88">
        <v>48.138399999999997</v>
      </c>
    </row>
    <row r="1892" spans="1:4" x14ac:dyDescent="0.25">
      <c r="A1892" s="84">
        <v>46168</v>
      </c>
      <c r="B1892" s="88" t="s">
        <v>150</v>
      </c>
      <c r="C1892" s="88">
        <v>49.050600000000003</v>
      </c>
    </row>
    <row r="1893" spans="1:4" x14ac:dyDescent="0.25">
      <c r="A1893" s="84">
        <v>46168</v>
      </c>
      <c r="B1893" s="88" t="s">
        <v>151</v>
      </c>
      <c r="C1893" s="88">
        <v>48.997799999999998</v>
      </c>
    </row>
    <row r="1894" spans="1:4" x14ac:dyDescent="0.25">
      <c r="A1894" s="84">
        <v>46168</v>
      </c>
      <c r="B1894" s="88" t="s">
        <v>152</v>
      </c>
      <c r="C1894" s="88">
        <v>48.832700000000003</v>
      </c>
    </row>
    <row r="1895" spans="1:4" x14ac:dyDescent="0.25">
      <c r="A1895" s="84">
        <v>46168</v>
      </c>
      <c r="B1895" s="88" t="s">
        <v>153</v>
      </c>
      <c r="C1895" s="88">
        <v>48.627200000000002</v>
      </c>
    </row>
    <row r="1896" spans="1:4" x14ac:dyDescent="0.25">
      <c r="A1896" s="84">
        <v>46168</v>
      </c>
      <c r="B1896" s="88" t="s">
        <v>154</v>
      </c>
      <c r="C1896" s="88">
        <v>49.719900000000003</v>
      </c>
    </row>
    <row r="1897" spans="1:4" x14ac:dyDescent="0.25">
      <c r="A1897" s="84">
        <v>46168</v>
      </c>
      <c r="B1897" s="88" t="s">
        <v>155</v>
      </c>
      <c r="C1897" s="88">
        <v>49.034700000000001</v>
      </c>
    </row>
    <row r="1898" spans="1:4" x14ac:dyDescent="0.25">
      <c r="A1898" s="84">
        <v>46168</v>
      </c>
      <c r="B1898" s="88" t="s">
        <v>156</v>
      </c>
      <c r="C1898" s="88">
        <v>49.153300000000002</v>
      </c>
    </row>
    <row r="1899" spans="1:4" x14ac:dyDescent="0.25">
      <c r="A1899" s="84">
        <v>46168</v>
      </c>
      <c r="B1899" s="88" t="s">
        <v>157</v>
      </c>
      <c r="C1899" s="88">
        <v>49.36</v>
      </c>
      <c r="D1899" s="91"/>
    </row>
    <row r="1900" spans="1:4" x14ac:dyDescent="0.25">
      <c r="A1900" s="84">
        <v>46169</v>
      </c>
      <c r="B1900" s="88" t="s">
        <v>114</v>
      </c>
      <c r="C1900" s="88">
        <v>46.686700000000002</v>
      </c>
      <c r="D1900" s="91"/>
    </row>
    <row r="1901" spans="1:4" x14ac:dyDescent="0.25">
      <c r="A1901" s="84">
        <v>46169</v>
      </c>
      <c r="B1901" s="88" t="s">
        <v>115</v>
      </c>
      <c r="C1901" s="88">
        <v>46.5715</v>
      </c>
      <c r="D1901" s="91"/>
    </row>
    <row r="1902" spans="1:4" x14ac:dyDescent="0.25">
      <c r="A1902" s="84">
        <v>46169</v>
      </c>
      <c r="B1902" s="88" t="s">
        <v>116</v>
      </c>
      <c r="C1902" s="88">
        <v>46.787300000000002</v>
      </c>
      <c r="D1902" s="91"/>
    </row>
    <row r="1903" spans="1:4" x14ac:dyDescent="0.25">
      <c r="A1903" s="84">
        <v>46169</v>
      </c>
      <c r="B1903" s="88" t="s">
        <v>117</v>
      </c>
      <c r="C1903" s="88">
        <v>46.944499999999998</v>
      </c>
      <c r="D1903" s="91"/>
    </row>
    <row r="1904" spans="1:4" x14ac:dyDescent="0.25">
      <c r="A1904" s="84">
        <v>46169</v>
      </c>
      <c r="B1904" s="88" t="s">
        <v>118</v>
      </c>
      <c r="C1904" s="88">
        <v>46.271699999999996</v>
      </c>
      <c r="D1904" s="91"/>
    </row>
    <row r="1905" spans="1:4" x14ac:dyDescent="0.25">
      <c r="A1905" s="84">
        <v>46169</v>
      </c>
      <c r="B1905" s="88" t="s">
        <v>119</v>
      </c>
      <c r="C1905" s="88">
        <v>46.300599999999996</v>
      </c>
      <c r="D1905" s="91"/>
    </row>
    <row r="1906" spans="1:4" x14ac:dyDescent="0.25">
      <c r="A1906" s="84">
        <v>46169</v>
      </c>
      <c r="B1906" s="88" t="s">
        <v>120</v>
      </c>
      <c r="C1906" s="88">
        <v>45.547799999999995</v>
      </c>
      <c r="D1906" s="91"/>
    </row>
    <row r="1907" spans="1:4" x14ac:dyDescent="0.25">
      <c r="A1907" s="84">
        <v>46169</v>
      </c>
      <c r="B1907" s="88" t="s">
        <v>121</v>
      </c>
      <c r="C1907" s="88">
        <v>45.554499999999997</v>
      </c>
      <c r="D1907" s="91"/>
    </row>
    <row r="1908" spans="1:4" x14ac:dyDescent="0.25">
      <c r="A1908" s="84">
        <v>46169</v>
      </c>
      <c r="B1908" s="88" t="s">
        <v>122</v>
      </c>
      <c r="C1908" s="88">
        <v>45.533699999999996</v>
      </c>
      <c r="D1908" s="91"/>
    </row>
    <row r="1909" spans="1:4" x14ac:dyDescent="0.25">
      <c r="A1909" s="84">
        <v>46169</v>
      </c>
      <c r="B1909" s="88" t="s">
        <v>123</v>
      </c>
      <c r="C1909" s="88">
        <v>45.454799999999999</v>
      </c>
      <c r="D1909" s="91"/>
    </row>
    <row r="1910" spans="1:4" x14ac:dyDescent="0.25">
      <c r="A1910" s="84">
        <v>46169</v>
      </c>
      <c r="B1910" s="88" t="s">
        <v>124</v>
      </c>
      <c r="C1910" s="88">
        <v>45.468899999999998</v>
      </c>
      <c r="D1910" s="91"/>
    </row>
    <row r="1911" spans="1:4" x14ac:dyDescent="0.25">
      <c r="A1911" s="84">
        <v>46169</v>
      </c>
      <c r="B1911" s="88" t="s">
        <v>125</v>
      </c>
      <c r="C1911" s="88">
        <v>46.544499999999999</v>
      </c>
      <c r="D1911" s="91"/>
    </row>
    <row r="1912" spans="1:4" x14ac:dyDescent="0.25">
      <c r="A1912" s="84">
        <v>46169</v>
      </c>
      <c r="B1912" s="88" t="s">
        <v>126</v>
      </c>
      <c r="C1912" s="88">
        <v>46.564</v>
      </c>
      <c r="D1912" s="91"/>
    </row>
    <row r="1913" spans="1:4" x14ac:dyDescent="0.25">
      <c r="A1913" s="84">
        <v>46169</v>
      </c>
      <c r="B1913" s="88" t="s">
        <v>127</v>
      </c>
      <c r="C1913" s="88">
        <v>48.002699999999997</v>
      </c>
      <c r="D1913" s="91"/>
    </row>
    <row r="1914" spans="1:4" x14ac:dyDescent="0.25">
      <c r="A1914" s="84">
        <v>46169</v>
      </c>
      <c r="B1914" s="88" t="s">
        <v>128</v>
      </c>
      <c r="C1914" s="88">
        <v>48.120199999999997</v>
      </c>
      <c r="D1914" s="91"/>
    </row>
    <row r="1915" spans="1:4" x14ac:dyDescent="0.25">
      <c r="A1915" s="84">
        <v>46169</v>
      </c>
      <c r="B1915" s="88" t="s">
        <v>129</v>
      </c>
      <c r="C1915" s="88">
        <v>48.445099999999996</v>
      </c>
      <c r="D1915" s="91"/>
    </row>
    <row r="1916" spans="1:4" x14ac:dyDescent="0.25">
      <c r="A1916" s="84">
        <v>46169</v>
      </c>
      <c r="B1916" s="88" t="s">
        <v>130</v>
      </c>
      <c r="C1916" s="88">
        <v>50.286899999999996</v>
      </c>
      <c r="D1916" s="91"/>
    </row>
    <row r="1917" spans="1:4" x14ac:dyDescent="0.25">
      <c r="A1917" s="84">
        <v>46169</v>
      </c>
      <c r="B1917" s="88" t="s">
        <v>131</v>
      </c>
      <c r="C1917" s="88">
        <v>50.9724</v>
      </c>
      <c r="D1917" s="91"/>
    </row>
    <row r="1918" spans="1:4" x14ac:dyDescent="0.25">
      <c r="A1918" s="84">
        <v>46169</v>
      </c>
      <c r="B1918" s="88" t="s">
        <v>132</v>
      </c>
      <c r="C1918" s="88">
        <v>49.866199999999999</v>
      </c>
      <c r="D1918" s="91"/>
    </row>
    <row r="1919" spans="1:4" x14ac:dyDescent="0.25">
      <c r="A1919" s="84">
        <v>46169</v>
      </c>
      <c r="B1919" s="88" t="s">
        <v>133</v>
      </c>
      <c r="C1919" s="88">
        <v>49.659799999999997</v>
      </c>
      <c r="D1919" s="91"/>
    </row>
    <row r="1920" spans="1:4" x14ac:dyDescent="0.25">
      <c r="A1920" s="84">
        <v>46169</v>
      </c>
      <c r="B1920" s="88" t="s">
        <v>134</v>
      </c>
      <c r="C1920" s="88">
        <v>48.136199999999995</v>
      </c>
      <c r="D1920" s="91"/>
    </row>
    <row r="1921" spans="1:4" x14ac:dyDescent="0.25">
      <c r="A1921" s="84">
        <v>46169</v>
      </c>
      <c r="B1921" s="88" t="s">
        <v>135</v>
      </c>
      <c r="C1921" s="88">
        <v>48.204099999999997</v>
      </c>
      <c r="D1921" s="91"/>
    </row>
    <row r="1922" spans="1:4" x14ac:dyDescent="0.25">
      <c r="A1922" s="84">
        <v>46169</v>
      </c>
      <c r="B1922" s="88" t="s">
        <v>136</v>
      </c>
      <c r="C1922" s="88">
        <v>47.879300000000001</v>
      </c>
      <c r="D1922" s="91"/>
    </row>
    <row r="1923" spans="1:4" x14ac:dyDescent="0.25">
      <c r="A1923" s="84">
        <v>46169</v>
      </c>
      <c r="B1923" s="88" t="s">
        <v>137</v>
      </c>
      <c r="C1923" s="88">
        <v>47.762900000000002</v>
      </c>
      <c r="D1923" s="91"/>
    </row>
    <row r="1924" spans="1:4" x14ac:dyDescent="0.25">
      <c r="A1924" s="84">
        <v>46169</v>
      </c>
      <c r="B1924" s="88" t="s">
        <v>138</v>
      </c>
      <c r="C1924" s="88">
        <v>47.884</v>
      </c>
      <c r="D1924" s="91"/>
    </row>
    <row r="1925" spans="1:4" x14ac:dyDescent="0.25">
      <c r="A1925" s="84">
        <v>46169</v>
      </c>
      <c r="B1925" s="88" t="s">
        <v>139</v>
      </c>
      <c r="C1925" s="88">
        <v>47.051600000000001</v>
      </c>
      <c r="D1925" s="91"/>
    </row>
    <row r="1926" spans="1:4" x14ac:dyDescent="0.25">
      <c r="A1926" s="84">
        <v>46169</v>
      </c>
      <c r="B1926" s="88" t="s">
        <v>140</v>
      </c>
      <c r="C1926" s="88">
        <v>44.043100000000003</v>
      </c>
      <c r="D1926" s="91"/>
    </row>
    <row r="1927" spans="1:4" x14ac:dyDescent="0.25">
      <c r="A1927" s="84">
        <v>46169</v>
      </c>
      <c r="B1927" s="88" t="s">
        <v>141</v>
      </c>
      <c r="C1927" s="88">
        <v>43.951999999999998</v>
      </c>
      <c r="D1927" s="91"/>
    </row>
    <row r="1928" spans="1:4" x14ac:dyDescent="0.25">
      <c r="A1928" s="84">
        <v>46169</v>
      </c>
      <c r="B1928" s="88" t="s">
        <v>107</v>
      </c>
      <c r="C1928" s="88">
        <v>46.362299999999998</v>
      </c>
      <c r="D1928" s="91"/>
    </row>
    <row r="1929" spans="1:4" x14ac:dyDescent="0.25">
      <c r="A1929" s="84">
        <v>46169</v>
      </c>
      <c r="B1929" s="88" t="s">
        <v>108</v>
      </c>
      <c r="C1929" s="88">
        <v>46.35</v>
      </c>
      <c r="D1929" s="91"/>
    </row>
    <row r="1930" spans="1:4" x14ac:dyDescent="0.25">
      <c r="A1930" s="84">
        <v>46169</v>
      </c>
      <c r="B1930" s="88" t="s">
        <v>109</v>
      </c>
      <c r="C1930" s="88">
        <v>47.590200000000003</v>
      </c>
      <c r="D1930" s="91"/>
    </row>
    <row r="1931" spans="1:4" x14ac:dyDescent="0.25">
      <c r="A1931" s="84">
        <v>46169</v>
      </c>
      <c r="B1931" s="88" t="s">
        <v>110</v>
      </c>
      <c r="C1931" s="88">
        <v>47.567599999999999</v>
      </c>
      <c r="D1931" s="91"/>
    </row>
    <row r="1932" spans="1:4" x14ac:dyDescent="0.25">
      <c r="A1932" s="84">
        <v>46169</v>
      </c>
      <c r="B1932" s="88" t="s">
        <v>111</v>
      </c>
      <c r="C1932" s="88">
        <v>48.914499999999997</v>
      </c>
      <c r="D1932" s="91"/>
    </row>
    <row r="1933" spans="1:4" x14ac:dyDescent="0.25">
      <c r="A1933" s="84">
        <v>46169</v>
      </c>
      <c r="B1933" s="88" t="s">
        <v>112</v>
      </c>
      <c r="C1933" s="88">
        <v>48.8521</v>
      </c>
      <c r="D1933" s="91"/>
    </row>
    <row r="1934" spans="1:4" x14ac:dyDescent="0.25">
      <c r="A1934" s="84">
        <v>46170</v>
      </c>
      <c r="B1934" s="91" t="s">
        <v>88</v>
      </c>
      <c r="C1934" s="88">
        <v>53.020800000000001</v>
      </c>
    </row>
    <row r="1935" spans="1:4" x14ac:dyDescent="0.25">
      <c r="A1935" s="84">
        <v>46170</v>
      </c>
      <c r="B1935" s="88" t="s">
        <v>89</v>
      </c>
      <c r="C1935" s="88">
        <v>53.078899999999997</v>
      </c>
    </row>
    <row r="1936" spans="1:4" x14ac:dyDescent="0.25">
      <c r="A1936" s="84">
        <v>46170</v>
      </c>
      <c r="B1936" s="88" t="s">
        <v>90</v>
      </c>
      <c r="C1936" s="88">
        <v>53.043599999999998</v>
      </c>
    </row>
    <row r="1937" spans="1:3" x14ac:dyDescent="0.25">
      <c r="A1937" s="84">
        <v>46170</v>
      </c>
      <c r="B1937" s="88" t="s">
        <v>91</v>
      </c>
      <c r="C1937" s="88">
        <v>52.631299999999996</v>
      </c>
    </row>
    <row r="1938" spans="1:3" x14ac:dyDescent="0.25">
      <c r="A1938" s="84">
        <v>46170</v>
      </c>
      <c r="B1938" s="88" t="s">
        <v>104</v>
      </c>
      <c r="C1938" s="88">
        <v>52.604900000000001</v>
      </c>
    </row>
    <row r="1939" spans="1:3" x14ac:dyDescent="0.25">
      <c r="A1939" s="84">
        <v>46170</v>
      </c>
      <c r="B1939" s="88" t="s">
        <v>105</v>
      </c>
      <c r="C1939" s="88">
        <v>52.7224</v>
      </c>
    </row>
    <row r="1940" spans="1:3" x14ac:dyDescent="0.25">
      <c r="A1940" s="84">
        <v>46170</v>
      </c>
      <c r="B1940" s="88" t="s">
        <v>92</v>
      </c>
      <c r="C1940" s="88">
        <v>52.918099999999995</v>
      </c>
    </row>
    <row r="1941" spans="1:3" x14ac:dyDescent="0.25">
      <c r="A1941" s="84">
        <v>46170</v>
      </c>
      <c r="B1941" s="88" t="s">
        <v>93</v>
      </c>
      <c r="C1941" s="88">
        <v>52.926600000000001</v>
      </c>
    </row>
    <row r="1942" spans="1:3" x14ac:dyDescent="0.25">
      <c r="A1942" s="84">
        <v>46170</v>
      </c>
      <c r="B1942" s="88" t="s">
        <v>106</v>
      </c>
      <c r="C1942" s="88">
        <v>52.915400000000005</v>
      </c>
    </row>
    <row r="1943" spans="1:3" x14ac:dyDescent="0.25">
      <c r="A1943" s="84">
        <v>46170</v>
      </c>
      <c r="B1943" s="88" t="s">
        <v>69</v>
      </c>
      <c r="C1943" s="88">
        <v>52.985800000000005</v>
      </c>
    </row>
    <row r="1944" spans="1:3" x14ac:dyDescent="0.25">
      <c r="A1944" s="84">
        <v>46170</v>
      </c>
      <c r="B1944" s="88" t="s">
        <v>70</v>
      </c>
      <c r="C1944" s="88">
        <v>53.080000000000005</v>
      </c>
    </row>
    <row r="1945" spans="1:3" x14ac:dyDescent="0.25">
      <c r="A1945" s="84">
        <v>46170</v>
      </c>
      <c r="B1945" s="88" t="s">
        <v>71</v>
      </c>
      <c r="C1945" s="88">
        <v>53.205500000000001</v>
      </c>
    </row>
    <row r="1946" spans="1:3" x14ac:dyDescent="0.25">
      <c r="A1946" s="84">
        <v>46170</v>
      </c>
      <c r="B1946" s="88" t="s">
        <v>72</v>
      </c>
      <c r="C1946" s="88">
        <v>53.079800000000006</v>
      </c>
    </row>
    <row r="1947" spans="1:3" x14ac:dyDescent="0.25">
      <c r="A1947" s="84">
        <v>46170</v>
      </c>
      <c r="B1947" s="88" t="s">
        <v>73</v>
      </c>
      <c r="C1947" s="88">
        <v>53.383700000000005</v>
      </c>
    </row>
    <row r="1948" spans="1:3" x14ac:dyDescent="0.25">
      <c r="A1948" s="84">
        <v>46170</v>
      </c>
      <c r="B1948" s="88" t="s">
        <v>74</v>
      </c>
      <c r="C1948" s="88">
        <v>53.378800000000005</v>
      </c>
    </row>
    <row r="1949" spans="1:3" x14ac:dyDescent="0.25">
      <c r="A1949" s="84">
        <v>46170</v>
      </c>
      <c r="B1949" s="88" t="s">
        <v>75</v>
      </c>
      <c r="C1949" s="88">
        <v>54.072400000000002</v>
      </c>
    </row>
    <row r="1950" spans="1:3" x14ac:dyDescent="0.25">
      <c r="A1950" s="84">
        <v>46170</v>
      </c>
      <c r="B1950" s="88" t="s">
        <v>76</v>
      </c>
      <c r="C1950" s="88">
        <v>54.079600000000006</v>
      </c>
    </row>
    <row r="1951" spans="1:3" x14ac:dyDescent="0.25">
      <c r="A1951" s="84">
        <v>46170</v>
      </c>
      <c r="B1951" s="88" t="s">
        <v>77</v>
      </c>
      <c r="C1951" s="88">
        <v>54.016800000000003</v>
      </c>
    </row>
    <row r="1952" spans="1:3" x14ac:dyDescent="0.25">
      <c r="A1952" s="84">
        <v>46170</v>
      </c>
      <c r="B1952" s="88" t="s">
        <v>78</v>
      </c>
      <c r="C1952" s="88">
        <v>52.923700000000004</v>
      </c>
    </row>
    <row r="1953" spans="1:3" x14ac:dyDescent="0.25">
      <c r="A1953" s="84">
        <v>46170</v>
      </c>
      <c r="B1953" s="88" t="s">
        <v>79</v>
      </c>
      <c r="C1953" s="88">
        <v>53.894000000000005</v>
      </c>
    </row>
    <row r="1954" spans="1:3" x14ac:dyDescent="0.25">
      <c r="A1954" s="84">
        <v>46170</v>
      </c>
      <c r="B1954" s="88" t="s">
        <v>80</v>
      </c>
      <c r="C1954" s="88">
        <v>54.09</v>
      </c>
    </row>
    <row r="1955" spans="1:3" x14ac:dyDescent="0.25">
      <c r="A1955" s="84">
        <v>46170</v>
      </c>
      <c r="B1955" s="88" t="s">
        <v>81</v>
      </c>
      <c r="C1955" s="88">
        <v>53.315300000000001</v>
      </c>
    </row>
    <row r="1956" spans="1:3" x14ac:dyDescent="0.25">
      <c r="A1956" s="84">
        <v>46170</v>
      </c>
      <c r="B1956" s="88" t="s">
        <v>82</v>
      </c>
      <c r="C1956" s="88">
        <v>53.323400000000007</v>
      </c>
    </row>
    <row r="1957" spans="1:3" x14ac:dyDescent="0.25">
      <c r="A1957" s="84">
        <v>46170</v>
      </c>
      <c r="B1957" s="88" t="s">
        <v>148</v>
      </c>
      <c r="C1957" s="88">
        <v>48.158299999999997</v>
      </c>
    </row>
    <row r="1958" spans="1:3" x14ac:dyDescent="0.25">
      <c r="A1958" s="84">
        <v>46170</v>
      </c>
      <c r="B1958" s="88" t="s">
        <v>149</v>
      </c>
      <c r="C1958" s="88">
        <v>48.138599999999997</v>
      </c>
    </row>
    <row r="1959" spans="1:3" x14ac:dyDescent="0.25">
      <c r="A1959" s="84">
        <v>46170</v>
      </c>
      <c r="B1959" s="88" t="s">
        <v>150</v>
      </c>
      <c r="C1959" s="88">
        <v>49.050400000000003</v>
      </c>
    </row>
    <row r="1960" spans="1:3" x14ac:dyDescent="0.25">
      <c r="A1960" s="84">
        <v>46170</v>
      </c>
      <c r="B1960" s="88" t="s">
        <v>151</v>
      </c>
      <c r="C1960" s="88">
        <v>48.997700000000002</v>
      </c>
    </row>
    <row r="1961" spans="1:3" x14ac:dyDescent="0.25">
      <c r="A1961" s="84">
        <v>46170</v>
      </c>
      <c r="B1961" s="88" t="s">
        <v>152</v>
      </c>
      <c r="C1961" s="88">
        <v>48.832700000000003</v>
      </c>
    </row>
    <row r="1962" spans="1:3" x14ac:dyDescent="0.25">
      <c r="A1962" s="84">
        <v>46170</v>
      </c>
      <c r="B1962" s="88" t="s">
        <v>153</v>
      </c>
      <c r="C1962" s="88">
        <v>48.627000000000002</v>
      </c>
    </row>
    <row r="1963" spans="1:3" x14ac:dyDescent="0.25">
      <c r="A1963" s="84">
        <v>46171</v>
      </c>
      <c r="B1963" s="88" t="s">
        <v>148</v>
      </c>
      <c r="C1963" s="88">
        <v>48.1584</v>
      </c>
    </row>
    <row r="1964" spans="1:3" x14ac:dyDescent="0.25">
      <c r="A1964" s="84">
        <v>46171</v>
      </c>
      <c r="B1964" s="88" t="s">
        <v>149</v>
      </c>
      <c r="C1964" s="88">
        <v>48.1387</v>
      </c>
    </row>
    <row r="1965" spans="1:3" x14ac:dyDescent="0.25">
      <c r="A1965" s="84">
        <v>46171</v>
      </c>
      <c r="B1965" s="88" t="s">
        <v>150</v>
      </c>
      <c r="C1965" s="88">
        <v>49.050800000000002</v>
      </c>
    </row>
    <row r="1966" spans="1:3" x14ac:dyDescent="0.25">
      <c r="A1966" s="84">
        <v>46171</v>
      </c>
      <c r="B1966" s="88" t="s">
        <v>151</v>
      </c>
      <c r="C1966" s="88">
        <v>48.998100000000001</v>
      </c>
    </row>
    <row r="1967" spans="1:3" x14ac:dyDescent="0.25">
      <c r="A1967" s="84">
        <v>46171</v>
      </c>
      <c r="B1967" s="88" t="s">
        <v>152</v>
      </c>
      <c r="C1967" s="88">
        <v>48.833100000000002</v>
      </c>
    </row>
    <row r="1968" spans="1:3" x14ac:dyDescent="0.25">
      <c r="A1968" s="84">
        <v>46171</v>
      </c>
      <c r="B1968" s="88" t="s">
        <v>153</v>
      </c>
      <c r="C1968" s="88">
        <v>48.627499999999998</v>
      </c>
    </row>
    <row r="1969" spans="1:3" x14ac:dyDescent="0.25">
      <c r="A1969" s="84">
        <v>46174</v>
      </c>
      <c r="B1969" s="88" t="s">
        <v>148</v>
      </c>
      <c r="C1969" s="88">
        <v>48.158299999999997</v>
      </c>
    </row>
    <row r="1970" spans="1:3" x14ac:dyDescent="0.25">
      <c r="A1970" s="84">
        <v>46174</v>
      </c>
      <c r="B1970" s="88" t="s">
        <v>149</v>
      </c>
      <c r="C1970" s="88">
        <v>48.138599999999997</v>
      </c>
    </row>
    <row r="1971" spans="1:3" x14ac:dyDescent="0.25">
      <c r="A1971" s="84">
        <v>46174</v>
      </c>
      <c r="B1971" s="88" t="s">
        <v>150</v>
      </c>
      <c r="C1971" s="88">
        <v>49.050600000000003</v>
      </c>
    </row>
    <row r="1972" spans="1:3" x14ac:dyDescent="0.25">
      <c r="A1972" s="84">
        <v>46174</v>
      </c>
      <c r="B1972" s="88" t="s">
        <v>151</v>
      </c>
      <c r="C1972" s="88">
        <v>48.997900000000001</v>
      </c>
    </row>
    <row r="1973" spans="1:3" x14ac:dyDescent="0.25">
      <c r="A1973" s="84">
        <v>46174</v>
      </c>
      <c r="B1973" s="88" t="s">
        <v>152</v>
      </c>
      <c r="C1973" s="88">
        <v>48.833100000000002</v>
      </c>
    </row>
    <row r="1974" spans="1:3" x14ac:dyDescent="0.25">
      <c r="A1974" s="84">
        <v>46175</v>
      </c>
      <c r="B1974" s="88" t="s">
        <v>88</v>
      </c>
      <c r="C1974" s="88">
        <v>53.020800000000001</v>
      </c>
    </row>
    <row r="1975" spans="1:3" x14ac:dyDescent="0.25">
      <c r="A1975" s="84">
        <v>46175</v>
      </c>
      <c r="B1975" s="88" t="s">
        <v>89</v>
      </c>
      <c r="C1975" s="88">
        <v>53.078899999999997</v>
      </c>
    </row>
    <row r="1976" spans="1:3" x14ac:dyDescent="0.25">
      <c r="A1976" s="84">
        <v>46175</v>
      </c>
      <c r="B1976" s="88" t="s">
        <v>90</v>
      </c>
      <c r="C1976" s="88">
        <v>53.043599999999998</v>
      </c>
    </row>
    <row r="1977" spans="1:3" x14ac:dyDescent="0.25">
      <c r="A1977" s="84">
        <v>46175</v>
      </c>
      <c r="B1977" s="88" t="s">
        <v>91</v>
      </c>
      <c r="C1977" s="88">
        <v>52.631399999999999</v>
      </c>
    </row>
    <row r="1978" spans="1:3" x14ac:dyDescent="0.25">
      <c r="A1978" s="84">
        <v>46175</v>
      </c>
      <c r="B1978" s="88" t="s">
        <v>104</v>
      </c>
      <c r="C1978" s="88">
        <v>52.604799999999997</v>
      </c>
    </row>
    <row r="1979" spans="1:3" x14ac:dyDescent="0.25">
      <c r="A1979" s="84">
        <v>46175</v>
      </c>
      <c r="B1979" s="88" t="s">
        <v>92</v>
      </c>
      <c r="C1979" s="88">
        <v>52.918099999999995</v>
      </c>
    </row>
    <row r="1980" spans="1:3" x14ac:dyDescent="0.25">
      <c r="A1980" s="84">
        <v>46175</v>
      </c>
      <c r="B1980" s="88" t="s">
        <v>93</v>
      </c>
      <c r="C1980" s="88">
        <v>52.926499999999997</v>
      </c>
    </row>
    <row r="1981" spans="1:3" x14ac:dyDescent="0.25">
      <c r="A1981" s="84">
        <v>46175</v>
      </c>
      <c r="B1981" s="88" t="s">
        <v>106</v>
      </c>
      <c r="C1981" s="88">
        <v>52.914900000000003</v>
      </c>
    </row>
    <row r="1982" spans="1:3" x14ac:dyDescent="0.25">
      <c r="A1982" s="84">
        <v>46175</v>
      </c>
      <c r="B1982" s="88" t="s">
        <v>69</v>
      </c>
      <c r="C1982" s="88">
        <v>52.985399999999998</v>
      </c>
    </row>
    <row r="1983" spans="1:3" x14ac:dyDescent="0.25">
      <c r="A1983" s="84">
        <v>46175</v>
      </c>
      <c r="B1983" s="88" t="s">
        <v>70</v>
      </c>
      <c r="C1983" s="88">
        <v>53.079599999999999</v>
      </c>
    </row>
    <row r="1984" spans="1:3" x14ac:dyDescent="0.25">
      <c r="A1984" s="84">
        <v>46175</v>
      </c>
      <c r="B1984" s="88" t="s">
        <v>71</v>
      </c>
      <c r="C1984" s="88">
        <v>53.205199999999998</v>
      </c>
    </row>
    <row r="1985" spans="1:3" x14ac:dyDescent="0.25">
      <c r="A1985" s="84">
        <v>46175</v>
      </c>
      <c r="B1985" s="88" t="s">
        <v>72</v>
      </c>
      <c r="C1985" s="88">
        <v>53.0794</v>
      </c>
    </row>
    <row r="1986" spans="1:3" x14ac:dyDescent="0.25">
      <c r="A1986" s="84">
        <v>46175</v>
      </c>
      <c r="B1986" s="88" t="s">
        <v>73</v>
      </c>
      <c r="C1986" s="88">
        <v>53.383299999999998</v>
      </c>
    </row>
    <row r="1987" spans="1:3" x14ac:dyDescent="0.25">
      <c r="A1987" s="84">
        <v>46175</v>
      </c>
      <c r="B1987" s="88" t="s">
        <v>74</v>
      </c>
      <c r="C1987" s="88">
        <v>53.378399999999999</v>
      </c>
    </row>
    <row r="1988" spans="1:3" x14ac:dyDescent="0.25">
      <c r="A1988" s="84">
        <v>46175</v>
      </c>
      <c r="B1988" s="88" t="s">
        <v>75</v>
      </c>
      <c r="C1988" s="88">
        <v>54.072200000000002</v>
      </c>
    </row>
    <row r="1989" spans="1:3" x14ac:dyDescent="0.25">
      <c r="A1989" s="84">
        <v>46175</v>
      </c>
      <c r="B1989" s="88" t="s">
        <v>76</v>
      </c>
      <c r="C1989" s="88">
        <v>54.0794</v>
      </c>
    </row>
    <row r="1990" spans="1:3" x14ac:dyDescent="0.25">
      <c r="A1990" s="84">
        <v>46175</v>
      </c>
      <c r="B1990" s="88" t="s">
        <v>77</v>
      </c>
      <c r="C1990" s="88">
        <v>54.016199999999998</v>
      </c>
    </row>
    <row r="1991" spans="1:3" x14ac:dyDescent="0.25">
      <c r="A1991" s="84">
        <v>46175</v>
      </c>
      <c r="B1991" s="88" t="s">
        <v>78</v>
      </c>
      <c r="C1991" s="88">
        <v>52.923200000000001</v>
      </c>
    </row>
    <row r="1992" spans="1:3" x14ac:dyDescent="0.25">
      <c r="A1992" s="84">
        <v>46175</v>
      </c>
      <c r="B1992" s="88" t="s">
        <v>79</v>
      </c>
      <c r="C1992" s="88">
        <v>53.893700000000003</v>
      </c>
    </row>
    <row r="1993" spans="1:3" x14ac:dyDescent="0.25">
      <c r="A1993" s="84">
        <v>46175</v>
      </c>
      <c r="B1993" s="88" t="s">
        <v>80</v>
      </c>
      <c r="C1993" s="88">
        <v>54.089800000000004</v>
      </c>
    </row>
    <row r="1994" spans="1:3" x14ac:dyDescent="0.25">
      <c r="A1994" s="84">
        <v>46175</v>
      </c>
      <c r="B1994" s="88" t="s">
        <v>81</v>
      </c>
      <c r="C1994" s="88">
        <v>53.314999999999998</v>
      </c>
    </row>
    <row r="1995" spans="1:3" x14ac:dyDescent="0.25">
      <c r="A1995" s="84">
        <v>46175</v>
      </c>
      <c r="B1995" s="88" t="s">
        <v>82</v>
      </c>
      <c r="C1995" s="88">
        <v>53.323</v>
      </c>
    </row>
    <row r="1996" spans="1:3" x14ac:dyDescent="0.25">
      <c r="A1996" s="84">
        <v>46175</v>
      </c>
      <c r="B1996" s="88" t="s">
        <v>148</v>
      </c>
      <c r="C1996" s="88">
        <v>48.1584</v>
      </c>
    </row>
    <row r="1997" spans="1:3" x14ac:dyDescent="0.25">
      <c r="A1997" s="84">
        <v>46175</v>
      </c>
      <c r="B1997" s="88" t="s">
        <v>149</v>
      </c>
      <c r="C1997" s="88">
        <v>48.138799999999996</v>
      </c>
    </row>
    <row r="1998" spans="1:3" x14ac:dyDescent="0.25">
      <c r="A1998" s="84">
        <v>46175</v>
      </c>
      <c r="B1998" s="88" t="s">
        <v>150</v>
      </c>
      <c r="C1998" s="88">
        <v>49.050999999999995</v>
      </c>
    </row>
    <row r="1999" spans="1:3" x14ac:dyDescent="0.25">
      <c r="A1999" s="84">
        <v>46175</v>
      </c>
      <c r="B1999" s="88" t="s">
        <v>151</v>
      </c>
      <c r="C1999" s="88">
        <v>48.9983</v>
      </c>
    </row>
    <row r="2000" spans="1:3" x14ac:dyDescent="0.25">
      <c r="A2000" s="84">
        <v>46175</v>
      </c>
      <c r="B2000" s="88" t="s">
        <v>152</v>
      </c>
      <c r="C2000" s="88">
        <v>48.833199999999998</v>
      </c>
    </row>
    <row r="2001" spans="1:3" x14ac:dyDescent="0.25">
      <c r="A2001" s="84">
        <v>46175</v>
      </c>
      <c r="B2001" s="88" t="s">
        <v>153</v>
      </c>
      <c r="C2001" s="88">
        <v>48.627499999999998</v>
      </c>
    </row>
    <row r="2002" spans="1:3" x14ac:dyDescent="0.25">
      <c r="A2002" s="84">
        <v>46175</v>
      </c>
      <c r="B2002" s="88" t="s">
        <v>154</v>
      </c>
      <c r="C2002" s="88">
        <v>49.720199999999998</v>
      </c>
    </row>
    <row r="2003" spans="1:3" x14ac:dyDescent="0.25">
      <c r="A2003" s="84">
        <v>46175</v>
      </c>
      <c r="B2003" s="88" t="s">
        <v>155</v>
      </c>
      <c r="C2003" s="88">
        <v>49.035299999999999</v>
      </c>
    </row>
    <row r="2004" spans="1:3" x14ac:dyDescent="0.25">
      <c r="A2004" s="84">
        <v>46175</v>
      </c>
      <c r="B2004" s="88" t="s">
        <v>156</v>
      </c>
      <c r="C2004" s="88">
        <v>49.153799999999997</v>
      </c>
    </row>
    <row r="2005" spans="1:3" x14ac:dyDescent="0.25">
      <c r="A2005" s="84">
        <v>46175</v>
      </c>
      <c r="B2005" s="88" t="s">
        <v>157</v>
      </c>
      <c r="C2005" s="88">
        <v>49.360799999999998</v>
      </c>
    </row>
    <row r="2006" spans="1:3" x14ac:dyDescent="0.25">
      <c r="A2006" s="84">
        <v>46176</v>
      </c>
      <c r="B2006" s="88" t="s">
        <v>114</v>
      </c>
      <c r="C2006" s="88">
        <v>46.686499999999995</v>
      </c>
    </row>
    <row r="2007" spans="1:3" x14ac:dyDescent="0.25">
      <c r="A2007" s="84">
        <v>46176</v>
      </c>
      <c r="B2007" s="88" t="s">
        <v>115</v>
      </c>
      <c r="C2007" s="88">
        <v>46.571300000000001</v>
      </c>
    </row>
    <row r="2008" spans="1:3" x14ac:dyDescent="0.25">
      <c r="A2008" s="84">
        <v>46176</v>
      </c>
      <c r="B2008" s="88" t="s">
        <v>116</v>
      </c>
      <c r="C2008" s="88">
        <v>46.787599999999998</v>
      </c>
    </row>
    <row r="2009" spans="1:3" x14ac:dyDescent="0.25">
      <c r="A2009" s="84">
        <v>46176</v>
      </c>
      <c r="B2009" s="88" t="s">
        <v>117</v>
      </c>
      <c r="C2009" s="88">
        <v>46.944199999999995</v>
      </c>
    </row>
    <row r="2010" spans="1:3" x14ac:dyDescent="0.25">
      <c r="A2010" s="84">
        <v>46176</v>
      </c>
      <c r="B2010" s="88" t="s">
        <v>118</v>
      </c>
      <c r="C2010" s="88">
        <v>46.271999999999998</v>
      </c>
    </row>
    <row r="2011" spans="1:3" x14ac:dyDescent="0.25">
      <c r="A2011" s="84">
        <v>46176</v>
      </c>
      <c r="B2011" s="88" t="s">
        <v>119</v>
      </c>
      <c r="C2011" s="88">
        <v>46.300699999999999</v>
      </c>
    </row>
    <row r="2012" spans="1:3" x14ac:dyDescent="0.25">
      <c r="A2012" s="84">
        <v>46176</v>
      </c>
      <c r="B2012" s="88" t="s">
        <v>120</v>
      </c>
      <c r="C2012" s="88">
        <v>45.548000000000002</v>
      </c>
    </row>
    <row r="2013" spans="1:3" x14ac:dyDescent="0.25">
      <c r="A2013" s="84">
        <v>46176</v>
      </c>
      <c r="B2013" s="88" t="s">
        <v>121</v>
      </c>
      <c r="C2013" s="88">
        <v>45.554699999999997</v>
      </c>
    </row>
    <row r="2014" spans="1:3" x14ac:dyDescent="0.25">
      <c r="A2014" s="84">
        <v>46176</v>
      </c>
      <c r="B2014" s="88" t="s">
        <v>122</v>
      </c>
      <c r="C2014" s="88">
        <v>45.5336</v>
      </c>
    </row>
    <row r="2015" spans="1:3" x14ac:dyDescent="0.25">
      <c r="A2015" s="84">
        <v>46176</v>
      </c>
      <c r="B2015" s="88" t="s">
        <v>123</v>
      </c>
      <c r="C2015" s="88">
        <v>45.454799999999999</v>
      </c>
    </row>
    <row r="2016" spans="1:3" x14ac:dyDescent="0.25">
      <c r="A2016" s="84">
        <v>46176</v>
      </c>
      <c r="B2016" s="88" t="s">
        <v>124</v>
      </c>
      <c r="C2016" s="88">
        <v>45.468899999999998</v>
      </c>
    </row>
    <row r="2017" spans="1:3" x14ac:dyDescent="0.25">
      <c r="A2017" s="84">
        <v>46176</v>
      </c>
      <c r="B2017" s="88" t="s">
        <v>125</v>
      </c>
      <c r="C2017" s="88">
        <v>46.544499999999999</v>
      </c>
    </row>
    <row r="2018" spans="1:3" x14ac:dyDescent="0.25">
      <c r="A2018" s="84">
        <v>46176</v>
      </c>
      <c r="B2018" s="88" t="s">
        <v>126</v>
      </c>
      <c r="C2018" s="88">
        <v>46.564099999999996</v>
      </c>
    </row>
    <row r="2019" spans="1:3" x14ac:dyDescent="0.25">
      <c r="A2019" s="84">
        <v>46176</v>
      </c>
      <c r="B2019" s="88" t="s">
        <v>127</v>
      </c>
      <c r="C2019" s="88">
        <v>48.002800000000001</v>
      </c>
    </row>
    <row r="2020" spans="1:3" x14ac:dyDescent="0.25">
      <c r="A2020" s="84">
        <v>46176</v>
      </c>
      <c r="B2020" s="88" t="s">
        <v>128</v>
      </c>
      <c r="C2020" s="88">
        <v>48.120399999999997</v>
      </c>
    </row>
    <row r="2021" spans="1:3" x14ac:dyDescent="0.25">
      <c r="A2021" s="84">
        <v>46176</v>
      </c>
      <c r="B2021" s="88" t="s">
        <v>129</v>
      </c>
      <c r="C2021" s="88">
        <v>48.444899999999997</v>
      </c>
    </row>
    <row r="2022" spans="1:3" x14ac:dyDescent="0.25">
      <c r="A2022" s="84">
        <v>46176</v>
      </c>
      <c r="B2022" s="88" t="s">
        <v>134</v>
      </c>
      <c r="C2022" s="88">
        <v>48.136499999999998</v>
      </c>
    </row>
    <row r="2023" spans="1:3" x14ac:dyDescent="0.25">
      <c r="A2023" s="84">
        <v>46176</v>
      </c>
      <c r="B2023" s="88" t="s">
        <v>135</v>
      </c>
      <c r="C2023" s="88">
        <v>48.204000000000001</v>
      </c>
    </row>
    <row r="2024" spans="1:3" x14ac:dyDescent="0.25">
      <c r="A2024" s="84">
        <v>46176</v>
      </c>
      <c r="B2024" s="88" t="s">
        <v>136</v>
      </c>
      <c r="C2024" s="88">
        <v>47.879599999999996</v>
      </c>
    </row>
    <row r="2025" spans="1:3" x14ac:dyDescent="0.25">
      <c r="A2025" s="84">
        <v>46176</v>
      </c>
      <c r="B2025" s="88" t="s">
        <v>137</v>
      </c>
      <c r="C2025" s="88">
        <v>47.763199999999998</v>
      </c>
    </row>
    <row r="2026" spans="1:3" x14ac:dyDescent="0.25">
      <c r="A2026" s="84">
        <v>46176</v>
      </c>
      <c r="B2026" s="88" t="s">
        <v>138</v>
      </c>
      <c r="C2026" s="88">
        <v>47.884299999999996</v>
      </c>
    </row>
    <row r="2027" spans="1:3" x14ac:dyDescent="0.25">
      <c r="A2027" s="84">
        <v>46176</v>
      </c>
      <c r="B2027" s="88" t="s">
        <v>139</v>
      </c>
      <c r="C2027" s="88">
        <v>47.051899999999996</v>
      </c>
    </row>
    <row r="2028" spans="1:3" x14ac:dyDescent="0.25">
      <c r="A2028" s="84">
        <v>46176</v>
      </c>
      <c r="B2028" s="88" t="s">
        <v>140</v>
      </c>
      <c r="C2028" s="88">
        <v>44.042999999999999</v>
      </c>
    </row>
    <row r="2029" spans="1:3" x14ac:dyDescent="0.25">
      <c r="A2029" s="84">
        <v>46176</v>
      </c>
      <c r="B2029" s="88" t="s">
        <v>141</v>
      </c>
      <c r="C2029" s="88">
        <v>43.952300000000001</v>
      </c>
    </row>
    <row r="2030" spans="1:3" x14ac:dyDescent="0.25">
      <c r="A2030" s="84">
        <v>46176</v>
      </c>
      <c r="B2030" s="88" t="s">
        <v>108</v>
      </c>
      <c r="C2030" s="88">
        <v>46.349800000000002</v>
      </c>
    </row>
    <row r="2031" spans="1:3" x14ac:dyDescent="0.25">
      <c r="A2031" s="84">
        <v>46176</v>
      </c>
      <c r="B2031" s="88" t="s">
        <v>148</v>
      </c>
      <c r="C2031" s="88">
        <v>48.158799999999999</v>
      </c>
    </row>
    <row r="2032" spans="1:3" x14ac:dyDescent="0.25">
      <c r="A2032" s="84">
        <v>46176</v>
      </c>
      <c r="B2032" s="88" t="s">
        <v>149</v>
      </c>
      <c r="C2032" s="88">
        <v>48.1389</v>
      </c>
    </row>
    <row r="2033" spans="1:4" x14ac:dyDescent="0.25">
      <c r="A2033" s="84">
        <v>46176</v>
      </c>
      <c r="B2033" s="88" t="s">
        <v>150</v>
      </c>
      <c r="C2033" s="88">
        <v>49.051299999999998</v>
      </c>
    </row>
    <row r="2034" spans="1:4" x14ac:dyDescent="0.25">
      <c r="A2034" s="84">
        <v>46176</v>
      </c>
      <c r="B2034" s="88" t="s">
        <v>151</v>
      </c>
      <c r="C2034" s="88">
        <v>48.9985</v>
      </c>
    </row>
    <row r="2035" spans="1:4" x14ac:dyDescent="0.25">
      <c r="A2035" s="84">
        <v>46176</v>
      </c>
      <c r="B2035" s="88" t="s">
        <v>152</v>
      </c>
      <c r="C2035" s="88">
        <v>48.833399999999997</v>
      </c>
    </row>
    <row r="2036" spans="1:4" x14ac:dyDescent="0.25">
      <c r="A2036" s="84">
        <v>46176</v>
      </c>
      <c r="B2036" s="88" t="s">
        <v>153</v>
      </c>
      <c r="C2036" s="88">
        <v>48.627699999999997</v>
      </c>
    </row>
    <row r="2037" spans="1:4" x14ac:dyDescent="0.25">
      <c r="A2037" s="84">
        <v>46176</v>
      </c>
      <c r="B2037" s="88" t="s">
        <v>154</v>
      </c>
      <c r="C2037" s="88">
        <v>49.719499999999996</v>
      </c>
    </row>
    <row r="2038" spans="1:4" x14ac:dyDescent="0.25">
      <c r="A2038" s="84">
        <v>46176</v>
      </c>
      <c r="B2038" s="88" t="s">
        <v>155</v>
      </c>
      <c r="C2038" s="88">
        <v>49.034599999999998</v>
      </c>
    </row>
    <row r="2039" spans="1:4" x14ac:dyDescent="0.25">
      <c r="A2039" s="84">
        <v>46176</v>
      </c>
      <c r="B2039" s="88" t="s">
        <v>156</v>
      </c>
      <c r="C2039" s="88">
        <v>49.153399999999998</v>
      </c>
    </row>
    <row r="2040" spans="1:4" x14ac:dyDescent="0.25">
      <c r="A2040" s="84">
        <v>46176</v>
      </c>
      <c r="B2040" s="88" t="s">
        <v>157</v>
      </c>
      <c r="C2040" s="88">
        <v>49.360300000000002</v>
      </c>
    </row>
    <row r="2041" spans="1:4" x14ac:dyDescent="0.25">
      <c r="A2041" s="84">
        <v>46178</v>
      </c>
      <c r="B2041" s="88" t="s">
        <v>148</v>
      </c>
      <c r="C2041" s="88">
        <v>48.157899999999998</v>
      </c>
      <c r="D2041" s="91"/>
    </row>
    <row r="2042" spans="1:4" x14ac:dyDescent="0.25">
      <c r="A2042" s="84">
        <v>46178</v>
      </c>
      <c r="B2042" s="88" t="s">
        <v>149</v>
      </c>
      <c r="C2042" s="88">
        <v>48.138100000000001</v>
      </c>
      <c r="D2042" s="91"/>
    </row>
    <row r="2043" spans="1:4" x14ac:dyDescent="0.25">
      <c r="A2043" s="84">
        <v>46178</v>
      </c>
      <c r="B2043" s="88" t="s">
        <v>150</v>
      </c>
      <c r="C2043" s="88">
        <v>49.049799999999998</v>
      </c>
      <c r="D2043" s="91"/>
    </row>
    <row r="2044" spans="1:4" x14ac:dyDescent="0.25">
      <c r="A2044" s="84">
        <v>46178</v>
      </c>
      <c r="B2044" s="88" t="s">
        <v>151</v>
      </c>
      <c r="C2044" s="88">
        <v>48.997199999999999</v>
      </c>
      <c r="D2044" s="91"/>
    </row>
    <row r="2045" spans="1:4" x14ac:dyDescent="0.25">
      <c r="A2045" s="84">
        <v>46178</v>
      </c>
      <c r="B2045" s="88" t="s">
        <v>152</v>
      </c>
      <c r="C2045" s="88">
        <v>48.832599999999999</v>
      </c>
      <c r="D2045" s="91"/>
    </row>
    <row r="2046" spans="1:4" x14ac:dyDescent="0.25">
      <c r="A2046" s="84">
        <v>46178</v>
      </c>
      <c r="B2046" s="88" t="s">
        <v>153</v>
      </c>
      <c r="C2046" s="88">
        <v>48.626799999999996</v>
      </c>
      <c r="D2046" s="91"/>
    </row>
    <row r="2047" spans="1:4" x14ac:dyDescent="0.25">
      <c r="A2047" s="84">
        <v>46178</v>
      </c>
      <c r="B2047" s="88" t="s">
        <v>154</v>
      </c>
      <c r="C2047" s="88">
        <v>49.720199999999998</v>
      </c>
      <c r="D2047" s="91"/>
    </row>
    <row r="2048" spans="1:4" x14ac:dyDescent="0.25">
      <c r="A2048" s="84">
        <v>46178</v>
      </c>
      <c r="B2048" s="88" t="s">
        <v>155</v>
      </c>
      <c r="C2048" s="88">
        <v>49.035200000000003</v>
      </c>
      <c r="D2048" s="91"/>
    </row>
    <row r="2049" spans="1:4" x14ac:dyDescent="0.25">
      <c r="A2049" s="84">
        <v>46178</v>
      </c>
      <c r="B2049" s="88" t="s">
        <v>156</v>
      </c>
      <c r="C2049" s="88">
        <v>49.153399999999998</v>
      </c>
      <c r="D2049" s="91"/>
    </row>
    <row r="2050" spans="1:4" x14ac:dyDescent="0.25">
      <c r="A2050" s="84">
        <v>46178</v>
      </c>
      <c r="B2050" s="88" t="s">
        <v>157</v>
      </c>
      <c r="C2050" s="88">
        <v>49.36</v>
      </c>
      <c r="D2050" s="91"/>
    </row>
    <row r="2051" spans="1:4" x14ac:dyDescent="0.25">
      <c r="A2051" s="84">
        <v>46181</v>
      </c>
      <c r="B2051" s="88" t="s">
        <v>148</v>
      </c>
      <c r="C2051" s="88">
        <v>48.1584</v>
      </c>
    </row>
    <row r="2052" spans="1:4" x14ac:dyDescent="0.25">
      <c r="A2052" s="84">
        <v>46181</v>
      </c>
      <c r="B2052" s="88" t="s">
        <v>149</v>
      </c>
      <c r="C2052" s="88">
        <v>48.138300000000001</v>
      </c>
    </row>
    <row r="2053" spans="1:4" x14ac:dyDescent="0.25">
      <c r="A2053" s="84">
        <v>46181</v>
      </c>
      <c r="B2053" s="88" t="s">
        <v>150</v>
      </c>
      <c r="C2053" s="88">
        <v>49.050400000000003</v>
      </c>
    </row>
    <row r="2054" spans="1:4" x14ac:dyDescent="0.25">
      <c r="A2054" s="84">
        <v>46181</v>
      </c>
      <c r="B2054" s="88" t="s">
        <v>151</v>
      </c>
      <c r="C2054" s="88">
        <v>48.997999999999998</v>
      </c>
    </row>
    <row r="2055" spans="1:4" x14ac:dyDescent="0.25">
      <c r="A2055" s="84">
        <v>46181</v>
      </c>
      <c r="B2055" s="88" t="s">
        <v>152</v>
      </c>
      <c r="C2055" s="88">
        <v>48.833199999999998</v>
      </c>
    </row>
    <row r="2056" spans="1:4" x14ac:dyDescent="0.25">
      <c r="A2056" s="84">
        <v>46181</v>
      </c>
      <c r="B2056" s="88" t="s">
        <v>153</v>
      </c>
      <c r="C2056" s="88">
        <v>48.627200000000002</v>
      </c>
    </row>
    <row r="2057" spans="1:4" x14ac:dyDescent="0.25">
      <c r="A2057" s="84">
        <v>46181</v>
      </c>
      <c r="B2057" s="88" t="s">
        <v>154</v>
      </c>
      <c r="C2057" s="88">
        <v>49.719900000000003</v>
      </c>
    </row>
    <row r="2058" spans="1:4" x14ac:dyDescent="0.25">
      <c r="A2058" s="84">
        <v>46181</v>
      </c>
      <c r="B2058" s="88" t="s">
        <v>155</v>
      </c>
      <c r="C2058" s="88">
        <v>49.0349</v>
      </c>
    </row>
    <row r="2059" spans="1:4" x14ac:dyDescent="0.25">
      <c r="A2059" s="84">
        <v>46181</v>
      </c>
      <c r="B2059" s="88" t="s">
        <v>156</v>
      </c>
      <c r="C2059" s="88">
        <v>49.153599999999997</v>
      </c>
    </row>
    <row r="2060" spans="1:4" x14ac:dyDescent="0.25">
      <c r="A2060" s="84">
        <v>46181</v>
      </c>
      <c r="B2060" s="88" t="s">
        <v>157</v>
      </c>
      <c r="C2060" s="88">
        <v>49.360300000000002</v>
      </c>
    </row>
    <row r="2061" spans="1:4" x14ac:dyDescent="0.25">
      <c r="A2061" s="84">
        <v>46182</v>
      </c>
      <c r="B2061" s="88" t="s">
        <v>148</v>
      </c>
      <c r="C2061" s="88">
        <v>48.158499999999997</v>
      </c>
    </row>
    <row r="2062" spans="1:4" x14ac:dyDescent="0.25">
      <c r="A2062" s="84">
        <v>46182</v>
      </c>
      <c r="B2062" s="88" t="s">
        <v>149</v>
      </c>
      <c r="C2062" s="88">
        <v>48.138799999999996</v>
      </c>
    </row>
    <row r="2063" spans="1:4" x14ac:dyDescent="0.25">
      <c r="A2063" s="84">
        <v>46182</v>
      </c>
      <c r="B2063" s="88" t="s">
        <v>150</v>
      </c>
      <c r="C2063" s="88">
        <v>49.050799999999995</v>
      </c>
    </row>
    <row r="2064" spans="1:4" x14ac:dyDescent="0.25">
      <c r="A2064" s="84">
        <v>46182</v>
      </c>
      <c r="B2064" s="88" t="s">
        <v>151</v>
      </c>
      <c r="C2064" s="88">
        <v>48.998099999999994</v>
      </c>
    </row>
    <row r="2065" spans="1:3" x14ac:dyDescent="0.25">
      <c r="A2065" s="84">
        <v>46182</v>
      </c>
      <c r="B2065" s="88" t="s">
        <v>152</v>
      </c>
      <c r="C2065" s="88">
        <v>48.833199999999998</v>
      </c>
    </row>
    <row r="2066" spans="1:3" x14ac:dyDescent="0.25">
      <c r="A2066" s="84">
        <v>46182</v>
      </c>
      <c r="B2066" s="88" t="s">
        <v>153</v>
      </c>
      <c r="C2066" s="88">
        <v>48.627499999999998</v>
      </c>
    </row>
    <row r="2067" spans="1:3" x14ac:dyDescent="0.25">
      <c r="A2067" s="84">
        <v>46182</v>
      </c>
      <c r="B2067" s="88" t="s">
        <v>154</v>
      </c>
      <c r="C2067" s="88">
        <v>49.72</v>
      </c>
    </row>
    <row r="2068" spans="1:3" x14ac:dyDescent="0.25">
      <c r="A2068" s="84">
        <v>46182</v>
      </c>
      <c r="B2068" s="88" t="s">
        <v>155</v>
      </c>
      <c r="C2068" s="88">
        <v>49.0349</v>
      </c>
    </row>
    <row r="2069" spans="1:3" x14ac:dyDescent="0.25">
      <c r="A2069" s="84">
        <v>46182</v>
      </c>
      <c r="B2069" s="88" t="s">
        <v>156</v>
      </c>
      <c r="C2069" s="88">
        <v>49.153799999999997</v>
      </c>
    </row>
    <row r="2070" spans="1:3" x14ac:dyDescent="0.25">
      <c r="A2070" s="84">
        <v>46182</v>
      </c>
      <c r="B2070" s="88" t="s">
        <v>157</v>
      </c>
      <c r="C2070" s="88">
        <v>49.360399999999998</v>
      </c>
    </row>
    <row r="2071" spans="1:3" x14ac:dyDescent="0.25">
      <c r="A2071" s="84">
        <v>46183</v>
      </c>
      <c r="B2071" s="88" t="s">
        <v>88</v>
      </c>
      <c r="C2071" s="88">
        <v>53.021099999999997</v>
      </c>
    </row>
    <row r="2072" spans="1:3" x14ac:dyDescent="0.25">
      <c r="A2072" s="84">
        <v>46183</v>
      </c>
      <c r="B2072" s="88" t="s">
        <v>89</v>
      </c>
      <c r="C2072" s="88">
        <v>53.078699999999998</v>
      </c>
    </row>
    <row r="2073" spans="1:3" x14ac:dyDescent="0.25">
      <c r="A2073" s="84">
        <v>46183</v>
      </c>
      <c r="B2073" s="88" t="s">
        <v>90</v>
      </c>
      <c r="C2073" s="88">
        <v>53.043399999999998</v>
      </c>
    </row>
    <row r="2074" spans="1:3" x14ac:dyDescent="0.25">
      <c r="A2074" s="84">
        <v>46183</v>
      </c>
      <c r="B2074" s="88" t="s">
        <v>91</v>
      </c>
      <c r="C2074" s="88">
        <v>52.631</v>
      </c>
    </row>
    <row r="2075" spans="1:3" x14ac:dyDescent="0.25">
      <c r="A2075" s="84">
        <v>46183</v>
      </c>
      <c r="B2075" s="88" t="s">
        <v>104</v>
      </c>
      <c r="C2075" s="88">
        <v>52.604799999999997</v>
      </c>
    </row>
    <row r="2076" spans="1:3" x14ac:dyDescent="0.25">
      <c r="A2076" s="84">
        <v>46183</v>
      </c>
      <c r="B2076" s="88" t="s">
        <v>105</v>
      </c>
      <c r="C2076" s="88">
        <v>52.722099999999998</v>
      </c>
    </row>
    <row r="2077" spans="1:3" x14ac:dyDescent="0.25">
      <c r="A2077" s="84">
        <v>46183</v>
      </c>
      <c r="B2077" s="88" t="s">
        <v>92</v>
      </c>
      <c r="C2077" s="88">
        <v>52.918299999999995</v>
      </c>
    </row>
    <row r="2078" spans="1:3" x14ac:dyDescent="0.25">
      <c r="A2078" s="84">
        <v>46183</v>
      </c>
      <c r="B2078" s="88" t="s">
        <v>93</v>
      </c>
      <c r="C2078" s="88">
        <v>52.926600000000001</v>
      </c>
    </row>
    <row r="2079" spans="1:3" x14ac:dyDescent="0.25">
      <c r="A2079" s="84">
        <v>46183</v>
      </c>
      <c r="B2079" s="88" t="s">
        <v>106</v>
      </c>
      <c r="C2079" s="88">
        <v>52.914400000000001</v>
      </c>
    </row>
    <row r="2080" spans="1:3" x14ac:dyDescent="0.25">
      <c r="A2080" s="84">
        <v>46183</v>
      </c>
      <c r="B2080" s="88" t="s">
        <v>69</v>
      </c>
      <c r="C2080" s="88">
        <v>52.985099999999996</v>
      </c>
    </row>
    <row r="2081" spans="1:3" x14ac:dyDescent="0.25">
      <c r="A2081" s="84">
        <v>46183</v>
      </c>
      <c r="B2081" s="88" t="s">
        <v>70</v>
      </c>
      <c r="C2081" s="88">
        <v>53.079099999999997</v>
      </c>
    </row>
    <row r="2082" spans="1:3" x14ac:dyDescent="0.25">
      <c r="A2082" s="84">
        <v>46183</v>
      </c>
      <c r="B2082" s="88" t="s">
        <v>71</v>
      </c>
      <c r="C2082" s="88">
        <v>53.204699999999995</v>
      </c>
    </row>
    <row r="2083" spans="1:3" x14ac:dyDescent="0.25">
      <c r="A2083" s="84">
        <v>46183</v>
      </c>
      <c r="B2083" s="88" t="s">
        <v>72</v>
      </c>
      <c r="C2083" s="88">
        <v>53.078800000000001</v>
      </c>
    </row>
    <row r="2084" spans="1:3" x14ac:dyDescent="0.25">
      <c r="A2084" s="84">
        <v>46183</v>
      </c>
      <c r="B2084" s="88" t="s">
        <v>73</v>
      </c>
      <c r="C2084" s="88">
        <v>53.3827</v>
      </c>
    </row>
    <row r="2085" spans="1:3" x14ac:dyDescent="0.25">
      <c r="A2085" s="84">
        <v>46183</v>
      </c>
      <c r="B2085" s="88" t="s">
        <v>74</v>
      </c>
      <c r="C2085" s="88">
        <v>53.377800000000001</v>
      </c>
    </row>
    <row r="2086" spans="1:3" x14ac:dyDescent="0.25">
      <c r="A2086" s="84">
        <v>46183</v>
      </c>
      <c r="B2086" s="88" t="s">
        <v>75</v>
      </c>
      <c r="C2086" s="88">
        <v>54.072099999999999</v>
      </c>
    </row>
    <row r="2087" spans="1:3" x14ac:dyDescent="0.25">
      <c r="A2087" s="84">
        <v>46183</v>
      </c>
      <c r="B2087" s="88" t="s">
        <v>76</v>
      </c>
      <c r="C2087" s="88">
        <v>54.0792</v>
      </c>
    </row>
    <row r="2088" spans="1:3" x14ac:dyDescent="0.25">
      <c r="A2088" s="84">
        <v>46183</v>
      </c>
      <c r="B2088" s="88" t="s">
        <v>77</v>
      </c>
      <c r="C2088" s="88">
        <v>54.015999999999998</v>
      </c>
    </row>
    <row r="2089" spans="1:3" x14ac:dyDescent="0.25">
      <c r="A2089" s="84">
        <v>46183</v>
      </c>
      <c r="B2089" s="88" t="s">
        <v>78</v>
      </c>
      <c r="C2089" s="88">
        <v>52.922699999999999</v>
      </c>
    </row>
    <row r="2090" spans="1:3" x14ac:dyDescent="0.25">
      <c r="A2090" s="84">
        <v>46183</v>
      </c>
      <c r="B2090" s="88" t="s">
        <v>79</v>
      </c>
      <c r="C2090" s="88">
        <v>53.8932</v>
      </c>
    </row>
    <row r="2091" spans="1:3" x14ac:dyDescent="0.25">
      <c r="A2091" s="84">
        <v>46183</v>
      </c>
      <c r="B2091" s="88" t="s">
        <v>80</v>
      </c>
      <c r="C2091" s="88">
        <v>54.089500000000001</v>
      </c>
    </row>
    <row r="2092" spans="1:3" x14ac:dyDescent="0.25">
      <c r="A2092" s="84">
        <v>46183</v>
      </c>
      <c r="B2092" s="88" t="s">
        <v>81</v>
      </c>
      <c r="C2092" s="88">
        <v>53.314599999999999</v>
      </c>
    </row>
    <row r="2093" spans="1:3" x14ac:dyDescent="0.25">
      <c r="A2093" s="84">
        <v>46183</v>
      </c>
      <c r="B2093" s="88" t="s">
        <v>82</v>
      </c>
      <c r="C2093" s="88">
        <v>53.322499999999998</v>
      </c>
    </row>
    <row r="2094" spans="1:3" x14ac:dyDescent="0.25">
      <c r="A2094" s="84">
        <v>46184</v>
      </c>
      <c r="B2094" s="88" t="s">
        <v>148</v>
      </c>
      <c r="C2094" s="88">
        <v>48.158200000000001</v>
      </c>
    </row>
    <row r="2095" spans="1:3" x14ac:dyDescent="0.25">
      <c r="A2095" s="84">
        <v>46184</v>
      </c>
      <c r="B2095" s="88" t="s">
        <v>149</v>
      </c>
      <c r="C2095" s="88">
        <v>48.1387</v>
      </c>
    </row>
    <row r="2096" spans="1:3" x14ac:dyDescent="0.25">
      <c r="A2096" s="84">
        <v>46184</v>
      </c>
      <c r="B2096" s="88" t="s">
        <v>150</v>
      </c>
      <c r="C2096" s="88">
        <v>49.050199999999997</v>
      </c>
    </row>
    <row r="2097" spans="1:4" x14ac:dyDescent="0.25">
      <c r="A2097" s="84">
        <v>46184</v>
      </c>
      <c r="B2097" s="88" t="s">
        <v>151</v>
      </c>
      <c r="C2097" s="88">
        <v>48.997599999999998</v>
      </c>
    </row>
    <row r="2098" spans="1:4" x14ac:dyDescent="0.25">
      <c r="A2098" s="84">
        <v>46184</v>
      </c>
      <c r="B2098" s="88" t="s">
        <v>152</v>
      </c>
      <c r="C2098" s="88">
        <v>48.832500000000003</v>
      </c>
    </row>
    <row r="2099" spans="1:4" x14ac:dyDescent="0.25">
      <c r="A2099" s="84">
        <v>46184</v>
      </c>
      <c r="B2099" s="88" t="s">
        <v>153</v>
      </c>
      <c r="C2099" s="88">
        <v>48.626899999999999</v>
      </c>
    </row>
    <row r="2100" spans="1:4" x14ac:dyDescent="0.25">
      <c r="A2100" s="84">
        <v>46184</v>
      </c>
      <c r="B2100" s="88" t="s">
        <v>154</v>
      </c>
      <c r="C2100" s="88">
        <v>49.719299999999997</v>
      </c>
    </row>
    <row r="2101" spans="1:4" x14ac:dyDescent="0.25">
      <c r="A2101" s="84">
        <v>46184</v>
      </c>
      <c r="B2101" s="88" t="s">
        <v>155</v>
      </c>
      <c r="C2101" s="88">
        <v>49.034100000000002</v>
      </c>
    </row>
    <row r="2102" spans="1:4" x14ac:dyDescent="0.25">
      <c r="A2102" s="84">
        <v>46184</v>
      </c>
      <c r="B2102" s="88" t="s">
        <v>156</v>
      </c>
      <c r="C2102" s="88">
        <v>49.152999999999999</v>
      </c>
    </row>
    <row r="2103" spans="1:4" x14ac:dyDescent="0.25">
      <c r="A2103" s="84">
        <v>46184</v>
      </c>
      <c r="B2103" s="88" t="s">
        <v>157</v>
      </c>
      <c r="C2103" s="88">
        <v>49.3596</v>
      </c>
    </row>
    <row r="2104" spans="1:4" x14ac:dyDescent="0.25">
      <c r="A2104" s="84">
        <v>46185</v>
      </c>
      <c r="B2104" s="88" t="s">
        <v>84</v>
      </c>
      <c r="C2104" s="88">
        <v>53.489899999999999</v>
      </c>
      <c r="D2104" s="91"/>
    </row>
    <row r="2105" spans="1:4" x14ac:dyDescent="0.25">
      <c r="A2105" s="84">
        <v>46185</v>
      </c>
      <c r="B2105" s="88" t="s">
        <v>85</v>
      </c>
      <c r="C2105" s="88">
        <v>53.489800000000002</v>
      </c>
      <c r="D2105" s="91"/>
    </row>
    <row r="2106" spans="1:4" x14ac:dyDescent="0.25">
      <c r="A2106" s="84">
        <v>46185</v>
      </c>
      <c r="B2106" s="88" t="s">
        <v>86</v>
      </c>
      <c r="C2106" s="88">
        <v>53.549399999999999</v>
      </c>
      <c r="D2106" s="91"/>
    </row>
    <row r="2107" spans="1:4" x14ac:dyDescent="0.25">
      <c r="A2107" s="84">
        <v>46185</v>
      </c>
      <c r="B2107" s="88" t="s">
        <v>87</v>
      </c>
      <c r="C2107" s="88">
        <v>53.483400000000003</v>
      </c>
      <c r="D2107" s="91"/>
    </row>
    <row r="2108" spans="1:4" x14ac:dyDescent="0.25">
      <c r="A2108" s="84">
        <v>46185</v>
      </c>
      <c r="B2108" s="88" t="s">
        <v>114</v>
      </c>
      <c r="C2108" s="88">
        <v>46.686599999999999</v>
      </c>
    </row>
    <row r="2109" spans="1:4" x14ac:dyDescent="0.25">
      <c r="A2109" s="84">
        <v>46185</v>
      </c>
      <c r="B2109" s="88" t="s">
        <v>115</v>
      </c>
      <c r="C2109" s="88">
        <v>46.571399999999997</v>
      </c>
    </row>
    <row r="2110" spans="1:4" x14ac:dyDescent="0.25">
      <c r="A2110" s="84">
        <v>46185</v>
      </c>
      <c r="B2110" s="88" t="s">
        <v>116</v>
      </c>
      <c r="C2110" s="88">
        <v>46.787300000000002</v>
      </c>
    </row>
    <row r="2111" spans="1:4" x14ac:dyDescent="0.25">
      <c r="A2111" s="84">
        <v>46185</v>
      </c>
      <c r="B2111" s="88" t="s">
        <v>117</v>
      </c>
      <c r="C2111" s="88">
        <v>46.944199999999995</v>
      </c>
    </row>
    <row r="2112" spans="1:4" x14ac:dyDescent="0.25">
      <c r="A2112" s="84">
        <v>46185</v>
      </c>
      <c r="B2112" s="88" t="s">
        <v>118</v>
      </c>
      <c r="C2112" s="88">
        <v>46.271999999999998</v>
      </c>
    </row>
    <row r="2113" spans="1:3" x14ac:dyDescent="0.25">
      <c r="A2113" s="84">
        <v>46185</v>
      </c>
      <c r="B2113" s="88" t="s">
        <v>119</v>
      </c>
      <c r="C2113" s="88">
        <v>46.300799999999995</v>
      </c>
    </row>
    <row r="2114" spans="1:3" x14ac:dyDescent="0.25">
      <c r="A2114" s="84">
        <v>46185</v>
      </c>
      <c r="B2114" s="88" t="s">
        <v>120</v>
      </c>
      <c r="C2114" s="88">
        <v>45.548099999999998</v>
      </c>
    </row>
    <row r="2115" spans="1:3" x14ac:dyDescent="0.25">
      <c r="A2115" s="84">
        <v>46185</v>
      </c>
      <c r="B2115" s="88" t="s">
        <v>121</v>
      </c>
      <c r="C2115" s="88">
        <v>45.554600000000001</v>
      </c>
    </row>
    <row r="2116" spans="1:3" x14ac:dyDescent="0.25">
      <c r="A2116" s="84">
        <v>46185</v>
      </c>
      <c r="B2116" s="88" t="s">
        <v>122</v>
      </c>
      <c r="C2116" s="88">
        <v>45.5336</v>
      </c>
    </row>
    <row r="2117" spans="1:3" x14ac:dyDescent="0.25">
      <c r="A2117" s="84">
        <v>46185</v>
      </c>
      <c r="B2117" s="88" t="s">
        <v>123</v>
      </c>
      <c r="C2117" s="88">
        <v>45.454899999999995</v>
      </c>
    </row>
    <row r="2118" spans="1:3" x14ac:dyDescent="0.25">
      <c r="A2118" s="84">
        <v>46185</v>
      </c>
      <c r="B2118" s="88" t="s">
        <v>124</v>
      </c>
      <c r="C2118" s="88">
        <v>45.468899999999998</v>
      </c>
    </row>
    <row r="2119" spans="1:3" x14ac:dyDescent="0.25">
      <c r="A2119" s="84">
        <v>46185</v>
      </c>
      <c r="B2119" s="88" t="s">
        <v>125</v>
      </c>
      <c r="C2119" s="88">
        <v>46.5443</v>
      </c>
    </row>
    <row r="2120" spans="1:3" x14ac:dyDescent="0.25">
      <c r="A2120" s="84">
        <v>46185</v>
      </c>
      <c r="B2120" s="88" t="s">
        <v>126</v>
      </c>
      <c r="C2120" s="88">
        <v>46.563800000000001</v>
      </c>
    </row>
    <row r="2121" spans="1:3" x14ac:dyDescent="0.25">
      <c r="A2121" s="84">
        <v>46185</v>
      </c>
      <c r="B2121" s="88" t="s">
        <v>127</v>
      </c>
      <c r="C2121" s="88">
        <v>48.002499999999998</v>
      </c>
    </row>
    <row r="2122" spans="1:3" x14ac:dyDescent="0.25">
      <c r="A2122" s="84">
        <v>46185</v>
      </c>
      <c r="B2122" s="88" t="s">
        <v>128</v>
      </c>
      <c r="C2122" s="88">
        <v>48.119900000000001</v>
      </c>
    </row>
    <row r="2123" spans="1:3" x14ac:dyDescent="0.25">
      <c r="A2123" s="84">
        <v>46185</v>
      </c>
      <c r="B2123" s="88" t="s">
        <v>129</v>
      </c>
      <c r="C2123" s="88">
        <v>48.444699999999997</v>
      </c>
    </row>
    <row r="2124" spans="1:3" x14ac:dyDescent="0.25">
      <c r="A2124" s="84">
        <v>46185</v>
      </c>
      <c r="B2124" s="88" t="s">
        <v>134</v>
      </c>
      <c r="C2124" s="88">
        <v>48.136699999999998</v>
      </c>
    </row>
    <row r="2125" spans="1:3" x14ac:dyDescent="0.25">
      <c r="A2125" s="84">
        <v>46185</v>
      </c>
      <c r="B2125" s="88" t="s">
        <v>135</v>
      </c>
      <c r="C2125" s="88">
        <v>48.2042</v>
      </c>
    </row>
    <row r="2126" spans="1:3" x14ac:dyDescent="0.25">
      <c r="A2126" s="84">
        <v>46185</v>
      </c>
      <c r="B2126" s="88" t="s">
        <v>136</v>
      </c>
      <c r="C2126" s="88">
        <v>47.879599999999996</v>
      </c>
    </row>
    <row r="2127" spans="1:3" x14ac:dyDescent="0.25">
      <c r="A2127" s="84">
        <v>46185</v>
      </c>
      <c r="B2127" s="88" t="s">
        <v>137</v>
      </c>
      <c r="C2127" s="88">
        <v>47.763199999999998</v>
      </c>
    </row>
    <row r="2128" spans="1:3" x14ac:dyDescent="0.25">
      <c r="A2128" s="84">
        <v>46185</v>
      </c>
      <c r="B2128" s="88" t="s">
        <v>138</v>
      </c>
      <c r="C2128" s="88">
        <v>47.8842</v>
      </c>
    </row>
    <row r="2129" spans="1:3" x14ac:dyDescent="0.25">
      <c r="A2129" s="84">
        <v>46185</v>
      </c>
      <c r="B2129" s="88" t="s">
        <v>139</v>
      </c>
      <c r="C2129" s="88">
        <v>47.0518</v>
      </c>
    </row>
    <row r="2130" spans="1:3" x14ac:dyDescent="0.25">
      <c r="A2130" s="84">
        <v>46185</v>
      </c>
      <c r="B2130" s="88" t="s">
        <v>140</v>
      </c>
      <c r="C2130" s="88">
        <v>44.0428</v>
      </c>
    </row>
    <row r="2131" spans="1:3" x14ac:dyDescent="0.25">
      <c r="A2131" s="84">
        <v>46185</v>
      </c>
      <c r="B2131" s="88" t="s">
        <v>141</v>
      </c>
      <c r="C2131" s="88">
        <v>43.951999999999998</v>
      </c>
    </row>
    <row r="2132" spans="1:3" x14ac:dyDescent="0.25">
      <c r="A2132" s="84">
        <v>46185</v>
      </c>
      <c r="B2132" s="88" t="s">
        <v>108</v>
      </c>
      <c r="C2132" s="88">
        <v>46.349699999999999</v>
      </c>
    </row>
    <row r="2133" spans="1:3" x14ac:dyDescent="0.25">
      <c r="A2133" s="84">
        <v>46188</v>
      </c>
      <c r="B2133" s="88" t="s">
        <v>148</v>
      </c>
      <c r="C2133" s="88">
        <v>48.1584</v>
      </c>
    </row>
    <row r="2134" spans="1:3" x14ac:dyDescent="0.25">
      <c r="A2134" s="84">
        <v>46188</v>
      </c>
      <c r="B2134" s="88" t="s">
        <v>149</v>
      </c>
      <c r="C2134" s="88">
        <v>48.138800000000003</v>
      </c>
    </row>
    <row r="2135" spans="1:3" x14ac:dyDescent="0.25">
      <c r="A2135" s="84">
        <v>46188</v>
      </c>
      <c r="B2135" s="88" t="s">
        <v>150</v>
      </c>
      <c r="C2135" s="88">
        <v>49.0503</v>
      </c>
    </row>
    <row r="2136" spans="1:3" x14ac:dyDescent="0.25">
      <c r="A2136" s="84">
        <v>46188</v>
      </c>
      <c r="B2136" s="88" t="s">
        <v>151</v>
      </c>
      <c r="C2136" s="88">
        <v>48.997700000000002</v>
      </c>
    </row>
    <row r="2137" spans="1:3" x14ac:dyDescent="0.25">
      <c r="A2137" s="84">
        <v>46188</v>
      </c>
      <c r="B2137" s="88" t="s">
        <v>152</v>
      </c>
      <c r="C2137" s="88">
        <v>48.832500000000003</v>
      </c>
    </row>
    <row r="2138" spans="1:3" x14ac:dyDescent="0.25">
      <c r="A2138" s="84">
        <v>46188</v>
      </c>
      <c r="B2138" s="88" t="s">
        <v>153</v>
      </c>
      <c r="C2138" s="88">
        <v>48.627000000000002</v>
      </c>
    </row>
    <row r="2139" spans="1:3" x14ac:dyDescent="0.25">
      <c r="A2139" s="84">
        <v>46188</v>
      </c>
      <c r="B2139" s="88" t="s">
        <v>154</v>
      </c>
      <c r="C2139" s="88">
        <v>49.719099999999997</v>
      </c>
    </row>
    <row r="2140" spans="1:3" x14ac:dyDescent="0.25">
      <c r="A2140" s="84">
        <v>46188</v>
      </c>
      <c r="B2140" s="88" t="s">
        <v>155</v>
      </c>
      <c r="C2140" s="88">
        <v>49.034100000000002</v>
      </c>
    </row>
    <row r="2141" spans="1:3" x14ac:dyDescent="0.25">
      <c r="A2141" s="84">
        <v>46188</v>
      </c>
      <c r="B2141" s="88" t="s">
        <v>156</v>
      </c>
      <c r="C2141" s="88">
        <v>49.152900000000002</v>
      </c>
    </row>
    <row r="2142" spans="1:3" x14ac:dyDescent="0.25">
      <c r="A2142" s="84">
        <v>46188</v>
      </c>
      <c r="B2142" s="88" t="s">
        <v>157</v>
      </c>
      <c r="C2142" s="88">
        <v>49.359299999999998</v>
      </c>
    </row>
    <row r="2143" spans="1:3" x14ac:dyDescent="0.25">
      <c r="A2143" s="84">
        <v>46189</v>
      </c>
      <c r="B2143" s="88" t="s">
        <v>148</v>
      </c>
      <c r="C2143" s="88">
        <v>48.158299999999997</v>
      </c>
    </row>
    <row r="2144" spans="1:3" x14ac:dyDescent="0.25">
      <c r="A2144" s="84">
        <v>46189</v>
      </c>
      <c r="B2144" s="88" t="s">
        <v>149</v>
      </c>
      <c r="C2144" s="88">
        <v>48.1387</v>
      </c>
    </row>
    <row r="2145" spans="1:4" x14ac:dyDescent="0.25">
      <c r="A2145" s="84">
        <v>46189</v>
      </c>
      <c r="B2145" s="88" t="s">
        <v>150</v>
      </c>
      <c r="C2145" s="88">
        <v>49.050400000000003</v>
      </c>
    </row>
    <row r="2146" spans="1:4" x14ac:dyDescent="0.25">
      <c r="A2146" s="84">
        <v>46189</v>
      </c>
      <c r="B2146" s="88" t="s">
        <v>151</v>
      </c>
      <c r="C2146" s="88">
        <v>48.997700000000002</v>
      </c>
    </row>
    <row r="2147" spans="1:4" x14ac:dyDescent="0.25">
      <c r="A2147" s="84">
        <v>46189</v>
      </c>
      <c r="B2147" s="88" t="s">
        <v>152</v>
      </c>
      <c r="C2147" s="88">
        <v>48.832799999999999</v>
      </c>
    </row>
    <row r="2148" spans="1:4" x14ac:dyDescent="0.25">
      <c r="A2148" s="84">
        <v>46189</v>
      </c>
      <c r="B2148" s="88" t="s">
        <v>153</v>
      </c>
      <c r="C2148" s="88">
        <v>48.627200000000002</v>
      </c>
    </row>
    <row r="2149" spans="1:4" x14ac:dyDescent="0.25">
      <c r="A2149" s="84">
        <v>46189</v>
      </c>
      <c r="B2149" s="88" t="s">
        <v>154</v>
      </c>
      <c r="C2149" s="88">
        <v>49.719200000000001</v>
      </c>
    </row>
    <row r="2150" spans="1:4" x14ac:dyDescent="0.25">
      <c r="A2150" s="84">
        <v>46189</v>
      </c>
      <c r="B2150" s="88" t="s">
        <v>155</v>
      </c>
      <c r="C2150" s="88">
        <v>49.033999999999999</v>
      </c>
    </row>
    <row r="2151" spans="1:4" x14ac:dyDescent="0.25">
      <c r="A2151" s="84">
        <v>46189</v>
      </c>
      <c r="B2151" s="88" t="s">
        <v>156</v>
      </c>
      <c r="C2151" s="88">
        <v>49.153100000000002</v>
      </c>
    </row>
    <row r="2152" spans="1:4" x14ac:dyDescent="0.25">
      <c r="A2152" s="84">
        <v>46189</v>
      </c>
      <c r="B2152" s="88" t="s">
        <v>157</v>
      </c>
      <c r="C2152" s="88">
        <v>49.359299999999998</v>
      </c>
    </row>
    <row r="2153" spans="1:4" x14ac:dyDescent="0.25">
      <c r="A2153" s="84">
        <v>46190</v>
      </c>
      <c r="B2153" s="88" t="s">
        <v>148</v>
      </c>
      <c r="C2153" s="88">
        <v>48.158200000000001</v>
      </c>
      <c r="D2153" s="104"/>
    </row>
    <row r="2154" spans="1:4" x14ac:dyDescent="0.25">
      <c r="A2154" s="84">
        <v>46190</v>
      </c>
      <c r="B2154" s="88" t="s">
        <v>149</v>
      </c>
      <c r="C2154" s="88">
        <v>48.1387</v>
      </c>
      <c r="D2154" s="104"/>
    </row>
    <row r="2155" spans="1:4" x14ac:dyDescent="0.25">
      <c r="A2155" s="84">
        <v>46190</v>
      </c>
      <c r="B2155" s="88" t="s">
        <v>150</v>
      </c>
      <c r="C2155" s="88">
        <v>49.0503</v>
      </c>
      <c r="D2155" s="104"/>
    </row>
    <row r="2156" spans="1:4" x14ac:dyDescent="0.25">
      <c r="A2156" s="84">
        <v>46190</v>
      </c>
      <c r="B2156" s="88" t="s">
        <v>151</v>
      </c>
      <c r="C2156" s="88">
        <v>48.997399999999999</v>
      </c>
      <c r="D2156" s="104"/>
    </row>
    <row r="2157" spans="1:4" x14ac:dyDescent="0.25">
      <c r="A2157" s="84">
        <v>46190</v>
      </c>
      <c r="B2157" s="88" t="s">
        <v>152</v>
      </c>
      <c r="C2157" s="88">
        <v>48.8324</v>
      </c>
      <c r="D2157" s="104"/>
    </row>
    <row r="2158" spans="1:4" x14ac:dyDescent="0.25">
      <c r="A2158" s="84">
        <v>46190</v>
      </c>
      <c r="B2158" s="88" t="s">
        <v>153</v>
      </c>
      <c r="C2158" s="88">
        <v>48.626800000000003</v>
      </c>
      <c r="D2158" s="104"/>
    </row>
    <row r="2159" spans="1:4" x14ac:dyDescent="0.25">
      <c r="A2159" s="84">
        <v>46190</v>
      </c>
      <c r="B2159" s="88" t="s">
        <v>154</v>
      </c>
      <c r="C2159" s="88">
        <v>49.719000000000001</v>
      </c>
      <c r="D2159" s="104"/>
    </row>
    <row r="2160" spans="1:4" x14ac:dyDescent="0.25">
      <c r="A2160" s="84">
        <v>46190</v>
      </c>
      <c r="B2160" s="88" t="s">
        <v>155</v>
      </c>
      <c r="C2160" s="88">
        <v>49.033999999999999</v>
      </c>
      <c r="D2160" s="104"/>
    </row>
    <row r="2161" spans="1:4" x14ac:dyDescent="0.25">
      <c r="A2161" s="84">
        <v>46190</v>
      </c>
      <c r="B2161" s="88" t="s">
        <v>156</v>
      </c>
      <c r="C2161" s="88">
        <v>49.152900000000002</v>
      </c>
      <c r="D2161" s="104"/>
    </row>
    <row r="2162" spans="1:4" x14ac:dyDescent="0.25">
      <c r="A2162" s="84">
        <v>46190</v>
      </c>
      <c r="B2162" s="88" t="s">
        <v>157</v>
      </c>
      <c r="C2162" s="88">
        <v>49.359200000000001</v>
      </c>
      <c r="D2162" s="104"/>
    </row>
    <row r="2163" spans="1:4" x14ac:dyDescent="0.25">
      <c r="A2163" s="84">
        <v>46190</v>
      </c>
      <c r="B2163" s="88" t="s">
        <v>267</v>
      </c>
      <c r="C2163">
        <v>53.078800000000001</v>
      </c>
    </row>
    <row r="2164" spans="1:4" x14ac:dyDescent="0.25">
      <c r="A2164" s="84">
        <v>46190</v>
      </c>
      <c r="B2164" s="88" t="s">
        <v>268</v>
      </c>
      <c r="C2164">
        <v>53.043199999999999</v>
      </c>
    </row>
    <row r="2165" spans="1:4" x14ac:dyDescent="0.25">
      <c r="A2165" s="84">
        <v>46190</v>
      </c>
      <c r="B2165" s="88" t="s">
        <v>269</v>
      </c>
      <c r="C2165">
        <v>52.6312</v>
      </c>
    </row>
    <row r="2166" spans="1:4" x14ac:dyDescent="0.25">
      <c r="A2166" s="84">
        <v>46190</v>
      </c>
      <c r="B2166" s="88" t="s">
        <v>270</v>
      </c>
      <c r="C2166">
        <v>52.604999999999997</v>
      </c>
    </row>
    <row r="2167" spans="1:4" x14ac:dyDescent="0.25">
      <c r="A2167" s="84">
        <v>46190</v>
      </c>
      <c r="B2167" s="88" t="s">
        <v>271</v>
      </c>
      <c r="C2167">
        <v>52.722200000000001</v>
      </c>
    </row>
    <row r="2168" spans="1:4" x14ac:dyDescent="0.25">
      <c r="A2168" s="84">
        <v>46190</v>
      </c>
      <c r="B2168" s="88" t="s">
        <v>272</v>
      </c>
      <c r="C2168">
        <v>52.918299999999995</v>
      </c>
    </row>
    <row r="2169" spans="1:4" x14ac:dyDescent="0.25">
      <c r="A2169" s="84">
        <v>46190</v>
      </c>
      <c r="B2169" s="88" t="s">
        <v>273</v>
      </c>
      <c r="C2169">
        <v>52.914299999999997</v>
      </c>
    </row>
    <row r="2170" spans="1:4" x14ac:dyDescent="0.25">
      <c r="A2170" s="84">
        <v>46190</v>
      </c>
      <c r="B2170" s="88" t="s">
        <v>69</v>
      </c>
      <c r="C2170">
        <v>52.984999999999999</v>
      </c>
    </row>
    <row r="2171" spans="1:4" x14ac:dyDescent="0.25">
      <c r="A2171" s="84">
        <v>46190</v>
      </c>
      <c r="B2171" s="88" t="s">
        <v>70</v>
      </c>
      <c r="C2171">
        <v>53.078699999999998</v>
      </c>
    </row>
    <row r="2172" spans="1:4" x14ac:dyDescent="0.25">
      <c r="A2172" s="84">
        <v>46190</v>
      </c>
      <c r="B2172" s="88" t="s">
        <v>71</v>
      </c>
      <c r="C2172">
        <v>53.204699999999995</v>
      </c>
    </row>
    <row r="2173" spans="1:4" x14ac:dyDescent="0.25">
      <c r="A2173" s="84">
        <v>46190</v>
      </c>
      <c r="B2173" s="88" t="s">
        <v>72</v>
      </c>
      <c r="C2173">
        <v>53.078800000000001</v>
      </c>
    </row>
    <row r="2174" spans="1:4" x14ac:dyDescent="0.25">
      <c r="A2174" s="84">
        <v>46190</v>
      </c>
      <c r="B2174" s="88" t="s">
        <v>73</v>
      </c>
      <c r="C2174">
        <v>53.382599999999996</v>
      </c>
    </row>
    <row r="2175" spans="1:4" x14ac:dyDescent="0.25">
      <c r="A2175" s="84">
        <v>46190</v>
      </c>
      <c r="B2175" s="88" t="s">
        <v>74</v>
      </c>
      <c r="C2175">
        <v>53.377600000000001</v>
      </c>
    </row>
    <row r="2176" spans="1:4" x14ac:dyDescent="0.25">
      <c r="A2176" s="84">
        <v>46190</v>
      </c>
      <c r="B2176" s="88" t="s">
        <v>76</v>
      </c>
      <c r="C2176">
        <v>54.079000000000001</v>
      </c>
    </row>
    <row r="2177" spans="1:3" x14ac:dyDescent="0.25">
      <c r="A2177" s="84">
        <v>46190</v>
      </c>
      <c r="B2177" s="88" t="s">
        <v>77</v>
      </c>
      <c r="C2177">
        <v>54.015699999999995</v>
      </c>
    </row>
    <row r="2178" spans="1:3" x14ac:dyDescent="0.25">
      <c r="A2178" s="84">
        <v>46190</v>
      </c>
      <c r="B2178" s="88" t="s">
        <v>78</v>
      </c>
      <c r="C2178">
        <v>52.922599999999996</v>
      </c>
    </row>
    <row r="2179" spans="1:3" x14ac:dyDescent="0.25">
      <c r="A2179" s="84">
        <v>46190</v>
      </c>
      <c r="B2179" s="88" t="s">
        <v>79</v>
      </c>
      <c r="C2179">
        <v>53.893299999999996</v>
      </c>
    </row>
    <row r="2180" spans="1:3" x14ac:dyDescent="0.25">
      <c r="A2180" s="84">
        <v>46190</v>
      </c>
      <c r="B2180" s="88" t="s">
        <v>80</v>
      </c>
      <c r="C2180">
        <v>54.089300000000001</v>
      </c>
    </row>
    <row r="2181" spans="1:3" x14ac:dyDescent="0.25">
      <c r="A2181" s="84">
        <v>46190</v>
      </c>
      <c r="B2181" s="88" t="s">
        <v>81</v>
      </c>
      <c r="C2181">
        <v>53.314299999999996</v>
      </c>
    </row>
    <row r="2182" spans="1:3" x14ac:dyDescent="0.25">
      <c r="A2182" s="84">
        <v>46190</v>
      </c>
      <c r="B2182" s="88" t="s">
        <v>82</v>
      </c>
      <c r="C2182">
        <v>53.322400000000002</v>
      </c>
    </row>
  </sheetData>
  <autoFilter ref="A1:C161" xr:uid="{7A50A2BD-4C26-4EA1-87EC-9323EEC801E4}">
    <sortState xmlns:xlrd2="http://schemas.microsoft.com/office/spreadsheetml/2017/richdata2" ref="A2:C139">
      <sortCondition ref="B1:B161"/>
    </sortState>
  </autoFilter>
  <sortState xmlns:xlrd2="http://schemas.microsoft.com/office/spreadsheetml/2017/richdata2" ref="A2:C1511">
    <sortCondition ref="A1228:A1511"/>
  </sortState>
  <phoneticPr fontId="26" type="noConversion"/>
  <conditionalFormatting sqref="D1223:D125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AB83-0C91-4338-81C3-2D817C622A0A}">
  <dimension ref="A1:C97"/>
  <sheetViews>
    <sheetView topLeftCell="A76" workbookViewId="0">
      <selection activeCell="A98" sqref="A98:D107"/>
    </sheetView>
  </sheetViews>
  <sheetFormatPr baseColWidth="10" defaultRowHeight="15" x14ac:dyDescent="0.25"/>
  <cols>
    <col min="1" max="3" width="11.42578125" style="88"/>
  </cols>
  <sheetData>
    <row r="1" spans="1:3" x14ac:dyDescent="0.25">
      <c r="A1" s="85" t="s">
        <v>17</v>
      </c>
      <c r="B1" s="85" t="s">
        <v>83</v>
      </c>
      <c r="C1" s="87" t="s">
        <v>68</v>
      </c>
    </row>
    <row r="2" spans="1:3" x14ac:dyDescent="0.25">
      <c r="A2" s="111">
        <v>46163</v>
      </c>
      <c r="B2" s="88" t="s">
        <v>209</v>
      </c>
      <c r="C2" s="88">
        <v>56.526800000000001</v>
      </c>
    </row>
    <row r="3" spans="1:3" x14ac:dyDescent="0.25">
      <c r="A3" s="111">
        <v>46163</v>
      </c>
      <c r="B3" s="88" t="s">
        <v>210</v>
      </c>
      <c r="C3" s="88">
        <v>56.822200000000002</v>
      </c>
    </row>
    <row r="4" spans="1:3" x14ac:dyDescent="0.25">
      <c r="A4" s="111">
        <v>46163</v>
      </c>
      <c r="B4" s="88" t="s">
        <v>211</v>
      </c>
      <c r="C4" s="88">
        <v>54.558</v>
      </c>
    </row>
    <row r="5" spans="1:3" x14ac:dyDescent="0.25">
      <c r="A5" s="111">
        <v>46163</v>
      </c>
      <c r="B5" s="88" t="s">
        <v>212</v>
      </c>
      <c r="C5" s="88">
        <v>54.452599999999997</v>
      </c>
    </row>
    <row r="6" spans="1:3" x14ac:dyDescent="0.25">
      <c r="A6" s="111">
        <v>46168</v>
      </c>
      <c r="B6" s="88" t="s">
        <v>209</v>
      </c>
      <c r="C6" s="88">
        <v>56.526400000000002</v>
      </c>
    </row>
    <row r="7" spans="1:3" x14ac:dyDescent="0.25">
      <c r="A7" s="111">
        <v>46168</v>
      </c>
      <c r="B7" s="88" t="s">
        <v>210</v>
      </c>
      <c r="C7" s="88">
        <v>56.821800000000003</v>
      </c>
    </row>
    <row r="8" spans="1:3" x14ac:dyDescent="0.25">
      <c r="A8" s="111">
        <v>46168</v>
      </c>
      <c r="B8" s="88" t="s">
        <v>211</v>
      </c>
      <c r="C8" s="88">
        <v>54.558</v>
      </c>
    </row>
    <row r="9" spans="1:3" x14ac:dyDescent="0.25">
      <c r="A9" s="111">
        <v>46168</v>
      </c>
      <c r="B9" s="88" t="s">
        <v>212</v>
      </c>
      <c r="C9" s="88">
        <v>54.452599999999997</v>
      </c>
    </row>
    <row r="10" spans="1:3" x14ac:dyDescent="0.25">
      <c r="A10" s="111">
        <v>46168</v>
      </c>
      <c r="B10" s="88" t="s">
        <v>213</v>
      </c>
      <c r="C10" s="88">
        <v>51.863100000000003</v>
      </c>
    </row>
    <row r="11" spans="1:3" x14ac:dyDescent="0.25">
      <c r="A11" s="111">
        <v>46168</v>
      </c>
      <c r="B11" s="88" t="s">
        <v>214</v>
      </c>
      <c r="C11" s="88">
        <v>51.982100000000003</v>
      </c>
    </row>
    <row r="12" spans="1:3" x14ac:dyDescent="0.25">
      <c r="A12" s="111">
        <v>46168</v>
      </c>
      <c r="B12" s="88" t="s">
        <v>215</v>
      </c>
      <c r="C12" s="88">
        <v>51.991</v>
      </c>
    </row>
    <row r="13" spans="1:3" x14ac:dyDescent="0.25">
      <c r="A13" s="111">
        <v>46168</v>
      </c>
      <c r="B13" s="88" t="s">
        <v>216</v>
      </c>
      <c r="C13" s="88">
        <v>52.339599999999997</v>
      </c>
    </row>
    <row r="14" spans="1:3" x14ac:dyDescent="0.25">
      <c r="A14" s="111">
        <v>46168</v>
      </c>
      <c r="B14" s="88" t="s">
        <v>217</v>
      </c>
      <c r="C14" s="88">
        <v>52.426000000000002</v>
      </c>
    </row>
    <row r="15" spans="1:3" x14ac:dyDescent="0.25">
      <c r="A15" s="111">
        <v>46168</v>
      </c>
      <c r="B15" s="88" t="s">
        <v>218</v>
      </c>
      <c r="C15" s="88">
        <v>52.479399999999998</v>
      </c>
    </row>
    <row r="16" spans="1:3" x14ac:dyDescent="0.25">
      <c r="A16" s="111">
        <v>46168</v>
      </c>
      <c r="B16" s="88" t="s">
        <v>219</v>
      </c>
      <c r="C16" s="88">
        <v>52.546199999999999</v>
      </c>
    </row>
    <row r="17" spans="1:3" x14ac:dyDescent="0.25">
      <c r="A17" s="111">
        <v>46168</v>
      </c>
      <c r="B17" s="88" t="s">
        <v>220</v>
      </c>
      <c r="C17" s="88">
        <v>52.823300000000003</v>
      </c>
    </row>
    <row r="18" spans="1:3" x14ac:dyDescent="0.25">
      <c r="A18" s="111">
        <v>46168</v>
      </c>
      <c r="B18" s="88" t="s">
        <v>221</v>
      </c>
      <c r="C18" s="88">
        <v>52.820399999999999</v>
      </c>
    </row>
    <row r="19" spans="1:3" x14ac:dyDescent="0.25">
      <c r="A19" s="111">
        <v>46168</v>
      </c>
      <c r="B19" s="88" t="s">
        <v>222</v>
      </c>
      <c r="C19" s="88">
        <v>52.9253</v>
      </c>
    </row>
    <row r="20" spans="1:3" x14ac:dyDescent="0.25">
      <c r="A20" s="84">
        <v>46170</v>
      </c>
      <c r="B20" s="88" t="s">
        <v>209</v>
      </c>
      <c r="C20">
        <v>56.526499999999999</v>
      </c>
    </row>
    <row r="21" spans="1:3" x14ac:dyDescent="0.25">
      <c r="A21" s="84">
        <v>46170</v>
      </c>
      <c r="B21" s="88" t="s">
        <v>210</v>
      </c>
      <c r="C21">
        <v>56.821800000000003</v>
      </c>
    </row>
    <row r="22" spans="1:3" x14ac:dyDescent="0.25">
      <c r="A22" s="84">
        <v>46170</v>
      </c>
      <c r="B22" s="88" t="s">
        <v>211</v>
      </c>
      <c r="C22">
        <v>54.557699999999997</v>
      </c>
    </row>
    <row r="23" spans="1:3" x14ac:dyDescent="0.25">
      <c r="A23" s="84">
        <v>46170</v>
      </c>
      <c r="B23" s="88" t="s">
        <v>212</v>
      </c>
      <c r="C23">
        <v>54.452100000000002</v>
      </c>
    </row>
    <row r="24" spans="1:3" x14ac:dyDescent="0.25">
      <c r="A24" s="84">
        <v>46175</v>
      </c>
      <c r="B24" t="s">
        <v>209</v>
      </c>
      <c r="C24">
        <v>56.526499999999999</v>
      </c>
    </row>
    <row r="25" spans="1:3" x14ac:dyDescent="0.25">
      <c r="A25" s="84">
        <v>46175</v>
      </c>
      <c r="B25" t="s">
        <v>210</v>
      </c>
      <c r="C25">
        <v>56.821899999999999</v>
      </c>
    </row>
    <row r="26" spans="1:3" x14ac:dyDescent="0.25">
      <c r="A26" s="84">
        <v>46175</v>
      </c>
      <c r="B26" t="s">
        <v>211</v>
      </c>
      <c r="C26">
        <v>54.558100000000003</v>
      </c>
    </row>
    <row r="27" spans="1:3" x14ac:dyDescent="0.25">
      <c r="A27" s="84">
        <v>46175</v>
      </c>
      <c r="B27" t="s">
        <v>212</v>
      </c>
      <c r="C27">
        <v>54.452500000000001</v>
      </c>
    </row>
    <row r="28" spans="1:3" x14ac:dyDescent="0.25">
      <c r="A28" s="84">
        <v>46177</v>
      </c>
      <c r="B28" t="s">
        <v>209</v>
      </c>
      <c r="C28">
        <v>56.526400000000002</v>
      </c>
    </row>
    <row r="29" spans="1:3" x14ac:dyDescent="0.25">
      <c r="A29" s="84">
        <v>46177</v>
      </c>
      <c r="B29" t="s">
        <v>210</v>
      </c>
      <c r="C29">
        <v>56.822000000000003</v>
      </c>
    </row>
    <row r="30" spans="1:3" x14ac:dyDescent="0.25">
      <c r="A30" s="84">
        <v>46177</v>
      </c>
      <c r="B30" t="s">
        <v>211</v>
      </c>
      <c r="C30">
        <v>54.558399999999999</v>
      </c>
    </row>
    <row r="31" spans="1:3" x14ac:dyDescent="0.25">
      <c r="A31" s="84">
        <v>46177</v>
      </c>
      <c r="B31" t="s">
        <v>212</v>
      </c>
      <c r="C31">
        <v>54.452800000000003</v>
      </c>
    </row>
    <row r="32" spans="1:3" x14ac:dyDescent="0.25">
      <c r="A32" s="84">
        <v>46177</v>
      </c>
      <c r="B32" t="s">
        <v>236</v>
      </c>
      <c r="C32">
        <v>54.294899999999998</v>
      </c>
    </row>
    <row r="33" spans="1:3" x14ac:dyDescent="0.25">
      <c r="A33" s="84">
        <v>46177</v>
      </c>
      <c r="B33" t="s">
        <v>237</v>
      </c>
      <c r="C33">
        <v>54.1599</v>
      </c>
    </row>
    <row r="34" spans="1:3" x14ac:dyDescent="0.25">
      <c r="A34" s="84">
        <v>46177</v>
      </c>
      <c r="B34" t="s">
        <v>238</v>
      </c>
      <c r="C34">
        <v>54.173200000000001</v>
      </c>
    </row>
    <row r="35" spans="1:3" x14ac:dyDescent="0.25">
      <c r="A35" s="84">
        <v>46177</v>
      </c>
      <c r="B35" t="s">
        <v>239</v>
      </c>
      <c r="C35">
        <v>54.442599999999999</v>
      </c>
    </row>
    <row r="36" spans="1:3" x14ac:dyDescent="0.25">
      <c r="A36" s="84">
        <v>46177</v>
      </c>
      <c r="B36" t="s">
        <v>240</v>
      </c>
      <c r="C36">
        <v>54.331400000000002</v>
      </c>
    </row>
    <row r="37" spans="1:3" x14ac:dyDescent="0.25">
      <c r="A37" s="84">
        <v>46177</v>
      </c>
      <c r="B37" t="s">
        <v>241</v>
      </c>
      <c r="C37">
        <v>54.628100000000003</v>
      </c>
    </row>
    <row r="38" spans="1:3" x14ac:dyDescent="0.25">
      <c r="A38" s="84">
        <v>46177</v>
      </c>
      <c r="B38" t="s">
        <v>242</v>
      </c>
      <c r="C38">
        <v>54.485199999999999</v>
      </c>
    </row>
    <row r="39" spans="1:3" x14ac:dyDescent="0.25">
      <c r="A39" s="84">
        <v>46177</v>
      </c>
      <c r="B39" t="s">
        <v>243</v>
      </c>
      <c r="C39">
        <v>53.7517</v>
      </c>
    </row>
    <row r="40" spans="1:3" x14ac:dyDescent="0.25">
      <c r="A40" s="84">
        <v>46177</v>
      </c>
      <c r="B40" t="s">
        <v>244</v>
      </c>
      <c r="C40">
        <v>53.544899999999998</v>
      </c>
    </row>
    <row r="41" spans="1:3" x14ac:dyDescent="0.25">
      <c r="A41" s="84">
        <v>46177</v>
      </c>
      <c r="B41" t="s">
        <v>245</v>
      </c>
      <c r="C41">
        <v>52.690399999999997</v>
      </c>
    </row>
    <row r="42" spans="1:3" x14ac:dyDescent="0.25">
      <c r="A42" s="84">
        <v>46177</v>
      </c>
      <c r="B42" t="s">
        <v>246</v>
      </c>
      <c r="C42">
        <v>52.705300000000001</v>
      </c>
    </row>
    <row r="43" spans="1:3" x14ac:dyDescent="0.25">
      <c r="A43" s="84">
        <v>46177</v>
      </c>
      <c r="B43" t="s">
        <v>247</v>
      </c>
      <c r="C43">
        <v>52.4846</v>
      </c>
    </row>
    <row r="44" spans="1:3" x14ac:dyDescent="0.25">
      <c r="A44" s="84">
        <v>46177</v>
      </c>
      <c r="B44" t="s">
        <v>248</v>
      </c>
      <c r="C44">
        <v>52.4495</v>
      </c>
    </row>
    <row r="45" spans="1:3" x14ac:dyDescent="0.25">
      <c r="A45" s="84">
        <v>46177</v>
      </c>
      <c r="B45" t="s">
        <v>249</v>
      </c>
      <c r="C45">
        <v>52.535200000000003</v>
      </c>
    </row>
    <row r="46" spans="1:3" x14ac:dyDescent="0.25">
      <c r="A46" s="84">
        <v>46182</v>
      </c>
      <c r="B46" t="s">
        <v>209</v>
      </c>
      <c r="C46">
        <v>56.5261</v>
      </c>
    </row>
    <row r="47" spans="1:3" x14ac:dyDescent="0.25">
      <c r="A47" s="84">
        <v>46182</v>
      </c>
      <c r="B47" t="s">
        <v>210</v>
      </c>
      <c r="C47">
        <v>56.8217</v>
      </c>
    </row>
    <row r="48" spans="1:3" x14ac:dyDescent="0.25">
      <c r="A48" s="84">
        <v>46182</v>
      </c>
      <c r="B48" t="s">
        <v>211</v>
      </c>
      <c r="C48">
        <v>54.558</v>
      </c>
    </row>
    <row r="49" spans="1:3" x14ac:dyDescent="0.25">
      <c r="A49" s="84">
        <v>46182</v>
      </c>
      <c r="B49" t="s">
        <v>212</v>
      </c>
      <c r="C49">
        <v>54.452599999999997</v>
      </c>
    </row>
    <row r="50" spans="1:3" x14ac:dyDescent="0.25">
      <c r="A50" s="84">
        <v>46182</v>
      </c>
      <c r="B50" t="s">
        <v>236</v>
      </c>
      <c r="C50">
        <v>54.294600000000003</v>
      </c>
    </row>
    <row r="51" spans="1:3" x14ac:dyDescent="0.25">
      <c r="A51" s="84">
        <v>46182</v>
      </c>
      <c r="B51" t="s">
        <v>237</v>
      </c>
      <c r="C51">
        <v>54.159700000000001</v>
      </c>
    </row>
    <row r="52" spans="1:3" x14ac:dyDescent="0.25">
      <c r="A52" s="84">
        <v>46182</v>
      </c>
      <c r="B52" t="s">
        <v>238</v>
      </c>
      <c r="C52">
        <v>54.173000000000002</v>
      </c>
    </row>
    <row r="53" spans="1:3" x14ac:dyDescent="0.25">
      <c r="A53" s="84">
        <v>46182</v>
      </c>
      <c r="B53" t="s">
        <v>239</v>
      </c>
      <c r="C53">
        <v>54.442500000000003</v>
      </c>
    </row>
    <row r="54" spans="1:3" x14ac:dyDescent="0.25">
      <c r="A54" s="84">
        <v>46182</v>
      </c>
      <c r="B54" t="s">
        <v>240</v>
      </c>
      <c r="C54">
        <v>54.331299999999999</v>
      </c>
    </row>
    <row r="55" spans="1:3" x14ac:dyDescent="0.25">
      <c r="A55" s="84">
        <v>46182</v>
      </c>
      <c r="B55" t="s">
        <v>241</v>
      </c>
      <c r="C55">
        <v>54.6282</v>
      </c>
    </row>
    <row r="56" spans="1:3" x14ac:dyDescent="0.25">
      <c r="A56" s="84">
        <v>46182</v>
      </c>
      <c r="B56" t="s">
        <v>242</v>
      </c>
      <c r="C56">
        <v>54.485100000000003</v>
      </c>
    </row>
    <row r="57" spans="1:3" x14ac:dyDescent="0.25">
      <c r="A57" s="84">
        <v>46182</v>
      </c>
      <c r="B57" t="s">
        <v>243</v>
      </c>
      <c r="C57">
        <v>53.751300000000001</v>
      </c>
    </row>
    <row r="58" spans="1:3" x14ac:dyDescent="0.25">
      <c r="A58" s="84">
        <v>46182</v>
      </c>
      <c r="B58" t="s">
        <v>244</v>
      </c>
      <c r="C58">
        <v>53.544699999999999</v>
      </c>
    </row>
    <row r="59" spans="1:3" x14ac:dyDescent="0.25">
      <c r="A59" s="84">
        <v>46182</v>
      </c>
      <c r="B59" t="s">
        <v>245</v>
      </c>
      <c r="C59">
        <v>52.6905</v>
      </c>
    </row>
    <row r="60" spans="1:3" x14ac:dyDescent="0.25">
      <c r="A60" s="84">
        <v>46182</v>
      </c>
      <c r="B60" t="s">
        <v>246</v>
      </c>
      <c r="C60">
        <v>52.705399999999997</v>
      </c>
    </row>
    <row r="61" spans="1:3" x14ac:dyDescent="0.25">
      <c r="A61" s="84">
        <v>46182</v>
      </c>
      <c r="B61" t="s">
        <v>247</v>
      </c>
      <c r="C61">
        <v>52.484699999999997</v>
      </c>
    </row>
    <row r="62" spans="1:3" x14ac:dyDescent="0.25">
      <c r="A62" s="84">
        <v>46182</v>
      </c>
      <c r="B62" t="s">
        <v>248</v>
      </c>
      <c r="C62">
        <v>52.449599999999997</v>
      </c>
    </row>
    <row r="63" spans="1:3" x14ac:dyDescent="0.25">
      <c r="A63" s="84">
        <v>46182</v>
      </c>
      <c r="B63" t="s">
        <v>249</v>
      </c>
      <c r="C63">
        <v>52.535200000000003</v>
      </c>
    </row>
    <row r="64" spans="1:3" x14ac:dyDescent="0.25">
      <c r="A64" s="84">
        <v>46182</v>
      </c>
      <c r="B64" t="s">
        <v>213</v>
      </c>
      <c r="C64">
        <v>51.863199999999999</v>
      </c>
    </row>
    <row r="65" spans="1:3" x14ac:dyDescent="0.25">
      <c r="A65" s="84">
        <v>46182</v>
      </c>
      <c r="B65" t="s">
        <v>214</v>
      </c>
      <c r="C65">
        <v>51.982399999999998</v>
      </c>
    </row>
    <row r="66" spans="1:3" x14ac:dyDescent="0.25">
      <c r="A66" s="84">
        <v>46182</v>
      </c>
      <c r="B66" t="s">
        <v>215</v>
      </c>
      <c r="C66">
        <v>51.991300000000003</v>
      </c>
    </row>
    <row r="67" spans="1:3" x14ac:dyDescent="0.25">
      <c r="A67" s="84">
        <v>46182</v>
      </c>
      <c r="B67" t="s">
        <v>216</v>
      </c>
      <c r="C67">
        <v>52.339600000000004</v>
      </c>
    </row>
    <row r="68" spans="1:3" x14ac:dyDescent="0.25">
      <c r="A68" s="84">
        <v>46182</v>
      </c>
      <c r="B68" t="s">
        <v>217</v>
      </c>
      <c r="C68">
        <v>52.426099999999998</v>
      </c>
    </row>
    <row r="69" spans="1:3" x14ac:dyDescent="0.25">
      <c r="A69" s="84">
        <v>46182</v>
      </c>
      <c r="B69" t="s">
        <v>218</v>
      </c>
      <c r="C69">
        <v>52.479399999999998</v>
      </c>
    </row>
    <row r="70" spans="1:3" x14ac:dyDescent="0.25">
      <c r="A70" s="84">
        <v>46182</v>
      </c>
      <c r="B70" t="s">
        <v>219</v>
      </c>
      <c r="C70">
        <v>52.546300000000002</v>
      </c>
    </row>
    <row r="71" spans="1:3" x14ac:dyDescent="0.25">
      <c r="A71" s="84">
        <v>46182</v>
      </c>
      <c r="B71" t="s">
        <v>220</v>
      </c>
      <c r="C71">
        <v>52.823399999999999</v>
      </c>
    </row>
    <row r="72" spans="1:3" x14ac:dyDescent="0.25">
      <c r="A72" s="84">
        <v>46182</v>
      </c>
      <c r="B72" t="s">
        <v>221</v>
      </c>
      <c r="C72">
        <v>52.820599999999999</v>
      </c>
    </row>
    <row r="73" spans="1:3" x14ac:dyDescent="0.25">
      <c r="A73" s="84">
        <v>46182</v>
      </c>
      <c r="B73" t="s">
        <v>222</v>
      </c>
      <c r="C73">
        <v>52.9255</v>
      </c>
    </row>
    <row r="74" spans="1:3" x14ac:dyDescent="0.25">
      <c r="A74" s="84">
        <v>46189</v>
      </c>
      <c r="B74" s="88" t="s">
        <v>209</v>
      </c>
      <c r="C74">
        <v>56.5259</v>
      </c>
    </row>
    <row r="75" spans="1:3" x14ac:dyDescent="0.25">
      <c r="A75" s="84">
        <v>46189</v>
      </c>
      <c r="B75" s="88" t="s">
        <v>210</v>
      </c>
      <c r="C75">
        <v>56.821399999999997</v>
      </c>
    </row>
    <row r="76" spans="1:3" x14ac:dyDescent="0.25">
      <c r="A76" s="84">
        <v>46189</v>
      </c>
      <c r="B76" s="88" t="s">
        <v>211</v>
      </c>
      <c r="C76">
        <v>54.557899999999997</v>
      </c>
    </row>
    <row r="77" spans="1:3" x14ac:dyDescent="0.25">
      <c r="A77" s="84">
        <v>46189</v>
      </c>
      <c r="B77" s="88" t="s">
        <v>212</v>
      </c>
      <c r="C77">
        <v>54.452599999999997</v>
      </c>
    </row>
    <row r="78" spans="1:3" x14ac:dyDescent="0.25">
      <c r="A78" s="84">
        <v>46189</v>
      </c>
      <c r="B78" s="88" t="s">
        <v>236</v>
      </c>
      <c r="C78">
        <v>54.294600000000003</v>
      </c>
    </row>
    <row r="79" spans="1:3" x14ac:dyDescent="0.25">
      <c r="A79" s="84">
        <v>46189</v>
      </c>
      <c r="B79" s="88" t="s">
        <v>237</v>
      </c>
      <c r="C79">
        <v>54.159799999999997</v>
      </c>
    </row>
    <row r="80" spans="1:3" x14ac:dyDescent="0.25">
      <c r="A80" s="84">
        <v>46189</v>
      </c>
      <c r="B80" s="88" t="s">
        <v>238</v>
      </c>
      <c r="C80">
        <v>54.173099999999998</v>
      </c>
    </row>
    <row r="81" spans="1:3" x14ac:dyDescent="0.25">
      <c r="A81" s="84">
        <v>46189</v>
      </c>
      <c r="B81" s="88" t="s">
        <v>241</v>
      </c>
      <c r="C81">
        <v>54.628</v>
      </c>
    </row>
    <row r="82" spans="1:3" x14ac:dyDescent="0.25">
      <c r="A82" s="84">
        <v>46189</v>
      </c>
      <c r="B82" s="88" t="s">
        <v>242</v>
      </c>
      <c r="C82">
        <v>54.484999999999999</v>
      </c>
    </row>
    <row r="83" spans="1:3" x14ac:dyDescent="0.25">
      <c r="A83" s="84">
        <v>46189</v>
      </c>
      <c r="B83" s="88" t="s">
        <v>243</v>
      </c>
      <c r="C83">
        <v>53.751100000000001</v>
      </c>
    </row>
    <row r="84" spans="1:3" x14ac:dyDescent="0.25">
      <c r="A84" s="84">
        <v>46189</v>
      </c>
      <c r="B84" s="88" t="s">
        <v>244</v>
      </c>
      <c r="C84">
        <v>53.544499999999999</v>
      </c>
    </row>
    <row r="85" spans="1:3" x14ac:dyDescent="0.25">
      <c r="A85" s="84">
        <v>46189</v>
      </c>
      <c r="B85" t="s">
        <v>245</v>
      </c>
      <c r="C85">
        <v>52.6905</v>
      </c>
    </row>
    <row r="86" spans="1:3" x14ac:dyDescent="0.25">
      <c r="A86" s="84">
        <v>46189</v>
      </c>
      <c r="B86" t="s">
        <v>246</v>
      </c>
      <c r="C86">
        <v>52.705300000000001</v>
      </c>
    </row>
    <row r="87" spans="1:3" x14ac:dyDescent="0.25">
      <c r="A87" s="84">
        <v>46189</v>
      </c>
      <c r="B87" t="s">
        <v>247</v>
      </c>
      <c r="C87">
        <v>52.484999999999999</v>
      </c>
    </row>
    <row r="88" spans="1:3" x14ac:dyDescent="0.25">
      <c r="A88" s="84">
        <v>46189</v>
      </c>
      <c r="B88" t="s">
        <v>248</v>
      </c>
      <c r="C88">
        <v>52.449800000000003</v>
      </c>
    </row>
    <row r="89" spans="1:3" x14ac:dyDescent="0.25">
      <c r="A89" s="84">
        <v>46189</v>
      </c>
      <c r="B89" t="s">
        <v>213</v>
      </c>
      <c r="C89">
        <v>51.863700000000001</v>
      </c>
    </row>
    <row r="90" spans="1:3" x14ac:dyDescent="0.25">
      <c r="A90" s="84">
        <v>46189</v>
      </c>
      <c r="B90" t="s">
        <v>214</v>
      </c>
      <c r="C90">
        <v>51.982599999999998</v>
      </c>
    </row>
    <row r="91" spans="1:3" x14ac:dyDescent="0.25">
      <c r="A91" s="84">
        <v>46189</v>
      </c>
      <c r="B91" t="s">
        <v>215</v>
      </c>
      <c r="C91">
        <v>51.991500000000002</v>
      </c>
    </row>
    <row r="92" spans="1:3" x14ac:dyDescent="0.25">
      <c r="A92" s="84">
        <v>46189</v>
      </c>
      <c r="B92" t="s">
        <v>216</v>
      </c>
      <c r="C92">
        <v>52.34</v>
      </c>
    </row>
    <row r="93" spans="1:3" x14ac:dyDescent="0.25">
      <c r="A93" s="84">
        <v>46189</v>
      </c>
      <c r="B93" t="s">
        <v>218</v>
      </c>
      <c r="C93">
        <v>52.479700000000001</v>
      </c>
    </row>
    <row r="94" spans="1:3" x14ac:dyDescent="0.25">
      <c r="A94" s="84">
        <v>46189</v>
      </c>
      <c r="B94" t="s">
        <v>219</v>
      </c>
      <c r="C94">
        <v>52.546799999999998</v>
      </c>
    </row>
    <row r="95" spans="1:3" x14ac:dyDescent="0.25">
      <c r="A95" s="84">
        <v>46189</v>
      </c>
      <c r="B95" t="s">
        <v>220</v>
      </c>
      <c r="C95">
        <v>52.823700000000002</v>
      </c>
    </row>
    <row r="96" spans="1:3" x14ac:dyDescent="0.25">
      <c r="A96" s="84">
        <v>46189</v>
      </c>
      <c r="B96" t="s">
        <v>221</v>
      </c>
      <c r="C96">
        <v>52.820900000000002</v>
      </c>
    </row>
    <row r="97" spans="1:3" x14ac:dyDescent="0.25">
      <c r="A97" s="84">
        <v>46189</v>
      </c>
      <c r="B97" t="s">
        <v>222</v>
      </c>
      <c r="C97">
        <v>52.925600000000003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3794-886B-4384-8DE4-FB62FE1BBB07}">
  <dimension ref="A1:C41"/>
  <sheetViews>
    <sheetView topLeftCell="A16" workbookViewId="0">
      <selection activeCell="I38" sqref="I38"/>
    </sheetView>
  </sheetViews>
  <sheetFormatPr baseColWidth="10" defaultRowHeight="15" x14ac:dyDescent="0.25"/>
  <cols>
    <col min="2" max="3" width="11.42578125" style="88"/>
  </cols>
  <sheetData>
    <row r="1" spans="1:3" x14ac:dyDescent="0.25">
      <c r="A1" s="85" t="s">
        <v>17</v>
      </c>
      <c r="B1" s="85" t="s">
        <v>83</v>
      </c>
      <c r="C1" s="87" t="s">
        <v>68</v>
      </c>
    </row>
    <row r="2" spans="1:3" x14ac:dyDescent="0.25">
      <c r="A2" s="110">
        <v>46154</v>
      </c>
      <c r="B2" s="88" t="s">
        <v>199</v>
      </c>
      <c r="C2" s="88">
        <v>50.143599999999999</v>
      </c>
    </row>
    <row r="3" spans="1:3" x14ac:dyDescent="0.25">
      <c r="A3" s="110">
        <v>46154</v>
      </c>
      <c r="B3" s="88" t="s">
        <v>200</v>
      </c>
      <c r="C3" s="88">
        <v>50.165700000000001</v>
      </c>
    </row>
    <row r="4" spans="1:3" x14ac:dyDescent="0.25">
      <c r="A4" s="110">
        <v>46154</v>
      </c>
      <c r="B4" s="88" t="s">
        <v>201</v>
      </c>
      <c r="C4" s="88">
        <v>50.1571</v>
      </c>
    </row>
    <row r="5" spans="1:3" x14ac:dyDescent="0.25">
      <c r="A5" s="110">
        <v>46154</v>
      </c>
      <c r="B5" s="88" t="s">
        <v>202</v>
      </c>
      <c r="C5" s="88">
        <v>49.566499999999998</v>
      </c>
    </row>
    <row r="6" spans="1:3" x14ac:dyDescent="0.25">
      <c r="A6" s="110">
        <v>46154</v>
      </c>
      <c r="B6" s="88" t="s">
        <v>203</v>
      </c>
      <c r="C6" s="88">
        <v>49.549399999999999</v>
      </c>
    </row>
    <row r="7" spans="1:3" x14ac:dyDescent="0.25">
      <c r="A7" s="110">
        <v>46154</v>
      </c>
      <c r="B7" s="88" t="s">
        <v>204</v>
      </c>
      <c r="C7" s="88">
        <v>49.557200000000002</v>
      </c>
    </row>
    <row r="8" spans="1:3" x14ac:dyDescent="0.25">
      <c r="A8" s="110">
        <v>46154</v>
      </c>
      <c r="B8" s="88" t="s">
        <v>205</v>
      </c>
      <c r="C8" s="88">
        <v>49.566600000000001</v>
      </c>
    </row>
    <row r="9" spans="1:3" x14ac:dyDescent="0.25">
      <c r="A9" s="110">
        <v>46154</v>
      </c>
      <c r="B9" s="88" t="s">
        <v>206</v>
      </c>
      <c r="C9" s="88">
        <v>50.738399999999999</v>
      </c>
    </row>
    <row r="10" spans="1:3" x14ac:dyDescent="0.25">
      <c r="A10" s="110">
        <v>46154</v>
      </c>
      <c r="B10" s="88" t="s">
        <v>207</v>
      </c>
      <c r="C10" s="88">
        <v>50.773499999999999</v>
      </c>
    </row>
    <row r="11" spans="1:3" x14ac:dyDescent="0.25">
      <c r="A11" s="110">
        <v>46154</v>
      </c>
      <c r="B11" s="88" t="s">
        <v>208</v>
      </c>
      <c r="C11" s="88">
        <v>50.746699999999997</v>
      </c>
    </row>
    <row r="12" spans="1:3" x14ac:dyDescent="0.25">
      <c r="A12" s="110">
        <v>46168</v>
      </c>
      <c r="B12" s="88" t="s">
        <v>199</v>
      </c>
      <c r="C12" s="88">
        <v>50.142800000000001</v>
      </c>
    </row>
    <row r="13" spans="1:3" x14ac:dyDescent="0.25">
      <c r="A13" s="110">
        <v>46168</v>
      </c>
      <c r="B13" s="88" t="s">
        <v>200</v>
      </c>
      <c r="C13" s="88">
        <v>50.165300000000002</v>
      </c>
    </row>
    <row r="14" spans="1:3" x14ac:dyDescent="0.25">
      <c r="A14" s="110">
        <v>46168</v>
      </c>
      <c r="B14" s="88" t="s">
        <v>201</v>
      </c>
      <c r="C14" s="88">
        <v>50.1571</v>
      </c>
    </row>
    <row r="15" spans="1:3" x14ac:dyDescent="0.25">
      <c r="A15" s="110">
        <v>46168</v>
      </c>
      <c r="B15" s="88" t="s">
        <v>202</v>
      </c>
      <c r="C15" s="88">
        <v>49.566100000000006</v>
      </c>
    </row>
    <row r="16" spans="1:3" x14ac:dyDescent="0.25">
      <c r="A16" s="110">
        <v>46168</v>
      </c>
      <c r="B16" s="88" t="s">
        <v>203</v>
      </c>
      <c r="C16" s="88">
        <v>49.548900000000003</v>
      </c>
    </row>
    <row r="17" spans="1:3" x14ac:dyDescent="0.25">
      <c r="A17" s="110">
        <v>46168</v>
      </c>
      <c r="B17" s="88" t="s">
        <v>204</v>
      </c>
      <c r="C17" s="88">
        <v>49.556800000000003</v>
      </c>
    </row>
    <row r="18" spans="1:3" x14ac:dyDescent="0.25">
      <c r="A18" s="110">
        <v>46168</v>
      </c>
      <c r="B18" s="88" t="s">
        <v>205</v>
      </c>
      <c r="C18" s="88">
        <v>49.565900000000006</v>
      </c>
    </row>
    <row r="19" spans="1:3" x14ac:dyDescent="0.25">
      <c r="A19" s="110">
        <v>46168</v>
      </c>
      <c r="B19" s="88" t="s">
        <v>206</v>
      </c>
      <c r="C19" s="88">
        <v>50.738900000000001</v>
      </c>
    </row>
    <row r="20" spans="1:3" x14ac:dyDescent="0.25">
      <c r="A20" s="110">
        <v>46168</v>
      </c>
      <c r="B20" s="88" t="s">
        <v>207</v>
      </c>
      <c r="C20" s="88">
        <v>50.773400000000002</v>
      </c>
    </row>
    <row r="21" spans="1:3" x14ac:dyDescent="0.25">
      <c r="A21" s="110">
        <v>46168</v>
      </c>
      <c r="B21" s="88" t="s">
        <v>208</v>
      </c>
      <c r="C21" s="88">
        <v>50.747100000000003</v>
      </c>
    </row>
    <row r="22" spans="1:3" x14ac:dyDescent="0.25">
      <c r="A22" s="110">
        <v>46182</v>
      </c>
      <c r="B22" t="s">
        <v>199</v>
      </c>
      <c r="C22">
        <v>50.142900000000004</v>
      </c>
    </row>
    <row r="23" spans="1:3" x14ac:dyDescent="0.25">
      <c r="A23" s="110">
        <v>46182</v>
      </c>
      <c r="B23" t="s">
        <v>200</v>
      </c>
      <c r="C23">
        <v>50.165300000000002</v>
      </c>
    </row>
    <row r="24" spans="1:3" x14ac:dyDescent="0.25">
      <c r="A24" s="110">
        <v>46182</v>
      </c>
      <c r="B24" t="s">
        <v>201</v>
      </c>
      <c r="C24">
        <v>50.157000000000004</v>
      </c>
    </row>
    <row r="25" spans="1:3" x14ac:dyDescent="0.25">
      <c r="A25" s="110">
        <v>46182</v>
      </c>
      <c r="B25" t="s">
        <v>202</v>
      </c>
      <c r="C25">
        <v>49.565700000000007</v>
      </c>
    </row>
    <row r="26" spans="1:3" x14ac:dyDescent="0.25">
      <c r="A26" s="110">
        <v>46182</v>
      </c>
      <c r="B26" t="s">
        <v>203</v>
      </c>
      <c r="C26">
        <v>49.548700000000004</v>
      </c>
    </row>
    <row r="27" spans="1:3" x14ac:dyDescent="0.25">
      <c r="A27" s="110">
        <v>46182</v>
      </c>
      <c r="B27" t="s">
        <v>204</v>
      </c>
      <c r="C27">
        <v>49.5565</v>
      </c>
    </row>
    <row r="28" spans="1:3" x14ac:dyDescent="0.25">
      <c r="A28" s="110">
        <v>46182</v>
      </c>
      <c r="B28" t="s">
        <v>205</v>
      </c>
      <c r="C28">
        <v>49.565600000000003</v>
      </c>
    </row>
    <row r="29" spans="1:3" x14ac:dyDescent="0.25">
      <c r="A29" s="110">
        <v>46182</v>
      </c>
      <c r="B29" t="s">
        <v>206</v>
      </c>
      <c r="C29">
        <v>50.737900000000003</v>
      </c>
    </row>
    <row r="30" spans="1:3" x14ac:dyDescent="0.25">
      <c r="A30" s="110">
        <v>46182</v>
      </c>
      <c r="B30" t="s">
        <v>207</v>
      </c>
      <c r="C30">
        <v>50.773200000000003</v>
      </c>
    </row>
    <row r="31" spans="1:3" x14ac:dyDescent="0.25">
      <c r="A31" s="110">
        <v>46182</v>
      </c>
      <c r="B31" t="s">
        <v>208</v>
      </c>
      <c r="C31">
        <v>50.746500000000005</v>
      </c>
    </row>
    <row r="32" spans="1:3" x14ac:dyDescent="0.25">
      <c r="A32" s="110">
        <v>46190</v>
      </c>
      <c r="B32" t="s">
        <v>258</v>
      </c>
      <c r="C32">
        <v>50.142899999999997</v>
      </c>
    </row>
    <row r="33" spans="1:3" x14ac:dyDescent="0.25">
      <c r="A33" s="110">
        <v>46190</v>
      </c>
      <c r="B33" t="s">
        <v>259</v>
      </c>
      <c r="C33">
        <v>50.165199999999999</v>
      </c>
    </row>
    <row r="34" spans="1:3" x14ac:dyDescent="0.25">
      <c r="A34" s="110">
        <v>46190</v>
      </c>
      <c r="B34" t="s">
        <v>260</v>
      </c>
      <c r="C34">
        <v>50.1571</v>
      </c>
    </row>
    <row r="35" spans="1:3" x14ac:dyDescent="0.25">
      <c r="A35" s="110">
        <v>46190</v>
      </c>
      <c r="B35" t="s">
        <v>261</v>
      </c>
      <c r="C35">
        <v>49.565999999999995</v>
      </c>
    </row>
    <row r="36" spans="1:3" x14ac:dyDescent="0.25">
      <c r="A36" s="110">
        <v>46190</v>
      </c>
      <c r="B36" t="s">
        <v>262</v>
      </c>
      <c r="C36">
        <v>49.548699999999997</v>
      </c>
    </row>
    <row r="37" spans="1:3" x14ac:dyDescent="0.25">
      <c r="A37" s="110">
        <v>46190</v>
      </c>
      <c r="B37" t="s">
        <v>263</v>
      </c>
      <c r="C37">
        <v>49.5565</v>
      </c>
    </row>
    <row r="38" spans="1:3" x14ac:dyDescent="0.25">
      <c r="A38" s="110">
        <v>46190</v>
      </c>
      <c r="B38" t="s">
        <v>264</v>
      </c>
      <c r="C38">
        <v>49.565899999999999</v>
      </c>
    </row>
    <row r="39" spans="1:3" x14ac:dyDescent="0.25">
      <c r="A39" s="110">
        <v>46190</v>
      </c>
      <c r="B39" t="s">
        <v>265</v>
      </c>
      <c r="C39">
        <v>50.737299999999998</v>
      </c>
    </row>
    <row r="40" spans="1:3" x14ac:dyDescent="0.25">
      <c r="A40" s="110">
        <v>46190</v>
      </c>
      <c r="B40" t="s">
        <v>266</v>
      </c>
      <c r="C40">
        <v>50.7729</v>
      </c>
    </row>
    <row r="41" spans="1:3" x14ac:dyDescent="0.25">
      <c r="A41" s="110">
        <v>46190</v>
      </c>
      <c r="B41" t="s">
        <v>208</v>
      </c>
      <c r="C41">
        <v>50.745899999999999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D0F9-D688-4E58-961B-AF29232B5757}">
  <dimension ref="A1:D1213"/>
  <sheetViews>
    <sheetView topLeftCell="A1198" workbookViewId="0">
      <selection activeCell="M1229" sqref="M1229"/>
    </sheetView>
  </sheetViews>
  <sheetFormatPr baseColWidth="10" defaultRowHeight="15" x14ac:dyDescent="0.25"/>
  <cols>
    <col min="1" max="2" width="11.42578125" style="86"/>
    <col min="3" max="3" width="11.42578125" style="90"/>
  </cols>
  <sheetData>
    <row r="1" spans="1:3" x14ac:dyDescent="0.25">
      <c r="A1" s="85" t="s">
        <v>17</v>
      </c>
      <c r="B1" s="85" t="s">
        <v>83</v>
      </c>
      <c r="C1" s="87" t="s">
        <v>68</v>
      </c>
    </row>
    <row r="2" spans="1:3" x14ac:dyDescent="0.25">
      <c r="A2" s="89">
        <v>45959</v>
      </c>
      <c r="B2" s="86" t="s">
        <v>94</v>
      </c>
      <c r="C2" s="90">
        <v>73.514499999999998</v>
      </c>
    </row>
    <row r="3" spans="1:3" x14ac:dyDescent="0.25">
      <c r="A3" s="89">
        <v>45959</v>
      </c>
      <c r="B3" s="86" t="s">
        <v>95</v>
      </c>
      <c r="C3" s="90">
        <v>73.503600000000006</v>
      </c>
    </row>
    <row r="4" spans="1:3" x14ac:dyDescent="0.25">
      <c r="A4" s="89">
        <v>45959</v>
      </c>
      <c r="B4" s="86" t="s">
        <v>96</v>
      </c>
      <c r="C4" s="90">
        <v>73.506799999999998</v>
      </c>
    </row>
    <row r="5" spans="1:3" x14ac:dyDescent="0.25">
      <c r="A5" s="89">
        <v>45959</v>
      </c>
      <c r="B5" s="86" t="s">
        <v>97</v>
      </c>
      <c r="C5" s="90">
        <v>73.4816</v>
      </c>
    </row>
    <row r="6" spans="1:3" x14ac:dyDescent="0.25">
      <c r="A6" s="89">
        <v>45959</v>
      </c>
      <c r="B6" s="86" t="s">
        <v>98</v>
      </c>
      <c r="C6" s="90">
        <v>73.483800000000002</v>
      </c>
    </row>
    <row r="7" spans="1:3" x14ac:dyDescent="0.25">
      <c r="A7" s="89">
        <v>45959</v>
      </c>
      <c r="B7" s="86" t="s">
        <v>99</v>
      </c>
      <c r="C7" s="90">
        <v>73.503500000000003</v>
      </c>
    </row>
    <row r="8" spans="1:3" x14ac:dyDescent="0.25">
      <c r="A8" s="89">
        <v>45959</v>
      </c>
      <c r="B8" s="86" t="s">
        <v>100</v>
      </c>
      <c r="C8" s="90">
        <v>73.489400000000003</v>
      </c>
    </row>
    <row r="9" spans="1:3" x14ac:dyDescent="0.25">
      <c r="A9" s="89">
        <v>45959</v>
      </c>
      <c r="B9" s="86" t="s">
        <v>101</v>
      </c>
      <c r="C9" s="90">
        <v>73.486199999999997</v>
      </c>
    </row>
    <row r="10" spans="1:3" x14ac:dyDescent="0.25">
      <c r="A10" s="89">
        <v>45959</v>
      </c>
      <c r="B10" s="86" t="s">
        <v>102</v>
      </c>
      <c r="C10" s="90">
        <v>73.488699999999994</v>
      </c>
    </row>
    <row r="11" spans="1:3" x14ac:dyDescent="0.25">
      <c r="A11" s="89">
        <v>45959</v>
      </c>
      <c r="B11" s="86" t="s">
        <v>103</v>
      </c>
      <c r="C11" s="90">
        <v>73.494900000000001</v>
      </c>
    </row>
    <row r="12" spans="1:3" x14ac:dyDescent="0.25">
      <c r="A12" s="89">
        <v>45964</v>
      </c>
      <c r="B12" s="86" t="s">
        <v>94</v>
      </c>
      <c r="C12" s="90">
        <v>73.5154</v>
      </c>
    </row>
    <row r="13" spans="1:3" x14ac:dyDescent="0.25">
      <c r="A13" s="89">
        <v>45964</v>
      </c>
      <c r="B13" s="86" t="s">
        <v>95</v>
      </c>
      <c r="C13" s="90">
        <v>73.504499999999993</v>
      </c>
    </row>
    <row r="14" spans="1:3" x14ac:dyDescent="0.25">
      <c r="A14" s="89">
        <v>45964</v>
      </c>
      <c r="B14" s="86" t="s">
        <v>96</v>
      </c>
      <c r="C14" s="90">
        <v>73.507900000000006</v>
      </c>
    </row>
    <row r="15" spans="1:3" x14ac:dyDescent="0.25">
      <c r="A15" s="89">
        <v>45964</v>
      </c>
      <c r="B15" s="86" t="s">
        <v>97</v>
      </c>
      <c r="C15" s="90">
        <v>73.482399999999998</v>
      </c>
    </row>
    <row r="16" spans="1:3" x14ac:dyDescent="0.25">
      <c r="A16" s="89">
        <v>45964</v>
      </c>
      <c r="B16" s="86" t="s">
        <v>98</v>
      </c>
      <c r="C16" s="90">
        <v>73.4846</v>
      </c>
    </row>
    <row r="17" spans="1:3" x14ac:dyDescent="0.25">
      <c r="A17" s="89">
        <v>45964</v>
      </c>
      <c r="B17" s="86" t="s">
        <v>99</v>
      </c>
      <c r="C17" s="90">
        <v>73.504400000000004</v>
      </c>
    </row>
    <row r="18" spans="1:3" x14ac:dyDescent="0.25">
      <c r="A18" s="89">
        <v>45964</v>
      </c>
      <c r="B18" s="86" t="s">
        <v>100</v>
      </c>
      <c r="C18" s="90">
        <v>73.490300000000005</v>
      </c>
    </row>
    <row r="19" spans="1:3" x14ac:dyDescent="0.25">
      <c r="A19" s="89">
        <v>45964</v>
      </c>
      <c r="B19" s="86" t="s">
        <v>101</v>
      </c>
      <c r="C19" s="90">
        <v>73.486999999999995</v>
      </c>
    </row>
    <row r="20" spans="1:3" x14ac:dyDescent="0.25">
      <c r="A20" s="89">
        <v>45964</v>
      </c>
      <c r="B20" s="86" t="s">
        <v>102</v>
      </c>
      <c r="C20" s="90">
        <v>73.489699999999999</v>
      </c>
    </row>
    <row r="21" spans="1:3" x14ac:dyDescent="0.25">
      <c r="A21" s="89">
        <v>45964</v>
      </c>
      <c r="B21" s="86" t="s">
        <v>103</v>
      </c>
      <c r="C21" s="90">
        <v>73.495500000000007</v>
      </c>
    </row>
    <row r="22" spans="1:3" x14ac:dyDescent="0.25">
      <c r="A22" s="89">
        <v>45967</v>
      </c>
      <c r="B22" s="86" t="s">
        <v>94</v>
      </c>
      <c r="C22" s="90">
        <v>73.515199999999993</v>
      </c>
    </row>
    <row r="23" spans="1:3" x14ac:dyDescent="0.25">
      <c r="A23" s="89">
        <v>45967</v>
      </c>
      <c r="B23" s="86" t="s">
        <v>95</v>
      </c>
      <c r="C23" s="90">
        <v>73.504300000000001</v>
      </c>
    </row>
    <row r="24" spans="1:3" x14ac:dyDescent="0.25">
      <c r="A24" s="89">
        <v>45967</v>
      </c>
      <c r="B24" s="86" t="s">
        <v>96</v>
      </c>
      <c r="C24" s="90">
        <v>73.507400000000004</v>
      </c>
    </row>
    <row r="25" spans="1:3" x14ac:dyDescent="0.25">
      <c r="A25" s="89">
        <v>45967</v>
      </c>
      <c r="B25" s="86" t="s">
        <v>97</v>
      </c>
      <c r="C25" s="90">
        <v>73.482399999999998</v>
      </c>
    </row>
    <row r="26" spans="1:3" x14ac:dyDescent="0.25">
      <c r="A26" s="89">
        <v>45967</v>
      </c>
      <c r="B26" s="86" t="s">
        <v>98</v>
      </c>
      <c r="C26" s="90">
        <v>73.484499999999997</v>
      </c>
    </row>
    <row r="27" spans="1:3" x14ac:dyDescent="0.25">
      <c r="A27" s="89">
        <v>45967</v>
      </c>
      <c r="B27" s="86" t="s">
        <v>99</v>
      </c>
      <c r="C27" s="90">
        <v>73.504199999999997</v>
      </c>
    </row>
    <row r="28" spans="1:3" x14ac:dyDescent="0.25">
      <c r="A28" s="89">
        <v>45967</v>
      </c>
      <c r="B28" s="86" t="s">
        <v>100</v>
      </c>
      <c r="C28" s="90">
        <v>73.490200000000002</v>
      </c>
    </row>
    <row r="29" spans="1:3" x14ac:dyDescent="0.25">
      <c r="A29" s="89">
        <v>45967</v>
      </c>
      <c r="B29" s="86" t="s">
        <v>101</v>
      </c>
      <c r="C29" s="90">
        <v>73.487099999999998</v>
      </c>
    </row>
    <row r="30" spans="1:3" x14ac:dyDescent="0.25">
      <c r="A30" s="89">
        <v>45967</v>
      </c>
      <c r="B30" s="86" t="s">
        <v>102</v>
      </c>
      <c r="C30" s="90">
        <v>73.489500000000007</v>
      </c>
    </row>
    <row r="31" spans="1:3" x14ac:dyDescent="0.25">
      <c r="A31" s="89">
        <v>45967</v>
      </c>
      <c r="B31" s="86" t="s">
        <v>103</v>
      </c>
      <c r="C31" s="90">
        <v>73.495199999999997</v>
      </c>
    </row>
    <row r="32" spans="1:3" x14ac:dyDescent="0.25">
      <c r="A32" s="89">
        <v>45971</v>
      </c>
      <c r="B32" s="86" t="s">
        <v>94</v>
      </c>
      <c r="C32" s="90">
        <v>73.516099999999994</v>
      </c>
    </row>
    <row r="33" spans="1:3" x14ac:dyDescent="0.25">
      <c r="A33" s="89">
        <v>45971</v>
      </c>
      <c r="B33" s="86" t="s">
        <v>95</v>
      </c>
      <c r="C33" s="90">
        <v>73.505200000000002</v>
      </c>
    </row>
    <row r="34" spans="1:3" x14ac:dyDescent="0.25">
      <c r="A34" s="89">
        <v>45971</v>
      </c>
      <c r="B34" s="86" t="s">
        <v>96</v>
      </c>
      <c r="C34" s="90">
        <v>73.508399999999995</v>
      </c>
    </row>
    <row r="35" spans="1:3" x14ac:dyDescent="0.25">
      <c r="A35" s="89">
        <v>45971</v>
      </c>
      <c r="B35" s="86" t="s">
        <v>97</v>
      </c>
      <c r="C35" s="90">
        <v>73.483400000000003</v>
      </c>
    </row>
    <row r="36" spans="1:3" x14ac:dyDescent="0.25">
      <c r="A36" s="89">
        <v>45971</v>
      </c>
      <c r="B36" s="86" t="s">
        <v>98</v>
      </c>
      <c r="C36" s="90">
        <v>73.485500000000002</v>
      </c>
    </row>
    <row r="37" spans="1:3" x14ac:dyDescent="0.25">
      <c r="A37" s="89">
        <v>45971</v>
      </c>
      <c r="B37" s="86" t="s">
        <v>99</v>
      </c>
      <c r="C37" s="90">
        <v>73.505399999999995</v>
      </c>
    </row>
    <row r="38" spans="1:3" x14ac:dyDescent="0.25">
      <c r="A38" s="89">
        <v>45971</v>
      </c>
      <c r="B38" s="86" t="s">
        <v>100</v>
      </c>
      <c r="C38" s="90">
        <v>73.491399999999999</v>
      </c>
    </row>
    <row r="39" spans="1:3" x14ac:dyDescent="0.25">
      <c r="A39" s="89">
        <v>45971</v>
      </c>
      <c r="B39" s="86" t="s">
        <v>101</v>
      </c>
      <c r="C39" s="90">
        <v>73.488100000000003</v>
      </c>
    </row>
    <row r="40" spans="1:3" x14ac:dyDescent="0.25">
      <c r="A40" s="89">
        <v>45971</v>
      </c>
      <c r="B40" s="86" t="s">
        <v>102</v>
      </c>
      <c r="C40" s="90">
        <v>73.490700000000004</v>
      </c>
    </row>
    <row r="41" spans="1:3" x14ac:dyDescent="0.25">
      <c r="A41" s="89">
        <v>45971</v>
      </c>
      <c r="B41" s="86" t="s">
        <v>103</v>
      </c>
      <c r="C41" s="90">
        <v>73.496300000000005</v>
      </c>
    </row>
    <row r="42" spans="1:3" x14ac:dyDescent="0.25">
      <c r="A42" s="89">
        <v>45978</v>
      </c>
      <c r="B42" s="88" t="s">
        <v>94</v>
      </c>
      <c r="C42" s="91">
        <v>73.515600000000006</v>
      </c>
    </row>
    <row r="43" spans="1:3" x14ac:dyDescent="0.25">
      <c r="A43" s="89">
        <v>45978</v>
      </c>
      <c r="B43" s="88" t="s">
        <v>95</v>
      </c>
      <c r="C43" s="91">
        <v>73.504900000000006</v>
      </c>
    </row>
    <row r="44" spans="1:3" x14ac:dyDescent="0.25">
      <c r="A44" s="89">
        <v>45978</v>
      </c>
      <c r="B44" s="88" t="s">
        <v>96</v>
      </c>
      <c r="C44" s="91">
        <v>73.507800000000003</v>
      </c>
    </row>
    <row r="45" spans="1:3" x14ac:dyDescent="0.25">
      <c r="A45" s="89">
        <v>45978</v>
      </c>
      <c r="B45" s="88" t="s">
        <v>97</v>
      </c>
      <c r="C45" s="91">
        <v>73.483000000000004</v>
      </c>
    </row>
    <row r="46" spans="1:3" x14ac:dyDescent="0.25">
      <c r="A46" s="89">
        <v>45978</v>
      </c>
      <c r="B46" s="88" t="s">
        <v>98</v>
      </c>
      <c r="C46" s="91">
        <v>73.485100000000003</v>
      </c>
    </row>
    <row r="47" spans="1:3" x14ac:dyDescent="0.25">
      <c r="A47" s="89">
        <v>45978</v>
      </c>
      <c r="B47" s="88" t="s">
        <v>99</v>
      </c>
      <c r="C47" s="91">
        <v>73.5047</v>
      </c>
    </row>
    <row r="48" spans="1:3" x14ac:dyDescent="0.25">
      <c r="A48" s="89">
        <v>45978</v>
      </c>
      <c r="B48" s="88" t="s">
        <v>100</v>
      </c>
      <c r="C48" s="91">
        <v>73.491100000000003</v>
      </c>
    </row>
    <row r="49" spans="1:3" x14ac:dyDescent="0.25">
      <c r="A49" s="89">
        <v>45978</v>
      </c>
      <c r="B49" s="88" t="s">
        <v>101</v>
      </c>
      <c r="C49" s="91">
        <v>73.487700000000004</v>
      </c>
    </row>
    <row r="50" spans="1:3" x14ac:dyDescent="0.25">
      <c r="A50" s="89">
        <v>45978</v>
      </c>
      <c r="B50" s="88" t="s">
        <v>102</v>
      </c>
      <c r="C50" s="91">
        <v>73.490099999999998</v>
      </c>
    </row>
    <row r="51" spans="1:3" x14ac:dyDescent="0.25">
      <c r="A51" s="89">
        <v>45978</v>
      </c>
      <c r="B51" s="88" t="s">
        <v>103</v>
      </c>
      <c r="C51" s="91">
        <v>73.495500000000007</v>
      </c>
    </row>
    <row r="52" spans="1:3" x14ac:dyDescent="0.25">
      <c r="A52" s="89">
        <v>45986</v>
      </c>
      <c r="B52" s="88" t="s">
        <v>94</v>
      </c>
      <c r="C52" s="91">
        <v>73.5154</v>
      </c>
    </row>
    <row r="53" spans="1:3" x14ac:dyDescent="0.25">
      <c r="A53" s="89">
        <v>45986</v>
      </c>
      <c r="B53" s="88" t="s">
        <v>95</v>
      </c>
      <c r="C53" s="91">
        <v>73.5047</v>
      </c>
    </row>
    <row r="54" spans="1:3" x14ac:dyDescent="0.25">
      <c r="A54" s="89">
        <v>45986</v>
      </c>
      <c r="B54" s="88" t="s">
        <v>96</v>
      </c>
      <c r="C54" s="91">
        <v>73.507599999999996</v>
      </c>
    </row>
    <row r="55" spans="1:3" x14ac:dyDescent="0.25">
      <c r="A55" s="89">
        <v>45986</v>
      </c>
      <c r="B55" s="88" t="s">
        <v>97</v>
      </c>
      <c r="C55" s="91">
        <v>73.482600000000005</v>
      </c>
    </row>
    <row r="56" spans="1:3" x14ac:dyDescent="0.25">
      <c r="A56" s="89">
        <v>45986</v>
      </c>
      <c r="B56" s="88" t="s">
        <v>98</v>
      </c>
      <c r="C56" s="91">
        <v>73.484800000000007</v>
      </c>
    </row>
    <row r="57" spans="1:3" x14ac:dyDescent="0.25">
      <c r="A57" s="89">
        <v>45986</v>
      </c>
      <c r="B57" s="88" t="s">
        <v>99</v>
      </c>
      <c r="C57" s="91">
        <v>73.504300000000001</v>
      </c>
    </row>
    <row r="58" spans="1:3" x14ac:dyDescent="0.25">
      <c r="A58" s="89">
        <v>45986</v>
      </c>
      <c r="B58" s="88" t="s">
        <v>100</v>
      </c>
      <c r="C58" s="91">
        <v>73.490600000000001</v>
      </c>
    </row>
    <row r="59" spans="1:3" x14ac:dyDescent="0.25">
      <c r="A59" s="89">
        <v>45986</v>
      </c>
      <c r="B59" s="88" t="s">
        <v>101</v>
      </c>
      <c r="C59" s="91">
        <v>73.487499999999997</v>
      </c>
    </row>
    <row r="60" spans="1:3" x14ac:dyDescent="0.25">
      <c r="A60" s="89">
        <v>45986</v>
      </c>
      <c r="B60" s="88" t="s">
        <v>102</v>
      </c>
      <c r="C60" s="91">
        <v>73.489800000000002</v>
      </c>
    </row>
    <row r="61" spans="1:3" x14ac:dyDescent="0.25">
      <c r="A61" s="89">
        <v>45986</v>
      </c>
      <c r="B61" s="88" t="s">
        <v>103</v>
      </c>
      <c r="C61" s="91">
        <v>73.495099999999994</v>
      </c>
    </row>
    <row r="62" spans="1:3" x14ac:dyDescent="0.25">
      <c r="A62" s="89">
        <v>45989</v>
      </c>
      <c r="B62" s="88" t="s">
        <v>94</v>
      </c>
      <c r="C62" s="91">
        <v>73.515799999999999</v>
      </c>
    </row>
    <row r="63" spans="1:3" x14ac:dyDescent="0.25">
      <c r="A63" s="89">
        <v>45989</v>
      </c>
      <c r="B63" s="88" t="s">
        <v>95</v>
      </c>
      <c r="C63" s="91">
        <v>73.505099999999999</v>
      </c>
    </row>
    <row r="64" spans="1:3" x14ac:dyDescent="0.25">
      <c r="A64" s="89">
        <v>45989</v>
      </c>
      <c r="B64" s="88" t="s">
        <v>96</v>
      </c>
      <c r="C64" s="91">
        <v>73.508099999999999</v>
      </c>
    </row>
    <row r="65" spans="1:3" x14ac:dyDescent="0.25">
      <c r="A65" s="89">
        <v>45989</v>
      </c>
      <c r="B65" s="88" t="s">
        <v>97</v>
      </c>
      <c r="C65" s="91">
        <v>73.483099999999993</v>
      </c>
    </row>
    <row r="66" spans="1:3" x14ac:dyDescent="0.25">
      <c r="A66" s="89">
        <v>45989</v>
      </c>
      <c r="B66" s="88" t="s">
        <v>98</v>
      </c>
      <c r="C66" s="91">
        <v>73.485299999999995</v>
      </c>
    </row>
    <row r="67" spans="1:3" x14ac:dyDescent="0.25">
      <c r="A67" s="89">
        <v>45989</v>
      </c>
      <c r="B67" s="88" t="s">
        <v>99</v>
      </c>
      <c r="C67" s="91">
        <v>73.504900000000006</v>
      </c>
    </row>
    <row r="68" spans="1:3" x14ac:dyDescent="0.25">
      <c r="A68" s="89">
        <v>45989</v>
      </c>
      <c r="B68" s="88" t="s">
        <v>100</v>
      </c>
      <c r="C68" s="91">
        <v>73.491299999999995</v>
      </c>
    </row>
    <row r="69" spans="1:3" x14ac:dyDescent="0.25">
      <c r="A69" s="89">
        <v>45989</v>
      </c>
      <c r="B69" s="88" t="s">
        <v>101</v>
      </c>
      <c r="C69" s="91">
        <v>73.488200000000006</v>
      </c>
    </row>
    <row r="70" spans="1:3" x14ac:dyDescent="0.25">
      <c r="A70" s="89">
        <v>45989</v>
      </c>
      <c r="B70" s="88" t="s">
        <v>102</v>
      </c>
      <c r="C70" s="91">
        <v>73.490399999999994</v>
      </c>
    </row>
    <row r="71" spans="1:3" x14ac:dyDescent="0.25">
      <c r="A71" s="89">
        <v>45989</v>
      </c>
      <c r="B71" s="88" t="s">
        <v>103</v>
      </c>
      <c r="C71" s="91">
        <v>73.495800000000003</v>
      </c>
    </row>
    <row r="72" spans="1:3" x14ac:dyDescent="0.25">
      <c r="A72" s="89">
        <v>45992</v>
      </c>
      <c r="B72" s="88" t="s">
        <v>94</v>
      </c>
      <c r="C72" s="91">
        <v>73.5154</v>
      </c>
    </row>
    <row r="73" spans="1:3" x14ac:dyDescent="0.25">
      <c r="A73" s="89">
        <v>45992</v>
      </c>
      <c r="B73" s="88" t="s">
        <v>95</v>
      </c>
      <c r="C73" s="91">
        <v>73.504499999999993</v>
      </c>
    </row>
    <row r="74" spans="1:3" x14ac:dyDescent="0.25">
      <c r="A74" s="89">
        <v>45992</v>
      </c>
      <c r="B74" s="88" t="s">
        <v>96</v>
      </c>
      <c r="C74" s="91">
        <v>73.507599999999996</v>
      </c>
    </row>
    <row r="75" spans="1:3" x14ac:dyDescent="0.25">
      <c r="A75" s="89">
        <v>45992</v>
      </c>
      <c r="B75" s="88" t="s">
        <v>97</v>
      </c>
      <c r="C75" s="91">
        <v>73.482600000000005</v>
      </c>
    </row>
    <row r="76" spans="1:3" x14ac:dyDescent="0.25">
      <c r="A76" s="89">
        <v>45992</v>
      </c>
      <c r="B76" s="88" t="s">
        <v>98</v>
      </c>
      <c r="C76" s="91">
        <v>73.484800000000007</v>
      </c>
    </row>
    <row r="77" spans="1:3" x14ac:dyDescent="0.25">
      <c r="A77" s="89">
        <v>45992</v>
      </c>
      <c r="B77" s="88" t="s">
        <v>99</v>
      </c>
      <c r="C77" s="91">
        <v>73.504499999999993</v>
      </c>
    </row>
    <row r="78" spans="1:3" x14ac:dyDescent="0.25">
      <c r="A78" s="89">
        <v>45992</v>
      </c>
      <c r="B78" s="88" t="s">
        <v>100</v>
      </c>
      <c r="C78" s="91">
        <v>73.490799999999993</v>
      </c>
    </row>
    <row r="79" spans="1:3" x14ac:dyDescent="0.25">
      <c r="A79" s="89">
        <v>45992</v>
      </c>
      <c r="B79" s="88" t="s">
        <v>101</v>
      </c>
      <c r="C79" s="91">
        <v>73.4876</v>
      </c>
    </row>
    <row r="80" spans="1:3" x14ac:dyDescent="0.25">
      <c r="A80" s="89">
        <v>45992</v>
      </c>
      <c r="B80" s="88" t="s">
        <v>102</v>
      </c>
      <c r="C80" s="91">
        <v>73.489900000000006</v>
      </c>
    </row>
    <row r="81" spans="1:3" x14ac:dyDescent="0.25">
      <c r="A81" s="89">
        <v>45992</v>
      </c>
      <c r="B81" s="88" t="s">
        <v>103</v>
      </c>
      <c r="C81" s="91">
        <v>73.495500000000007</v>
      </c>
    </row>
    <row r="82" spans="1:3" x14ac:dyDescent="0.25">
      <c r="A82" s="89">
        <v>45993</v>
      </c>
      <c r="B82" s="88" t="s">
        <v>94</v>
      </c>
      <c r="C82" s="91">
        <v>73.515299999999996</v>
      </c>
    </row>
    <row r="83" spans="1:3" x14ac:dyDescent="0.25">
      <c r="A83" s="89">
        <v>45993</v>
      </c>
      <c r="B83" s="88" t="s">
        <v>95</v>
      </c>
      <c r="C83" s="91">
        <v>73.504400000000004</v>
      </c>
    </row>
    <row r="84" spans="1:3" x14ac:dyDescent="0.25">
      <c r="A84" s="89">
        <v>45993</v>
      </c>
      <c r="B84" s="88" t="s">
        <v>96</v>
      </c>
      <c r="C84" s="91">
        <v>73.507400000000004</v>
      </c>
    </row>
    <row r="85" spans="1:3" x14ac:dyDescent="0.25">
      <c r="A85" s="89">
        <v>45993</v>
      </c>
      <c r="B85" s="88" t="s">
        <v>97</v>
      </c>
      <c r="C85" s="91">
        <v>73.482500000000002</v>
      </c>
    </row>
    <row r="86" spans="1:3" x14ac:dyDescent="0.25">
      <c r="A86" s="89">
        <v>45993</v>
      </c>
      <c r="B86" s="88" t="s">
        <v>98</v>
      </c>
      <c r="C86" s="91">
        <v>73.4846</v>
      </c>
    </row>
    <row r="87" spans="1:3" x14ac:dyDescent="0.25">
      <c r="A87" s="89">
        <v>45993</v>
      </c>
      <c r="B87" s="88" t="s">
        <v>99</v>
      </c>
      <c r="C87" s="91">
        <v>73.504199999999997</v>
      </c>
    </row>
    <row r="88" spans="1:3" x14ac:dyDescent="0.25">
      <c r="A88" s="89">
        <v>45993</v>
      </c>
      <c r="B88" s="88" t="s">
        <v>100</v>
      </c>
      <c r="C88" s="91">
        <v>73.490899999999996</v>
      </c>
    </row>
    <row r="89" spans="1:3" x14ac:dyDescent="0.25">
      <c r="A89" s="89">
        <v>45993</v>
      </c>
      <c r="B89" s="88" t="s">
        <v>101</v>
      </c>
      <c r="C89" s="91">
        <v>73.487700000000004</v>
      </c>
    </row>
    <row r="90" spans="1:3" x14ac:dyDescent="0.25">
      <c r="A90" s="89">
        <v>45993</v>
      </c>
      <c r="B90" s="88" t="s">
        <v>102</v>
      </c>
      <c r="C90" s="91">
        <v>73.489900000000006</v>
      </c>
    </row>
    <row r="91" spans="1:3" x14ac:dyDescent="0.25">
      <c r="A91" s="89">
        <v>45993</v>
      </c>
      <c r="B91" s="88" t="s">
        <v>103</v>
      </c>
      <c r="C91" s="91">
        <v>73.495500000000007</v>
      </c>
    </row>
    <row r="92" spans="1:3" x14ac:dyDescent="0.25">
      <c r="A92" s="89">
        <v>45994</v>
      </c>
      <c r="B92" s="88" t="s">
        <v>94</v>
      </c>
      <c r="C92" s="91">
        <v>73.515299999999996</v>
      </c>
    </row>
    <row r="93" spans="1:3" x14ac:dyDescent="0.25">
      <c r="A93" s="89">
        <v>45994</v>
      </c>
      <c r="B93" s="88" t="s">
        <v>95</v>
      </c>
      <c r="C93" s="91">
        <v>73.504300000000001</v>
      </c>
    </row>
    <row r="94" spans="1:3" x14ac:dyDescent="0.25">
      <c r="A94" s="89">
        <v>45994</v>
      </c>
      <c r="B94" s="88" t="s">
        <v>96</v>
      </c>
      <c r="C94" s="91">
        <v>73.507199999999997</v>
      </c>
    </row>
    <row r="95" spans="1:3" x14ac:dyDescent="0.25">
      <c r="A95" s="89">
        <v>45994</v>
      </c>
      <c r="B95" s="88" t="s">
        <v>97</v>
      </c>
      <c r="C95" s="91">
        <v>73.482299999999995</v>
      </c>
    </row>
    <row r="96" spans="1:3" x14ac:dyDescent="0.25">
      <c r="A96" s="89">
        <v>45994</v>
      </c>
      <c r="B96" s="88" t="s">
        <v>98</v>
      </c>
      <c r="C96" s="91">
        <v>73.484499999999997</v>
      </c>
    </row>
    <row r="97" spans="1:3" x14ac:dyDescent="0.25">
      <c r="A97" s="89">
        <v>45994</v>
      </c>
      <c r="B97" s="88" t="s">
        <v>99</v>
      </c>
      <c r="C97" s="91">
        <v>73.504199999999997</v>
      </c>
    </row>
    <row r="98" spans="1:3" x14ac:dyDescent="0.25">
      <c r="A98" s="89">
        <v>45994</v>
      </c>
      <c r="B98" s="88" t="s">
        <v>100</v>
      </c>
      <c r="C98" s="91">
        <v>73.490600000000001</v>
      </c>
    </row>
    <row r="99" spans="1:3" x14ac:dyDescent="0.25">
      <c r="A99" s="89">
        <v>45994</v>
      </c>
      <c r="B99" s="88" t="s">
        <v>101</v>
      </c>
      <c r="C99" s="91">
        <v>73.4876</v>
      </c>
    </row>
    <row r="100" spans="1:3" x14ac:dyDescent="0.25">
      <c r="A100" s="89">
        <v>45994</v>
      </c>
      <c r="B100" s="88" t="s">
        <v>102</v>
      </c>
      <c r="C100" s="91">
        <v>73.489699999999999</v>
      </c>
    </row>
    <row r="101" spans="1:3" x14ac:dyDescent="0.25">
      <c r="A101" s="89">
        <v>45994</v>
      </c>
      <c r="B101" s="88" t="s">
        <v>103</v>
      </c>
      <c r="C101" s="91">
        <v>73.495500000000007</v>
      </c>
    </row>
    <row r="102" spans="1:3" x14ac:dyDescent="0.25">
      <c r="A102" s="89">
        <v>45995</v>
      </c>
      <c r="B102" s="88" t="s">
        <v>94</v>
      </c>
      <c r="C102" s="91">
        <v>73.515000000000001</v>
      </c>
    </row>
    <row r="103" spans="1:3" x14ac:dyDescent="0.25">
      <c r="A103" s="89">
        <v>45995</v>
      </c>
      <c r="B103" s="88" t="s">
        <v>95</v>
      </c>
      <c r="C103" s="91">
        <v>73.504099999999994</v>
      </c>
    </row>
    <row r="104" spans="1:3" x14ac:dyDescent="0.25">
      <c r="A104" s="89">
        <v>45995</v>
      </c>
      <c r="B104" s="88" t="s">
        <v>96</v>
      </c>
      <c r="C104" s="91">
        <v>73.506900000000002</v>
      </c>
    </row>
    <row r="105" spans="1:3" x14ac:dyDescent="0.25">
      <c r="A105" s="89">
        <v>45995</v>
      </c>
      <c r="B105" s="88" t="s">
        <v>97</v>
      </c>
      <c r="C105" s="91">
        <v>73.482100000000003</v>
      </c>
    </row>
    <row r="106" spans="1:3" x14ac:dyDescent="0.25">
      <c r="A106" s="89">
        <v>45995</v>
      </c>
      <c r="B106" s="88" t="s">
        <v>98</v>
      </c>
      <c r="C106" s="91">
        <v>73.484300000000005</v>
      </c>
    </row>
    <row r="107" spans="1:3" x14ac:dyDescent="0.25">
      <c r="A107" s="89">
        <v>45995</v>
      </c>
      <c r="B107" s="88" t="s">
        <v>99</v>
      </c>
      <c r="C107" s="91">
        <v>73.504099999999994</v>
      </c>
    </row>
    <row r="108" spans="1:3" x14ac:dyDescent="0.25">
      <c r="A108" s="89">
        <v>45995</v>
      </c>
      <c r="B108" s="88" t="s">
        <v>100</v>
      </c>
      <c r="C108" s="91">
        <v>73.490399999999994</v>
      </c>
    </row>
    <row r="109" spans="1:3" x14ac:dyDescent="0.25">
      <c r="A109" s="89">
        <v>45995</v>
      </c>
      <c r="B109" s="88" t="s">
        <v>101</v>
      </c>
      <c r="C109" s="91">
        <v>73.487200000000001</v>
      </c>
    </row>
    <row r="110" spans="1:3" x14ac:dyDescent="0.25">
      <c r="A110" s="89">
        <v>45995</v>
      </c>
      <c r="B110" s="88" t="s">
        <v>102</v>
      </c>
      <c r="C110" s="91">
        <v>73.489400000000003</v>
      </c>
    </row>
    <row r="111" spans="1:3" x14ac:dyDescent="0.25">
      <c r="A111" s="89">
        <v>45995</v>
      </c>
      <c r="B111" s="88" t="s">
        <v>103</v>
      </c>
      <c r="C111" s="91">
        <v>73.495599999999996</v>
      </c>
    </row>
    <row r="112" spans="1:3" x14ac:dyDescent="0.25">
      <c r="A112" s="89">
        <v>45996</v>
      </c>
      <c r="B112" s="88" t="s">
        <v>94</v>
      </c>
      <c r="C112" s="91">
        <v>73.514899999999997</v>
      </c>
    </row>
    <row r="113" spans="1:3" x14ac:dyDescent="0.25">
      <c r="A113" s="89">
        <v>45996</v>
      </c>
      <c r="B113" s="88" t="s">
        <v>95</v>
      </c>
      <c r="C113" s="91">
        <v>73.503900000000002</v>
      </c>
    </row>
    <row r="114" spans="1:3" x14ac:dyDescent="0.25">
      <c r="A114" s="89">
        <v>45996</v>
      </c>
      <c r="B114" s="88" t="s">
        <v>96</v>
      </c>
      <c r="C114" s="91">
        <v>73.506699999999995</v>
      </c>
    </row>
    <row r="115" spans="1:3" x14ac:dyDescent="0.25">
      <c r="A115" s="89">
        <v>45996</v>
      </c>
      <c r="B115" s="88" t="s">
        <v>97</v>
      </c>
      <c r="C115" s="91">
        <v>73.481899999999996</v>
      </c>
    </row>
    <row r="116" spans="1:3" x14ac:dyDescent="0.25">
      <c r="A116" s="89">
        <v>45996</v>
      </c>
      <c r="B116" s="88" t="s">
        <v>98</v>
      </c>
      <c r="C116" s="91">
        <v>73.484099999999998</v>
      </c>
    </row>
    <row r="117" spans="1:3" x14ac:dyDescent="0.25">
      <c r="A117" s="89">
        <v>45996</v>
      </c>
      <c r="B117" s="88" t="s">
        <v>99</v>
      </c>
      <c r="C117" s="91">
        <v>73.503799999999998</v>
      </c>
    </row>
    <row r="118" spans="1:3" x14ac:dyDescent="0.25">
      <c r="A118" s="89">
        <v>45996</v>
      </c>
      <c r="B118" s="88" t="s">
        <v>100</v>
      </c>
      <c r="C118" s="91">
        <v>73.490300000000005</v>
      </c>
    </row>
    <row r="119" spans="1:3" x14ac:dyDescent="0.25">
      <c r="A119" s="89">
        <v>45996</v>
      </c>
      <c r="B119" s="88" t="s">
        <v>101</v>
      </c>
      <c r="C119" s="91">
        <v>73.487099999999998</v>
      </c>
    </row>
    <row r="120" spans="1:3" x14ac:dyDescent="0.25">
      <c r="A120" s="89">
        <v>45996</v>
      </c>
      <c r="B120" s="88" t="s">
        <v>102</v>
      </c>
      <c r="C120" s="91">
        <v>73.4893</v>
      </c>
    </row>
    <row r="121" spans="1:3" x14ac:dyDescent="0.25">
      <c r="A121" s="89">
        <v>45996</v>
      </c>
      <c r="B121" s="88" t="s">
        <v>103</v>
      </c>
      <c r="C121" s="91">
        <v>73.495099999999994</v>
      </c>
    </row>
    <row r="122" spans="1:3" x14ac:dyDescent="0.25">
      <c r="A122" s="89">
        <v>46000</v>
      </c>
      <c r="B122" s="88" t="s">
        <v>94</v>
      </c>
      <c r="C122" s="91">
        <v>73.514600000000002</v>
      </c>
    </row>
    <row r="123" spans="1:3" x14ac:dyDescent="0.25">
      <c r="A123" s="89">
        <v>46000</v>
      </c>
      <c r="B123" s="88" t="s">
        <v>95</v>
      </c>
      <c r="C123" s="91">
        <v>73.503500000000003</v>
      </c>
    </row>
    <row r="124" spans="1:3" x14ac:dyDescent="0.25">
      <c r="A124" s="89">
        <v>46000</v>
      </c>
      <c r="B124" s="88" t="s">
        <v>96</v>
      </c>
      <c r="C124" s="91">
        <v>73.506200000000007</v>
      </c>
    </row>
    <row r="125" spans="1:3" x14ac:dyDescent="0.25">
      <c r="A125" s="89">
        <v>46000</v>
      </c>
      <c r="B125" s="88" t="s">
        <v>97</v>
      </c>
      <c r="C125" s="91">
        <v>73.481499999999997</v>
      </c>
    </row>
    <row r="126" spans="1:3" x14ac:dyDescent="0.25">
      <c r="A126" s="89">
        <v>46000</v>
      </c>
      <c r="B126" s="88" t="s">
        <v>98</v>
      </c>
      <c r="C126" s="91">
        <v>73.483699999999999</v>
      </c>
    </row>
    <row r="127" spans="1:3" x14ac:dyDescent="0.25">
      <c r="A127" s="89">
        <v>46000</v>
      </c>
      <c r="B127" s="88" t="s">
        <v>99</v>
      </c>
      <c r="C127" s="91">
        <v>73.503600000000006</v>
      </c>
    </row>
    <row r="128" spans="1:3" x14ac:dyDescent="0.25">
      <c r="A128" s="89">
        <v>46000</v>
      </c>
      <c r="B128" s="88" t="s">
        <v>100</v>
      </c>
      <c r="C128" s="91">
        <v>73.490099999999998</v>
      </c>
    </row>
    <row r="129" spans="1:3" x14ac:dyDescent="0.25">
      <c r="A129" s="89">
        <v>46000</v>
      </c>
      <c r="B129" s="88" t="s">
        <v>101</v>
      </c>
      <c r="C129" s="91">
        <v>73.486800000000002</v>
      </c>
    </row>
    <row r="130" spans="1:3" x14ac:dyDescent="0.25">
      <c r="A130" s="89">
        <v>46000</v>
      </c>
      <c r="B130" s="88" t="s">
        <v>102</v>
      </c>
      <c r="C130" s="91">
        <v>73.488900000000001</v>
      </c>
    </row>
    <row r="131" spans="1:3" x14ac:dyDescent="0.25">
      <c r="A131" s="89">
        <v>46001</v>
      </c>
      <c r="B131" s="88" t="s">
        <v>94</v>
      </c>
      <c r="C131" s="91">
        <v>73.514799999999994</v>
      </c>
    </row>
    <row r="132" spans="1:3" x14ac:dyDescent="0.25">
      <c r="A132" s="89">
        <v>46001</v>
      </c>
      <c r="B132" s="88" t="s">
        <v>95</v>
      </c>
      <c r="C132" s="91">
        <v>73.503600000000006</v>
      </c>
    </row>
    <row r="133" spans="1:3" x14ac:dyDescent="0.25">
      <c r="A133" s="89">
        <v>46001</v>
      </c>
      <c r="B133" s="88" t="s">
        <v>96</v>
      </c>
      <c r="C133" s="91">
        <v>73.506100000000004</v>
      </c>
    </row>
    <row r="134" spans="1:3" x14ac:dyDescent="0.25">
      <c r="A134" s="89">
        <v>46001</v>
      </c>
      <c r="B134" s="88" t="s">
        <v>97</v>
      </c>
      <c r="C134" s="91">
        <v>73.481499999999997</v>
      </c>
    </row>
    <row r="135" spans="1:3" x14ac:dyDescent="0.25">
      <c r="A135" s="89">
        <v>46001</v>
      </c>
      <c r="B135" s="88" t="s">
        <v>98</v>
      </c>
      <c r="C135" s="91">
        <v>73.483699999999999</v>
      </c>
    </row>
    <row r="136" spans="1:3" x14ac:dyDescent="0.25">
      <c r="A136" s="89">
        <v>46001</v>
      </c>
      <c r="B136" s="88" t="s">
        <v>99</v>
      </c>
      <c r="C136" s="91">
        <v>73.503600000000006</v>
      </c>
    </row>
    <row r="137" spans="1:3" x14ac:dyDescent="0.25">
      <c r="A137" s="89">
        <v>46001</v>
      </c>
      <c r="B137" s="88" t="s">
        <v>100</v>
      </c>
      <c r="C137" s="91">
        <v>73.490200000000002</v>
      </c>
    </row>
    <row r="138" spans="1:3" x14ac:dyDescent="0.25">
      <c r="A138" s="89">
        <v>46001</v>
      </c>
      <c r="B138" s="88" t="s">
        <v>101</v>
      </c>
      <c r="C138" s="91">
        <v>73.486900000000006</v>
      </c>
    </row>
    <row r="139" spans="1:3" x14ac:dyDescent="0.25">
      <c r="A139" s="89">
        <v>46001</v>
      </c>
      <c r="B139" s="88" t="s">
        <v>102</v>
      </c>
      <c r="C139" s="91">
        <v>73.489000000000004</v>
      </c>
    </row>
    <row r="140" spans="1:3" x14ac:dyDescent="0.25">
      <c r="A140" s="89">
        <v>46001</v>
      </c>
      <c r="B140" s="88" t="s">
        <v>103</v>
      </c>
      <c r="C140" s="91">
        <v>73.495099999999994</v>
      </c>
    </row>
    <row r="141" spans="1:3" x14ac:dyDescent="0.25">
      <c r="A141" s="89">
        <v>46001</v>
      </c>
      <c r="B141" s="88" t="s">
        <v>113</v>
      </c>
      <c r="C141" s="91">
        <v>74.315100000000001</v>
      </c>
    </row>
    <row r="142" spans="1:3" x14ac:dyDescent="0.25">
      <c r="A142" s="89">
        <v>46002</v>
      </c>
      <c r="B142" s="88" t="s">
        <v>94</v>
      </c>
      <c r="C142" s="91">
        <v>73.514700000000005</v>
      </c>
    </row>
    <row r="143" spans="1:3" x14ac:dyDescent="0.25">
      <c r="A143" s="89">
        <v>46002</v>
      </c>
      <c r="B143" s="88" t="s">
        <v>95</v>
      </c>
      <c r="C143" s="91">
        <v>73.503600000000006</v>
      </c>
    </row>
    <row r="144" spans="1:3" x14ac:dyDescent="0.25">
      <c r="A144" s="89">
        <v>46002</v>
      </c>
      <c r="B144" s="88" t="s">
        <v>96</v>
      </c>
      <c r="C144" s="91">
        <v>73.506100000000004</v>
      </c>
    </row>
    <row r="145" spans="1:3" x14ac:dyDescent="0.25">
      <c r="A145" s="89">
        <v>46002</v>
      </c>
      <c r="B145" s="88" t="s">
        <v>97</v>
      </c>
      <c r="C145" s="91">
        <v>73.481200000000001</v>
      </c>
    </row>
    <row r="146" spans="1:3" x14ac:dyDescent="0.25">
      <c r="A146" s="89">
        <v>46002</v>
      </c>
      <c r="B146" s="88" t="s">
        <v>98</v>
      </c>
      <c r="C146" s="91">
        <v>73.483400000000003</v>
      </c>
    </row>
    <row r="147" spans="1:3" x14ac:dyDescent="0.25">
      <c r="A147" s="89">
        <v>46002</v>
      </c>
      <c r="B147" s="88" t="s">
        <v>99</v>
      </c>
      <c r="C147" s="91">
        <v>73.503299999999996</v>
      </c>
    </row>
    <row r="148" spans="1:3" x14ac:dyDescent="0.25">
      <c r="A148" s="89">
        <v>46002</v>
      </c>
      <c r="B148" s="88" t="s">
        <v>100</v>
      </c>
      <c r="C148" s="91">
        <v>73.489800000000002</v>
      </c>
    </row>
    <row r="149" spans="1:3" x14ac:dyDescent="0.25">
      <c r="A149" s="89">
        <v>46002</v>
      </c>
      <c r="B149" s="88" t="s">
        <v>101</v>
      </c>
      <c r="C149" s="91">
        <v>73.486599999999996</v>
      </c>
    </row>
    <row r="150" spans="1:3" x14ac:dyDescent="0.25">
      <c r="A150" s="89">
        <v>46002</v>
      </c>
      <c r="B150" s="88" t="s">
        <v>102</v>
      </c>
      <c r="C150" s="91">
        <v>73.488699999999994</v>
      </c>
    </row>
    <row r="151" spans="1:3" x14ac:dyDescent="0.25">
      <c r="A151" s="89">
        <v>46002</v>
      </c>
      <c r="B151" s="88" t="s">
        <v>103</v>
      </c>
      <c r="C151" s="91">
        <v>73.495000000000005</v>
      </c>
    </row>
    <row r="152" spans="1:3" x14ac:dyDescent="0.25">
      <c r="A152" s="89">
        <v>46002</v>
      </c>
      <c r="B152" s="88" t="s">
        <v>113</v>
      </c>
      <c r="C152" s="91">
        <v>74.314800000000005</v>
      </c>
    </row>
    <row r="153" spans="1:3" x14ac:dyDescent="0.25">
      <c r="A153" s="89">
        <v>46003</v>
      </c>
      <c r="B153" s="88" t="s">
        <v>94</v>
      </c>
      <c r="C153" s="91">
        <v>73.514899999999997</v>
      </c>
    </row>
    <row r="154" spans="1:3" x14ac:dyDescent="0.25">
      <c r="A154" s="89">
        <v>46003</v>
      </c>
      <c r="B154" s="88" t="s">
        <v>95</v>
      </c>
      <c r="C154" s="91">
        <v>73.503799999999998</v>
      </c>
    </row>
    <row r="155" spans="1:3" x14ac:dyDescent="0.25">
      <c r="A155" s="89">
        <v>46003</v>
      </c>
      <c r="B155" s="88" t="s">
        <v>96</v>
      </c>
      <c r="C155" s="91">
        <v>73.506399999999999</v>
      </c>
    </row>
    <row r="156" spans="1:3" x14ac:dyDescent="0.25">
      <c r="A156" s="89">
        <v>46003</v>
      </c>
      <c r="B156" s="88" t="s">
        <v>97</v>
      </c>
      <c r="C156" s="91">
        <v>73.481499999999997</v>
      </c>
    </row>
    <row r="157" spans="1:3" x14ac:dyDescent="0.25">
      <c r="A157" s="89">
        <v>46003</v>
      </c>
      <c r="B157" s="88" t="s">
        <v>98</v>
      </c>
      <c r="C157" s="91">
        <v>73.483699999999999</v>
      </c>
    </row>
    <row r="158" spans="1:3" x14ac:dyDescent="0.25">
      <c r="A158" s="89">
        <v>46003</v>
      </c>
      <c r="B158" s="88" t="s">
        <v>99</v>
      </c>
      <c r="C158" s="91">
        <v>73.503600000000006</v>
      </c>
    </row>
    <row r="159" spans="1:3" x14ac:dyDescent="0.25">
      <c r="A159" s="89">
        <v>46003</v>
      </c>
      <c r="B159" s="88" t="s">
        <v>100</v>
      </c>
      <c r="C159" s="91">
        <v>73.489999999999995</v>
      </c>
    </row>
    <row r="160" spans="1:3" x14ac:dyDescent="0.25">
      <c r="A160" s="89">
        <v>46003</v>
      </c>
      <c r="B160" s="88" t="s">
        <v>101</v>
      </c>
      <c r="C160" s="91">
        <v>73.487200000000001</v>
      </c>
    </row>
    <row r="161" spans="1:3" x14ac:dyDescent="0.25">
      <c r="A161" s="89">
        <v>46003</v>
      </c>
      <c r="B161" s="88" t="s">
        <v>102</v>
      </c>
      <c r="C161" s="91">
        <v>73.488900000000001</v>
      </c>
    </row>
    <row r="162" spans="1:3" x14ac:dyDescent="0.25">
      <c r="A162" s="89">
        <v>46003</v>
      </c>
      <c r="B162" s="88" t="s">
        <v>103</v>
      </c>
      <c r="C162" s="91">
        <v>73.495099999999994</v>
      </c>
    </row>
    <row r="163" spans="1:3" x14ac:dyDescent="0.25">
      <c r="A163" s="89">
        <v>46006</v>
      </c>
      <c r="B163" s="88" t="s">
        <v>94</v>
      </c>
      <c r="C163" s="91">
        <v>73.514799999999994</v>
      </c>
    </row>
    <row r="164" spans="1:3" x14ac:dyDescent="0.25">
      <c r="A164" s="89">
        <v>46006</v>
      </c>
      <c r="B164" s="88" t="s">
        <v>95</v>
      </c>
      <c r="C164" s="91">
        <v>73.503600000000006</v>
      </c>
    </row>
    <row r="165" spans="1:3" x14ac:dyDescent="0.25">
      <c r="A165" s="89">
        <v>46006</v>
      </c>
      <c r="B165" s="88" t="s">
        <v>96</v>
      </c>
      <c r="C165" s="91">
        <v>73.506100000000004</v>
      </c>
    </row>
    <row r="166" spans="1:3" x14ac:dyDescent="0.25">
      <c r="A166" s="89">
        <v>46006</v>
      </c>
      <c r="B166" s="88" t="s">
        <v>97</v>
      </c>
      <c r="C166" s="91">
        <v>73.481200000000001</v>
      </c>
    </row>
    <row r="167" spans="1:3" x14ac:dyDescent="0.25">
      <c r="A167" s="89">
        <v>46006</v>
      </c>
      <c r="B167" s="88" t="s">
        <v>98</v>
      </c>
      <c r="C167" s="91">
        <v>73.483400000000003</v>
      </c>
    </row>
    <row r="168" spans="1:3" x14ac:dyDescent="0.25">
      <c r="A168" s="89">
        <v>46006</v>
      </c>
      <c r="B168" s="88" t="s">
        <v>99</v>
      </c>
      <c r="C168" s="91">
        <v>73.503299999999996</v>
      </c>
    </row>
    <row r="169" spans="1:3" x14ac:dyDescent="0.25">
      <c r="A169" s="89">
        <v>46006</v>
      </c>
      <c r="B169" s="88" t="s">
        <v>100</v>
      </c>
      <c r="C169" s="91">
        <v>73.489900000000006</v>
      </c>
    </row>
    <row r="170" spans="1:3" x14ac:dyDescent="0.25">
      <c r="A170" s="89">
        <v>46006</v>
      </c>
      <c r="B170" s="88" t="s">
        <v>101</v>
      </c>
      <c r="C170" s="91">
        <v>73.486599999999996</v>
      </c>
    </row>
    <row r="171" spans="1:3" x14ac:dyDescent="0.25">
      <c r="A171" s="89">
        <v>46006</v>
      </c>
      <c r="B171" s="88" t="s">
        <v>102</v>
      </c>
      <c r="C171" s="91">
        <v>73.488699999999994</v>
      </c>
    </row>
    <row r="172" spans="1:3" x14ac:dyDescent="0.25">
      <c r="A172" s="89">
        <v>46006</v>
      </c>
      <c r="B172" s="88" t="s">
        <v>103</v>
      </c>
      <c r="C172" s="91">
        <v>73.494900000000001</v>
      </c>
    </row>
    <row r="173" spans="1:3" x14ac:dyDescent="0.25">
      <c r="A173" s="89">
        <v>46006</v>
      </c>
      <c r="B173" s="88" t="s">
        <v>113</v>
      </c>
      <c r="C173" s="91">
        <v>74.314899999999994</v>
      </c>
    </row>
    <row r="174" spans="1:3" x14ac:dyDescent="0.25">
      <c r="A174" s="89">
        <v>46007</v>
      </c>
      <c r="B174" s="88" t="s">
        <v>94</v>
      </c>
      <c r="C174" s="91">
        <v>73.515000000000001</v>
      </c>
    </row>
    <row r="175" spans="1:3" x14ac:dyDescent="0.25">
      <c r="A175" s="89">
        <v>46007</v>
      </c>
      <c r="B175" s="88" t="s">
        <v>95</v>
      </c>
      <c r="C175" s="91">
        <v>73.503799999999998</v>
      </c>
    </row>
    <row r="176" spans="1:3" x14ac:dyDescent="0.25">
      <c r="A176" s="89">
        <v>46007</v>
      </c>
      <c r="B176" s="88" t="s">
        <v>96</v>
      </c>
      <c r="C176" s="91">
        <v>73.506299999999996</v>
      </c>
    </row>
    <row r="177" spans="1:3" x14ac:dyDescent="0.25">
      <c r="A177" s="89">
        <v>46007</v>
      </c>
      <c r="B177" s="88" t="s">
        <v>97</v>
      </c>
      <c r="C177" s="91">
        <v>73.481499999999997</v>
      </c>
    </row>
    <row r="178" spans="1:3" x14ac:dyDescent="0.25">
      <c r="A178" s="89">
        <v>46007</v>
      </c>
      <c r="B178" s="88" t="s">
        <v>98</v>
      </c>
      <c r="C178" s="91">
        <v>73.483699999999999</v>
      </c>
    </row>
    <row r="179" spans="1:3" x14ac:dyDescent="0.25">
      <c r="A179" s="89">
        <v>46007</v>
      </c>
      <c r="B179" s="88" t="s">
        <v>99</v>
      </c>
      <c r="C179" s="91">
        <v>73.503600000000006</v>
      </c>
    </row>
    <row r="180" spans="1:3" x14ac:dyDescent="0.25">
      <c r="A180" s="89">
        <v>46007</v>
      </c>
      <c r="B180" s="88" t="s">
        <v>100</v>
      </c>
      <c r="C180" s="91">
        <v>73.490200000000002</v>
      </c>
    </row>
    <row r="181" spans="1:3" x14ac:dyDescent="0.25">
      <c r="A181" s="89">
        <v>46007</v>
      </c>
      <c r="B181" s="88" t="s">
        <v>101</v>
      </c>
      <c r="C181" s="91">
        <v>73.486999999999995</v>
      </c>
    </row>
    <row r="182" spans="1:3" x14ac:dyDescent="0.25">
      <c r="A182" s="89">
        <v>46007</v>
      </c>
      <c r="B182" s="88" t="s">
        <v>102</v>
      </c>
      <c r="C182" s="91">
        <v>73.488900000000001</v>
      </c>
    </row>
    <row r="183" spans="1:3" x14ac:dyDescent="0.25">
      <c r="A183" s="89">
        <v>46007</v>
      </c>
      <c r="B183" s="88" t="s">
        <v>103</v>
      </c>
      <c r="C183" s="91">
        <v>73.4953</v>
      </c>
    </row>
    <row r="184" spans="1:3" x14ac:dyDescent="0.25">
      <c r="A184" s="89">
        <v>46007</v>
      </c>
      <c r="B184" s="88" t="s">
        <v>113</v>
      </c>
      <c r="C184" s="91">
        <v>74.315399999999997</v>
      </c>
    </row>
    <row r="185" spans="1:3" x14ac:dyDescent="0.25">
      <c r="A185" s="89">
        <v>46008</v>
      </c>
      <c r="B185" s="88" t="s">
        <v>94</v>
      </c>
      <c r="C185" s="91">
        <v>73.514700000000005</v>
      </c>
    </row>
    <row r="186" spans="1:3" x14ac:dyDescent="0.25">
      <c r="A186" s="89">
        <v>46008</v>
      </c>
      <c r="B186" s="88" t="s">
        <v>95</v>
      </c>
      <c r="C186" s="91">
        <v>73.503600000000006</v>
      </c>
    </row>
    <row r="187" spans="1:3" x14ac:dyDescent="0.25">
      <c r="A187" s="89">
        <v>46008</v>
      </c>
      <c r="B187" s="88" t="s">
        <v>96</v>
      </c>
      <c r="C187" s="91">
        <v>73.506100000000004</v>
      </c>
    </row>
    <row r="188" spans="1:3" x14ac:dyDescent="0.25">
      <c r="A188" s="89">
        <v>46008</v>
      </c>
      <c r="B188" s="88" t="s">
        <v>97</v>
      </c>
      <c r="C188" s="91">
        <v>73.481200000000001</v>
      </c>
    </row>
    <row r="189" spans="1:3" x14ac:dyDescent="0.25">
      <c r="A189" s="89">
        <v>46008</v>
      </c>
      <c r="B189" s="88" t="s">
        <v>98</v>
      </c>
      <c r="C189" s="91">
        <v>73.483400000000003</v>
      </c>
    </row>
    <row r="190" spans="1:3" x14ac:dyDescent="0.25">
      <c r="A190" s="89">
        <v>46008</v>
      </c>
      <c r="B190" s="88" t="s">
        <v>99</v>
      </c>
      <c r="C190" s="91">
        <v>73.503299999999996</v>
      </c>
    </row>
    <row r="191" spans="1:3" x14ac:dyDescent="0.25">
      <c r="A191" s="89">
        <v>46008</v>
      </c>
      <c r="B191" s="88" t="s">
        <v>100</v>
      </c>
      <c r="C191" s="91">
        <v>73.489999999999995</v>
      </c>
    </row>
    <row r="192" spans="1:3" x14ac:dyDescent="0.25">
      <c r="A192" s="89">
        <v>46008</v>
      </c>
      <c r="B192" s="88" t="s">
        <v>101</v>
      </c>
      <c r="C192" s="91">
        <v>73.486599999999996</v>
      </c>
    </row>
    <row r="193" spans="1:3" x14ac:dyDescent="0.25">
      <c r="A193" s="89">
        <v>46008</v>
      </c>
      <c r="B193" s="88" t="s">
        <v>102</v>
      </c>
      <c r="C193" s="91">
        <v>73.488600000000005</v>
      </c>
    </row>
    <row r="194" spans="1:3" x14ac:dyDescent="0.25">
      <c r="A194" s="89">
        <v>46008</v>
      </c>
      <c r="B194" s="88" t="s">
        <v>103</v>
      </c>
      <c r="C194" s="91">
        <v>73.495000000000005</v>
      </c>
    </row>
    <row r="195" spans="1:3" x14ac:dyDescent="0.25">
      <c r="A195" s="89">
        <v>46008</v>
      </c>
      <c r="B195" s="88" t="s">
        <v>113</v>
      </c>
      <c r="C195" s="91">
        <v>74.314800000000005</v>
      </c>
    </row>
    <row r="196" spans="1:3" x14ac:dyDescent="0.25">
      <c r="A196" s="89">
        <v>46009</v>
      </c>
      <c r="B196" s="88" t="s">
        <v>94</v>
      </c>
      <c r="C196" s="91">
        <v>73.514700000000005</v>
      </c>
    </row>
    <row r="197" spans="1:3" x14ac:dyDescent="0.25">
      <c r="A197" s="89">
        <v>46009</v>
      </c>
      <c r="B197" s="88" t="s">
        <v>95</v>
      </c>
      <c r="C197" s="91">
        <v>73.503600000000006</v>
      </c>
    </row>
    <row r="198" spans="1:3" x14ac:dyDescent="0.25">
      <c r="A198" s="89">
        <v>46009</v>
      </c>
      <c r="B198" s="88" t="s">
        <v>96</v>
      </c>
      <c r="C198" s="91">
        <v>73.506</v>
      </c>
    </row>
    <row r="199" spans="1:3" x14ac:dyDescent="0.25">
      <c r="A199" s="89">
        <v>46009</v>
      </c>
      <c r="B199" s="88" t="s">
        <v>97</v>
      </c>
      <c r="C199" s="91">
        <v>73.481200000000001</v>
      </c>
    </row>
    <row r="200" spans="1:3" x14ac:dyDescent="0.25">
      <c r="A200" s="89">
        <v>46009</v>
      </c>
      <c r="B200" s="88" t="s">
        <v>98</v>
      </c>
      <c r="C200" s="91">
        <v>73.483500000000006</v>
      </c>
    </row>
    <row r="201" spans="1:3" x14ac:dyDescent="0.25">
      <c r="A201" s="89">
        <v>46009</v>
      </c>
      <c r="B201" s="88" t="s">
        <v>99</v>
      </c>
      <c r="C201" s="91">
        <v>73.503399999999999</v>
      </c>
    </row>
    <row r="202" spans="1:3" x14ac:dyDescent="0.25">
      <c r="A202" s="89">
        <v>46009</v>
      </c>
      <c r="B202" s="88" t="s">
        <v>100</v>
      </c>
      <c r="C202" s="91">
        <v>73.489999999999995</v>
      </c>
    </row>
    <row r="203" spans="1:3" x14ac:dyDescent="0.25">
      <c r="A203" s="89">
        <v>46009</v>
      </c>
      <c r="B203" s="88" t="s">
        <v>101</v>
      </c>
      <c r="C203" s="91">
        <v>73.486900000000006</v>
      </c>
    </row>
    <row r="204" spans="1:3" x14ac:dyDescent="0.25">
      <c r="A204" s="89">
        <v>46009</v>
      </c>
      <c r="B204" s="88" t="s">
        <v>102</v>
      </c>
      <c r="C204" s="91">
        <v>73.488799999999998</v>
      </c>
    </row>
    <row r="205" spans="1:3" x14ac:dyDescent="0.25">
      <c r="A205" s="89">
        <v>46009</v>
      </c>
      <c r="B205" s="88" t="s">
        <v>103</v>
      </c>
      <c r="C205" s="91">
        <v>73.495000000000005</v>
      </c>
    </row>
    <row r="206" spans="1:3" x14ac:dyDescent="0.25">
      <c r="A206" s="89">
        <v>46009</v>
      </c>
      <c r="B206" s="88" t="s">
        <v>113</v>
      </c>
      <c r="C206" s="91">
        <v>74.314899999999994</v>
      </c>
    </row>
    <row r="207" spans="1:3" x14ac:dyDescent="0.25">
      <c r="A207" s="89">
        <v>46010</v>
      </c>
      <c r="B207" s="88" t="s">
        <v>94</v>
      </c>
      <c r="C207" s="91">
        <v>73.514799999999994</v>
      </c>
    </row>
    <row r="208" spans="1:3" x14ac:dyDescent="0.25">
      <c r="A208" s="89">
        <v>46010</v>
      </c>
      <c r="B208" s="88" t="s">
        <v>95</v>
      </c>
      <c r="C208" s="91">
        <v>73.503699999999995</v>
      </c>
    </row>
    <row r="209" spans="1:3" x14ac:dyDescent="0.25">
      <c r="A209" s="89">
        <v>46010</v>
      </c>
      <c r="B209" s="88" t="s">
        <v>96</v>
      </c>
      <c r="C209" s="91">
        <v>73.506100000000004</v>
      </c>
    </row>
    <row r="210" spans="1:3" x14ac:dyDescent="0.25">
      <c r="A210" s="89">
        <v>46010</v>
      </c>
      <c r="B210" s="88" t="s">
        <v>97</v>
      </c>
      <c r="C210" s="91">
        <v>73.481399999999994</v>
      </c>
    </row>
    <row r="211" spans="1:3" x14ac:dyDescent="0.25">
      <c r="A211" s="89">
        <v>46010</v>
      </c>
      <c r="B211" s="88" t="s">
        <v>98</v>
      </c>
      <c r="C211" s="91">
        <v>73.483500000000006</v>
      </c>
    </row>
    <row r="212" spans="1:3" x14ac:dyDescent="0.25">
      <c r="A212" s="89">
        <v>46010</v>
      </c>
      <c r="B212" s="88" t="s">
        <v>99</v>
      </c>
      <c r="C212" s="91">
        <v>73.503600000000006</v>
      </c>
    </row>
    <row r="213" spans="1:3" x14ac:dyDescent="0.25">
      <c r="A213" s="89">
        <v>46010</v>
      </c>
      <c r="B213" s="88" t="s">
        <v>100</v>
      </c>
      <c r="C213" s="91">
        <v>73.489999999999995</v>
      </c>
    </row>
    <row r="214" spans="1:3" x14ac:dyDescent="0.25">
      <c r="A214" s="89">
        <v>46010</v>
      </c>
      <c r="B214" s="88" t="s">
        <v>101</v>
      </c>
      <c r="C214" s="91">
        <v>73.486800000000002</v>
      </c>
    </row>
    <row r="215" spans="1:3" x14ac:dyDescent="0.25">
      <c r="A215" s="89">
        <v>46010</v>
      </c>
      <c r="B215" s="88" t="s">
        <v>102</v>
      </c>
      <c r="C215" s="91">
        <v>73.488699999999994</v>
      </c>
    </row>
    <row r="216" spans="1:3" x14ac:dyDescent="0.25">
      <c r="A216" s="89">
        <v>46010</v>
      </c>
      <c r="B216" s="88" t="s">
        <v>103</v>
      </c>
      <c r="C216" s="91">
        <v>73.495099999999994</v>
      </c>
    </row>
    <row r="217" spans="1:3" x14ac:dyDescent="0.25">
      <c r="A217" s="89">
        <v>46010</v>
      </c>
      <c r="B217" s="88" t="s">
        <v>113</v>
      </c>
      <c r="C217" s="91">
        <v>74.314999999999998</v>
      </c>
    </row>
    <row r="218" spans="1:3" x14ac:dyDescent="0.25">
      <c r="A218" s="89">
        <v>46013</v>
      </c>
      <c r="B218" s="88" t="s">
        <v>94</v>
      </c>
      <c r="C218" s="91">
        <v>73.514899999999997</v>
      </c>
    </row>
    <row r="219" spans="1:3" x14ac:dyDescent="0.25">
      <c r="A219" s="89">
        <v>46013</v>
      </c>
      <c r="B219" s="88" t="s">
        <v>95</v>
      </c>
      <c r="C219" s="91">
        <v>73.503699999999995</v>
      </c>
    </row>
    <row r="220" spans="1:3" x14ac:dyDescent="0.25">
      <c r="A220" s="89">
        <v>46013</v>
      </c>
      <c r="B220" s="88" t="s">
        <v>96</v>
      </c>
      <c r="C220" s="91">
        <v>73.506200000000007</v>
      </c>
    </row>
    <row r="221" spans="1:3" x14ac:dyDescent="0.25">
      <c r="A221" s="89">
        <v>46013</v>
      </c>
      <c r="B221" s="88" t="s">
        <v>97</v>
      </c>
      <c r="C221" s="91">
        <v>73.481300000000005</v>
      </c>
    </row>
    <row r="222" spans="1:3" x14ac:dyDescent="0.25">
      <c r="A222" s="89">
        <v>46013</v>
      </c>
      <c r="B222" s="88" t="s">
        <v>98</v>
      </c>
      <c r="C222" s="91">
        <v>73.483599999999996</v>
      </c>
    </row>
    <row r="223" spans="1:3" x14ac:dyDescent="0.25">
      <c r="A223" s="89">
        <v>46013</v>
      </c>
      <c r="B223" s="88" t="s">
        <v>99</v>
      </c>
      <c r="C223" s="91">
        <v>73.503500000000003</v>
      </c>
    </row>
    <row r="224" spans="1:3" x14ac:dyDescent="0.25">
      <c r="A224" s="89">
        <v>46013</v>
      </c>
      <c r="B224" s="88" t="s">
        <v>100</v>
      </c>
      <c r="C224" s="91">
        <v>73.489900000000006</v>
      </c>
    </row>
    <row r="225" spans="1:3" x14ac:dyDescent="0.25">
      <c r="A225" s="89">
        <v>46013</v>
      </c>
      <c r="B225" s="88" t="s">
        <v>101</v>
      </c>
      <c r="C225" s="91">
        <v>73.486900000000006</v>
      </c>
    </row>
    <row r="226" spans="1:3" x14ac:dyDescent="0.25">
      <c r="A226" s="89">
        <v>46013</v>
      </c>
      <c r="B226" s="88" t="s">
        <v>102</v>
      </c>
      <c r="C226" s="91">
        <v>73.488699999999994</v>
      </c>
    </row>
    <row r="227" spans="1:3" x14ac:dyDescent="0.25">
      <c r="A227" s="89">
        <v>46013</v>
      </c>
      <c r="B227" s="88" t="s">
        <v>103</v>
      </c>
      <c r="C227" s="91">
        <v>73.495099999999994</v>
      </c>
    </row>
    <row r="228" spans="1:3" x14ac:dyDescent="0.25">
      <c r="A228" s="89">
        <v>46029</v>
      </c>
      <c r="B228" s="88" t="s">
        <v>94</v>
      </c>
      <c r="C228" s="91">
        <v>73.5154</v>
      </c>
    </row>
    <row r="229" spans="1:3" x14ac:dyDescent="0.25">
      <c r="A229" s="89">
        <v>46029</v>
      </c>
      <c r="B229" s="88" t="s">
        <v>95</v>
      </c>
      <c r="C229" s="91">
        <v>73.503900000000002</v>
      </c>
    </row>
    <row r="230" spans="1:3" x14ac:dyDescent="0.25">
      <c r="A230" s="89">
        <v>46029</v>
      </c>
      <c r="B230" s="88" t="s">
        <v>96</v>
      </c>
      <c r="C230" s="91">
        <v>73.507000000000005</v>
      </c>
    </row>
    <row r="231" spans="1:3" x14ac:dyDescent="0.25">
      <c r="A231" s="89">
        <v>46029</v>
      </c>
      <c r="B231" s="88" t="s">
        <v>97</v>
      </c>
      <c r="C231" s="91">
        <v>73.481899999999996</v>
      </c>
    </row>
    <row r="232" spans="1:3" x14ac:dyDescent="0.25">
      <c r="A232" s="89">
        <v>46029</v>
      </c>
      <c r="B232" s="88" t="s">
        <v>98</v>
      </c>
      <c r="C232" s="91">
        <v>73.484300000000005</v>
      </c>
    </row>
    <row r="233" spans="1:3" x14ac:dyDescent="0.25">
      <c r="A233" s="89">
        <v>46029</v>
      </c>
      <c r="B233" s="88" t="s">
        <v>99</v>
      </c>
      <c r="C233" s="91">
        <v>73.504099999999994</v>
      </c>
    </row>
    <row r="234" spans="1:3" x14ac:dyDescent="0.25">
      <c r="A234" s="89">
        <v>46029</v>
      </c>
      <c r="B234" s="88" t="s">
        <v>100</v>
      </c>
      <c r="C234" s="91">
        <v>73.490300000000005</v>
      </c>
    </row>
    <row r="235" spans="1:3" x14ac:dyDescent="0.25">
      <c r="A235" s="89">
        <v>46029</v>
      </c>
      <c r="B235" s="88" t="s">
        <v>101</v>
      </c>
      <c r="C235" s="91">
        <v>73.486999999999995</v>
      </c>
    </row>
    <row r="236" spans="1:3" x14ac:dyDescent="0.25">
      <c r="A236" s="89">
        <v>46029</v>
      </c>
      <c r="B236" s="88" t="s">
        <v>102</v>
      </c>
      <c r="C236" s="91">
        <v>73.488799999999998</v>
      </c>
    </row>
    <row r="237" spans="1:3" x14ac:dyDescent="0.25">
      <c r="A237" s="89">
        <v>46029</v>
      </c>
      <c r="B237" s="88" t="s">
        <v>103</v>
      </c>
      <c r="C237" s="91">
        <v>73.495000000000005</v>
      </c>
    </row>
    <row r="238" spans="1:3" x14ac:dyDescent="0.25">
      <c r="A238" s="89">
        <v>46030</v>
      </c>
      <c r="B238" s="88" t="s">
        <v>94</v>
      </c>
      <c r="C238" s="91">
        <v>73.514399999999995</v>
      </c>
    </row>
    <row r="239" spans="1:3" x14ac:dyDescent="0.25">
      <c r="A239" s="89">
        <v>46030</v>
      </c>
      <c r="B239" s="88" t="s">
        <v>95</v>
      </c>
      <c r="C239" s="91">
        <v>73.503100000000003</v>
      </c>
    </row>
    <row r="240" spans="1:3" x14ac:dyDescent="0.25">
      <c r="A240" s="89">
        <v>46030</v>
      </c>
      <c r="B240" s="88" t="s">
        <v>96</v>
      </c>
      <c r="C240" s="91">
        <v>73.505700000000004</v>
      </c>
    </row>
    <row r="241" spans="1:3" x14ac:dyDescent="0.25">
      <c r="A241" s="89">
        <v>46030</v>
      </c>
      <c r="B241" s="88" t="s">
        <v>97</v>
      </c>
      <c r="C241" s="91">
        <v>73.480900000000005</v>
      </c>
    </row>
    <row r="242" spans="1:3" x14ac:dyDescent="0.25">
      <c r="A242" s="89">
        <v>46030</v>
      </c>
      <c r="B242" s="88" t="s">
        <v>98</v>
      </c>
      <c r="C242" s="91">
        <v>73.483099999999993</v>
      </c>
    </row>
    <row r="243" spans="1:3" x14ac:dyDescent="0.25">
      <c r="A243" s="89">
        <v>46030</v>
      </c>
      <c r="B243" s="88" t="s">
        <v>99</v>
      </c>
      <c r="C243" s="91">
        <v>73.503100000000003</v>
      </c>
    </row>
    <row r="244" spans="1:3" x14ac:dyDescent="0.25">
      <c r="A244" s="89">
        <v>46030</v>
      </c>
      <c r="B244" s="88" t="s">
        <v>100</v>
      </c>
      <c r="C244" s="91">
        <v>73.489699999999999</v>
      </c>
    </row>
    <row r="245" spans="1:3" x14ac:dyDescent="0.25">
      <c r="A245" s="89">
        <v>46030</v>
      </c>
      <c r="B245" s="88" t="s">
        <v>101</v>
      </c>
      <c r="C245" s="91">
        <v>73.486400000000003</v>
      </c>
    </row>
    <row r="246" spans="1:3" x14ac:dyDescent="0.25">
      <c r="A246" s="89">
        <v>46030</v>
      </c>
      <c r="B246" s="88" t="s">
        <v>102</v>
      </c>
      <c r="C246" s="91">
        <v>73.488399999999999</v>
      </c>
    </row>
    <row r="247" spans="1:3" x14ac:dyDescent="0.25">
      <c r="A247" s="89">
        <v>46030</v>
      </c>
      <c r="B247" s="88" t="s">
        <v>103</v>
      </c>
      <c r="C247" s="91">
        <v>73.494799999999998</v>
      </c>
    </row>
    <row r="248" spans="1:3" x14ac:dyDescent="0.25">
      <c r="A248" s="89">
        <v>46030</v>
      </c>
      <c r="B248" s="88" t="s">
        <v>113</v>
      </c>
      <c r="C248" s="91">
        <v>74.314899999999994</v>
      </c>
    </row>
    <row r="249" spans="1:3" x14ac:dyDescent="0.25">
      <c r="A249" s="89">
        <v>46034</v>
      </c>
      <c r="B249" s="88" t="s">
        <v>94</v>
      </c>
      <c r="C249" s="91">
        <v>73.514399999999995</v>
      </c>
    </row>
    <row r="250" spans="1:3" x14ac:dyDescent="0.25">
      <c r="A250" s="89">
        <v>46034</v>
      </c>
      <c r="B250" s="88" t="s">
        <v>95</v>
      </c>
      <c r="C250" s="91">
        <v>73.503100000000003</v>
      </c>
    </row>
    <row r="251" spans="1:3" x14ac:dyDescent="0.25">
      <c r="A251" s="89">
        <v>46034</v>
      </c>
      <c r="B251" s="88" t="s">
        <v>96</v>
      </c>
      <c r="C251" s="91">
        <v>73.505499999999998</v>
      </c>
    </row>
    <row r="252" spans="1:3" x14ac:dyDescent="0.25">
      <c r="A252" s="89">
        <v>46034</v>
      </c>
      <c r="B252" s="88" t="s">
        <v>97</v>
      </c>
      <c r="C252" s="91">
        <v>73.480599999999995</v>
      </c>
    </row>
    <row r="253" spans="1:3" x14ac:dyDescent="0.25">
      <c r="A253" s="89">
        <v>46034</v>
      </c>
      <c r="B253" s="88" t="s">
        <v>98</v>
      </c>
      <c r="C253" s="91">
        <v>73.482900000000001</v>
      </c>
    </row>
    <row r="254" spans="1:3" x14ac:dyDescent="0.25">
      <c r="A254" s="89">
        <v>46034</v>
      </c>
      <c r="B254" s="88" t="s">
        <v>99</v>
      </c>
      <c r="C254" s="91">
        <v>73.502899999999997</v>
      </c>
    </row>
    <row r="255" spans="1:3" x14ac:dyDescent="0.25">
      <c r="A255" s="89">
        <v>46034</v>
      </c>
      <c r="B255" s="88" t="s">
        <v>100</v>
      </c>
      <c r="C255" s="91">
        <v>73.489400000000003</v>
      </c>
    </row>
    <row r="256" spans="1:3" x14ac:dyDescent="0.25">
      <c r="A256" s="89">
        <v>46034</v>
      </c>
      <c r="B256" s="88" t="s">
        <v>101</v>
      </c>
      <c r="C256" s="91">
        <v>73.486099999999993</v>
      </c>
    </row>
    <row r="257" spans="1:3" x14ac:dyDescent="0.25">
      <c r="A257" s="89">
        <v>46034</v>
      </c>
      <c r="B257" s="88" t="s">
        <v>102</v>
      </c>
      <c r="C257" s="91">
        <v>73.488200000000006</v>
      </c>
    </row>
    <row r="258" spans="1:3" x14ac:dyDescent="0.25">
      <c r="A258" s="89">
        <v>46034</v>
      </c>
      <c r="B258" s="88" t="s">
        <v>103</v>
      </c>
      <c r="C258" s="91">
        <v>73.494500000000002</v>
      </c>
    </row>
    <row r="259" spans="1:3" x14ac:dyDescent="0.25">
      <c r="A259" s="89">
        <v>46034</v>
      </c>
      <c r="B259" s="88" t="s">
        <v>113</v>
      </c>
      <c r="C259" s="91">
        <v>74.314300000000003</v>
      </c>
    </row>
    <row r="260" spans="1:3" x14ac:dyDescent="0.25">
      <c r="A260" s="89">
        <v>46035</v>
      </c>
      <c r="B260" s="88" t="s">
        <v>94</v>
      </c>
      <c r="C260" s="91">
        <v>73.514300000000006</v>
      </c>
    </row>
    <row r="261" spans="1:3" x14ac:dyDescent="0.25">
      <c r="A261" s="89">
        <v>46035</v>
      </c>
      <c r="B261" s="88" t="s">
        <v>95</v>
      </c>
      <c r="C261" s="91">
        <v>73.503</v>
      </c>
    </row>
    <row r="262" spans="1:3" x14ac:dyDescent="0.25">
      <c r="A262" s="89">
        <v>46035</v>
      </c>
      <c r="B262" s="88" t="s">
        <v>96</v>
      </c>
      <c r="C262" s="91">
        <v>73.505300000000005</v>
      </c>
    </row>
    <row r="263" spans="1:3" x14ac:dyDescent="0.25">
      <c r="A263" s="89">
        <v>46035</v>
      </c>
      <c r="B263" s="88" t="s">
        <v>97</v>
      </c>
      <c r="C263" s="91">
        <v>73.480500000000006</v>
      </c>
    </row>
    <row r="264" spans="1:3" x14ac:dyDescent="0.25">
      <c r="A264" s="89">
        <v>46035</v>
      </c>
      <c r="B264" s="88" t="s">
        <v>98</v>
      </c>
      <c r="C264" s="91">
        <v>73.482600000000005</v>
      </c>
    </row>
    <row r="265" spans="1:3" x14ac:dyDescent="0.25">
      <c r="A265" s="89">
        <v>46035</v>
      </c>
      <c r="B265" s="88" t="s">
        <v>99</v>
      </c>
      <c r="C265" s="91">
        <v>73.502799999999993</v>
      </c>
    </row>
    <row r="266" spans="1:3" x14ac:dyDescent="0.25">
      <c r="A266" s="89">
        <v>46035</v>
      </c>
      <c r="B266" s="88" t="s">
        <v>100</v>
      </c>
      <c r="C266" s="91">
        <v>73.489199999999997</v>
      </c>
    </row>
    <row r="267" spans="1:3" x14ac:dyDescent="0.25">
      <c r="A267" s="89">
        <v>46035</v>
      </c>
      <c r="B267" s="88" t="s">
        <v>101</v>
      </c>
      <c r="C267" s="91">
        <v>73.485900000000001</v>
      </c>
    </row>
    <row r="268" spans="1:3" x14ac:dyDescent="0.25">
      <c r="A268" s="89">
        <v>46035</v>
      </c>
      <c r="B268" s="88" t="s">
        <v>102</v>
      </c>
      <c r="C268" s="91">
        <v>73.488</v>
      </c>
    </row>
    <row r="269" spans="1:3" x14ac:dyDescent="0.25">
      <c r="A269" s="89">
        <v>46035</v>
      </c>
      <c r="B269" s="88" t="s">
        <v>103</v>
      </c>
      <c r="C269" s="91">
        <v>73.494399999999999</v>
      </c>
    </row>
    <row r="270" spans="1:3" x14ac:dyDescent="0.25">
      <c r="A270" s="89">
        <v>46035</v>
      </c>
      <c r="B270" s="88" t="s">
        <v>113</v>
      </c>
      <c r="C270" s="91">
        <v>74.313800000000001</v>
      </c>
    </row>
    <row r="271" spans="1:3" x14ac:dyDescent="0.25">
      <c r="A271" s="89">
        <v>46036</v>
      </c>
      <c r="B271" s="88" t="s">
        <v>94</v>
      </c>
      <c r="C271" s="91">
        <v>73.514300000000006</v>
      </c>
    </row>
    <row r="272" spans="1:3" x14ac:dyDescent="0.25">
      <c r="A272" s="89">
        <v>46036</v>
      </c>
      <c r="B272" s="88" t="s">
        <v>95</v>
      </c>
      <c r="C272" s="91">
        <v>73.502899999999997</v>
      </c>
    </row>
    <row r="273" spans="1:3" x14ac:dyDescent="0.25">
      <c r="A273" s="89">
        <v>46036</v>
      </c>
      <c r="B273" s="88" t="s">
        <v>96</v>
      </c>
      <c r="C273" s="91">
        <v>73.505399999999995</v>
      </c>
    </row>
    <row r="274" spans="1:3" x14ac:dyDescent="0.25">
      <c r="A274" s="89">
        <v>46036</v>
      </c>
      <c r="B274" s="88" t="s">
        <v>97</v>
      </c>
      <c r="C274" s="91">
        <v>73.480500000000006</v>
      </c>
    </row>
    <row r="275" spans="1:3" x14ac:dyDescent="0.25">
      <c r="A275" s="89">
        <v>46036</v>
      </c>
      <c r="B275" s="88" t="s">
        <v>98</v>
      </c>
      <c r="C275" s="91">
        <v>73.482699999999994</v>
      </c>
    </row>
    <row r="276" spans="1:3" x14ac:dyDescent="0.25">
      <c r="A276" s="89">
        <v>46036</v>
      </c>
      <c r="B276" s="88" t="s">
        <v>99</v>
      </c>
      <c r="C276" s="91">
        <v>73.502799999999993</v>
      </c>
    </row>
    <row r="277" spans="1:3" x14ac:dyDescent="0.25">
      <c r="A277" s="89">
        <v>46036</v>
      </c>
      <c r="B277" s="88" t="s">
        <v>100</v>
      </c>
      <c r="C277" s="91">
        <v>73.489400000000003</v>
      </c>
    </row>
    <row r="278" spans="1:3" x14ac:dyDescent="0.25">
      <c r="A278" s="89">
        <v>46036</v>
      </c>
      <c r="B278" s="88" t="s">
        <v>101</v>
      </c>
      <c r="C278" s="91">
        <v>73.485900000000001</v>
      </c>
    </row>
    <row r="279" spans="1:3" x14ac:dyDescent="0.25">
      <c r="A279" s="89">
        <v>46036</v>
      </c>
      <c r="B279" s="88" t="s">
        <v>102</v>
      </c>
      <c r="C279" s="91">
        <v>73.488200000000006</v>
      </c>
    </row>
    <row r="280" spans="1:3" x14ac:dyDescent="0.25">
      <c r="A280" s="89">
        <v>46036</v>
      </c>
      <c r="B280" s="88" t="s">
        <v>103</v>
      </c>
      <c r="C280" s="91">
        <v>73.494500000000002</v>
      </c>
    </row>
    <row r="281" spans="1:3" x14ac:dyDescent="0.25">
      <c r="A281" s="89">
        <v>46037</v>
      </c>
      <c r="B281" s="88" t="s">
        <v>94</v>
      </c>
      <c r="C281" s="91">
        <v>73.514499999999998</v>
      </c>
    </row>
    <row r="282" spans="1:3" x14ac:dyDescent="0.25">
      <c r="A282" s="89">
        <v>46037</v>
      </c>
      <c r="B282" s="88" t="s">
        <v>95</v>
      </c>
      <c r="C282" s="91">
        <v>73.503100000000003</v>
      </c>
    </row>
    <row r="283" spans="1:3" x14ac:dyDescent="0.25">
      <c r="A283" s="89">
        <v>46037</v>
      </c>
      <c r="B283" s="88" t="s">
        <v>96</v>
      </c>
      <c r="C283" s="91">
        <v>73.505499999999998</v>
      </c>
    </row>
    <row r="284" spans="1:3" x14ac:dyDescent="0.25">
      <c r="A284" s="89">
        <v>46037</v>
      </c>
      <c r="B284" s="88" t="s">
        <v>97</v>
      </c>
      <c r="C284" s="91">
        <v>73.480599999999995</v>
      </c>
    </row>
    <row r="285" spans="1:3" x14ac:dyDescent="0.25">
      <c r="A285" s="89">
        <v>46037</v>
      </c>
      <c r="B285" s="88" t="s">
        <v>98</v>
      </c>
      <c r="C285" s="91">
        <v>73.482799999999997</v>
      </c>
    </row>
    <row r="286" spans="1:3" x14ac:dyDescent="0.25">
      <c r="A286" s="89">
        <v>46037</v>
      </c>
      <c r="B286" s="88" t="s">
        <v>99</v>
      </c>
      <c r="C286" s="91">
        <v>73.502700000000004</v>
      </c>
    </row>
    <row r="287" spans="1:3" x14ac:dyDescent="0.25">
      <c r="A287" s="89">
        <v>46037</v>
      </c>
      <c r="B287" s="88" t="s">
        <v>100</v>
      </c>
      <c r="C287" s="91">
        <v>73.4893</v>
      </c>
    </row>
    <row r="288" spans="1:3" x14ac:dyDescent="0.25">
      <c r="A288" s="89">
        <v>46037</v>
      </c>
      <c r="B288" s="88" t="s">
        <v>101</v>
      </c>
      <c r="C288" s="91">
        <v>73.486000000000004</v>
      </c>
    </row>
    <row r="289" spans="1:3" x14ac:dyDescent="0.25">
      <c r="A289" s="89">
        <v>46037</v>
      </c>
      <c r="B289" s="88" t="s">
        <v>102</v>
      </c>
      <c r="C289" s="91">
        <v>73.488100000000003</v>
      </c>
    </row>
    <row r="290" spans="1:3" x14ac:dyDescent="0.25">
      <c r="A290" s="89">
        <v>46037</v>
      </c>
      <c r="B290" s="88" t="s">
        <v>103</v>
      </c>
      <c r="C290" s="91">
        <v>73.494699999999995</v>
      </c>
    </row>
    <row r="291" spans="1:3" x14ac:dyDescent="0.25">
      <c r="A291" s="89">
        <v>46037</v>
      </c>
      <c r="B291" s="88" t="s">
        <v>113</v>
      </c>
      <c r="C291" s="91">
        <v>74.313999999999993</v>
      </c>
    </row>
    <row r="292" spans="1:3" x14ac:dyDescent="0.25">
      <c r="A292" s="89">
        <v>46038</v>
      </c>
      <c r="B292" s="88" t="s">
        <v>94</v>
      </c>
      <c r="C292" s="91">
        <v>73.514499999999998</v>
      </c>
    </row>
    <row r="293" spans="1:3" x14ac:dyDescent="0.25">
      <c r="A293" s="89">
        <v>46038</v>
      </c>
      <c r="B293" s="88" t="s">
        <v>95</v>
      </c>
      <c r="C293" s="91">
        <v>73.503100000000003</v>
      </c>
    </row>
    <row r="294" spans="1:3" x14ac:dyDescent="0.25">
      <c r="A294" s="89">
        <v>46038</v>
      </c>
      <c r="B294" s="88" t="s">
        <v>96</v>
      </c>
      <c r="C294" s="91">
        <v>73.505600000000001</v>
      </c>
    </row>
    <row r="295" spans="1:3" x14ac:dyDescent="0.25">
      <c r="A295" s="89">
        <v>46038</v>
      </c>
      <c r="B295" s="88" t="s">
        <v>97</v>
      </c>
      <c r="C295" s="91">
        <v>73.480599999999995</v>
      </c>
    </row>
    <row r="296" spans="1:3" x14ac:dyDescent="0.25">
      <c r="A296" s="89">
        <v>46038</v>
      </c>
      <c r="B296" s="88" t="s">
        <v>98</v>
      </c>
      <c r="C296" s="91">
        <v>73.482799999999997</v>
      </c>
    </row>
    <row r="297" spans="1:3" x14ac:dyDescent="0.25">
      <c r="A297" s="89">
        <v>46038</v>
      </c>
      <c r="B297" s="88" t="s">
        <v>99</v>
      </c>
      <c r="C297" s="91">
        <v>73.502799999999993</v>
      </c>
    </row>
    <row r="298" spans="1:3" x14ac:dyDescent="0.25">
      <c r="A298" s="89">
        <v>46038</v>
      </c>
      <c r="B298" s="88" t="s">
        <v>100</v>
      </c>
      <c r="C298" s="91">
        <v>73.4893</v>
      </c>
    </row>
    <row r="299" spans="1:3" x14ac:dyDescent="0.25">
      <c r="A299" s="89">
        <v>46038</v>
      </c>
      <c r="B299" s="88" t="s">
        <v>101</v>
      </c>
      <c r="C299" s="91">
        <v>73.485900000000001</v>
      </c>
    </row>
    <row r="300" spans="1:3" x14ac:dyDescent="0.25">
      <c r="A300" s="89">
        <v>46038</v>
      </c>
      <c r="B300" s="88" t="s">
        <v>102</v>
      </c>
      <c r="C300" s="91">
        <v>73.488100000000003</v>
      </c>
    </row>
    <row r="301" spans="1:3" x14ac:dyDescent="0.25">
      <c r="A301" s="89">
        <v>46038</v>
      </c>
      <c r="B301" s="88" t="s">
        <v>103</v>
      </c>
      <c r="C301" s="91">
        <v>73.494500000000002</v>
      </c>
    </row>
    <row r="302" spans="1:3" x14ac:dyDescent="0.25">
      <c r="A302" s="89">
        <v>46038</v>
      </c>
      <c r="B302" s="88" t="s">
        <v>113</v>
      </c>
      <c r="C302" s="91">
        <v>74.313999999999993</v>
      </c>
    </row>
    <row r="303" spans="1:3" x14ac:dyDescent="0.25">
      <c r="A303" s="89">
        <v>46041</v>
      </c>
      <c r="B303" s="88" t="s">
        <v>94</v>
      </c>
      <c r="C303" s="91">
        <v>73.514700000000005</v>
      </c>
    </row>
    <row r="304" spans="1:3" x14ac:dyDescent="0.25">
      <c r="A304" s="89">
        <v>46041</v>
      </c>
      <c r="B304" s="88" t="s">
        <v>95</v>
      </c>
      <c r="C304" s="91">
        <v>73.503200000000007</v>
      </c>
    </row>
    <row r="305" spans="1:3" x14ac:dyDescent="0.25">
      <c r="A305" s="89">
        <v>46041</v>
      </c>
      <c r="B305" s="88" t="s">
        <v>96</v>
      </c>
      <c r="C305" s="91">
        <v>73.505300000000005</v>
      </c>
    </row>
    <row r="306" spans="1:3" x14ac:dyDescent="0.25">
      <c r="A306" s="89">
        <v>46041</v>
      </c>
      <c r="B306" s="88" t="s">
        <v>97</v>
      </c>
      <c r="C306" s="91">
        <v>73.4803</v>
      </c>
    </row>
    <row r="307" spans="1:3" x14ac:dyDescent="0.25">
      <c r="A307" s="89">
        <v>46041</v>
      </c>
      <c r="B307" s="88" t="s">
        <v>98</v>
      </c>
      <c r="C307" s="91">
        <v>73.482600000000005</v>
      </c>
    </row>
    <row r="308" spans="1:3" x14ac:dyDescent="0.25">
      <c r="A308" s="89">
        <v>46041</v>
      </c>
      <c r="B308" s="88" t="s">
        <v>99</v>
      </c>
      <c r="C308" s="91">
        <v>73.502499999999998</v>
      </c>
    </row>
    <row r="309" spans="1:3" x14ac:dyDescent="0.25">
      <c r="A309" s="89">
        <v>46041</v>
      </c>
      <c r="B309" s="88" t="s">
        <v>100</v>
      </c>
      <c r="C309" s="91">
        <v>73.489099999999993</v>
      </c>
    </row>
    <row r="310" spans="1:3" x14ac:dyDescent="0.25">
      <c r="A310" s="89">
        <v>46041</v>
      </c>
      <c r="B310" s="88" t="s">
        <v>101</v>
      </c>
      <c r="C310" s="91">
        <v>73.485699999999994</v>
      </c>
    </row>
    <row r="311" spans="1:3" x14ac:dyDescent="0.25">
      <c r="A311" s="89">
        <v>46041</v>
      </c>
      <c r="B311" s="88" t="s">
        <v>102</v>
      </c>
      <c r="C311" s="91">
        <v>73.488</v>
      </c>
    </row>
    <row r="312" spans="1:3" x14ac:dyDescent="0.25">
      <c r="A312" s="89">
        <v>46041</v>
      </c>
      <c r="B312" s="88" t="s">
        <v>103</v>
      </c>
      <c r="C312" s="91">
        <v>73.494399999999999</v>
      </c>
    </row>
    <row r="313" spans="1:3" x14ac:dyDescent="0.25">
      <c r="A313" s="89">
        <v>46043</v>
      </c>
      <c r="B313" s="88" t="s">
        <v>94</v>
      </c>
      <c r="C313" s="91">
        <v>73.514399999999995</v>
      </c>
    </row>
    <row r="314" spans="1:3" x14ac:dyDescent="0.25">
      <c r="A314" s="89">
        <v>46043</v>
      </c>
      <c r="B314" s="88" t="s">
        <v>95</v>
      </c>
      <c r="C314" s="91">
        <v>73.503</v>
      </c>
    </row>
    <row r="315" spans="1:3" x14ac:dyDescent="0.25">
      <c r="A315" s="89">
        <v>46043</v>
      </c>
      <c r="B315" s="88" t="s">
        <v>96</v>
      </c>
      <c r="C315" s="91">
        <v>73.505300000000005</v>
      </c>
    </row>
    <row r="316" spans="1:3" x14ac:dyDescent="0.25">
      <c r="A316" s="89">
        <v>46043</v>
      </c>
      <c r="B316" s="88" t="s">
        <v>97</v>
      </c>
      <c r="C316" s="91">
        <v>73.480400000000003</v>
      </c>
    </row>
    <row r="317" spans="1:3" x14ac:dyDescent="0.25">
      <c r="A317" s="89">
        <v>46043</v>
      </c>
      <c r="B317" s="88" t="s">
        <v>98</v>
      </c>
      <c r="C317" s="91">
        <v>73.482600000000005</v>
      </c>
    </row>
    <row r="318" spans="1:3" x14ac:dyDescent="0.25">
      <c r="A318" s="89">
        <v>46043</v>
      </c>
      <c r="B318" s="88" t="s">
        <v>99</v>
      </c>
      <c r="C318" s="91">
        <v>73.502600000000001</v>
      </c>
    </row>
    <row r="319" spans="1:3" x14ac:dyDescent="0.25">
      <c r="A319" s="89">
        <v>46043</v>
      </c>
      <c r="B319" s="88" t="s">
        <v>100</v>
      </c>
      <c r="C319" s="91">
        <v>73.489099999999993</v>
      </c>
    </row>
    <row r="320" spans="1:3" x14ac:dyDescent="0.25">
      <c r="A320" s="89">
        <v>46043</v>
      </c>
      <c r="B320" s="88" t="s">
        <v>101</v>
      </c>
      <c r="C320" s="91">
        <v>73.485799999999998</v>
      </c>
    </row>
    <row r="321" spans="1:3" x14ac:dyDescent="0.25">
      <c r="A321" s="89">
        <v>46043</v>
      </c>
      <c r="B321" s="88" t="s">
        <v>102</v>
      </c>
      <c r="C321" s="91">
        <v>73.487899999999996</v>
      </c>
    </row>
    <row r="322" spans="1:3" x14ac:dyDescent="0.25">
      <c r="A322" s="89">
        <v>46043</v>
      </c>
      <c r="B322" s="88" t="s">
        <v>103</v>
      </c>
      <c r="C322" s="91">
        <v>73.494399999999999</v>
      </c>
    </row>
    <row r="323" spans="1:3" x14ac:dyDescent="0.25">
      <c r="A323" s="89">
        <v>46043</v>
      </c>
      <c r="B323" s="88" t="s">
        <v>113</v>
      </c>
      <c r="C323" s="91">
        <v>74.313999999999993</v>
      </c>
    </row>
    <row r="324" spans="1:3" x14ac:dyDescent="0.25">
      <c r="A324" s="89">
        <v>46044</v>
      </c>
      <c r="B324" s="88" t="s">
        <v>94</v>
      </c>
      <c r="C324" s="91">
        <v>73.514399999999995</v>
      </c>
    </row>
    <row r="325" spans="1:3" x14ac:dyDescent="0.25">
      <c r="A325" s="89">
        <v>46044</v>
      </c>
      <c r="B325" s="88" t="s">
        <v>95</v>
      </c>
      <c r="C325" s="91">
        <v>73.503</v>
      </c>
    </row>
    <row r="326" spans="1:3" x14ac:dyDescent="0.25">
      <c r="A326" s="89">
        <v>46044</v>
      </c>
      <c r="B326" s="88" t="s">
        <v>96</v>
      </c>
      <c r="C326" s="91">
        <v>73.505499999999998</v>
      </c>
    </row>
    <row r="327" spans="1:3" x14ac:dyDescent="0.25">
      <c r="A327" s="89">
        <v>46044</v>
      </c>
      <c r="B327" s="88" t="s">
        <v>97</v>
      </c>
      <c r="C327" s="91">
        <v>73.480400000000003</v>
      </c>
    </row>
    <row r="328" spans="1:3" x14ac:dyDescent="0.25">
      <c r="A328" s="89">
        <v>46044</v>
      </c>
      <c r="B328" s="88" t="s">
        <v>98</v>
      </c>
      <c r="C328" s="91">
        <v>73.482699999999994</v>
      </c>
    </row>
    <row r="329" spans="1:3" x14ac:dyDescent="0.25">
      <c r="A329" s="89">
        <v>46044</v>
      </c>
      <c r="B329" s="88" t="s">
        <v>99</v>
      </c>
      <c r="C329" s="91">
        <v>73.502799999999993</v>
      </c>
    </row>
    <row r="330" spans="1:3" x14ac:dyDescent="0.25">
      <c r="A330" s="89">
        <v>46044</v>
      </c>
      <c r="B330" s="88" t="s">
        <v>100</v>
      </c>
      <c r="C330" s="91">
        <v>73.489199999999997</v>
      </c>
    </row>
    <row r="331" spans="1:3" x14ac:dyDescent="0.25">
      <c r="A331" s="89">
        <v>46044</v>
      </c>
      <c r="B331" s="88" t="s">
        <v>101</v>
      </c>
      <c r="C331" s="91">
        <v>73.485900000000001</v>
      </c>
    </row>
    <row r="332" spans="1:3" x14ac:dyDescent="0.25">
      <c r="A332" s="89">
        <v>46044</v>
      </c>
      <c r="B332" s="88" t="s">
        <v>102</v>
      </c>
      <c r="C332" s="91">
        <v>73.488100000000003</v>
      </c>
    </row>
    <row r="333" spans="1:3" x14ac:dyDescent="0.25">
      <c r="A333" s="89">
        <v>46044</v>
      </c>
      <c r="B333" s="88" t="s">
        <v>103</v>
      </c>
      <c r="C333" s="91">
        <v>73.494500000000002</v>
      </c>
    </row>
    <row r="334" spans="1:3" x14ac:dyDescent="0.25">
      <c r="A334" s="89">
        <v>46044</v>
      </c>
      <c r="B334" s="88" t="s">
        <v>113</v>
      </c>
      <c r="C334" s="91">
        <v>74.314099999999996</v>
      </c>
    </row>
    <row r="335" spans="1:3" x14ac:dyDescent="0.25">
      <c r="A335" s="89">
        <v>46045</v>
      </c>
      <c r="B335" s="88" t="s">
        <v>94</v>
      </c>
      <c r="C335" s="91">
        <v>73.514399999999995</v>
      </c>
    </row>
    <row r="336" spans="1:3" x14ac:dyDescent="0.25">
      <c r="A336" s="89">
        <v>46045</v>
      </c>
      <c r="B336" s="88" t="s">
        <v>95</v>
      </c>
      <c r="C336" s="91">
        <v>73.503</v>
      </c>
    </row>
    <row r="337" spans="1:3" x14ac:dyDescent="0.25">
      <c r="A337" s="89">
        <v>46045</v>
      </c>
      <c r="B337" s="88" t="s">
        <v>96</v>
      </c>
      <c r="C337" s="91">
        <v>73.505399999999995</v>
      </c>
    </row>
    <row r="338" spans="1:3" x14ac:dyDescent="0.25">
      <c r="A338" s="89">
        <v>46045</v>
      </c>
      <c r="B338" s="88" t="s">
        <v>97</v>
      </c>
      <c r="C338" s="91">
        <v>73.480500000000006</v>
      </c>
    </row>
    <row r="339" spans="1:3" x14ac:dyDescent="0.25">
      <c r="A339" s="89">
        <v>46045</v>
      </c>
      <c r="B339" s="88" t="s">
        <v>98</v>
      </c>
      <c r="C339" s="91">
        <v>73.482699999999994</v>
      </c>
    </row>
    <row r="340" spans="1:3" x14ac:dyDescent="0.25">
      <c r="A340" s="89">
        <v>46045</v>
      </c>
      <c r="B340" s="88" t="s">
        <v>99</v>
      </c>
      <c r="C340" s="91">
        <v>73.502600000000001</v>
      </c>
    </row>
    <row r="341" spans="1:3" x14ac:dyDescent="0.25">
      <c r="A341" s="89">
        <v>46045</v>
      </c>
      <c r="B341" s="88" t="s">
        <v>100</v>
      </c>
      <c r="C341" s="91">
        <v>73.489199999999997</v>
      </c>
    </row>
    <row r="342" spans="1:3" x14ac:dyDescent="0.25">
      <c r="A342" s="89">
        <v>46045</v>
      </c>
      <c r="B342" s="88" t="s">
        <v>101</v>
      </c>
      <c r="C342" s="91">
        <v>73.485900000000001</v>
      </c>
    </row>
    <row r="343" spans="1:3" x14ac:dyDescent="0.25">
      <c r="A343" s="89">
        <v>46045</v>
      </c>
      <c r="B343" s="88" t="s">
        <v>102</v>
      </c>
      <c r="C343" s="91">
        <v>73.488100000000003</v>
      </c>
    </row>
    <row r="344" spans="1:3" x14ac:dyDescent="0.25">
      <c r="A344" s="89">
        <v>46045</v>
      </c>
      <c r="B344" s="88" t="s">
        <v>103</v>
      </c>
      <c r="C344" s="91">
        <v>73.494500000000002</v>
      </c>
    </row>
    <row r="345" spans="1:3" x14ac:dyDescent="0.25">
      <c r="A345" s="89">
        <v>46045</v>
      </c>
      <c r="B345" s="86" t="s">
        <v>113</v>
      </c>
      <c r="C345" s="90">
        <v>74.314099999999996</v>
      </c>
    </row>
    <row r="346" spans="1:3" x14ac:dyDescent="0.25">
      <c r="A346" s="89">
        <v>46049</v>
      </c>
      <c r="B346" s="88" t="s">
        <v>94</v>
      </c>
      <c r="C346" s="91">
        <v>73.514799999999994</v>
      </c>
    </row>
    <row r="347" spans="1:3" x14ac:dyDescent="0.25">
      <c r="A347" s="89">
        <v>46049</v>
      </c>
      <c r="B347" s="88" t="s">
        <v>95</v>
      </c>
      <c r="C347" s="91">
        <v>73.503299999999996</v>
      </c>
    </row>
    <row r="348" spans="1:3" x14ac:dyDescent="0.25">
      <c r="A348" s="89">
        <v>46049</v>
      </c>
      <c r="B348" s="88" t="s">
        <v>96</v>
      </c>
      <c r="C348" s="91">
        <v>73.505499999999998</v>
      </c>
    </row>
    <row r="349" spans="1:3" x14ac:dyDescent="0.25">
      <c r="A349" s="89">
        <v>46049</v>
      </c>
      <c r="B349" s="88" t="s">
        <v>97</v>
      </c>
      <c r="C349" s="91">
        <v>73.480599999999995</v>
      </c>
    </row>
    <row r="350" spans="1:3" x14ac:dyDescent="0.25">
      <c r="A350" s="89">
        <v>46049</v>
      </c>
      <c r="B350" s="88" t="s">
        <v>98</v>
      </c>
      <c r="C350" s="91">
        <v>73.482799999999997</v>
      </c>
    </row>
    <row r="351" spans="1:3" x14ac:dyDescent="0.25">
      <c r="A351" s="89">
        <v>46049</v>
      </c>
      <c r="B351" s="88" t="s">
        <v>99</v>
      </c>
      <c r="C351" s="91">
        <v>73.502600000000001</v>
      </c>
    </row>
    <row r="352" spans="1:3" x14ac:dyDescent="0.25">
      <c r="A352" s="89">
        <v>46049</v>
      </c>
      <c r="B352" s="88" t="s">
        <v>100</v>
      </c>
      <c r="C352" s="91">
        <v>73.489199999999997</v>
      </c>
    </row>
    <row r="353" spans="1:3" x14ac:dyDescent="0.25">
      <c r="A353" s="89">
        <v>46049</v>
      </c>
      <c r="B353" s="88" t="s">
        <v>101</v>
      </c>
      <c r="C353" s="91">
        <v>73.485900000000001</v>
      </c>
    </row>
    <row r="354" spans="1:3" x14ac:dyDescent="0.25">
      <c r="A354" s="89">
        <v>46049</v>
      </c>
      <c r="B354" s="88" t="s">
        <v>102</v>
      </c>
      <c r="C354" s="91">
        <v>73.488</v>
      </c>
    </row>
    <row r="355" spans="1:3" x14ac:dyDescent="0.25">
      <c r="A355" s="89">
        <v>46049</v>
      </c>
      <c r="B355" s="88" t="s">
        <v>103</v>
      </c>
      <c r="C355" s="91">
        <v>73.494699999999995</v>
      </c>
    </row>
    <row r="356" spans="1:3" x14ac:dyDescent="0.25">
      <c r="A356" s="89">
        <v>46049</v>
      </c>
      <c r="B356" s="88" t="s">
        <v>142</v>
      </c>
      <c r="C356" s="91">
        <v>74.096599999999995</v>
      </c>
    </row>
    <row r="357" spans="1:3" x14ac:dyDescent="0.25">
      <c r="A357" s="89">
        <v>46049</v>
      </c>
      <c r="B357" s="88" t="s">
        <v>143</v>
      </c>
      <c r="C357" s="91">
        <v>73.996099999999998</v>
      </c>
    </row>
    <row r="358" spans="1:3" x14ac:dyDescent="0.25">
      <c r="A358" s="89">
        <v>46049</v>
      </c>
      <c r="B358" s="88" t="s">
        <v>144</v>
      </c>
      <c r="C358" s="91">
        <v>72.248900000000006</v>
      </c>
    </row>
    <row r="359" spans="1:3" x14ac:dyDescent="0.25">
      <c r="A359" s="89">
        <v>46049</v>
      </c>
      <c r="B359" s="88" t="s">
        <v>113</v>
      </c>
      <c r="C359" s="91">
        <v>74.314400000000006</v>
      </c>
    </row>
    <row r="360" spans="1:3" x14ac:dyDescent="0.25">
      <c r="A360" s="89">
        <v>46049</v>
      </c>
      <c r="B360" s="88" t="s">
        <v>145</v>
      </c>
      <c r="C360" s="91">
        <v>70.117699999999999</v>
      </c>
    </row>
    <row r="361" spans="1:3" x14ac:dyDescent="0.25">
      <c r="A361" s="89">
        <v>46050</v>
      </c>
      <c r="B361" s="88" t="s">
        <v>94</v>
      </c>
      <c r="C361" s="91">
        <v>73.514899999999997</v>
      </c>
    </row>
    <row r="362" spans="1:3" x14ac:dyDescent="0.25">
      <c r="A362" s="89">
        <v>46050</v>
      </c>
      <c r="B362" s="88" t="s">
        <v>95</v>
      </c>
      <c r="C362" s="91">
        <v>73.503399999999999</v>
      </c>
    </row>
    <row r="363" spans="1:3" x14ac:dyDescent="0.25">
      <c r="A363" s="89">
        <v>46050</v>
      </c>
      <c r="B363" s="88" t="s">
        <v>96</v>
      </c>
      <c r="C363" s="91">
        <v>73.505600000000001</v>
      </c>
    </row>
    <row r="364" spans="1:3" x14ac:dyDescent="0.25">
      <c r="A364" s="89">
        <v>46050</v>
      </c>
      <c r="B364" s="88" t="s">
        <v>97</v>
      </c>
      <c r="C364" s="91">
        <v>73.480599999999995</v>
      </c>
    </row>
    <row r="365" spans="1:3" x14ac:dyDescent="0.25">
      <c r="A365" s="89">
        <v>46050</v>
      </c>
      <c r="B365" s="88" t="s">
        <v>98</v>
      </c>
      <c r="C365" s="91">
        <v>73.482799999999997</v>
      </c>
    </row>
    <row r="366" spans="1:3" x14ac:dyDescent="0.25">
      <c r="A366" s="89">
        <v>46050</v>
      </c>
      <c r="B366" s="88" t="s">
        <v>99</v>
      </c>
      <c r="C366" s="91">
        <v>73.502499999999998</v>
      </c>
    </row>
    <row r="367" spans="1:3" x14ac:dyDescent="0.25">
      <c r="A367" s="89">
        <v>46050</v>
      </c>
      <c r="B367" s="88" t="s">
        <v>100</v>
      </c>
      <c r="C367" s="91">
        <v>73.489099999999993</v>
      </c>
    </row>
    <row r="368" spans="1:3" x14ac:dyDescent="0.25">
      <c r="A368" s="89">
        <v>46050</v>
      </c>
      <c r="B368" s="88" t="s">
        <v>101</v>
      </c>
      <c r="C368" s="91">
        <v>73.486000000000004</v>
      </c>
    </row>
    <row r="369" spans="1:3" x14ac:dyDescent="0.25">
      <c r="A369" s="89">
        <v>46050</v>
      </c>
      <c r="B369" s="88" t="s">
        <v>102</v>
      </c>
      <c r="C369" s="91">
        <v>73.488</v>
      </c>
    </row>
    <row r="370" spans="1:3" x14ac:dyDescent="0.25">
      <c r="A370" s="89">
        <v>46050</v>
      </c>
      <c r="B370" s="88" t="s">
        <v>103</v>
      </c>
      <c r="C370" s="91">
        <v>73.494699999999995</v>
      </c>
    </row>
    <row r="371" spans="1:3" x14ac:dyDescent="0.25">
      <c r="A371" s="89">
        <v>46050</v>
      </c>
      <c r="B371" s="88" t="s">
        <v>142</v>
      </c>
      <c r="C371" s="91">
        <v>74.096699999999998</v>
      </c>
    </row>
    <row r="372" spans="1:3" x14ac:dyDescent="0.25">
      <c r="A372" s="89">
        <v>46050</v>
      </c>
      <c r="B372" s="88" t="s">
        <v>143</v>
      </c>
      <c r="C372" s="91">
        <v>73.996300000000005</v>
      </c>
    </row>
    <row r="373" spans="1:3" x14ac:dyDescent="0.25">
      <c r="A373" s="89">
        <v>46050</v>
      </c>
      <c r="B373" s="88" t="s">
        <v>144</v>
      </c>
      <c r="C373" s="91">
        <v>72.249200000000002</v>
      </c>
    </row>
    <row r="374" spans="1:3" x14ac:dyDescent="0.25">
      <c r="A374" s="89">
        <v>46050</v>
      </c>
      <c r="B374" s="88" t="s">
        <v>113</v>
      </c>
      <c r="C374" s="91">
        <v>74.314499999999995</v>
      </c>
    </row>
    <row r="375" spans="1:3" x14ac:dyDescent="0.25">
      <c r="A375" s="89">
        <v>46050</v>
      </c>
      <c r="B375" s="88" t="s">
        <v>145</v>
      </c>
      <c r="C375" s="91">
        <v>70.117699999999999</v>
      </c>
    </row>
    <row r="376" spans="1:3" x14ac:dyDescent="0.25">
      <c r="A376" s="89">
        <v>46051</v>
      </c>
      <c r="B376" s="88" t="s">
        <v>94</v>
      </c>
      <c r="C376" s="91">
        <v>73.514700000000005</v>
      </c>
    </row>
    <row r="377" spans="1:3" x14ac:dyDescent="0.25">
      <c r="A377" s="89">
        <v>46051</v>
      </c>
      <c r="B377" s="88" t="s">
        <v>95</v>
      </c>
      <c r="C377" s="91">
        <v>73.503200000000007</v>
      </c>
    </row>
    <row r="378" spans="1:3" x14ac:dyDescent="0.25">
      <c r="A378" s="89">
        <v>46051</v>
      </c>
      <c r="B378" s="88" t="s">
        <v>96</v>
      </c>
      <c r="C378" s="91">
        <v>73.505499999999998</v>
      </c>
    </row>
    <row r="379" spans="1:3" x14ac:dyDescent="0.25">
      <c r="A379" s="89">
        <v>46051</v>
      </c>
      <c r="B379" s="88" t="s">
        <v>97</v>
      </c>
      <c r="C379" s="91">
        <v>73.480400000000003</v>
      </c>
    </row>
    <row r="380" spans="1:3" x14ac:dyDescent="0.25">
      <c r="A380" s="89">
        <v>46051</v>
      </c>
      <c r="B380" s="88" t="s">
        <v>98</v>
      </c>
      <c r="C380" s="91">
        <v>73.482600000000005</v>
      </c>
    </row>
    <row r="381" spans="1:3" x14ac:dyDescent="0.25">
      <c r="A381" s="89">
        <v>46051</v>
      </c>
      <c r="B381" s="88" t="s">
        <v>99</v>
      </c>
      <c r="C381" s="91">
        <v>73.502600000000001</v>
      </c>
    </row>
    <row r="382" spans="1:3" x14ac:dyDescent="0.25">
      <c r="A382" s="89">
        <v>46051</v>
      </c>
      <c r="B382" s="88" t="s">
        <v>100</v>
      </c>
      <c r="C382" s="91">
        <v>73.489000000000004</v>
      </c>
    </row>
    <row r="383" spans="1:3" x14ac:dyDescent="0.25">
      <c r="A383" s="89">
        <v>46051</v>
      </c>
      <c r="B383" s="88" t="s">
        <v>101</v>
      </c>
      <c r="C383" s="91">
        <v>73.485799999999998</v>
      </c>
    </row>
    <row r="384" spans="1:3" x14ac:dyDescent="0.25">
      <c r="A384" s="89">
        <v>46051</v>
      </c>
      <c r="B384" s="88" t="s">
        <v>102</v>
      </c>
      <c r="C384" s="91">
        <v>73.487799999999993</v>
      </c>
    </row>
    <row r="385" spans="1:3" x14ac:dyDescent="0.25">
      <c r="A385" s="89">
        <v>46051</v>
      </c>
      <c r="B385" s="88" t="s">
        <v>103</v>
      </c>
      <c r="C385" s="91">
        <v>73.494500000000002</v>
      </c>
    </row>
    <row r="386" spans="1:3" x14ac:dyDescent="0.25">
      <c r="A386" s="89">
        <v>46051</v>
      </c>
      <c r="B386" s="88" t="s">
        <v>142</v>
      </c>
      <c r="C386" s="91">
        <v>74.096500000000006</v>
      </c>
    </row>
    <row r="387" spans="1:3" x14ac:dyDescent="0.25">
      <c r="A387" s="89">
        <v>46051</v>
      </c>
      <c r="B387" s="88" t="s">
        <v>143</v>
      </c>
      <c r="C387" s="91">
        <v>73.995900000000006</v>
      </c>
    </row>
    <row r="388" spans="1:3" x14ac:dyDescent="0.25">
      <c r="A388" s="89">
        <v>46051</v>
      </c>
      <c r="B388" s="88" t="s">
        <v>144</v>
      </c>
      <c r="C388" s="91">
        <v>72.248999999999995</v>
      </c>
    </row>
    <row r="389" spans="1:3" x14ac:dyDescent="0.25">
      <c r="A389" s="89">
        <v>46051</v>
      </c>
      <c r="B389" s="88" t="s">
        <v>113</v>
      </c>
      <c r="C389" s="91">
        <v>74.313999999999993</v>
      </c>
    </row>
    <row r="390" spans="1:3" x14ac:dyDescent="0.25">
      <c r="A390" s="89">
        <v>46051</v>
      </c>
      <c r="B390" s="88" t="s">
        <v>145</v>
      </c>
      <c r="C390" s="91">
        <v>70.117900000000006</v>
      </c>
    </row>
    <row r="391" spans="1:3" x14ac:dyDescent="0.25">
      <c r="A391" s="89">
        <v>46052</v>
      </c>
      <c r="B391" s="88" t="s">
        <v>94</v>
      </c>
      <c r="C391" s="91">
        <v>73.514600000000002</v>
      </c>
    </row>
    <row r="392" spans="1:3" x14ac:dyDescent="0.25">
      <c r="A392" s="89">
        <v>46052</v>
      </c>
      <c r="B392" s="88" t="s">
        <v>95</v>
      </c>
      <c r="C392" s="91">
        <v>73.503200000000007</v>
      </c>
    </row>
    <row r="393" spans="1:3" x14ac:dyDescent="0.25">
      <c r="A393" s="89">
        <v>46052</v>
      </c>
      <c r="B393" s="88" t="s">
        <v>96</v>
      </c>
      <c r="C393" s="91">
        <v>73.505499999999998</v>
      </c>
    </row>
    <row r="394" spans="1:3" x14ac:dyDescent="0.25">
      <c r="A394" s="89">
        <v>46052</v>
      </c>
      <c r="B394" s="88" t="s">
        <v>97</v>
      </c>
      <c r="C394" s="91">
        <v>73.480500000000006</v>
      </c>
    </row>
    <row r="395" spans="1:3" x14ac:dyDescent="0.25">
      <c r="A395" s="89">
        <v>46052</v>
      </c>
      <c r="B395" s="88" t="s">
        <v>98</v>
      </c>
      <c r="C395" s="91">
        <v>73.482699999999994</v>
      </c>
    </row>
    <row r="396" spans="1:3" x14ac:dyDescent="0.25">
      <c r="A396" s="89">
        <v>46052</v>
      </c>
      <c r="B396" s="88" t="s">
        <v>99</v>
      </c>
      <c r="C396" s="91">
        <v>73.502499999999998</v>
      </c>
    </row>
    <row r="397" spans="1:3" x14ac:dyDescent="0.25">
      <c r="A397" s="89">
        <v>46052</v>
      </c>
      <c r="B397" s="88" t="s">
        <v>100</v>
      </c>
      <c r="C397" s="91">
        <v>73.488900000000001</v>
      </c>
    </row>
    <row r="398" spans="1:3" x14ac:dyDescent="0.25">
      <c r="A398" s="89">
        <v>46052</v>
      </c>
      <c r="B398" s="88" t="s">
        <v>101</v>
      </c>
      <c r="C398" s="91">
        <v>73.485799999999998</v>
      </c>
    </row>
    <row r="399" spans="1:3" x14ac:dyDescent="0.25">
      <c r="A399" s="89">
        <v>46052</v>
      </c>
      <c r="B399" s="88" t="s">
        <v>102</v>
      </c>
      <c r="C399" s="91">
        <v>73.487899999999996</v>
      </c>
    </row>
    <row r="400" spans="1:3" x14ac:dyDescent="0.25">
      <c r="A400" s="89">
        <v>46052</v>
      </c>
      <c r="B400" s="88" t="s">
        <v>103</v>
      </c>
      <c r="C400" s="91">
        <v>73.494600000000005</v>
      </c>
    </row>
    <row r="401" spans="1:3" x14ac:dyDescent="0.25">
      <c r="A401" s="89">
        <v>46052</v>
      </c>
      <c r="B401" s="88" t="s">
        <v>142</v>
      </c>
      <c r="C401" s="91">
        <v>74.096400000000003</v>
      </c>
    </row>
    <row r="402" spans="1:3" x14ac:dyDescent="0.25">
      <c r="A402" s="89">
        <v>46052</v>
      </c>
      <c r="B402" s="88" t="s">
        <v>143</v>
      </c>
      <c r="C402" s="91">
        <v>73.995999999999995</v>
      </c>
    </row>
    <row r="403" spans="1:3" x14ac:dyDescent="0.25">
      <c r="A403" s="89">
        <v>46052</v>
      </c>
      <c r="B403" s="88" t="s">
        <v>144</v>
      </c>
      <c r="C403" s="91">
        <v>72.248800000000003</v>
      </c>
    </row>
    <row r="404" spans="1:3" x14ac:dyDescent="0.25">
      <c r="A404" s="89">
        <v>46052</v>
      </c>
      <c r="B404" s="88" t="s">
        <v>113</v>
      </c>
      <c r="C404" s="91">
        <v>74.3142</v>
      </c>
    </row>
    <row r="405" spans="1:3" x14ac:dyDescent="0.25">
      <c r="A405" s="89">
        <v>46052</v>
      </c>
      <c r="B405" s="88" t="s">
        <v>145</v>
      </c>
      <c r="C405" s="91">
        <v>70.117500000000007</v>
      </c>
    </row>
    <row r="406" spans="1:3" x14ac:dyDescent="0.25">
      <c r="A406" s="89">
        <v>46055</v>
      </c>
      <c r="B406" s="88" t="s">
        <v>94</v>
      </c>
      <c r="C406" s="91">
        <v>73.514499999999998</v>
      </c>
    </row>
    <row r="407" spans="1:3" x14ac:dyDescent="0.25">
      <c r="A407" s="89">
        <v>46055</v>
      </c>
      <c r="B407" s="88" t="s">
        <v>95</v>
      </c>
      <c r="C407" s="91">
        <v>73.503100000000003</v>
      </c>
    </row>
    <row r="408" spans="1:3" x14ac:dyDescent="0.25">
      <c r="A408" s="89">
        <v>46055</v>
      </c>
      <c r="B408" s="88" t="s">
        <v>96</v>
      </c>
      <c r="C408" s="91">
        <v>73.505399999999995</v>
      </c>
    </row>
    <row r="409" spans="1:3" x14ac:dyDescent="0.25">
      <c r="A409" s="89">
        <v>46055</v>
      </c>
      <c r="B409" s="88" t="s">
        <v>97</v>
      </c>
      <c r="C409" s="91">
        <v>73.480400000000003</v>
      </c>
    </row>
    <row r="410" spans="1:3" x14ac:dyDescent="0.25">
      <c r="A410" s="89">
        <v>46055</v>
      </c>
      <c r="B410" s="88" t="s">
        <v>98</v>
      </c>
      <c r="C410" s="91">
        <v>73.482600000000005</v>
      </c>
    </row>
    <row r="411" spans="1:3" x14ac:dyDescent="0.25">
      <c r="A411" s="89">
        <v>46055</v>
      </c>
      <c r="B411" s="88" t="s">
        <v>99</v>
      </c>
      <c r="C411" s="91">
        <v>73.502399999999994</v>
      </c>
    </row>
    <row r="412" spans="1:3" x14ac:dyDescent="0.25">
      <c r="A412" s="89">
        <v>46055</v>
      </c>
      <c r="B412" s="88" t="s">
        <v>100</v>
      </c>
      <c r="C412" s="91">
        <v>73.488900000000001</v>
      </c>
    </row>
    <row r="413" spans="1:3" x14ac:dyDescent="0.25">
      <c r="A413" s="89">
        <v>46055</v>
      </c>
      <c r="B413" s="88" t="s">
        <v>101</v>
      </c>
      <c r="C413" s="91">
        <v>73.485699999999994</v>
      </c>
    </row>
    <row r="414" spans="1:3" x14ac:dyDescent="0.25">
      <c r="A414" s="89">
        <v>46055</v>
      </c>
      <c r="B414" s="88" t="s">
        <v>102</v>
      </c>
      <c r="C414" s="91">
        <v>73.487799999999993</v>
      </c>
    </row>
    <row r="415" spans="1:3" x14ac:dyDescent="0.25">
      <c r="A415" s="89">
        <v>46055</v>
      </c>
      <c r="B415" s="88" t="s">
        <v>103</v>
      </c>
      <c r="C415" s="91">
        <v>73.494500000000002</v>
      </c>
    </row>
    <row r="416" spans="1:3" x14ac:dyDescent="0.25">
      <c r="A416" s="89">
        <v>46055</v>
      </c>
      <c r="B416" s="88" t="s">
        <v>142</v>
      </c>
      <c r="C416" s="91">
        <v>74.096900000000005</v>
      </c>
    </row>
    <row r="417" spans="1:3" x14ac:dyDescent="0.25">
      <c r="A417" s="89">
        <v>46055</v>
      </c>
      <c r="B417" s="88" t="s">
        <v>143</v>
      </c>
      <c r="C417" s="91">
        <v>73.996399999999994</v>
      </c>
    </row>
    <row r="418" spans="1:3" x14ac:dyDescent="0.25">
      <c r="A418" s="89">
        <v>46055</v>
      </c>
      <c r="B418" s="88" t="s">
        <v>144</v>
      </c>
      <c r="C418" s="91">
        <v>72.249300000000005</v>
      </c>
    </row>
    <row r="419" spans="1:3" x14ac:dyDescent="0.25">
      <c r="A419" s="89">
        <v>46055</v>
      </c>
      <c r="B419" s="88" t="s">
        <v>113</v>
      </c>
      <c r="C419" s="91">
        <v>74.314400000000006</v>
      </c>
    </row>
    <row r="420" spans="1:3" x14ac:dyDescent="0.25">
      <c r="A420" s="89">
        <v>46055</v>
      </c>
      <c r="B420" s="88" t="s">
        <v>145</v>
      </c>
      <c r="C420" s="91">
        <v>70.118200000000002</v>
      </c>
    </row>
    <row r="421" spans="1:3" x14ac:dyDescent="0.25">
      <c r="A421" s="89">
        <v>46056</v>
      </c>
      <c r="B421" s="88" t="s">
        <v>94</v>
      </c>
      <c r="C421" s="91">
        <v>73.514499999999998</v>
      </c>
    </row>
    <row r="422" spans="1:3" x14ac:dyDescent="0.25">
      <c r="A422" s="89">
        <v>46056</v>
      </c>
      <c r="B422" s="88" t="s">
        <v>95</v>
      </c>
      <c r="C422" s="91">
        <v>73.503100000000003</v>
      </c>
    </row>
    <row r="423" spans="1:3" x14ac:dyDescent="0.25">
      <c r="A423" s="89">
        <v>46056</v>
      </c>
      <c r="B423" s="88" t="s">
        <v>96</v>
      </c>
      <c r="C423" s="91">
        <v>73.505300000000005</v>
      </c>
    </row>
    <row r="424" spans="1:3" x14ac:dyDescent="0.25">
      <c r="A424" s="89">
        <v>46056</v>
      </c>
      <c r="B424" s="88" t="s">
        <v>97</v>
      </c>
      <c r="C424" s="91">
        <v>73.4803</v>
      </c>
    </row>
    <row r="425" spans="1:3" x14ac:dyDescent="0.25">
      <c r="A425" s="89">
        <v>46056</v>
      </c>
      <c r="B425" s="88" t="s">
        <v>98</v>
      </c>
      <c r="C425" s="91">
        <v>73.482500000000002</v>
      </c>
    </row>
    <row r="426" spans="1:3" x14ac:dyDescent="0.25">
      <c r="A426" s="89">
        <v>46056</v>
      </c>
      <c r="B426" s="88" t="s">
        <v>99</v>
      </c>
      <c r="C426" s="91">
        <v>73.502300000000005</v>
      </c>
    </row>
    <row r="427" spans="1:3" x14ac:dyDescent="0.25">
      <c r="A427" s="89">
        <v>46056</v>
      </c>
      <c r="B427" s="88" t="s">
        <v>100</v>
      </c>
      <c r="C427" s="91">
        <v>73.488900000000001</v>
      </c>
    </row>
    <row r="428" spans="1:3" x14ac:dyDescent="0.25">
      <c r="A428" s="89">
        <v>46056</v>
      </c>
      <c r="B428" s="88" t="s">
        <v>101</v>
      </c>
      <c r="C428" s="91">
        <v>73.485699999999994</v>
      </c>
    </row>
    <row r="429" spans="1:3" x14ac:dyDescent="0.25">
      <c r="A429" s="89">
        <v>46056</v>
      </c>
      <c r="B429" s="88" t="s">
        <v>102</v>
      </c>
      <c r="C429" s="91">
        <v>73.487799999999993</v>
      </c>
    </row>
    <row r="430" spans="1:3" x14ac:dyDescent="0.25">
      <c r="A430" s="89">
        <v>46056</v>
      </c>
      <c r="B430" s="88" t="s">
        <v>103</v>
      </c>
      <c r="C430" s="91">
        <v>73.494500000000002</v>
      </c>
    </row>
    <row r="431" spans="1:3" x14ac:dyDescent="0.25">
      <c r="A431" s="89">
        <v>46056</v>
      </c>
      <c r="B431" s="88" t="s">
        <v>142</v>
      </c>
      <c r="C431" s="91">
        <v>74.096400000000003</v>
      </c>
    </row>
    <row r="432" spans="1:3" x14ac:dyDescent="0.25">
      <c r="A432" s="89">
        <v>46056</v>
      </c>
      <c r="B432" s="88" t="s">
        <v>143</v>
      </c>
      <c r="C432" s="91">
        <v>73.995999999999995</v>
      </c>
    </row>
    <row r="433" spans="1:3" x14ac:dyDescent="0.25">
      <c r="A433" s="89">
        <v>46056</v>
      </c>
      <c r="B433" s="88" t="s">
        <v>144</v>
      </c>
      <c r="C433" s="91">
        <v>72.248900000000006</v>
      </c>
    </row>
    <row r="434" spans="1:3" x14ac:dyDescent="0.25">
      <c r="A434" s="89">
        <v>46056</v>
      </c>
      <c r="B434" s="88" t="s">
        <v>113</v>
      </c>
      <c r="C434" s="91">
        <v>74.313999999999993</v>
      </c>
    </row>
    <row r="435" spans="1:3" x14ac:dyDescent="0.25">
      <c r="A435" s="89">
        <v>46056</v>
      </c>
      <c r="B435" s="88" t="s">
        <v>145</v>
      </c>
      <c r="C435" s="91">
        <v>70.117599999999996</v>
      </c>
    </row>
    <row r="436" spans="1:3" x14ac:dyDescent="0.25">
      <c r="A436" s="89">
        <v>46057</v>
      </c>
      <c r="B436" s="88" t="s">
        <v>94</v>
      </c>
      <c r="C436" s="91">
        <v>73.514600000000002</v>
      </c>
    </row>
    <row r="437" spans="1:3" x14ac:dyDescent="0.25">
      <c r="A437" s="89">
        <v>46057</v>
      </c>
      <c r="B437" s="88" t="s">
        <v>95</v>
      </c>
      <c r="C437" s="91">
        <v>73.503200000000007</v>
      </c>
    </row>
    <row r="438" spans="1:3" x14ac:dyDescent="0.25">
      <c r="A438" s="89">
        <v>46057</v>
      </c>
      <c r="B438" s="88" t="s">
        <v>96</v>
      </c>
      <c r="C438" s="91">
        <v>73.505399999999995</v>
      </c>
    </row>
    <row r="439" spans="1:3" x14ac:dyDescent="0.25">
      <c r="A439" s="89">
        <v>46057</v>
      </c>
      <c r="B439" s="88" t="s">
        <v>97</v>
      </c>
      <c r="C439" s="91">
        <v>73.4803</v>
      </c>
    </row>
    <row r="440" spans="1:3" x14ac:dyDescent="0.25">
      <c r="A440" s="89">
        <v>46057</v>
      </c>
      <c r="B440" s="88" t="s">
        <v>98</v>
      </c>
      <c r="C440" s="91">
        <v>73.482500000000002</v>
      </c>
    </row>
    <row r="441" spans="1:3" x14ac:dyDescent="0.25">
      <c r="A441" s="89">
        <v>46057</v>
      </c>
      <c r="B441" s="88" t="s">
        <v>99</v>
      </c>
      <c r="C441" s="91">
        <v>73.502399999999994</v>
      </c>
    </row>
    <row r="442" spans="1:3" x14ac:dyDescent="0.25">
      <c r="A442" s="89">
        <v>46057</v>
      </c>
      <c r="B442" s="88" t="s">
        <v>100</v>
      </c>
      <c r="C442" s="91">
        <v>73.488900000000001</v>
      </c>
    </row>
    <row r="443" spans="1:3" x14ac:dyDescent="0.25">
      <c r="A443" s="89">
        <v>46057</v>
      </c>
      <c r="B443" s="88" t="s">
        <v>101</v>
      </c>
      <c r="C443" s="91">
        <v>73.485699999999994</v>
      </c>
    </row>
    <row r="444" spans="1:3" x14ac:dyDescent="0.25">
      <c r="A444" s="89">
        <v>46057</v>
      </c>
      <c r="B444" s="88" t="s">
        <v>102</v>
      </c>
      <c r="C444" s="91">
        <v>73.487899999999996</v>
      </c>
    </row>
    <row r="445" spans="1:3" x14ac:dyDescent="0.25">
      <c r="A445" s="89">
        <v>46057</v>
      </c>
      <c r="B445" s="88" t="s">
        <v>142</v>
      </c>
      <c r="C445" s="91">
        <v>74.096400000000003</v>
      </c>
    </row>
    <row r="446" spans="1:3" x14ac:dyDescent="0.25">
      <c r="A446" s="89">
        <v>46057</v>
      </c>
      <c r="B446" s="88" t="s">
        <v>143</v>
      </c>
      <c r="C446" s="91">
        <v>73.996099999999998</v>
      </c>
    </row>
    <row r="447" spans="1:3" x14ac:dyDescent="0.25">
      <c r="A447" s="89">
        <v>46057</v>
      </c>
      <c r="B447" s="88" t="s">
        <v>144</v>
      </c>
      <c r="C447" s="91">
        <v>72.248900000000006</v>
      </c>
    </row>
    <row r="448" spans="1:3" x14ac:dyDescent="0.25">
      <c r="A448" s="89">
        <v>46057</v>
      </c>
      <c r="B448" s="88" t="s">
        <v>113</v>
      </c>
      <c r="C448" s="91">
        <v>74.313999999999993</v>
      </c>
    </row>
    <row r="449" spans="1:3" x14ac:dyDescent="0.25">
      <c r="A449" s="89">
        <v>46057</v>
      </c>
      <c r="B449" s="88" t="s">
        <v>145</v>
      </c>
      <c r="C449" s="91">
        <v>70.117599999999996</v>
      </c>
    </row>
    <row r="450" spans="1:3" x14ac:dyDescent="0.25">
      <c r="A450" s="89">
        <v>46058</v>
      </c>
      <c r="B450" s="88" t="s">
        <v>94</v>
      </c>
      <c r="C450" s="91">
        <v>73.514899999999997</v>
      </c>
    </row>
    <row r="451" spans="1:3" x14ac:dyDescent="0.25">
      <c r="A451" s="89">
        <v>46058</v>
      </c>
      <c r="B451" s="88" t="s">
        <v>95</v>
      </c>
      <c r="C451" s="91">
        <v>73.503399999999999</v>
      </c>
    </row>
    <row r="452" spans="1:3" x14ac:dyDescent="0.25">
      <c r="A452" s="89">
        <v>46058</v>
      </c>
      <c r="B452" s="88" t="s">
        <v>96</v>
      </c>
      <c r="C452" s="91">
        <v>73.505600000000001</v>
      </c>
    </row>
    <row r="453" spans="1:3" x14ac:dyDescent="0.25">
      <c r="A453" s="89">
        <v>46058</v>
      </c>
      <c r="B453" s="88" t="s">
        <v>97</v>
      </c>
      <c r="C453" s="91">
        <v>73.480699999999999</v>
      </c>
    </row>
    <row r="454" spans="1:3" x14ac:dyDescent="0.25">
      <c r="A454" s="89">
        <v>46058</v>
      </c>
      <c r="B454" s="88" t="s">
        <v>98</v>
      </c>
      <c r="C454" s="91">
        <v>73.482900000000001</v>
      </c>
    </row>
    <row r="455" spans="1:3" x14ac:dyDescent="0.25">
      <c r="A455" s="89">
        <v>46058</v>
      </c>
      <c r="B455" s="88" t="s">
        <v>99</v>
      </c>
      <c r="C455" s="91">
        <v>73.502600000000001</v>
      </c>
    </row>
    <row r="456" spans="1:3" x14ac:dyDescent="0.25">
      <c r="A456" s="89">
        <v>46058</v>
      </c>
      <c r="B456" s="88" t="s">
        <v>100</v>
      </c>
      <c r="C456" s="91">
        <v>73.489099999999993</v>
      </c>
    </row>
    <row r="457" spans="1:3" x14ac:dyDescent="0.25">
      <c r="A457" s="89">
        <v>46058</v>
      </c>
      <c r="B457" s="88" t="s">
        <v>101</v>
      </c>
      <c r="C457" s="91">
        <v>73.485900000000001</v>
      </c>
    </row>
    <row r="458" spans="1:3" x14ac:dyDescent="0.25">
      <c r="A458" s="89">
        <v>46058</v>
      </c>
      <c r="B458" s="88" t="s">
        <v>102</v>
      </c>
      <c r="C458" s="91">
        <v>73.488</v>
      </c>
    </row>
    <row r="459" spans="1:3" x14ac:dyDescent="0.25">
      <c r="A459" s="89">
        <v>46058</v>
      </c>
      <c r="B459" s="88" t="s">
        <v>103</v>
      </c>
      <c r="C459" s="91">
        <v>73.494699999999995</v>
      </c>
    </row>
    <row r="460" spans="1:3" x14ac:dyDescent="0.25">
      <c r="A460" s="89">
        <v>46058</v>
      </c>
      <c r="B460" s="88" t="s">
        <v>142</v>
      </c>
      <c r="C460" s="91">
        <v>74.096699999999998</v>
      </c>
    </row>
    <row r="461" spans="1:3" x14ac:dyDescent="0.25">
      <c r="A461" s="89">
        <v>46058</v>
      </c>
      <c r="B461" s="88" t="s">
        <v>143</v>
      </c>
      <c r="C461" s="91">
        <v>73.996200000000002</v>
      </c>
    </row>
    <row r="462" spans="1:3" x14ac:dyDescent="0.25">
      <c r="A462" s="89">
        <v>46058</v>
      </c>
      <c r="B462" s="88" t="s">
        <v>144</v>
      </c>
      <c r="C462" s="91">
        <v>72.249300000000005</v>
      </c>
    </row>
    <row r="463" spans="1:3" x14ac:dyDescent="0.25">
      <c r="A463" s="89">
        <v>46058</v>
      </c>
      <c r="B463" s="88" t="s">
        <v>113</v>
      </c>
      <c r="C463" s="91">
        <v>74.3142</v>
      </c>
    </row>
    <row r="464" spans="1:3" x14ac:dyDescent="0.25">
      <c r="A464" s="89">
        <v>46058</v>
      </c>
      <c r="B464" s="88" t="s">
        <v>145</v>
      </c>
      <c r="C464" s="91">
        <v>70.118200000000002</v>
      </c>
    </row>
    <row r="465" spans="1:3" x14ac:dyDescent="0.25">
      <c r="A465" s="89">
        <v>46059</v>
      </c>
      <c r="B465" s="88" t="s">
        <v>94</v>
      </c>
      <c r="C465" s="91">
        <v>73.514700000000005</v>
      </c>
    </row>
    <row r="466" spans="1:3" x14ac:dyDescent="0.25">
      <c r="A466" s="89">
        <v>46059</v>
      </c>
      <c r="B466" s="88" t="s">
        <v>95</v>
      </c>
      <c r="C466" s="91">
        <v>73.503100000000003</v>
      </c>
    </row>
    <row r="467" spans="1:3" x14ac:dyDescent="0.25">
      <c r="A467" s="89">
        <v>46059</v>
      </c>
      <c r="B467" s="88" t="s">
        <v>96</v>
      </c>
      <c r="C467" s="91">
        <v>73.505600000000001</v>
      </c>
    </row>
    <row r="468" spans="1:3" x14ac:dyDescent="0.25">
      <c r="A468" s="89">
        <v>46059</v>
      </c>
      <c r="B468" s="88" t="s">
        <v>97</v>
      </c>
      <c r="C468" s="91">
        <v>73.480699999999999</v>
      </c>
    </row>
    <row r="469" spans="1:3" x14ac:dyDescent="0.25">
      <c r="A469" s="89">
        <v>46059</v>
      </c>
      <c r="B469" s="88" t="s">
        <v>98</v>
      </c>
      <c r="C469" s="91">
        <v>73.482900000000001</v>
      </c>
    </row>
    <row r="470" spans="1:3" x14ac:dyDescent="0.25">
      <c r="A470" s="89">
        <v>46059</v>
      </c>
      <c r="B470" s="88" t="s">
        <v>99</v>
      </c>
      <c r="C470" s="91">
        <v>73.502700000000004</v>
      </c>
    </row>
    <row r="471" spans="1:3" x14ac:dyDescent="0.25">
      <c r="A471" s="89">
        <v>46059</v>
      </c>
      <c r="B471" s="88" t="s">
        <v>100</v>
      </c>
      <c r="C471" s="91">
        <v>73.488900000000001</v>
      </c>
    </row>
    <row r="472" spans="1:3" x14ac:dyDescent="0.25">
      <c r="A472" s="89">
        <v>46059</v>
      </c>
      <c r="B472" s="88" t="s">
        <v>101</v>
      </c>
      <c r="C472" s="91">
        <v>73.485799999999998</v>
      </c>
    </row>
    <row r="473" spans="1:3" x14ac:dyDescent="0.25">
      <c r="A473" s="89">
        <v>46059</v>
      </c>
      <c r="B473" s="88" t="s">
        <v>102</v>
      </c>
      <c r="C473" s="91">
        <v>73.487899999999996</v>
      </c>
    </row>
    <row r="474" spans="1:3" x14ac:dyDescent="0.25">
      <c r="A474" s="89">
        <v>46059</v>
      </c>
      <c r="B474" s="88" t="s">
        <v>103</v>
      </c>
      <c r="C474" s="91">
        <v>73.494200000000006</v>
      </c>
    </row>
    <row r="475" spans="1:3" x14ac:dyDescent="0.25">
      <c r="A475" s="89">
        <v>46059</v>
      </c>
      <c r="B475" s="88" t="s">
        <v>142</v>
      </c>
      <c r="C475" s="91">
        <v>74.096500000000006</v>
      </c>
    </row>
    <row r="476" spans="1:3" x14ac:dyDescent="0.25">
      <c r="A476" s="89">
        <v>46059</v>
      </c>
      <c r="B476" s="88" t="s">
        <v>143</v>
      </c>
      <c r="C476" s="91">
        <v>73.996099999999998</v>
      </c>
    </row>
    <row r="477" spans="1:3" x14ac:dyDescent="0.25">
      <c r="A477" s="89">
        <v>46059</v>
      </c>
      <c r="B477" s="88" t="s">
        <v>144</v>
      </c>
      <c r="C477" s="91">
        <v>72.248999999999995</v>
      </c>
    </row>
    <row r="478" spans="1:3" x14ac:dyDescent="0.25">
      <c r="A478" s="89">
        <v>46059</v>
      </c>
      <c r="B478" s="88" t="s">
        <v>113</v>
      </c>
      <c r="C478" s="91">
        <v>74.314300000000003</v>
      </c>
    </row>
    <row r="479" spans="1:3" x14ac:dyDescent="0.25">
      <c r="A479" s="89">
        <v>46059</v>
      </c>
      <c r="B479" s="88" t="s">
        <v>145</v>
      </c>
      <c r="C479" s="91">
        <v>70.117500000000007</v>
      </c>
    </row>
    <row r="480" spans="1:3" x14ac:dyDescent="0.25">
      <c r="A480" s="89">
        <v>46062</v>
      </c>
      <c r="B480" s="88" t="s">
        <v>94</v>
      </c>
      <c r="C480" s="91">
        <v>73.514600000000002</v>
      </c>
    </row>
    <row r="481" spans="1:3" x14ac:dyDescent="0.25">
      <c r="A481" s="89">
        <v>46062</v>
      </c>
      <c r="B481" s="88" t="s">
        <v>95</v>
      </c>
      <c r="C481" s="91">
        <v>73.503100000000003</v>
      </c>
    </row>
    <row r="482" spans="1:3" x14ac:dyDescent="0.25">
      <c r="A482" s="89">
        <v>46062</v>
      </c>
      <c r="B482" s="88" t="s">
        <v>96</v>
      </c>
      <c r="C482" s="91">
        <v>73.505300000000005</v>
      </c>
    </row>
    <row r="483" spans="1:3" x14ac:dyDescent="0.25">
      <c r="A483" s="89">
        <v>46062</v>
      </c>
      <c r="B483" s="88" t="s">
        <v>97</v>
      </c>
      <c r="C483" s="91">
        <v>73.480400000000003</v>
      </c>
    </row>
    <row r="484" spans="1:3" x14ac:dyDescent="0.25">
      <c r="A484" s="89">
        <v>46062</v>
      </c>
      <c r="B484" s="88" t="s">
        <v>98</v>
      </c>
      <c r="C484" s="91">
        <v>73.482600000000005</v>
      </c>
    </row>
    <row r="485" spans="1:3" x14ac:dyDescent="0.25">
      <c r="A485" s="89">
        <v>46062</v>
      </c>
      <c r="B485" s="88" t="s">
        <v>99</v>
      </c>
      <c r="C485" s="91">
        <v>73.502300000000005</v>
      </c>
    </row>
    <row r="486" spans="1:3" x14ac:dyDescent="0.25">
      <c r="A486" s="89">
        <v>46062</v>
      </c>
      <c r="B486" s="88" t="s">
        <v>100</v>
      </c>
      <c r="C486" s="91">
        <v>73.488900000000001</v>
      </c>
    </row>
    <row r="487" spans="1:3" x14ac:dyDescent="0.25">
      <c r="A487" s="89">
        <v>46062</v>
      </c>
      <c r="B487" s="88" t="s">
        <v>101</v>
      </c>
      <c r="C487" s="91">
        <v>73.485799999999998</v>
      </c>
    </row>
    <row r="488" spans="1:3" x14ac:dyDescent="0.25">
      <c r="A488" s="89">
        <v>46062</v>
      </c>
      <c r="B488" s="88" t="s">
        <v>102</v>
      </c>
      <c r="C488" s="91">
        <v>73.487799999999993</v>
      </c>
    </row>
    <row r="489" spans="1:3" x14ac:dyDescent="0.25">
      <c r="A489" s="89">
        <v>46062</v>
      </c>
      <c r="B489" s="88" t="s">
        <v>103</v>
      </c>
      <c r="C489" s="91">
        <v>73.494799999999998</v>
      </c>
    </row>
    <row r="490" spans="1:3" x14ac:dyDescent="0.25">
      <c r="A490" s="89">
        <v>46063</v>
      </c>
      <c r="B490" s="88" t="s">
        <v>94</v>
      </c>
      <c r="C490" s="91">
        <v>73.514399999999995</v>
      </c>
    </row>
    <row r="491" spans="1:3" x14ac:dyDescent="0.25">
      <c r="A491" s="89">
        <v>46063</v>
      </c>
      <c r="B491" s="88" t="s">
        <v>95</v>
      </c>
      <c r="C491" s="91">
        <v>73.503</v>
      </c>
    </row>
    <row r="492" spans="1:3" x14ac:dyDescent="0.25">
      <c r="A492" s="89">
        <v>46063</v>
      </c>
      <c r="B492" s="88" t="s">
        <v>96</v>
      </c>
      <c r="C492" s="91">
        <v>73.505200000000002</v>
      </c>
    </row>
    <row r="493" spans="1:3" x14ac:dyDescent="0.25">
      <c r="A493" s="89">
        <v>46063</v>
      </c>
      <c r="B493" s="88" t="s">
        <v>97</v>
      </c>
      <c r="C493" s="91">
        <v>73.4803</v>
      </c>
    </row>
    <row r="494" spans="1:3" x14ac:dyDescent="0.25">
      <c r="A494" s="89">
        <v>46063</v>
      </c>
      <c r="B494" s="88" t="s">
        <v>98</v>
      </c>
      <c r="C494" s="91">
        <v>73.482399999999998</v>
      </c>
    </row>
    <row r="495" spans="1:3" x14ac:dyDescent="0.25">
      <c r="A495" s="89">
        <v>46063</v>
      </c>
      <c r="B495" s="88" t="s">
        <v>99</v>
      </c>
      <c r="C495" s="91">
        <v>73.502200000000002</v>
      </c>
    </row>
    <row r="496" spans="1:3" x14ac:dyDescent="0.25">
      <c r="A496" s="89">
        <v>46063</v>
      </c>
      <c r="B496" s="88" t="s">
        <v>100</v>
      </c>
      <c r="C496" s="91">
        <v>73.488799999999998</v>
      </c>
    </row>
    <row r="497" spans="1:3" x14ac:dyDescent="0.25">
      <c r="A497" s="89">
        <v>46063</v>
      </c>
      <c r="B497" s="88" t="s">
        <v>101</v>
      </c>
      <c r="C497" s="91">
        <v>73.485600000000005</v>
      </c>
    </row>
    <row r="498" spans="1:3" x14ac:dyDescent="0.25">
      <c r="A498" s="89">
        <v>46063</v>
      </c>
      <c r="B498" s="88" t="s">
        <v>103</v>
      </c>
      <c r="C498" s="91">
        <v>73.494500000000002</v>
      </c>
    </row>
    <row r="499" spans="1:3" x14ac:dyDescent="0.25">
      <c r="A499" s="89">
        <v>46064</v>
      </c>
      <c r="B499" s="88" t="s">
        <v>94</v>
      </c>
      <c r="C499" s="91">
        <v>73.514300000000006</v>
      </c>
    </row>
    <row r="500" spans="1:3" x14ac:dyDescent="0.25">
      <c r="A500" s="89">
        <v>46064</v>
      </c>
      <c r="B500" s="88" t="s">
        <v>95</v>
      </c>
      <c r="C500" s="91">
        <v>73.502899999999997</v>
      </c>
    </row>
    <row r="501" spans="1:3" x14ac:dyDescent="0.25">
      <c r="A501" s="89">
        <v>46064</v>
      </c>
      <c r="B501" s="88" t="s">
        <v>96</v>
      </c>
      <c r="C501" s="91">
        <v>73.505099999999999</v>
      </c>
    </row>
    <row r="502" spans="1:3" x14ac:dyDescent="0.25">
      <c r="A502" s="89">
        <v>46064</v>
      </c>
      <c r="B502" s="88" t="s">
        <v>97</v>
      </c>
      <c r="C502" s="91">
        <v>73.480199999999996</v>
      </c>
    </row>
    <row r="503" spans="1:3" x14ac:dyDescent="0.25">
      <c r="A503" s="89">
        <v>46064</v>
      </c>
      <c r="B503" s="88" t="s">
        <v>98</v>
      </c>
      <c r="C503" s="91">
        <v>73.482500000000002</v>
      </c>
    </row>
    <row r="504" spans="1:3" x14ac:dyDescent="0.25">
      <c r="A504" s="89">
        <v>46064</v>
      </c>
      <c r="B504" s="88" t="s">
        <v>99</v>
      </c>
      <c r="C504" s="91">
        <v>73.502300000000005</v>
      </c>
    </row>
    <row r="505" spans="1:3" x14ac:dyDescent="0.25">
      <c r="A505" s="89">
        <v>46064</v>
      </c>
      <c r="B505" s="88" t="s">
        <v>100</v>
      </c>
      <c r="C505" s="91">
        <v>73.488799999999998</v>
      </c>
    </row>
    <row r="506" spans="1:3" x14ac:dyDescent="0.25">
      <c r="A506" s="89">
        <v>46064</v>
      </c>
      <c r="B506" s="88" t="s">
        <v>101</v>
      </c>
      <c r="C506" s="91">
        <v>73.485500000000002</v>
      </c>
    </row>
    <row r="507" spans="1:3" x14ac:dyDescent="0.25">
      <c r="A507" s="89">
        <v>46064</v>
      </c>
      <c r="B507" s="88" t="s">
        <v>102</v>
      </c>
      <c r="C507" s="91">
        <v>73.487799999999993</v>
      </c>
    </row>
    <row r="508" spans="1:3" x14ac:dyDescent="0.25">
      <c r="A508" s="89">
        <v>46064</v>
      </c>
      <c r="B508" s="88" t="s">
        <v>103</v>
      </c>
      <c r="C508" s="91">
        <v>73.494399999999999</v>
      </c>
    </row>
    <row r="509" spans="1:3" x14ac:dyDescent="0.25">
      <c r="A509" s="89">
        <v>46064</v>
      </c>
      <c r="B509" s="88" t="s">
        <v>142</v>
      </c>
      <c r="C509" s="91">
        <v>74.096199999999996</v>
      </c>
    </row>
    <row r="510" spans="1:3" x14ac:dyDescent="0.25">
      <c r="A510" s="89">
        <v>46064</v>
      </c>
      <c r="B510" s="88" t="s">
        <v>143</v>
      </c>
      <c r="C510" s="91">
        <v>73.995800000000003</v>
      </c>
    </row>
    <row r="511" spans="1:3" x14ac:dyDescent="0.25">
      <c r="A511" s="89">
        <v>46064</v>
      </c>
      <c r="B511" s="88" t="s">
        <v>144</v>
      </c>
      <c r="C511" s="91">
        <v>72.248699999999999</v>
      </c>
    </row>
    <row r="512" spans="1:3" x14ac:dyDescent="0.25">
      <c r="A512" s="89">
        <v>46064</v>
      </c>
      <c r="B512" s="88" t="s">
        <v>113</v>
      </c>
      <c r="C512" s="91">
        <v>74.313800000000001</v>
      </c>
    </row>
    <row r="513" spans="1:3" x14ac:dyDescent="0.25">
      <c r="A513" s="89">
        <v>46064</v>
      </c>
      <c r="B513" s="88" t="s">
        <v>145</v>
      </c>
      <c r="C513" s="91">
        <v>70.1173</v>
      </c>
    </row>
    <row r="514" spans="1:3" x14ac:dyDescent="0.25">
      <c r="A514" s="89">
        <v>46065</v>
      </c>
      <c r="B514" s="88" t="s">
        <v>94</v>
      </c>
      <c r="C514" s="91">
        <v>73.514499999999998</v>
      </c>
    </row>
    <row r="515" spans="1:3" x14ac:dyDescent="0.25">
      <c r="A515" s="89">
        <v>46065</v>
      </c>
      <c r="B515" s="88" t="s">
        <v>95</v>
      </c>
      <c r="C515" s="91">
        <v>73.503100000000003</v>
      </c>
    </row>
    <row r="516" spans="1:3" x14ac:dyDescent="0.25">
      <c r="A516" s="89">
        <v>46065</v>
      </c>
      <c r="B516" s="88" t="s">
        <v>96</v>
      </c>
      <c r="C516" s="91">
        <v>73.505200000000002</v>
      </c>
    </row>
    <row r="517" spans="1:3" x14ac:dyDescent="0.25">
      <c r="A517" s="89">
        <v>46065</v>
      </c>
      <c r="B517" s="88" t="s">
        <v>97</v>
      </c>
      <c r="C517" s="91">
        <v>73.480099999999993</v>
      </c>
    </row>
    <row r="518" spans="1:3" x14ac:dyDescent="0.25">
      <c r="A518" s="89">
        <v>46065</v>
      </c>
      <c r="B518" s="88" t="s">
        <v>98</v>
      </c>
      <c r="C518" s="91">
        <v>73.482299999999995</v>
      </c>
    </row>
    <row r="519" spans="1:3" x14ac:dyDescent="0.25">
      <c r="A519" s="89">
        <v>46065</v>
      </c>
      <c r="B519" s="88" t="s">
        <v>99</v>
      </c>
      <c r="C519" s="91">
        <v>73.502200000000002</v>
      </c>
    </row>
    <row r="520" spans="1:3" x14ac:dyDescent="0.25">
      <c r="A520" s="89">
        <v>46065</v>
      </c>
      <c r="B520" s="88" t="s">
        <v>100</v>
      </c>
      <c r="C520" s="91">
        <v>73.488500000000002</v>
      </c>
    </row>
    <row r="521" spans="1:3" x14ac:dyDescent="0.25">
      <c r="A521" s="89">
        <v>46065</v>
      </c>
      <c r="B521" s="88" t="s">
        <v>101</v>
      </c>
      <c r="C521" s="91">
        <v>73.485200000000006</v>
      </c>
    </row>
    <row r="522" spans="1:3" x14ac:dyDescent="0.25">
      <c r="A522" s="89">
        <v>46065</v>
      </c>
      <c r="B522" s="88" t="s">
        <v>102</v>
      </c>
      <c r="C522" s="91">
        <v>73.487499999999997</v>
      </c>
    </row>
    <row r="523" spans="1:3" x14ac:dyDescent="0.25">
      <c r="A523" s="89">
        <v>46065</v>
      </c>
      <c r="B523" s="88" t="s">
        <v>103</v>
      </c>
      <c r="C523" s="91">
        <v>73.494200000000006</v>
      </c>
    </row>
    <row r="524" spans="1:3" x14ac:dyDescent="0.25">
      <c r="A524" s="89">
        <v>46065</v>
      </c>
      <c r="B524" s="88" t="s">
        <v>142</v>
      </c>
      <c r="C524" s="91">
        <v>74.096100000000007</v>
      </c>
    </row>
    <row r="525" spans="1:3" x14ac:dyDescent="0.25">
      <c r="A525" s="89">
        <v>46065</v>
      </c>
      <c r="B525" s="88" t="s">
        <v>143</v>
      </c>
      <c r="C525" s="91">
        <v>73.995500000000007</v>
      </c>
    </row>
    <row r="526" spans="1:3" x14ac:dyDescent="0.25">
      <c r="A526" s="89">
        <v>46065</v>
      </c>
      <c r="B526" s="88" t="s">
        <v>144</v>
      </c>
      <c r="C526" s="91">
        <v>72.248699999999999</v>
      </c>
    </row>
    <row r="527" spans="1:3" x14ac:dyDescent="0.25">
      <c r="A527" s="89">
        <v>46065</v>
      </c>
      <c r="B527" s="88" t="s">
        <v>113</v>
      </c>
      <c r="C527" s="91">
        <v>74.313599999999994</v>
      </c>
    </row>
    <row r="528" spans="1:3" x14ac:dyDescent="0.25">
      <c r="A528" s="89">
        <v>46065</v>
      </c>
      <c r="B528" s="88" t="s">
        <v>145</v>
      </c>
      <c r="C528" s="91">
        <v>70.117699999999999</v>
      </c>
    </row>
    <row r="529" spans="1:3" x14ac:dyDescent="0.25">
      <c r="A529" s="89">
        <v>46069</v>
      </c>
      <c r="B529" s="88" t="s">
        <v>94</v>
      </c>
      <c r="C529" s="91">
        <v>73.514700000000005</v>
      </c>
    </row>
    <row r="530" spans="1:3" x14ac:dyDescent="0.25">
      <c r="A530" s="89">
        <v>46069</v>
      </c>
      <c r="B530" s="88" t="s">
        <v>95</v>
      </c>
      <c r="C530" s="91">
        <v>73.503200000000007</v>
      </c>
    </row>
    <row r="531" spans="1:3" x14ac:dyDescent="0.25">
      <c r="A531" s="89">
        <v>46069</v>
      </c>
      <c r="B531" s="88" t="s">
        <v>96</v>
      </c>
      <c r="C531" s="91">
        <v>73.505300000000005</v>
      </c>
    </row>
    <row r="532" spans="1:3" x14ac:dyDescent="0.25">
      <c r="A532" s="89">
        <v>46069</v>
      </c>
      <c r="B532" s="88" t="s">
        <v>97</v>
      </c>
      <c r="C532" s="91">
        <v>73.480400000000003</v>
      </c>
    </row>
    <row r="533" spans="1:3" x14ac:dyDescent="0.25">
      <c r="A533" s="89">
        <v>46069</v>
      </c>
      <c r="B533" s="88" t="s">
        <v>98</v>
      </c>
      <c r="C533" s="91">
        <v>73.482500000000002</v>
      </c>
    </row>
    <row r="534" spans="1:3" x14ac:dyDescent="0.25">
      <c r="A534" s="89">
        <v>46069</v>
      </c>
      <c r="B534" s="88" t="s">
        <v>99</v>
      </c>
      <c r="C534" s="91">
        <v>73.502300000000005</v>
      </c>
    </row>
    <row r="535" spans="1:3" x14ac:dyDescent="0.25">
      <c r="A535" s="89">
        <v>46069</v>
      </c>
      <c r="B535" s="88" t="s">
        <v>100</v>
      </c>
      <c r="C535" s="91">
        <v>73.488799999999998</v>
      </c>
    </row>
    <row r="536" spans="1:3" x14ac:dyDescent="0.25">
      <c r="A536" s="89">
        <v>46069</v>
      </c>
      <c r="B536" s="88" t="s">
        <v>101</v>
      </c>
      <c r="C536" s="91">
        <v>73.485699999999994</v>
      </c>
    </row>
    <row r="537" spans="1:3" x14ac:dyDescent="0.25">
      <c r="A537" s="89">
        <v>46069</v>
      </c>
      <c r="B537" s="88" t="s">
        <v>102</v>
      </c>
      <c r="C537" s="91">
        <v>73.487799999999993</v>
      </c>
    </row>
    <row r="538" spans="1:3" x14ac:dyDescent="0.25">
      <c r="A538" s="89">
        <v>46069</v>
      </c>
      <c r="B538" s="88" t="s">
        <v>103</v>
      </c>
      <c r="C538" s="91">
        <v>73.494699999999995</v>
      </c>
    </row>
    <row r="539" spans="1:3" x14ac:dyDescent="0.25">
      <c r="A539" s="89">
        <v>46069</v>
      </c>
      <c r="B539" s="88" t="s">
        <v>142</v>
      </c>
      <c r="C539" s="91">
        <v>74.096199999999996</v>
      </c>
    </row>
    <row r="540" spans="1:3" x14ac:dyDescent="0.25">
      <c r="A540" s="89">
        <v>46069</v>
      </c>
      <c r="B540" s="88" t="s">
        <v>143</v>
      </c>
      <c r="C540" s="91">
        <v>73.995800000000003</v>
      </c>
    </row>
    <row r="541" spans="1:3" x14ac:dyDescent="0.25">
      <c r="A541" s="89">
        <v>46069</v>
      </c>
      <c r="B541" s="88" t="s">
        <v>144</v>
      </c>
      <c r="C541" s="91">
        <v>72.248500000000007</v>
      </c>
    </row>
    <row r="542" spans="1:3" x14ac:dyDescent="0.25">
      <c r="A542" s="89">
        <v>46069</v>
      </c>
      <c r="B542" s="88" t="s">
        <v>113</v>
      </c>
      <c r="C542" s="91">
        <v>74.313900000000004</v>
      </c>
    </row>
    <row r="543" spans="1:3" x14ac:dyDescent="0.25">
      <c r="A543" s="89">
        <v>46069</v>
      </c>
      <c r="B543" s="88" t="s">
        <v>145</v>
      </c>
      <c r="C543" s="91">
        <v>70.1173</v>
      </c>
    </row>
    <row r="544" spans="1:3" x14ac:dyDescent="0.25">
      <c r="A544" s="89">
        <v>46070</v>
      </c>
      <c r="B544" s="88" t="s">
        <v>94</v>
      </c>
      <c r="C544" s="91">
        <v>73.514399999999995</v>
      </c>
    </row>
    <row r="545" spans="1:3" x14ac:dyDescent="0.25">
      <c r="A545" s="89">
        <v>46070</v>
      </c>
      <c r="B545" s="88" t="s">
        <v>95</v>
      </c>
      <c r="C545" s="91">
        <v>73.502799999999993</v>
      </c>
    </row>
    <row r="546" spans="1:3" x14ac:dyDescent="0.25">
      <c r="A546" s="89">
        <v>46070</v>
      </c>
      <c r="B546" s="88" t="s">
        <v>96</v>
      </c>
      <c r="C546" s="91">
        <v>73.504999999999995</v>
      </c>
    </row>
    <row r="547" spans="1:3" x14ac:dyDescent="0.25">
      <c r="A547" s="89">
        <v>46070</v>
      </c>
      <c r="B547" s="88" t="s">
        <v>97</v>
      </c>
      <c r="C547" s="91">
        <v>73.48</v>
      </c>
    </row>
    <row r="548" spans="1:3" x14ac:dyDescent="0.25">
      <c r="A548" s="89">
        <v>46070</v>
      </c>
      <c r="B548" s="88" t="s">
        <v>98</v>
      </c>
      <c r="C548" s="91">
        <v>73.482100000000003</v>
      </c>
    </row>
    <row r="549" spans="1:3" x14ac:dyDescent="0.25">
      <c r="A549" s="89">
        <v>46070</v>
      </c>
      <c r="B549" s="88" t="s">
        <v>99</v>
      </c>
      <c r="C549" s="91">
        <v>73.501999999999995</v>
      </c>
    </row>
    <row r="550" spans="1:3" x14ac:dyDescent="0.25">
      <c r="A550" s="89">
        <v>46070</v>
      </c>
      <c r="B550" s="88" t="s">
        <v>100</v>
      </c>
      <c r="C550" s="91">
        <v>73.488500000000002</v>
      </c>
    </row>
    <row r="551" spans="1:3" x14ac:dyDescent="0.25">
      <c r="A551" s="89">
        <v>46070</v>
      </c>
      <c r="B551" s="88" t="s">
        <v>101</v>
      </c>
      <c r="C551" s="91">
        <v>73.485299999999995</v>
      </c>
    </row>
    <row r="552" spans="1:3" x14ac:dyDescent="0.25">
      <c r="A552" s="89">
        <v>46070</v>
      </c>
      <c r="B552" s="88" t="s">
        <v>102</v>
      </c>
      <c r="C552" s="91">
        <v>73.487499999999997</v>
      </c>
    </row>
    <row r="553" spans="1:3" x14ac:dyDescent="0.25">
      <c r="A553" s="89">
        <v>46070</v>
      </c>
      <c r="B553" s="88" t="s">
        <v>103</v>
      </c>
      <c r="C553" s="91">
        <v>73.494299999999996</v>
      </c>
    </row>
    <row r="554" spans="1:3" x14ac:dyDescent="0.25">
      <c r="A554" s="89">
        <v>46070</v>
      </c>
      <c r="B554" s="88" t="s">
        <v>142</v>
      </c>
      <c r="C554" s="91">
        <v>74.0959</v>
      </c>
    </row>
    <row r="555" spans="1:3" x14ac:dyDescent="0.25">
      <c r="A555" s="89">
        <v>46070</v>
      </c>
      <c r="B555" s="88" t="s">
        <v>143</v>
      </c>
      <c r="C555" s="91">
        <v>73.995500000000007</v>
      </c>
    </row>
    <row r="556" spans="1:3" x14ac:dyDescent="0.25">
      <c r="A556" s="89">
        <v>46070</v>
      </c>
      <c r="B556" s="88" t="s">
        <v>144</v>
      </c>
      <c r="C556" s="91">
        <v>72.248500000000007</v>
      </c>
    </row>
    <row r="557" spans="1:3" x14ac:dyDescent="0.25">
      <c r="A557" s="89">
        <v>46070</v>
      </c>
      <c r="B557" s="88" t="s">
        <v>113</v>
      </c>
      <c r="C557" s="91">
        <v>74.313400000000001</v>
      </c>
    </row>
    <row r="558" spans="1:3" x14ac:dyDescent="0.25">
      <c r="A558" s="89">
        <v>46070</v>
      </c>
      <c r="B558" s="88" t="s">
        <v>145</v>
      </c>
      <c r="C558" s="91">
        <v>70.117199999999997</v>
      </c>
    </row>
    <row r="559" spans="1:3" x14ac:dyDescent="0.25">
      <c r="A559" s="89">
        <v>46071</v>
      </c>
      <c r="B559" s="88" t="s">
        <v>94</v>
      </c>
      <c r="C559" s="91">
        <v>73.514300000000006</v>
      </c>
    </row>
    <row r="560" spans="1:3" x14ac:dyDescent="0.25">
      <c r="A560" s="89">
        <v>46071</v>
      </c>
      <c r="B560" s="88" t="s">
        <v>95</v>
      </c>
      <c r="C560" s="91">
        <v>73.502799999999993</v>
      </c>
    </row>
    <row r="561" spans="1:3" x14ac:dyDescent="0.25">
      <c r="A561" s="89">
        <v>46071</v>
      </c>
      <c r="B561" s="88" t="s">
        <v>96</v>
      </c>
      <c r="C561" s="91">
        <v>73.504999999999995</v>
      </c>
    </row>
    <row r="562" spans="1:3" x14ac:dyDescent="0.25">
      <c r="A562" s="89">
        <v>46071</v>
      </c>
      <c r="B562" s="88" t="s">
        <v>97</v>
      </c>
      <c r="C562" s="91">
        <v>73.480099999999993</v>
      </c>
    </row>
    <row r="563" spans="1:3" x14ac:dyDescent="0.25">
      <c r="A563" s="89">
        <v>46071</v>
      </c>
      <c r="B563" s="88" t="s">
        <v>98</v>
      </c>
      <c r="C563" s="91">
        <v>73.482200000000006</v>
      </c>
    </row>
    <row r="564" spans="1:3" x14ac:dyDescent="0.25">
      <c r="A564" s="89">
        <v>46071</v>
      </c>
      <c r="B564" s="88" t="s">
        <v>99</v>
      </c>
      <c r="C564" s="91">
        <v>73.501999999999995</v>
      </c>
    </row>
    <row r="565" spans="1:3" x14ac:dyDescent="0.25">
      <c r="A565" s="89">
        <v>46071</v>
      </c>
      <c r="B565" s="88" t="s">
        <v>100</v>
      </c>
      <c r="C565" s="91">
        <v>73.488600000000005</v>
      </c>
    </row>
    <row r="566" spans="1:3" x14ac:dyDescent="0.25">
      <c r="A566" s="89">
        <v>46071</v>
      </c>
      <c r="B566" s="88" t="s">
        <v>101</v>
      </c>
      <c r="C566" s="91">
        <v>73.485399999999998</v>
      </c>
    </row>
    <row r="567" spans="1:3" x14ac:dyDescent="0.25">
      <c r="A567" s="89">
        <v>46071</v>
      </c>
      <c r="B567" s="88" t="s">
        <v>102</v>
      </c>
      <c r="C567" s="91">
        <v>73.487700000000004</v>
      </c>
    </row>
    <row r="568" spans="1:3" x14ac:dyDescent="0.25">
      <c r="A568" s="89">
        <v>46071</v>
      </c>
      <c r="B568" s="88" t="s">
        <v>103</v>
      </c>
      <c r="C568" s="91">
        <v>73.494500000000002</v>
      </c>
    </row>
    <row r="569" spans="1:3" x14ac:dyDescent="0.25">
      <c r="A569" s="89">
        <v>46071</v>
      </c>
      <c r="B569" s="88" t="s">
        <v>142</v>
      </c>
      <c r="C569" s="91">
        <v>74.096100000000007</v>
      </c>
    </row>
    <row r="570" spans="1:3" x14ac:dyDescent="0.25">
      <c r="A570" s="89">
        <v>46071</v>
      </c>
      <c r="B570" s="88" t="s">
        <v>143</v>
      </c>
      <c r="C570" s="91">
        <v>73.995699999999999</v>
      </c>
    </row>
    <row r="571" spans="1:3" x14ac:dyDescent="0.25">
      <c r="A571" s="89">
        <v>46071</v>
      </c>
      <c r="B571" s="88" t="s">
        <v>144</v>
      </c>
      <c r="C571" s="91">
        <v>72.248500000000007</v>
      </c>
    </row>
    <row r="572" spans="1:3" x14ac:dyDescent="0.25">
      <c r="A572" s="89">
        <v>46071</v>
      </c>
      <c r="B572" s="88" t="s">
        <v>113</v>
      </c>
      <c r="C572" s="91">
        <v>74.313800000000001</v>
      </c>
    </row>
    <row r="573" spans="1:3" x14ac:dyDescent="0.25">
      <c r="A573" s="89">
        <v>46071</v>
      </c>
      <c r="B573" s="88" t="s">
        <v>145</v>
      </c>
      <c r="C573" s="91">
        <v>70.117099999999994</v>
      </c>
    </row>
    <row r="574" spans="1:3" x14ac:dyDescent="0.25">
      <c r="A574" s="89">
        <v>46072</v>
      </c>
      <c r="B574" s="88" t="s">
        <v>94</v>
      </c>
      <c r="C574" s="91">
        <v>73.514499999999998</v>
      </c>
    </row>
    <row r="575" spans="1:3" x14ac:dyDescent="0.25">
      <c r="A575" s="89">
        <v>46072</v>
      </c>
      <c r="B575" s="88" t="s">
        <v>95</v>
      </c>
      <c r="C575" s="91">
        <v>73.503100000000003</v>
      </c>
    </row>
    <row r="576" spans="1:3" x14ac:dyDescent="0.25">
      <c r="A576" s="89">
        <v>46072</v>
      </c>
      <c r="B576" s="88" t="s">
        <v>96</v>
      </c>
      <c r="C576" s="91">
        <v>73.505200000000002</v>
      </c>
    </row>
    <row r="577" spans="1:3" x14ac:dyDescent="0.25">
      <c r="A577" s="89">
        <v>46072</v>
      </c>
      <c r="B577" s="88" t="s">
        <v>97</v>
      </c>
      <c r="C577" s="91">
        <v>73.480199999999996</v>
      </c>
    </row>
    <row r="578" spans="1:3" x14ac:dyDescent="0.25">
      <c r="A578" s="89">
        <v>46072</v>
      </c>
      <c r="B578" s="88" t="s">
        <v>98</v>
      </c>
      <c r="C578" s="91">
        <v>73.482399999999998</v>
      </c>
    </row>
    <row r="579" spans="1:3" x14ac:dyDescent="0.25">
      <c r="A579" s="89">
        <v>46072</v>
      </c>
      <c r="B579" s="88" t="s">
        <v>99</v>
      </c>
      <c r="C579" s="91">
        <v>73.502200000000002</v>
      </c>
    </row>
    <row r="580" spans="1:3" x14ac:dyDescent="0.25">
      <c r="A580" s="89">
        <v>46072</v>
      </c>
      <c r="B580" s="88" t="s">
        <v>100</v>
      </c>
      <c r="C580" s="91">
        <v>73.488600000000005</v>
      </c>
    </row>
    <row r="581" spans="1:3" x14ac:dyDescent="0.25">
      <c r="A581" s="89">
        <v>46072</v>
      </c>
      <c r="B581" s="88" t="s">
        <v>101</v>
      </c>
      <c r="C581" s="91">
        <v>73.485500000000002</v>
      </c>
    </row>
    <row r="582" spans="1:3" x14ac:dyDescent="0.25">
      <c r="A582" s="89">
        <v>46072</v>
      </c>
      <c r="B582" s="88" t="s">
        <v>102</v>
      </c>
      <c r="C582" s="91">
        <v>73.487700000000004</v>
      </c>
    </row>
    <row r="583" spans="1:3" x14ac:dyDescent="0.25">
      <c r="A583" s="89">
        <v>46072</v>
      </c>
      <c r="B583" s="88" t="s">
        <v>103</v>
      </c>
      <c r="C583" s="91">
        <v>73.494600000000005</v>
      </c>
    </row>
    <row r="584" spans="1:3" x14ac:dyDescent="0.25">
      <c r="A584" s="89">
        <v>46079</v>
      </c>
      <c r="B584" s="88" t="s">
        <v>94</v>
      </c>
      <c r="C584" s="91">
        <v>73.514399999999995</v>
      </c>
    </row>
    <row r="585" spans="1:3" x14ac:dyDescent="0.25">
      <c r="A585" s="89">
        <v>46079</v>
      </c>
      <c r="B585" s="88" t="s">
        <v>95</v>
      </c>
      <c r="C585" s="91">
        <v>73.502899999999997</v>
      </c>
    </row>
    <row r="586" spans="1:3" x14ac:dyDescent="0.25">
      <c r="A586" s="89">
        <v>46079</v>
      </c>
      <c r="B586" s="88" t="s">
        <v>96</v>
      </c>
      <c r="C586" s="91">
        <v>73.505099999999999</v>
      </c>
    </row>
    <row r="587" spans="1:3" x14ac:dyDescent="0.25">
      <c r="A587" s="89">
        <v>46079</v>
      </c>
      <c r="B587" s="88" t="s">
        <v>97</v>
      </c>
      <c r="C587" s="91">
        <v>73.479900000000001</v>
      </c>
    </row>
    <row r="588" spans="1:3" x14ac:dyDescent="0.25">
      <c r="A588" s="89">
        <v>46079</v>
      </c>
      <c r="B588" s="88" t="s">
        <v>98</v>
      </c>
      <c r="C588" s="91">
        <v>73.482100000000003</v>
      </c>
    </row>
    <row r="589" spans="1:3" x14ac:dyDescent="0.25">
      <c r="A589" s="89">
        <v>46079</v>
      </c>
      <c r="B589" s="88" t="s">
        <v>99</v>
      </c>
      <c r="C589" s="91">
        <v>73.501999999999995</v>
      </c>
    </row>
    <row r="590" spans="1:3" x14ac:dyDescent="0.25">
      <c r="A590" s="89">
        <v>46079</v>
      </c>
      <c r="B590" s="88" t="s">
        <v>100</v>
      </c>
      <c r="C590" s="91">
        <v>73.488299999999995</v>
      </c>
    </row>
    <row r="591" spans="1:3" x14ac:dyDescent="0.25">
      <c r="A591" s="89">
        <v>46079</v>
      </c>
      <c r="B591" s="88" t="s">
        <v>101</v>
      </c>
      <c r="C591" s="91">
        <v>73.484999999999999</v>
      </c>
    </row>
    <row r="592" spans="1:3" x14ac:dyDescent="0.25">
      <c r="A592" s="89">
        <v>46079</v>
      </c>
      <c r="B592" s="88" t="s">
        <v>102</v>
      </c>
      <c r="C592" s="91">
        <v>73.487399999999994</v>
      </c>
    </row>
    <row r="593" spans="1:3" x14ac:dyDescent="0.25">
      <c r="A593" s="89">
        <v>46079</v>
      </c>
      <c r="B593" s="88" t="s">
        <v>103</v>
      </c>
      <c r="C593" s="91">
        <v>73.494299999999996</v>
      </c>
    </row>
    <row r="594" spans="1:3" x14ac:dyDescent="0.25">
      <c r="A594" s="89">
        <v>46079</v>
      </c>
      <c r="B594" s="88" t="s">
        <v>142</v>
      </c>
      <c r="C594" s="91">
        <v>74.095600000000005</v>
      </c>
    </row>
    <row r="595" spans="1:3" x14ac:dyDescent="0.25">
      <c r="A595" s="89">
        <v>46079</v>
      </c>
      <c r="B595" s="88" t="s">
        <v>143</v>
      </c>
      <c r="C595" s="91">
        <v>73.995099999999994</v>
      </c>
    </row>
    <row r="596" spans="1:3" x14ac:dyDescent="0.25">
      <c r="A596" s="89">
        <v>46079</v>
      </c>
      <c r="B596" s="88" t="s">
        <v>144</v>
      </c>
      <c r="C596" s="91">
        <v>72.248400000000004</v>
      </c>
    </row>
    <row r="597" spans="1:3" x14ac:dyDescent="0.25">
      <c r="A597" s="89">
        <v>46079</v>
      </c>
      <c r="B597" s="88" t="s">
        <v>113</v>
      </c>
      <c r="C597" s="91">
        <v>74.312899999999999</v>
      </c>
    </row>
    <row r="598" spans="1:3" x14ac:dyDescent="0.25">
      <c r="A598" s="89">
        <v>46079</v>
      </c>
      <c r="B598" s="88" t="s">
        <v>145</v>
      </c>
      <c r="C598" s="91">
        <v>70.117800000000003</v>
      </c>
    </row>
    <row r="599" spans="1:3" x14ac:dyDescent="0.25">
      <c r="A599" s="89">
        <v>46079</v>
      </c>
      <c r="B599" s="88" t="s">
        <v>146</v>
      </c>
      <c r="C599" s="91">
        <v>75.945899999999995</v>
      </c>
    </row>
    <row r="600" spans="1:3" x14ac:dyDescent="0.25">
      <c r="A600" s="89">
        <v>46080</v>
      </c>
      <c r="B600" s="88" t="s">
        <v>94</v>
      </c>
      <c r="C600" s="91">
        <v>73.514899999999997</v>
      </c>
    </row>
    <row r="601" spans="1:3" x14ac:dyDescent="0.25">
      <c r="A601" s="89">
        <v>46080</v>
      </c>
      <c r="B601" s="88" t="s">
        <v>95</v>
      </c>
      <c r="C601" s="91">
        <v>73.503299999999996</v>
      </c>
    </row>
    <row r="602" spans="1:3" x14ac:dyDescent="0.25">
      <c r="A602" s="89">
        <v>46080</v>
      </c>
      <c r="B602" s="88" t="s">
        <v>96</v>
      </c>
      <c r="C602" s="91">
        <v>73.505300000000005</v>
      </c>
    </row>
    <row r="603" spans="1:3" x14ac:dyDescent="0.25">
      <c r="A603" s="89">
        <v>46080</v>
      </c>
      <c r="B603" s="88" t="s">
        <v>97</v>
      </c>
      <c r="C603" s="91">
        <v>73.480199999999996</v>
      </c>
    </row>
    <row r="604" spans="1:3" x14ac:dyDescent="0.25">
      <c r="A604" s="89">
        <v>46080</v>
      </c>
      <c r="B604" s="88" t="s">
        <v>98</v>
      </c>
      <c r="C604" s="91">
        <v>73.482399999999998</v>
      </c>
    </row>
    <row r="605" spans="1:3" x14ac:dyDescent="0.25">
      <c r="A605" s="89">
        <v>46080</v>
      </c>
      <c r="B605" s="88" t="s">
        <v>99</v>
      </c>
      <c r="C605" s="91">
        <v>73.502200000000002</v>
      </c>
    </row>
    <row r="606" spans="1:3" x14ac:dyDescent="0.25">
      <c r="A606" s="89">
        <v>46080</v>
      </c>
      <c r="B606" s="88" t="s">
        <v>100</v>
      </c>
      <c r="C606" s="91">
        <v>73.488600000000005</v>
      </c>
    </row>
    <row r="607" spans="1:3" x14ac:dyDescent="0.25">
      <c r="A607" s="89">
        <v>46080</v>
      </c>
      <c r="B607" s="88" t="s">
        <v>101</v>
      </c>
      <c r="C607" s="91">
        <v>73.485500000000002</v>
      </c>
    </row>
    <row r="608" spans="1:3" x14ac:dyDescent="0.25">
      <c r="A608" s="89">
        <v>46080</v>
      </c>
      <c r="B608" s="88" t="s">
        <v>102</v>
      </c>
      <c r="C608" s="91">
        <v>73.487700000000004</v>
      </c>
    </row>
    <row r="609" spans="1:3" x14ac:dyDescent="0.25">
      <c r="A609" s="89">
        <v>46080</v>
      </c>
      <c r="B609" s="88" t="s">
        <v>103</v>
      </c>
      <c r="C609" s="91">
        <v>73.494600000000005</v>
      </c>
    </row>
    <row r="610" spans="1:3" x14ac:dyDescent="0.25">
      <c r="A610" s="89">
        <v>46080</v>
      </c>
      <c r="B610" s="88" t="s">
        <v>142</v>
      </c>
      <c r="C610" s="91">
        <v>74.096100000000007</v>
      </c>
    </row>
    <row r="611" spans="1:3" x14ac:dyDescent="0.25">
      <c r="A611" s="89">
        <v>46080</v>
      </c>
      <c r="B611" s="88" t="s">
        <v>143</v>
      </c>
      <c r="C611" s="91">
        <v>73.995599999999996</v>
      </c>
    </row>
    <row r="612" spans="1:3" x14ac:dyDescent="0.25">
      <c r="A612" s="89">
        <v>46080</v>
      </c>
      <c r="B612" s="88" t="s">
        <v>144</v>
      </c>
      <c r="C612" s="91">
        <v>72.248599999999996</v>
      </c>
    </row>
    <row r="613" spans="1:3" x14ac:dyDescent="0.25">
      <c r="A613" s="89">
        <v>46080</v>
      </c>
      <c r="B613" s="88" t="s">
        <v>113</v>
      </c>
      <c r="C613" s="91">
        <v>74.313699999999997</v>
      </c>
    </row>
    <row r="614" spans="1:3" x14ac:dyDescent="0.25">
      <c r="A614" s="89">
        <v>46080</v>
      </c>
      <c r="B614" s="88" t="s">
        <v>145</v>
      </c>
      <c r="C614" s="91">
        <v>70.117199999999997</v>
      </c>
    </row>
    <row r="615" spans="1:3" x14ac:dyDescent="0.25">
      <c r="A615" s="89">
        <v>46083</v>
      </c>
      <c r="B615" s="88" t="s">
        <v>94</v>
      </c>
      <c r="C615" s="91">
        <v>73.514499999999998</v>
      </c>
    </row>
    <row r="616" spans="1:3" x14ac:dyDescent="0.25">
      <c r="A616" s="89">
        <v>46083</v>
      </c>
      <c r="B616" s="88" t="s">
        <v>95</v>
      </c>
      <c r="C616" s="91">
        <v>73.503100000000003</v>
      </c>
    </row>
    <row r="617" spans="1:3" x14ac:dyDescent="0.25">
      <c r="A617" s="89">
        <v>46083</v>
      </c>
      <c r="B617" s="88" t="s">
        <v>96</v>
      </c>
      <c r="C617" s="91">
        <v>73.504999999999995</v>
      </c>
    </row>
    <row r="618" spans="1:3" x14ac:dyDescent="0.25">
      <c r="A618" s="89">
        <v>46083</v>
      </c>
      <c r="B618" s="88" t="s">
        <v>97</v>
      </c>
      <c r="C618" s="91">
        <v>73.48</v>
      </c>
    </row>
    <row r="619" spans="1:3" x14ac:dyDescent="0.25">
      <c r="A619" s="89">
        <v>46083</v>
      </c>
      <c r="B619" s="88" t="s">
        <v>98</v>
      </c>
      <c r="C619" s="91">
        <v>73.482200000000006</v>
      </c>
    </row>
    <row r="620" spans="1:3" x14ac:dyDescent="0.25">
      <c r="A620" s="89">
        <v>46083</v>
      </c>
      <c r="B620" s="88" t="s">
        <v>99</v>
      </c>
      <c r="C620" s="91">
        <v>73.501900000000006</v>
      </c>
    </row>
    <row r="621" spans="1:3" x14ac:dyDescent="0.25">
      <c r="A621" s="89">
        <v>46083</v>
      </c>
      <c r="B621" s="88" t="s">
        <v>100</v>
      </c>
      <c r="C621" s="91">
        <v>73.488299999999995</v>
      </c>
    </row>
    <row r="622" spans="1:3" x14ac:dyDescent="0.25">
      <c r="A622" s="89">
        <v>46083</v>
      </c>
      <c r="B622" s="88" t="s">
        <v>101</v>
      </c>
      <c r="C622" s="91">
        <v>73.485200000000006</v>
      </c>
    </row>
    <row r="623" spans="1:3" x14ac:dyDescent="0.25">
      <c r="A623" s="89">
        <v>46083</v>
      </c>
      <c r="B623" s="88" t="s">
        <v>102</v>
      </c>
      <c r="C623" s="91">
        <v>73.487499999999997</v>
      </c>
    </row>
    <row r="624" spans="1:3" x14ac:dyDescent="0.25">
      <c r="A624" s="89">
        <v>46083</v>
      </c>
      <c r="B624" s="88" t="s">
        <v>103</v>
      </c>
      <c r="C624" s="91">
        <v>73.494299999999996</v>
      </c>
    </row>
    <row r="625" spans="1:3" x14ac:dyDescent="0.25">
      <c r="A625" s="89">
        <v>46083</v>
      </c>
      <c r="B625" s="88" t="s">
        <v>142</v>
      </c>
      <c r="C625" s="91">
        <v>74.096000000000004</v>
      </c>
    </row>
    <row r="626" spans="1:3" x14ac:dyDescent="0.25">
      <c r="A626" s="89">
        <v>46083</v>
      </c>
      <c r="B626" s="88" t="s">
        <v>143</v>
      </c>
      <c r="C626" s="91">
        <v>73.995500000000007</v>
      </c>
    </row>
    <row r="627" spans="1:3" x14ac:dyDescent="0.25">
      <c r="A627" s="89">
        <v>46083</v>
      </c>
      <c r="B627" s="88" t="s">
        <v>144</v>
      </c>
      <c r="C627" s="91">
        <v>72.248500000000007</v>
      </c>
    </row>
    <row r="628" spans="1:3" x14ac:dyDescent="0.25">
      <c r="A628" s="89">
        <v>46083</v>
      </c>
      <c r="B628" s="88" t="s">
        <v>113</v>
      </c>
      <c r="C628" s="91">
        <v>74.313400000000001</v>
      </c>
    </row>
    <row r="629" spans="1:3" x14ac:dyDescent="0.25">
      <c r="A629" s="89">
        <v>46083</v>
      </c>
      <c r="B629" s="88" t="s">
        <v>145</v>
      </c>
      <c r="C629" s="91">
        <v>70.1173</v>
      </c>
    </row>
    <row r="630" spans="1:3" x14ac:dyDescent="0.25">
      <c r="A630" s="89">
        <v>46083</v>
      </c>
      <c r="B630" s="88" t="s">
        <v>146</v>
      </c>
      <c r="C630" s="91">
        <v>75.946700000000007</v>
      </c>
    </row>
    <row r="631" spans="1:3" x14ac:dyDescent="0.25">
      <c r="A631" s="89">
        <v>46083</v>
      </c>
      <c r="B631" s="88" t="s">
        <v>147</v>
      </c>
      <c r="C631" s="91">
        <v>76.004599999999996</v>
      </c>
    </row>
    <row r="632" spans="1:3" x14ac:dyDescent="0.25">
      <c r="A632" s="89">
        <v>46086</v>
      </c>
      <c r="B632" s="88" t="s">
        <v>94</v>
      </c>
      <c r="C632" s="91">
        <v>73.514799999999994</v>
      </c>
    </row>
    <row r="633" spans="1:3" x14ac:dyDescent="0.25">
      <c r="A633" s="89">
        <v>46086</v>
      </c>
      <c r="B633" s="88" t="s">
        <v>95</v>
      </c>
      <c r="C633" s="91">
        <v>73.503299999999996</v>
      </c>
    </row>
    <row r="634" spans="1:3" x14ac:dyDescent="0.25">
      <c r="A634" s="89">
        <v>46086</v>
      </c>
      <c r="B634" s="88" t="s">
        <v>96</v>
      </c>
      <c r="C634" s="91">
        <v>73.505399999999995</v>
      </c>
    </row>
    <row r="635" spans="1:3" x14ac:dyDescent="0.25">
      <c r="A635" s="89">
        <v>46086</v>
      </c>
      <c r="B635" s="88" t="s">
        <v>97</v>
      </c>
      <c r="C635" s="91">
        <v>73.480399999999989</v>
      </c>
    </row>
    <row r="636" spans="1:3" x14ac:dyDescent="0.25">
      <c r="A636" s="89">
        <v>46086</v>
      </c>
      <c r="B636" s="88" t="s">
        <v>98</v>
      </c>
      <c r="C636" s="91">
        <v>73.482599999999991</v>
      </c>
    </row>
    <row r="637" spans="1:3" x14ac:dyDescent="0.25">
      <c r="A637" s="89">
        <v>46086</v>
      </c>
      <c r="B637" s="88" t="s">
        <v>99</v>
      </c>
      <c r="C637" s="91">
        <v>73.502099999999999</v>
      </c>
    </row>
    <row r="638" spans="1:3" x14ac:dyDescent="0.25">
      <c r="A638" s="89">
        <v>46086</v>
      </c>
      <c r="B638" s="88" t="s">
        <v>100</v>
      </c>
      <c r="C638" s="91">
        <v>73.488599999999991</v>
      </c>
    </row>
    <row r="639" spans="1:3" x14ac:dyDescent="0.25">
      <c r="A639" s="89">
        <v>46086</v>
      </c>
      <c r="B639" s="88" t="s">
        <v>101</v>
      </c>
      <c r="C639" s="91">
        <v>73.485599999999991</v>
      </c>
    </row>
    <row r="640" spans="1:3" x14ac:dyDescent="0.25">
      <c r="A640" s="89">
        <v>46086</v>
      </c>
      <c r="B640" s="88" t="s">
        <v>102</v>
      </c>
      <c r="C640" s="91">
        <v>73.48769999999999</v>
      </c>
    </row>
    <row r="641" spans="1:3" x14ac:dyDescent="0.25">
      <c r="A641" s="89">
        <v>46086</v>
      </c>
      <c r="B641" s="88" t="s">
        <v>103</v>
      </c>
      <c r="C641" s="91">
        <v>73.494899999999987</v>
      </c>
    </row>
    <row r="642" spans="1:3" x14ac:dyDescent="0.25">
      <c r="A642" s="89">
        <v>46086</v>
      </c>
      <c r="B642" s="102" t="s">
        <v>169</v>
      </c>
      <c r="C642" s="103">
        <v>72.004499999999993</v>
      </c>
    </row>
    <row r="643" spans="1:3" x14ac:dyDescent="0.25">
      <c r="A643" s="89">
        <v>46086</v>
      </c>
      <c r="B643" s="102" t="s">
        <v>168</v>
      </c>
      <c r="C643" s="103">
        <v>72.001999999999995</v>
      </c>
    </row>
    <row r="644" spans="1:3" x14ac:dyDescent="0.25">
      <c r="A644" s="89">
        <v>46086</v>
      </c>
      <c r="B644" s="102" t="s">
        <v>167</v>
      </c>
      <c r="C644" s="103">
        <v>71.992199999999997</v>
      </c>
    </row>
    <row r="645" spans="1:3" x14ac:dyDescent="0.25">
      <c r="A645" s="89">
        <v>46086</v>
      </c>
      <c r="B645" s="102" t="s">
        <v>166</v>
      </c>
      <c r="C645" s="103">
        <v>71.996200000000002</v>
      </c>
    </row>
    <row r="646" spans="1:3" x14ac:dyDescent="0.25">
      <c r="A646" s="89">
        <v>46086</v>
      </c>
      <c r="B646" s="102" t="s">
        <v>165</v>
      </c>
      <c r="C646" s="103">
        <v>71.966899999999995</v>
      </c>
    </row>
    <row r="647" spans="1:3" x14ac:dyDescent="0.25">
      <c r="A647" s="89">
        <v>46086</v>
      </c>
      <c r="B647" s="102" t="s">
        <v>164</v>
      </c>
      <c r="C647" s="103">
        <v>71.963300000000004</v>
      </c>
    </row>
    <row r="648" spans="1:3" x14ac:dyDescent="0.25">
      <c r="A648" s="89">
        <v>46086</v>
      </c>
      <c r="B648" s="102" t="s">
        <v>163</v>
      </c>
      <c r="C648" s="103">
        <v>71.966999999999999</v>
      </c>
    </row>
    <row r="649" spans="1:3" x14ac:dyDescent="0.25">
      <c r="A649" s="89">
        <v>46086</v>
      </c>
      <c r="B649" s="102" t="s">
        <v>162</v>
      </c>
      <c r="C649" s="103">
        <v>71.960999999999999</v>
      </c>
    </row>
    <row r="650" spans="1:3" x14ac:dyDescent="0.25">
      <c r="A650" s="89">
        <v>46086</v>
      </c>
      <c r="B650" s="102" t="s">
        <v>161</v>
      </c>
      <c r="C650" s="103">
        <v>71.943299999999994</v>
      </c>
    </row>
    <row r="651" spans="1:3" x14ac:dyDescent="0.25">
      <c r="A651" s="89">
        <v>46086</v>
      </c>
      <c r="B651" s="102" t="s">
        <v>160</v>
      </c>
      <c r="C651" s="103">
        <v>71.956800000000001</v>
      </c>
    </row>
    <row r="652" spans="1:3" x14ac:dyDescent="0.25">
      <c r="A652" s="89">
        <v>46086</v>
      </c>
      <c r="B652" s="102" t="s">
        <v>159</v>
      </c>
      <c r="C652" s="103">
        <v>71.990899999999996</v>
      </c>
    </row>
    <row r="653" spans="1:3" x14ac:dyDescent="0.25">
      <c r="A653" s="89">
        <v>46086</v>
      </c>
      <c r="B653" s="102" t="s">
        <v>158</v>
      </c>
      <c r="C653" s="103">
        <v>71.991</v>
      </c>
    </row>
    <row r="654" spans="1:3" x14ac:dyDescent="0.25">
      <c r="A654" s="89">
        <v>46087</v>
      </c>
      <c r="B654" s="88" t="s">
        <v>94</v>
      </c>
      <c r="C654" s="91">
        <v>73.515100000000004</v>
      </c>
    </row>
    <row r="655" spans="1:3" x14ac:dyDescent="0.25">
      <c r="A655" s="89">
        <v>46087</v>
      </c>
      <c r="B655" s="88" t="s">
        <v>95</v>
      </c>
      <c r="C655" s="91">
        <v>73.503600000000006</v>
      </c>
    </row>
    <row r="656" spans="1:3" x14ac:dyDescent="0.25">
      <c r="A656" s="89">
        <v>46087</v>
      </c>
      <c r="B656" s="88" t="s">
        <v>96</v>
      </c>
      <c r="C656" s="91">
        <v>73.505499999999998</v>
      </c>
    </row>
    <row r="657" spans="1:3" x14ac:dyDescent="0.25">
      <c r="A657" s="89">
        <v>46087</v>
      </c>
      <c r="B657" s="88" t="s">
        <v>97</v>
      </c>
      <c r="C657" s="91">
        <v>73.480599999999995</v>
      </c>
    </row>
    <row r="658" spans="1:3" x14ac:dyDescent="0.25">
      <c r="A658" s="89">
        <v>46087</v>
      </c>
      <c r="B658" s="88" t="s">
        <v>98</v>
      </c>
      <c r="C658" s="91">
        <v>73.482799999999997</v>
      </c>
    </row>
    <row r="659" spans="1:3" x14ac:dyDescent="0.25">
      <c r="A659" s="89">
        <v>46087</v>
      </c>
      <c r="B659" s="88" t="s">
        <v>99</v>
      </c>
      <c r="C659" s="91">
        <v>73.502399999999994</v>
      </c>
    </row>
    <row r="660" spans="1:3" x14ac:dyDescent="0.25">
      <c r="A660" s="89">
        <v>46087</v>
      </c>
      <c r="B660" s="88" t="s">
        <v>100</v>
      </c>
      <c r="C660" s="91">
        <v>73.488799999999998</v>
      </c>
    </row>
    <row r="661" spans="1:3" x14ac:dyDescent="0.25">
      <c r="A661" s="89">
        <v>46087</v>
      </c>
      <c r="B661" s="88" t="s">
        <v>101</v>
      </c>
      <c r="C661" s="91">
        <v>73.485900000000001</v>
      </c>
    </row>
    <row r="662" spans="1:3" x14ac:dyDescent="0.25">
      <c r="A662" s="89">
        <v>46087</v>
      </c>
      <c r="B662" s="88" t="s">
        <v>102</v>
      </c>
      <c r="C662" s="91">
        <v>73.487899999999996</v>
      </c>
    </row>
    <row r="663" spans="1:3" x14ac:dyDescent="0.25">
      <c r="A663" s="89">
        <v>46087</v>
      </c>
      <c r="B663" s="88" t="s">
        <v>103</v>
      </c>
      <c r="C663" s="91">
        <v>73.495099999999994</v>
      </c>
    </row>
    <row r="664" spans="1:3" x14ac:dyDescent="0.25">
      <c r="A664" s="89">
        <v>46087</v>
      </c>
      <c r="B664" s="88" t="s">
        <v>142</v>
      </c>
      <c r="C664" s="91">
        <v>74.096400000000003</v>
      </c>
    </row>
    <row r="665" spans="1:3" x14ac:dyDescent="0.25">
      <c r="A665" s="89">
        <v>46087</v>
      </c>
      <c r="B665" s="88" t="s">
        <v>143</v>
      </c>
      <c r="C665" s="91">
        <v>73.995900000000006</v>
      </c>
    </row>
    <row r="666" spans="1:3" x14ac:dyDescent="0.25">
      <c r="A666" s="89">
        <v>46087</v>
      </c>
      <c r="B666" s="88" t="s">
        <v>144</v>
      </c>
      <c r="C666" s="91">
        <v>72.248699999999999</v>
      </c>
    </row>
    <row r="667" spans="1:3" x14ac:dyDescent="0.25">
      <c r="A667" s="89">
        <v>46087</v>
      </c>
      <c r="B667" s="88" t="s">
        <v>113</v>
      </c>
      <c r="C667" s="91">
        <v>74.313800000000001</v>
      </c>
    </row>
    <row r="668" spans="1:3" x14ac:dyDescent="0.25">
      <c r="A668" s="89">
        <v>46087</v>
      </c>
      <c r="B668" s="88" t="s">
        <v>145</v>
      </c>
      <c r="C668" s="91">
        <v>70.116799999999998</v>
      </c>
    </row>
    <row r="669" spans="1:3" x14ac:dyDescent="0.25">
      <c r="A669" s="89">
        <v>46087</v>
      </c>
      <c r="B669" s="88" t="s">
        <v>146</v>
      </c>
      <c r="C669" s="91">
        <v>75.947199999999995</v>
      </c>
    </row>
    <row r="670" spans="1:3" x14ac:dyDescent="0.25">
      <c r="A670" s="89">
        <v>46091</v>
      </c>
      <c r="B670" s="88" t="s">
        <v>169</v>
      </c>
      <c r="C670" s="90">
        <v>72.004199999999997</v>
      </c>
    </row>
    <row r="671" spans="1:3" x14ac:dyDescent="0.25">
      <c r="A671" s="89">
        <v>46091</v>
      </c>
      <c r="B671" s="88" t="s">
        <v>168</v>
      </c>
      <c r="C671" s="90">
        <v>72.0017</v>
      </c>
    </row>
    <row r="672" spans="1:3" x14ac:dyDescent="0.25">
      <c r="A672" s="89">
        <v>46091</v>
      </c>
      <c r="B672" s="88" t="s">
        <v>167</v>
      </c>
      <c r="C672" s="90">
        <v>71.992199999999997</v>
      </c>
    </row>
    <row r="673" spans="1:3" x14ac:dyDescent="0.25">
      <c r="A673" s="89">
        <v>46091</v>
      </c>
      <c r="B673" s="88" t="s">
        <v>166</v>
      </c>
      <c r="C673" s="90">
        <v>71.996099999999998</v>
      </c>
    </row>
    <row r="674" spans="1:3" x14ac:dyDescent="0.25">
      <c r="A674" s="89">
        <v>46091</v>
      </c>
      <c r="B674" s="88" t="s">
        <v>165</v>
      </c>
      <c r="C674" s="90">
        <v>71.967100000000002</v>
      </c>
    </row>
    <row r="675" spans="1:3" x14ac:dyDescent="0.25">
      <c r="A675" s="89">
        <v>46091</v>
      </c>
      <c r="B675" s="88" t="s">
        <v>164</v>
      </c>
      <c r="C675" s="90">
        <v>71.963499999999996</v>
      </c>
    </row>
    <row r="676" spans="1:3" x14ac:dyDescent="0.25">
      <c r="A676" s="89">
        <v>46091</v>
      </c>
      <c r="B676" s="88" t="s">
        <v>163</v>
      </c>
      <c r="C676" s="90">
        <v>71.966999999999999</v>
      </c>
    </row>
    <row r="677" spans="1:3" x14ac:dyDescent="0.25">
      <c r="A677" s="89">
        <v>46091</v>
      </c>
      <c r="B677" s="88" t="s">
        <v>162</v>
      </c>
      <c r="C677" s="90">
        <v>71.961100000000002</v>
      </c>
    </row>
    <row r="678" spans="1:3" x14ac:dyDescent="0.25">
      <c r="A678" s="89">
        <v>46091</v>
      </c>
      <c r="B678" s="88" t="s">
        <v>161</v>
      </c>
      <c r="C678" s="90">
        <v>71.943200000000004</v>
      </c>
    </row>
    <row r="679" spans="1:3" x14ac:dyDescent="0.25">
      <c r="A679" s="89">
        <v>46091</v>
      </c>
      <c r="B679" s="88" t="s">
        <v>160</v>
      </c>
      <c r="C679" s="90">
        <v>71.956800000000001</v>
      </c>
    </row>
    <row r="680" spans="1:3" x14ac:dyDescent="0.25">
      <c r="A680" s="89">
        <v>46091</v>
      </c>
      <c r="B680" s="88" t="s">
        <v>159</v>
      </c>
      <c r="C680" s="90">
        <v>71.990899999999996</v>
      </c>
    </row>
    <row r="681" spans="1:3" x14ac:dyDescent="0.25">
      <c r="A681" s="89">
        <v>46091</v>
      </c>
      <c r="B681" s="88" t="s">
        <v>158</v>
      </c>
      <c r="C681" s="90">
        <v>71.991100000000003</v>
      </c>
    </row>
    <row r="682" spans="1:3" x14ac:dyDescent="0.25">
      <c r="A682" s="89">
        <v>46093</v>
      </c>
      <c r="B682" s="88" t="s">
        <v>94</v>
      </c>
      <c r="C682" s="91">
        <v>73.514600000000002</v>
      </c>
    </row>
    <row r="683" spans="1:3" x14ac:dyDescent="0.25">
      <c r="A683" s="89">
        <v>46093</v>
      </c>
      <c r="B683" s="88" t="s">
        <v>95</v>
      </c>
      <c r="C683" s="91">
        <v>73.503100000000003</v>
      </c>
    </row>
    <row r="684" spans="1:3" x14ac:dyDescent="0.25">
      <c r="A684" s="89">
        <v>46093</v>
      </c>
      <c r="B684" s="88" t="s">
        <v>96</v>
      </c>
      <c r="C684" s="91">
        <v>73.504999999999995</v>
      </c>
    </row>
    <row r="685" spans="1:3" x14ac:dyDescent="0.25">
      <c r="A685" s="89">
        <v>46093</v>
      </c>
      <c r="B685" s="88" t="s">
        <v>97</v>
      </c>
      <c r="C685" s="91">
        <v>73.479900000000001</v>
      </c>
    </row>
    <row r="686" spans="1:3" x14ac:dyDescent="0.25">
      <c r="A686" s="89">
        <v>46093</v>
      </c>
      <c r="B686" s="88" t="s">
        <v>98</v>
      </c>
      <c r="C686" s="91">
        <v>73.482100000000003</v>
      </c>
    </row>
    <row r="687" spans="1:3" x14ac:dyDescent="0.25">
      <c r="A687" s="89">
        <v>46093</v>
      </c>
      <c r="B687" s="88" t="s">
        <v>99</v>
      </c>
      <c r="C687" s="91">
        <v>73.501900000000006</v>
      </c>
    </row>
    <row r="688" spans="1:3" x14ac:dyDescent="0.25">
      <c r="A688" s="89">
        <v>46093</v>
      </c>
      <c r="B688" s="88" t="s">
        <v>100</v>
      </c>
      <c r="C688" s="91">
        <v>73.488200000000006</v>
      </c>
    </row>
    <row r="689" spans="1:3" x14ac:dyDescent="0.25">
      <c r="A689" s="89">
        <v>46093</v>
      </c>
      <c r="B689" s="88" t="s">
        <v>101</v>
      </c>
      <c r="C689" s="91">
        <v>73.485100000000003</v>
      </c>
    </row>
    <row r="690" spans="1:3" x14ac:dyDescent="0.25">
      <c r="A690" s="89">
        <v>46093</v>
      </c>
      <c r="B690" s="88" t="s">
        <v>102</v>
      </c>
      <c r="C690" s="91">
        <v>73.487499999999997</v>
      </c>
    </row>
    <row r="691" spans="1:3" x14ac:dyDescent="0.25">
      <c r="A691" s="89">
        <v>46093</v>
      </c>
      <c r="B691" s="88" t="s">
        <v>103</v>
      </c>
      <c r="C691" s="91">
        <v>73.494399999999999</v>
      </c>
    </row>
    <row r="692" spans="1:3" x14ac:dyDescent="0.25">
      <c r="A692" s="89">
        <v>46093</v>
      </c>
      <c r="B692" s="88" t="s">
        <v>142</v>
      </c>
      <c r="C692" s="91">
        <v>74.095699999999994</v>
      </c>
    </row>
    <row r="693" spans="1:3" x14ac:dyDescent="0.25">
      <c r="A693" s="89">
        <v>46093</v>
      </c>
      <c r="B693" s="88" t="s">
        <v>143</v>
      </c>
      <c r="C693" s="91">
        <v>73.995199999999997</v>
      </c>
    </row>
    <row r="694" spans="1:3" x14ac:dyDescent="0.25">
      <c r="A694" s="89">
        <v>46093</v>
      </c>
      <c r="B694" s="88" t="s">
        <v>144</v>
      </c>
      <c r="C694" s="91">
        <v>72.248400000000004</v>
      </c>
    </row>
    <row r="695" spans="1:3" x14ac:dyDescent="0.25">
      <c r="A695" s="89">
        <v>46093</v>
      </c>
      <c r="B695" s="88" t="s">
        <v>113</v>
      </c>
      <c r="C695" s="91">
        <v>74.313299999999998</v>
      </c>
    </row>
    <row r="696" spans="1:3" x14ac:dyDescent="0.25">
      <c r="A696" s="89">
        <v>46093</v>
      </c>
      <c r="B696" s="88" t="s">
        <v>145</v>
      </c>
      <c r="C696" s="91">
        <v>70.1173</v>
      </c>
    </row>
    <row r="697" spans="1:3" x14ac:dyDescent="0.25">
      <c r="A697" s="89">
        <v>46093</v>
      </c>
      <c r="B697" s="88" t="s">
        <v>146</v>
      </c>
      <c r="C697" s="91">
        <v>75.946700000000007</v>
      </c>
    </row>
    <row r="698" spans="1:3" x14ac:dyDescent="0.25">
      <c r="A698" s="89">
        <v>46093</v>
      </c>
      <c r="B698" s="88" t="s">
        <v>147</v>
      </c>
      <c r="C698" s="91">
        <v>76.004400000000004</v>
      </c>
    </row>
    <row r="699" spans="1:3" x14ac:dyDescent="0.25">
      <c r="A699" s="89">
        <v>46093</v>
      </c>
      <c r="B699" s="88" t="s">
        <v>170</v>
      </c>
      <c r="C699" s="91">
        <v>76.213800000000006</v>
      </c>
    </row>
    <row r="700" spans="1:3" x14ac:dyDescent="0.25">
      <c r="A700" s="89">
        <v>46093</v>
      </c>
      <c r="B700" s="88" t="s">
        <v>171</v>
      </c>
      <c r="C700" s="91">
        <v>76.2089</v>
      </c>
    </row>
    <row r="701" spans="1:3" x14ac:dyDescent="0.25">
      <c r="A701" s="89">
        <v>46093</v>
      </c>
      <c r="B701" s="88" t="s">
        <v>172</v>
      </c>
      <c r="C701" s="91">
        <v>76.107399999999998</v>
      </c>
    </row>
    <row r="702" spans="1:3" x14ac:dyDescent="0.25">
      <c r="A702" s="89">
        <v>46093</v>
      </c>
      <c r="B702" s="88" t="s">
        <v>173</v>
      </c>
      <c r="C702" s="91">
        <v>76.0608</v>
      </c>
    </row>
    <row r="703" spans="1:3" x14ac:dyDescent="0.25">
      <c r="A703" s="89">
        <v>46093</v>
      </c>
      <c r="B703" s="88" t="s">
        <v>174</v>
      </c>
      <c r="C703" s="91">
        <v>74.897499999999994</v>
      </c>
    </row>
    <row r="704" spans="1:3" x14ac:dyDescent="0.25">
      <c r="A704" s="89">
        <v>46093</v>
      </c>
      <c r="B704" s="88" t="s">
        <v>175</v>
      </c>
      <c r="C704" s="91">
        <v>74.875500000000002</v>
      </c>
    </row>
    <row r="705" spans="1:3" x14ac:dyDescent="0.25">
      <c r="A705" s="89">
        <v>46093</v>
      </c>
      <c r="B705" s="88" t="s">
        <v>176</v>
      </c>
      <c r="C705" s="91">
        <v>72.539199999999994</v>
      </c>
    </row>
    <row r="706" spans="1:3" x14ac:dyDescent="0.25">
      <c r="A706" s="89">
        <v>46099</v>
      </c>
      <c r="B706" s="88" t="s">
        <v>94</v>
      </c>
      <c r="C706" s="91">
        <v>73.513900000000007</v>
      </c>
    </row>
    <row r="707" spans="1:3" x14ac:dyDescent="0.25">
      <c r="A707" s="89">
        <v>46099</v>
      </c>
      <c r="B707" s="88" t="s">
        <v>95</v>
      </c>
      <c r="C707" s="91">
        <v>73.502499999999998</v>
      </c>
    </row>
    <row r="708" spans="1:3" x14ac:dyDescent="0.25">
      <c r="A708" s="89">
        <v>46099</v>
      </c>
      <c r="B708" s="88" t="s">
        <v>96</v>
      </c>
      <c r="C708" s="91">
        <v>73.5047</v>
      </c>
    </row>
    <row r="709" spans="1:3" x14ac:dyDescent="0.25">
      <c r="A709" s="89">
        <v>46099</v>
      </c>
      <c r="B709" s="88" t="s">
        <v>97</v>
      </c>
      <c r="C709" s="91">
        <v>73.479699999999994</v>
      </c>
    </row>
    <row r="710" spans="1:3" x14ac:dyDescent="0.25">
      <c r="A710" s="89">
        <v>46099</v>
      </c>
      <c r="B710" s="88" t="s">
        <v>98</v>
      </c>
      <c r="C710" s="91">
        <v>73.481800000000007</v>
      </c>
    </row>
    <row r="711" spans="1:3" x14ac:dyDescent="0.25">
      <c r="A711" s="89">
        <v>46099</v>
      </c>
      <c r="B711" s="88" t="s">
        <v>99</v>
      </c>
      <c r="C711" s="91">
        <v>73.501900000000006</v>
      </c>
    </row>
    <row r="712" spans="1:3" x14ac:dyDescent="0.25">
      <c r="A712" s="89">
        <v>46099</v>
      </c>
      <c r="B712" s="88" t="s">
        <v>142</v>
      </c>
      <c r="C712" s="91">
        <v>74.095399999999998</v>
      </c>
    </row>
    <row r="713" spans="1:3" x14ac:dyDescent="0.25">
      <c r="A713" s="89">
        <v>46099</v>
      </c>
      <c r="B713" s="88" t="s">
        <v>143</v>
      </c>
      <c r="C713" s="91">
        <v>73.994799999999998</v>
      </c>
    </row>
    <row r="714" spans="1:3" x14ac:dyDescent="0.25">
      <c r="A714" s="89">
        <v>46099</v>
      </c>
      <c r="B714" s="88" t="s">
        <v>144</v>
      </c>
      <c r="C714" s="91">
        <v>72.248000000000005</v>
      </c>
    </row>
    <row r="715" spans="1:3" x14ac:dyDescent="0.25">
      <c r="A715" s="89">
        <v>46099</v>
      </c>
      <c r="B715" s="88" t="s">
        <v>113</v>
      </c>
      <c r="C715" s="91">
        <v>74.312700000000007</v>
      </c>
    </row>
    <row r="716" spans="1:3" x14ac:dyDescent="0.25">
      <c r="A716" s="89">
        <v>46099</v>
      </c>
      <c r="B716" s="88" t="s">
        <v>177</v>
      </c>
      <c r="C716" s="91">
        <v>74.105599999999995</v>
      </c>
    </row>
    <row r="717" spans="1:3" x14ac:dyDescent="0.25">
      <c r="A717" s="89">
        <v>46099</v>
      </c>
      <c r="B717" s="88" t="s">
        <v>178</v>
      </c>
      <c r="C717" s="91">
        <v>74.087599999999995</v>
      </c>
    </row>
    <row r="718" spans="1:3" x14ac:dyDescent="0.25">
      <c r="A718" s="89">
        <v>46099</v>
      </c>
      <c r="B718" s="88" t="s">
        <v>179</v>
      </c>
      <c r="C718" s="91">
        <v>73.380499999999998</v>
      </c>
    </row>
    <row r="719" spans="1:3" x14ac:dyDescent="0.25">
      <c r="A719" s="89">
        <v>46099</v>
      </c>
      <c r="B719" s="88" t="s">
        <v>145</v>
      </c>
      <c r="C719" s="91">
        <v>70.117199999999997</v>
      </c>
    </row>
    <row r="720" spans="1:3" x14ac:dyDescent="0.25">
      <c r="A720" s="89">
        <v>46099</v>
      </c>
      <c r="B720" s="88" t="s">
        <v>146</v>
      </c>
      <c r="C720" s="91">
        <v>75.946399999999997</v>
      </c>
    </row>
    <row r="721" spans="1:3" x14ac:dyDescent="0.25">
      <c r="A721" s="89">
        <v>46106</v>
      </c>
      <c r="B721" s="88" t="s">
        <v>142</v>
      </c>
      <c r="C721" s="91">
        <v>74.095299999999995</v>
      </c>
    </row>
    <row r="722" spans="1:3" x14ac:dyDescent="0.25">
      <c r="A722" s="89">
        <v>46106</v>
      </c>
      <c r="B722" s="88" t="s">
        <v>143</v>
      </c>
      <c r="C722" s="91">
        <v>73.994799999999998</v>
      </c>
    </row>
    <row r="723" spans="1:3" x14ac:dyDescent="0.25">
      <c r="A723" s="89">
        <v>46106</v>
      </c>
      <c r="B723" s="88" t="s">
        <v>144</v>
      </c>
      <c r="C723" s="91">
        <v>72.247799999999998</v>
      </c>
    </row>
    <row r="724" spans="1:3" x14ac:dyDescent="0.25">
      <c r="A724" s="89">
        <v>46106</v>
      </c>
      <c r="B724" s="88" t="s">
        <v>113</v>
      </c>
      <c r="C724" s="91">
        <v>74.313400000000001</v>
      </c>
    </row>
    <row r="725" spans="1:3" x14ac:dyDescent="0.25">
      <c r="A725" s="89">
        <v>46106</v>
      </c>
      <c r="B725" s="88" t="s">
        <v>177</v>
      </c>
      <c r="C725" s="91">
        <v>74.105999999999995</v>
      </c>
    </row>
    <row r="726" spans="1:3" x14ac:dyDescent="0.25">
      <c r="A726" s="89">
        <v>46106</v>
      </c>
      <c r="B726" s="88" t="s">
        <v>178</v>
      </c>
      <c r="C726" s="91">
        <v>74.087900000000005</v>
      </c>
    </row>
    <row r="727" spans="1:3" x14ac:dyDescent="0.25">
      <c r="A727" s="89">
        <v>46106</v>
      </c>
      <c r="B727" s="88" t="s">
        <v>179</v>
      </c>
      <c r="C727" s="91">
        <v>73.380799999999994</v>
      </c>
    </row>
    <row r="728" spans="1:3" x14ac:dyDescent="0.25">
      <c r="A728" s="89">
        <v>46106</v>
      </c>
      <c r="B728" s="88" t="s">
        <v>145</v>
      </c>
      <c r="C728" s="91">
        <v>70.116799999999998</v>
      </c>
    </row>
    <row r="729" spans="1:3" x14ac:dyDescent="0.25">
      <c r="A729" s="89">
        <v>46106</v>
      </c>
      <c r="B729" s="88" t="s">
        <v>147</v>
      </c>
      <c r="C729" s="91">
        <v>76.004199999999997</v>
      </c>
    </row>
    <row r="730" spans="1:3" x14ac:dyDescent="0.25">
      <c r="A730" s="89">
        <v>46106</v>
      </c>
      <c r="B730" s="88" t="s">
        <v>170</v>
      </c>
      <c r="C730" s="91">
        <v>76.213319999999996</v>
      </c>
    </row>
    <row r="731" spans="1:3" x14ac:dyDescent="0.25">
      <c r="A731" s="89">
        <v>46106</v>
      </c>
      <c r="B731" s="88" t="s">
        <v>171</v>
      </c>
      <c r="C731" s="91">
        <v>76.208600000000004</v>
      </c>
    </row>
    <row r="732" spans="1:3" x14ac:dyDescent="0.25">
      <c r="A732" s="89">
        <v>46106</v>
      </c>
      <c r="B732" s="88" t="s">
        <v>172</v>
      </c>
      <c r="C732" s="91">
        <v>76.107100000000003</v>
      </c>
    </row>
    <row r="733" spans="1:3" x14ac:dyDescent="0.25">
      <c r="A733" s="89">
        <v>46106</v>
      </c>
      <c r="B733" s="88" t="s">
        <v>173</v>
      </c>
      <c r="C733" s="91">
        <v>76.060400000000001</v>
      </c>
    </row>
    <row r="734" spans="1:3" x14ac:dyDescent="0.25">
      <c r="A734" s="89">
        <v>46106</v>
      </c>
      <c r="B734" s="88" t="s">
        <v>174</v>
      </c>
      <c r="C734" s="91">
        <v>74.897400000000005</v>
      </c>
    </row>
    <row r="735" spans="1:3" x14ac:dyDescent="0.25">
      <c r="A735" s="89">
        <v>46106</v>
      </c>
      <c r="B735" s="88" t="s">
        <v>175</v>
      </c>
      <c r="C735" s="91">
        <v>74.875200000000007</v>
      </c>
    </row>
    <row r="736" spans="1:3" x14ac:dyDescent="0.25">
      <c r="A736" s="89">
        <v>46106</v>
      </c>
      <c r="B736" s="88" t="s">
        <v>176</v>
      </c>
      <c r="C736" s="91">
        <v>72.537199999999999</v>
      </c>
    </row>
    <row r="737" spans="1:3" x14ac:dyDescent="0.25">
      <c r="A737" s="89">
        <v>46106</v>
      </c>
      <c r="B737" s="88" t="s">
        <v>180</v>
      </c>
      <c r="C737" s="91">
        <v>68.525700000000001</v>
      </c>
    </row>
    <row r="738" spans="1:3" x14ac:dyDescent="0.25">
      <c r="A738" s="89">
        <v>46106</v>
      </c>
      <c r="B738" s="88" t="s">
        <v>181</v>
      </c>
      <c r="C738" s="91">
        <v>68.538300000000007</v>
      </c>
    </row>
    <row r="739" spans="1:3" x14ac:dyDescent="0.25">
      <c r="A739" s="89">
        <v>46106</v>
      </c>
      <c r="B739" s="88" t="s">
        <v>169</v>
      </c>
      <c r="C739" s="91">
        <v>72.004099999999994</v>
      </c>
    </row>
    <row r="740" spans="1:3" x14ac:dyDescent="0.25">
      <c r="A740" s="89">
        <v>46106</v>
      </c>
      <c r="B740" s="88" t="s">
        <v>168</v>
      </c>
      <c r="C740" s="91">
        <v>72.0017</v>
      </c>
    </row>
    <row r="741" spans="1:3" x14ac:dyDescent="0.25">
      <c r="A741" s="89">
        <v>46106</v>
      </c>
      <c r="B741" s="88" t="s">
        <v>167</v>
      </c>
      <c r="C741" s="91">
        <v>71.992099999999994</v>
      </c>
    </row>
    <row r="742" spans="1:3" x14ac:dyDescent="0.25">
      <c r="A742" s="89">
        <v>46106</v>
      </c>
      <c r="B742" s="88" t="s">
        <v>166</v>
      </c>
      <c r="C742" s="91">
        <v>71.996200000000002</v>
      </c>
    </row>
    <row r="743" spans="1:3" x14ac:dyDescent="0.25">
      <c r="A743" s="89">
        <v>46106</v>
      </c>
      <c r="B743" s="88" t="s">
        <v>165</v>
      </c>
      <c r="C743" s="91">
        <v>71.966899999999995</v>
      </c>
    </row>
    <row r="744" spans="1:3" x14ac:dyDescent="0.25">
      <c r="A744" s="89">
        <v>46106</v>
      </c>
      <c r="B744" s="88" t="s">
        <v>164</v>
      </c>
      <c r="C744" s="91">
        <v>71.963200000000001</v>
      </c>
    </row>
    <row r="745" spans="1:3" x14ac:dyDescent="0.25">
      <c r="A745" s="89">
        <v>46106</v>
      </c>
      <c r="B745" s="88" t="s">
        <v>163</v>
      </c>
      <c r="C745" s="91">
        <v>71.966999999999999</v>
      </c>
    </row>
    <row r="746" spans="1:3" x14ac:dyDescent="0.25">
      <c r="A746" s="89">
        <v>46106</v>
      </c>
      <c r="B746" s="88" t="s">
        <v>162</v>
      </c>
      <c r="C746" s="91">
        <v>71.960999999999999</v>
      </c>
    </row>
    <row r="747" spans="1:3" x14ac:dyDescent="0.25">
      <c r="A747" s="89">
        <v>46106</v>
      </c>
      <c r="B747" s="88" t="s">
        <v>161</v>
      </c>
      <c r="C747" s="91">
        <v>71.943299999999994</v>
      </c>
    </row>
    <row r="748" spans="1:3" x14ac:dyDescent="0.25">
      <c r="A748" s="89">
        <v>46106</v>
      </c>
      <c r="B748" s="88" t="s">
        <v>160</v>
      </c>
      <c r="C748" s="91">
        <v>71.956800000000001</v>
      </c>
    </row>
    <row r="749" spans="1:3" x14ac:dyDescent="0.25">
      <c r="A749" s="89">
        <v>46106</v>
      </c>
      <c r="B749" s="88" t="s">
        <v>159</v>
      </c>
      <c r="C749" s="91">
        <v>71.990899999999996</v>
      </c>
    </row>
    <row r="750" spans="1:3" x14ac:dyDescent="0.25">
      <c r="A750" s="89">
        <v>46106</v>
      </c>
      <c r="B750" s="88" t="s">
        <v>158</v>
      </c>
      <c r="C750" s="91">
        <v>71.991</v>
      </c>
    </row>
    <row r="751" spans="1:3" x14ac:dyDescent="0.25">
      <c r="A751" s="84">
        <v>46108</v>
      </c>
      <c r="B751" s="88" t="s">
        <v>142</v>
      </c>
      <c r="C751" s="91">
        <v>74.095600000000005</v>
      </c>
    </row>
    <row r="752" spans="1:3" x14ac:dyDescent="0.25">
      <c r="A752" s="84">
        <v>46108</v>
      </c>
      <c r="B752" s="88" t="s">
        <v>143</v>
      </c>
      <c r="C752" s="91">
        <v>73.995199999999997</v>
      </c>
    </row>
    <row r="753" spans="1:3" x14ac:dyDescent="0.25">
      <c r="A753" s="84">
        <v>46108</v>
      </c>
      <c r="B753" s="88" t="s">
        <v>144</v>
      </c>
      <c r="C753" s="91">
        <v>72.248400000000004</v>
      </c>
    </row>
    <row r="754" spans="1:3" x14ac:dyDescent="0.25">
      <c r="A754" s="84">
        <v>46108</v>
      </c>
      <c r="B754" s="88" t="s">
        <v>113</v>
      </c>
      <c r="C754" s="91">
        <v>74.313299999999998</v>
      </c>
    </row>
    <row r="755" spans="1:3" x14ac:dyDescent="0.25">
      <c r="A755" s="84">
        <v>46108</v>
      </c>
      <c r="B755" s="88" t="s">
        <v>177</v>
      </c>
      <c r="C755" s="91">
        <v>74.105999999999995</v>
      </c>
    </row>
    <row r="756" spans="1:3" x14ac:dyDescent="0.25">
      <c r="A756" s="84">
        <v>46108</v>
      </c>
      <c r="B756" s="88" t="s">
        <v>178</v>
      </c>
      <c r="C756" s="91">
        <v>74.087900000000005</v>
      </c>
    </row>
    <row r="757" spans="1:3" x14ac:dyDescent="0.25">
      <c r="A757" s="84">
        <v>46108</v>
      </c>
      <c r="B757" s="88" t="s">
        <v>179</v>
      </c>
      <c r="C757" s="91">
        <v>73.381100000000004</v>
      </c>
    </row>
    <row r="758" spans="1:3" x14ac:dyDescent="0.25">
      <c r="A758" s="84">
        <v>46108</v>
      </c>
      <c r="B758" s="88" t="s">
        <v>145</v>
      </c>
      <c r="C758" s="91">
        <v>70.116900000000001</v>
      </c>
    </row>
    <row r="759" spans="1:3" x14ac:dyDescent="0.25">
      <c r="A759" s="84">
        <v>46108</v>
      </c>
      <c r="B759" s="88" t="s">
        <v>146</v>
      </c>
      <c r="C759" s="91">
        <v>75.946200000000005</v>
      </c>
    </row>
    <row r="760" spans="1:3" x14ac:dyDescent="0.25">
      <c r="A760" s="84">
        <v>46108</v>
      </c>
      <c r="B760" s="88" t="s">
        <v>147</v>
      </c>
      <c r="C760" s="91">
        <v>76.004199999999997</v>
      </c>
    </row>
    <row r="761" spans="1:3" x14ac:dyDescent="0.25">
      <c r="A761" s="84">
        <v>46108</v>
      </c>
      <c r="B761" s="88" t="s">
        <v>170</v>
      </c>
      <c r="C761" s="91">
        <v>76.213499999999996</v>
      </c>
    </row>
    <row r="762" spans="1:3" x14ac:dyDescent="0.25">
      <c r="A762" s="84">
        <v>46108</v>
      </c>
      <c r="B762" s="88" t="s">
        <v>171</v>
      </c>
      <c r="C762" s="91">
        <v>76.208600000000004</v>
      </c>
    </row>
    <row r="763" spans="1:3" x14ac:dyDescent="0.25">
      <c r="A763" s="84">
        <v>46108</v>
      </c>
      <c r="B763" s="88" t="s">
        <v>172</v>
      </c>
      <c r="C763" s="91">
        <v>76.107200000000006</v>
      </c>
    </row>
    <row r="764" spans="1:3" x14ac:dyDescent="0.25">
      <c r="A764" s="84">
        <v>46108</v>
      </c>
      <c r="B764" s="88" t="s">
        <v>173</v>
      </c>
      <c r="C764" s="91">
        <v>76.060500000000005</v>
      </c>
    </row>
    <row r="765" spans="1:3" x14ac:dyDescent="0.25">
      <c r="A765" s="84">
        <v>46108</v>
      </c>
      <c r="B765" s="88" t="s">
        <v>174</v>
      </c>
      <c r="C765" s="91">
        <v>74.897199999999998</v>
      </c>
    </row>
    <row r="766" spans="1:3" x14ac:dyDescent="0.25">
      <c r="A766" s="84">
        <v>46108</v>
      </c>
      <c r="B766" s="88" t="s">
        <v>175</v>
      </c>
      <c r="C766" s="91">
        <v>74.875100000000003</v>
      </c>
    </row>
    <row r="767" spans="1:3" x14ac:dyDescent="0.25">
      <c r="A767" s="84">
        <v>46108</v>
      </c>
      <c r="B767" s="88" t="s">
        <v>176</v>
      </c>
      <c r="C767" s="91">
        <v>72.538200000000003</v>
      </c>
    </row>
    <row r="768" spans="1:3" x14ac:dyDescent="0.25">
      <c r="A768" s="84">
        <v>46108</v>
      </c>
      <c r="B768" s="88" t="s">
        <v>180</v>
      </c>
      <c r="C768" s="91">
        <v>68.525499999999994</v>
      </c>
    </row>
    <row r="769" spans="1:3" x14ac:dyDescent="0.25">
      <c r="A769" s="84">
        <v>46108</v>
      </c>
      <c r="B769" s="88" t="s">
        <v>181</v>
      </c>
      <c r="C769" s="91">
        <v>68.5381</v>
      </c>
    </row>
    <row r="770" spans="1:3" x14ac:dyDescent="0.25">
      <c r="A770" s="84">
        <v>46108</v>
      </c>
      <c r="B770" s="88" t="s">
        <v>169</v>
      </c>
      <c r="C770" s="91">
        <v>72.003900000000002</v>
      </c>
    </row>
    <row r="771" spans="1:3" x14ac:dyDescent="0.25">
      <c r="A771" s="84">
        <v>46108</v>
      </c>
      <c r="B771" s="88" t="s">
        <v>168</v>
      </c>
      <c r="C771" s="91">
        <v>72.001499999999993</v>
      </c>
    </row>
    <row r="772" spans="1:3" x14ac:dyDescent="0.25">
      <c r="A772" s="84">
        <v>46108</v>
      </c>
      <c r="B772" s="88" t="s">
        <v>167</v>
      </c>
      <c r="C772" s="91">
        <v>71.991900000000001</v>
      </c>
    </row>
    <row r="773" spans="1:3" x14ac:dyDescent="0.25">
      <c r="A773" s="84">
        <v>46108</v>
      </c>
      <c r="B773" s="88" t="s">
        <v>166</v>
      </c>
      <c r="C773" s="91">
        <v>71.996200000000002</v>
      </c>
    </row>
    <row r="774" spans="1:3" x14ac:dyDescent="0.25">
      <c r="A774" s="84">
        <v>46108</v>
      </c>
      <c r="B774" s="88" t="s">
        <v>165</v>
      </c>
      <c r="C774" s="91">
        <v>71.966800000000006</v>
      </c>
    </row>
    <row r="775" spans="1:3" x14ac:dyDescent="0.25">
      <c r="A775" s="84">
        <v>46108</v>
      </c>
      <c r="B775" s="88" t="s">
        <v>164</v>
      </c>
      <c r="C775" s="91">
        <v>71.963099999999997</v>
      </c>
    </row>
    <row r="776" spans="1:3" x14ac:dyDescent="0.25">
      <c r="A776" s="84">
        <v>46108</v>
      </c>
      <c r="B776" s="88" t="s">
        <v>162</v>
      </c>
      <c r="C776" s="91">
        <v>71.960800000000006</v>
      </c>
    </row>
    <row r="777" spans="1:3" x14ac:dyDescent="0.25">
      <c r="A777" s="84">
        <v>46108</v>
      </c>
      <c r="B777" s="88" t="s">
        <v>161</v>
      </c>
      <c r="C777" s="91">
        <v>71.942999999999998</v>
      </c>
    </row>
    <row r="778" spans="1:3" x14ac:dyDescent="0.25">
      <c r="A778" s="84">
        <v>46108</v>
      </c>
      <c r="B778" s="88" t="s">
        <v>160</v>
      </c>
      <c r="C778" s="91">
        <v>71.956699999999998</v>
      </c>
    </row>
    <row r="779" spans="1:3" x14ac:dyDescent="0.25">
      <c r="A779" s="84">
        <v>46108</v>
      </c>
      <c r="B779" s="88" t="s">
        <v>159</v>
      </c>
      <c r="C779" s="91">
        <v>71.990600000000001</v>
      </c>
    </row>
    <row r="780" spans="1:3" x14ac:dyDescent="0.25">
      <c r="A780" s="84">
        <v>46108</v>
      </c>
      <c r="B780" s="88" t="s">
        <v>158</v>
      </c>
      <c r="C780" s="91">
        <v>71.990799999999993</v>
      </c>
    </row>
    <row r="781" spans="1:3" x14ac:dyDescent="0.25">
      <c r="A781" s="84">
        <v>46112</v>
      </c>
      <c r="B781" s="88" t="s">
        <v>100</v>
      </c>
      <c r="C781" s="91">
        <v>73.488299999999995</v>
      </c>
    </row>
    <row r="782" spans="1:3" x14ac:dyDescent="0.25">
      <c r="A782" s="84">
        <v>46112</v>
      </c>
      <c r="B782" s="88" t="s">
        <v>101</v>
      </c>
      <c r="C782" s="91">
        <v>73.485200000000006</v>
      </c>
    </row>
    <row r="783" spans="1:3" x14ac:dyDescent="0.25">
      <c r="A783" s="84">
        <v>46112</v>
      </c>
      <c r="B783" s="88" t="s">
        <v>102</v>
      </c>
      <c r="C783" s="91">
        <v>73.4876</v>
      </c>
    </row>
    <row r="784" spans="1:3" x14ac:dyDescent="0.25">
      <c r="A784" s="84">
        <v>46112</v>
      </c>
      <c r="B784" s="88" t="s">
        <v>103</v>
      </c>
      <c r="C784" s="91">
        <v>73.494399999999999</v>
      </c>
    </row>
    <row r="785" spans="1:3" x14ac:dyDescent="0.25">
      <c r="A785" s="84">
        <v>46112</v>
      </c>
      <c r="B785" s="88" t="s">
        <v>146</v>
      </c>
      <c r="C785" s="91">
        <v>75.9465</v>
      </c>
    </row>
    <row r="786" spans="1:3" x14ac:dyDescent="0.25">
      <c r="A786" s="84">
        <v>46112</v>
      </c>
      <c r="B786" s="88" t="s">
        <v>147</v>
      </c>
      <c r="C786" s="91">
        <v>76.004400000000004</v>
      </c>
    </row>
    <row r="787" spans="1:3" x14ac:dyDescent="0.25">
      <c r="A787" s="84">
        <v>46112</v>
      </c>
      <c r="B787" s="88" t="s">
        <v>170</v>
      </c>
      <c r="C787" s="91">
        <v>76.214100000000002</v>
      </c>
    </row>
    <row r="788" spans="1:3" x14ac:dyDescent="0.25">
      <c r="A788" s="84">
        <v>46112</v>
      </c>
      <c r="B788" s="88" t="s">
        <v>171</v>
      </c>
      <c r="C788" s="91">
        <v>76.209000000000003</v>
      </c>
    </row>
    <row r="789" spans="1:3" x14ac:dyDescent="0.25">
      <c r="A789" s="84">
        <v>46112</v>
      </c>
      <c r="B789" s="88" t="s">
        <v>172</v>
      </c>
      <c r="C789" s="91">
        <v>76.107399999999998</v>
      </c>
    </row>
    <row r="790" spans="1:3" x14ac:dyDescent="0.25">
      <c r="A790" s="84">
        <v>46112</v>
      </c>
      <c r="B790" s="88" t="s">
        <v>173</v>
      </c>
      <c r="C790" s="91">
        <v>76.0608</v>
      </c>
    </row>
    <row r="791" spans="1:3" x14ac:dyDescent="0.25">
      <c r="A791" s="84">
        <v>46112</v>
      </c>
      <c r="B791" s="88" t="s">
        <v>174</v>
      </c>
      <c r="C791" s="91">
        <v>74.897400000000005</v>
      </c>
    </row>
    <row r="792" spans="1:3" x14ac:dyDescent="0.25">
      <c r="A792" s="84">
        <v>46112</v>
      </c>
      <c r="B792" s="88" t="s">
        <v>175</v>
      </c>
      <c r="C792" s="91">
        <v>74.875399999999999</v>
      </c>
    </row>
    <row r="793" spans="1:3" x14ac:dyDescent="0.25">
      <c r="A793" s="84">
        <v>46112</v>
      </c>
      <c r="B793" s="88" t="s">
        <v>176</v>
      </c>
      <c r="C793" s="91">
        <v>72.538499999999999</v>
      </c>
    </row>
    <row r="794" spans="1:3" x14ac:dyDescent="0.25">
      <c r="A794" s="84">
        <v>46112</v>
      </c>
      <c r="B794" s="88" t="s">
        <v>180</v>
      </c>
      <c r="C794" s="91">
        <v>68.525599999999997</v>
      </c>
    </row>
    <row r="795" spans="1:3" x14ac:dyDescent="0.25">
      <c r="A795" s="84">
        <v>46112</v>
      </c>
      <c r="B795" s="88" t="s">
        <v>182</v>
      </c>
      <c r="C795" s="91">
        <v>65.559700000000007</v>
      </c>
    </row>
    <row r="796" spans="1:3" x14ac:dyDescent="0.25">
      <c r="A796" s="84">
        <v>46112</v>
      </c>
      <c r="B796" s="88" t="s">
        <v>183</v>
      </c>
      <c r="C796" s="91">
        <v>65.6113</v>
      </c>
    </row>
    <row r="797" spans="1:3" x14ac:dyDescent="0.25">
      <c r="A797" s="84">
        <v>46112</v>
      </c>
      <c r="B797" s="88" t="s">
        <v>184</v>
      </c>
      <c r="C797" s="91">
        <v>64.816400000000002</v>
      </c>
    </row>
    <row r="798" spans="1:3" x14ac:dyDescent="0.25">
      <c r="A798" s="84">
        <v>46112</v>
      </c>
      <c r="B798" s="88" t="s">
        <v>169</v>
      </c>
      <c r="C798" s="91">
        <v>72.004000000000005</v>
      </c>
    </row>
    <row r="799" spans="1:3" x14ac:dyDescent="0.25">
      <c r="A799" s="84">
        <v>46112</v>
      </c>
      <c r="B799" s="88" t="s">
        <v>168</v>
      </c>
      <c r="C799" s="91">
        <v>72.001499999999993</v>
      </c>
    </row>
    <row r="800" spans="1:3" x14ac:dyDescent="0.25">
      <c r="A800" s="84">
        <v>46112</v>
      </c>
      <c r="B800" s="88" t="s">
        <v>167</v>
      </c>
      <c r="C800" s="91">
        <v>71.991900000000001</v>
      </c>
    </row>
    <row r="801" spans="1:3" x14ac:dyDescent="0.25">
      <c r="A801" s="84">
        <v>46112</v>
      </c>
      <c r="B801" s="88" t="s">
        <v>166</v>
      </c>
      <c r="C801" s="91">
        <v>71.996200000000002</v>
      </c>
    </row>
    <row r="802" spans="1:3" x14ac:dyDescent="0.25">
      <c r="A802" s="84">
        <v>46112</v>
      </c>
      <c r="B802" s="88" t="s">
        <v>165</v>
      </c>
      <c r="C802" s="91">
        <v>71.966499999999996</v>
      </c>
    </row>
    <row r="803" spans="1:3" x14ac:dyDescent="0.25">
      <c r="A803" s="84">
        <v>46112</v>
      </c>
      <c r="B803" s="88" t="s">
        <v>164</v>
      </c>
      <c r="C803" s="91">
        <v>71.962900000000005</v>
      </c>
    </row>
    <row r="804" spans="1:3" x14ac:dyDescent="0.25">
      <c r="A804" s="84">
        <v>46112</v>
      </c>
      <c r="B804" s="88" t="s">
        <v>163</v>
      </c>
      <c r="C804" s="91">
        <v>71.966700000000003</v>
      </c>
    </row>
    <row r="805" spans="1:3" x14ac:dyDescent="0.25">
      <c r="A805" s="84">
        <v>46112</v>
      </c>
      <c r="B805" s="88" t="s">
        <v>162</v>
      </c>
      <c r="C805" s="91">
        <v>71.960599999999999</v>
      </c>
    </row>
    <row r="806" spans="1:3" x14ac:dyDescent="0.25">
      <c r="A806" s="84">
        <v>46112</v>
      </c>
      <c r="B806" s="88" t="s">
        <v>161</v>
      </c>
      <c r="C806" s="91">
        <v>71.942800000000005</v>
      </c>
    </row>
    <row r="807" spans="1:3" x14ac:dyDescent="0.25">
      <c r="A807" s="84">
        <v>46112</v>
      </c>
      <c r="B807" s="88" t="s">
        <v>160</v>
      </c>
      <c r="C807" s="91">
        <v>71.956599999999995</v>
      </c>
    </row>
    <row r="808" spans="1:3" x14ac:dyDescent="0.25">
      <c r="A808" s="84">
        <v>46112</v>
      </c>
      <c r="B808" s="88" t="s">
        <v>159</v>
      </c>
      <c r="C808" s="91">
        <v>71.990600000000001</v>
      </c>
    </row>
    <row r="809" spans="1:3" x14ac:dyDescent="0.25">
      <c r="A809" s="84">
        <v>46112</v>
      </c>
      <c r="B809" s="88" t="s">
        <v>158</v>
      </c>
      <c r="C809" s="91">
        <v>71.990700000000004</v>
      </c>
    </row>
    <row r="810" spans="1:3" x14ac:dyDescent="0.25">
      <c r="A810" s="84">
        <v>46113</v>
      </c>
      <c r="B810" s="88" t="s">
        <v>100</v>
      </c>
      <c r="C810" s="91">
        <v>73.488200000000006</v>
      </c>
    </row>
    <row r="811" spans="1:3" x14ac:dyDescent="0.25">
      <c r="A811" s="84">
        <v>46113</v>
      </c>
      <c r="B811" s="88" t="s">
        <v>101</v>
      </c>
      <c r="C811" s="91">
        <v>73.485100000000003</v>
      </c>
    </row>
    <row r="812" spans="1:3" x14ac:dyDescent="0.25">
      <c r="A812" s="84">
        <v>46113</v>
      </c>
      <c r="B812" s="88" t="s">
        <v>102</v>
      </c>
      <c r="C812" s="91">
        <v>73.4876</v>
      </c>
    </row>
    <row r="813" spans="1:3" x14ac:dyDescent="0.25">
      <c r="A813" s="84">
        <v>46113</v>
      </c>
      <c r="B813" s="88" t="s">
        <v>103</v>
      </c>
      <c r="C813" s="91">
        <v>73.494399999999999</v>
      </c>
    </row>
    <row r="814" spans="1:3" x14ac:dyDescent="0.25">
      <c r="A814" s="84">
        <v>46113</v>
      </c>
      <c r="B814" s="88" t="s">
        <v>146</v>
      </c>
      <c r="C814" s="91">
        <v>75.946799999999996</v>
      </c>
    </row>
    <row r="815" spans="1:3" x14ac:dyDescent="0.25">
      <c r="A815" s="84">
        <v>46113</v>
      </c>
      <c r="B815" s="88" t="s">
        <v>147</v>
      </c>
      <c r="C815" s="91">
        <v>76.004999999999995</v>
      </c>
    </row>
    <row r="816" spans="1:3" x14ac:dyDescent="0.25">
      <c r="A816" s="84">
        <v>46113</v>
      </c>
      <c r="B816" s="88" t="s">
        <v>170</v>
      </c>
      <c r="C816" s="91">
        <v>76.214100000000002</v>
      </c>
    </row>
    <row r="817" spans="1:3" x14ac:dyDescent="0.25">
      <c r="A817" s="84">
        <v>46113</v>
      </c>
      <c r="B817" s="88" t="s">
        <v>171</v>
      </c>
      <c r="C817" s="91">
        <v>76.209299999999999</v>
      </c>
    </row>
    <row r="818" spans="1:3" x14ac:dyDescent="0.25">
      <c r="A818" s="84">
        <v>46113</v>
      </c>
      <c r="B818" s="88" t="s">
        <v>172</v>
      </c>
      <c r="C818" s="91">
        <v>76.107799999999997</v>
      </c>
    </row>
    <row r="819" spans="1:3" x14ac:dyDescent="0.25">
      <c r="A819" s="84">
        <v>46113</v>
      </c>
      <c r="B819" s="88" t="s">
        <v>173</v>
      </c>
      <c r="C819" s="91">
        <v>76.061099999999996</v>
      </c>
    </row>
    <row r="820" spans="1:3" x14ac:dyDescent="0.25">
      <c r="A820" s="84">
        <v>46113</v>
      </c>
      <c r="B820" s="88" t="s">
        <v>174</v>
      </c>
      <c r="C820" s="91">
        <v>74.898200000000003</v>
      </c>
    </row>
    <row r="821" spans="1:3" x14ac:dyDescent="0.25">
      <c r="A821" s="84">
        <v>46113</v>
      </c>
      <c r="B821" s="88" t="s">
        <v>175</v>
      </c>
      <c r="C821" s="91">
        <v>74.876099999999994</v>
      </c>
    </row>
    <row r="822" spans="1:3" x14ac:dyDescent="0.25">
      <c r="A822" s="84">
        <v>46113</v>
      </c>
      <c r="B822" s="88" t="s">
        <v>176</v>
      </c>
      <c r="C822" s="91">
        <v>72.539199999999994</v>
      </c>
    </row>
    <row r="823" spans="1:3" x14ac:dyDescent="0.25">
      <c r="A823" s="84">
        <v>46113</v>
      </c>
      <c r="B823" s="88" t="s">
        <v>180</v>
      </c>
      <c r="C823" s="91">
        <v>68.525300000000001</v>
      </c>
    </row>
    <row r="824" spans="1:3" x14ac:dyDescent="0.25">
      <c r="A824" s="84">
        <v>46113</v>
      </c>
      <c r="B824" s="88" t="s">
        <v>181</v>
      </c>
      <c r="C824" s="91">
        <v>68.537899999999993</v>
      </c>
    </row>
    <row r="825" spans="1:3" x14ac:dyDescent="0.25">
      <c r="A825" s="84">
        <v>46113</v>
      </c>
      <c r="B825" s="88" t="s">
        <v>182</v>
      </c>
      <c r="C825" s="91">
        <v>65.5595</v>
      </c>
    </row>
    <row r="826" spans="1:3" x14ac:dyDescent="0.25">
      <c r="A826" s="84">
        <v>46113</v>
      </c>
      <c r="B826" s="88" t="s">
        <v>183</v>
      </c>
      <c r="C826" s="91">
        <v>65.611000000000004</v>
      </c>
    </row>
    <row r="827" spans="1:3" x14ac:dyDescent="0.25">
      <c r="A827" s="84">
        <v>46113</v>
      </c>
      <c r="B827" s="88" t="s">
        <v>184</v>
      </c>
      <c r="C827" s="91">
        <v>64.816299999999998</v>
      </c>
    </row>
    <row r="828" spans="1:3" x14ac:dyDescent="0.25">
      <c r="A828" s="84">
        <v>46113</v>
      </c>
      <c r="B828" s="88" t="s">
        <v>169</v>
      </c>
      <c r="C828" s="91">
        <v>72.003900000000002</v>
      </c>
    </row>
    <row r="829" spans="1:3" x14ac:dyDescent="0.25">
      <c r="A829" s="84">
        <v>46113</v>
      </c>
      <c r="B829" s="88" t="s">
        <v>168</v>
      </c>
      <c r="C829" s="91">
        <v>72.001300000000001</v>
      </c>
    </row>
    <row r="830" spans="1:3" x14ac:dyDescent="0.25">
      <c r="A830" s="84">
        <v>46113</v>
      </c>
      <c r="B830" s="88" t="s">
        <v>167</v>
      </c>
      <c r="C830" s="91">
        <v>71.991699999999994</v>
      </c>
    </row>
    <row r="831" spans="1:3" x14ac:dyDescent="0.25">
      <c r="A831" s="84">
        <v>46113</v>
      </c>
      <c r="B831" s="88" t="s">
        <v>166</v>
      </c>
      <c r="C831" s="91">
        <v>71.995999999999995</v>
      </c>
    </row>
    <row r="832" spans="1:3" x14ac:dyDescent="0.25">
      <c r="A832" s="84">
        <v>46113</v>
      </c>
      <c r="B832" s="88" t="s">
        <v>165</v>
      </c>
      <c r="C832" s="91">
        <v>71.966399999999993</v>
      </c>
    </row>
    <row r="833" spans="1:3" x14ac:dyDescent="0.25">
      <c r="A833" s="84">
        <v>46113</v>
      </c>
      <c r="B833" s="88" t="s">
        <v>164</v>
      </c>
      <c r="C833" s="91">
        <v>71.962800000000001</v>
      </c>
    </row>
    <row r="834" spans="1:3" x14ac:dyDescent="0.25">
      <c r="A834" s="84">
        <v>46113</v>
      </c>
      <c r="B834" s="88" t="s">
        <v>163</v>
      </c>
      <c r="C834" s="91">
        <v>71.966399999999993</v>
      </c>
    </row>
    <row r="835" spans="1:3" x14ac:dyDescent="0.25">
      <c r="A835" s="84">
        <v>46113</v>
      </c>
      <c r="B835" s="88" t="s">
        <v>162</v>
      </c>
      <c r="C835" s="91">
        <v>71.960400000000007</v>
      </c>
    </row>
    <row r="836" spans="1:3" x14ac:dyDescent="0.25">
      <c r="A836" s="84">
        <v>46113</v>
      </c>
      <c r="B836" s="88" t="s">
        <v>161</v>
      </c>
      <c r="C836" s="91">
        <v>71.942700000000002</v>
      </c>
    </row>
    <row r="837" spans="1:3" x14ac:dyDescent="0.25">
      <c r="A837" s="84">
        <v>46113</v>
      </c>
      <c r="B837" s="88" t="s">
        <v>160</v>
      </c>
      <c r="C837" s="91">
        <v>71.956299999999999</v>
      </c>
    </row>
    <row r="838" spans="1:3" x14ac:dyDescent="0.25">
      <c r="A838" s="84">
        <v>46113</v>
      </c>
      <c r="B838" s="88" t="s">
        <v>159</v>
      </c>
      <c r="C838" s="91">
        <v>71.990499999999997</v>
      </c>
    </row>
    <row r="839" spans="1:3" x14ac:dyDescent="0.25">
      <c r="A839" s="84">
        <v>46113</v>
      </c>
      <c r="B839" s="88" t="s">
        <v>158</v>
      </c>
      <c r="C839" s="91">
        <v>71.990600000000001</v>
      </c>
    </row>
    <row r="840" spans="1:3" x14ac:dyDescent="0.25">
      <c r="A840" s="84">
        <v>46118</v>
      </c>
      <c r="B840" s="88" t="s">
        <v>103</v>
      </c>
      <c r="C840" s="91">
        <v>73.494100000000003</v>
      </c>
    </row>
    <row r="841" spans="1:3" x14ac:dyDescent="0.25">
      <c r="A841" s="84">
        <v>46118</v>
      </c>
      <c r="B841" s="88" t="s">
        <v>142</v>
      </c>
      <c r="C841" s="91">
        <v>74.095600000000005</v>
      </c>
    </row>
    <row r="842" spans="1:3" x14ac:dyDescent="0.25">
      <c r="A842" s="84">
        <v>46118</v>
      </c>
      <c r="B842" s="88" t="s">
        <v>143</v>
      </c>
      <c r="C842" s="91">
        <v>73.995499999999993</v>
      </c>
    </row>
    <row r="843" spans="1:3" x14ac:dyDescent="0.25">
      <c r="A843" s="84">
        <v>46118</v>
      </c>
      <c r="B843" s="88" t="s">
        <v>144</v>
      </c>
      <c r="C843" s="91">
        <v>72.2483</v>
      </c>
    </row>
    <row r="844" spans="1:3" x14ac:dyDescent="0.25">
      <c r="A844" s="84">
        <v>46118</v>
      </c>
      <c r="B844" s="88" t="s">
        <v>113</v>
      </c>
      <c r="C844" s="91">
        <v>74.313599999999994</v>
      </c>
    </row>
    <row r="845" spans="1:3" x14ac:dyDescent="0.25">
      <c r="A845" s="84">
        <v>46118</v>
      </c>
      <c r="B845" s="88" t="s">
        <v>178</v>
      </c>
      <c r="C845" s="91">
        <v>74.087900000000005</v>
      </c>
    </row>
    <row r="846" spans="1:3" x14ac:dyDescent="0.25">
      <c r="A846" s="84">
        <v>46118</v>
      </c>
      <c r="B846" s="88" t="s">
        <v>179</v>
      </c>
      <c r="C846" s="91">
        <v>73.380800000000008</v>
      </c>
    </row>
    <row r="847" spans="1:3" x14ac:dyDescent="0.25">
      <c r="A847" s="84">
        <v>46118</v>
      </c>
      <c r="B847" s="88" t="s">
        <v>145</v>
      </c>
      <c r="C847" s="91">
        <v>70.117000000000004</v>
      </c>
    </row>
    <row r="848" spans="1:3" x14ac:dyDescent="0.25">
      <c r="A848" s="84">
        <v>46118</v>
      </c>
      <c r="B848" s="88" t="s">
        <v>170</v>
      </c>
      <c r="C848" s="91">
        <v>76.214399999999998</v>
      </c>
    </row>
    <row r="849" spans="1:3" x14ac:dyDescent="0.25">
      <c r="A849" s="84">
        <v>46118</v>
      </c>
      <c r="B849" s="88" t="s">
        <v>171</v>
      </c>
      <c r="C849" s="91">
        <v>76.209199999999996</v>
      </c>
    </row>
    <row r="850" spans="1:3" x14ac:dyDescent="0.25">
      <c r="A850" s="84">
        <v>46118</v>
      </c>
      <c r="B850" s="88" t="s">
        <v>172</v>
      </c>
      <c r="C850" s="91">
        <v>76.107599999999991</v>
      </c>
    </row>
    <row r="851" spans="1:3" x14ac:dyDescent="0.25">
      <c r="A851" s="84">
        <v>46118</v>
      </c>
      <c r="B851" s="88" t="s">
        <v>173</v>
      </c>
      <c r="C851" s="91">
        <v>76.061399999999992</v>
      </c>
    </row>
    <row r="852" spans="1:3" x14ac:dyDescent="0.25">
      <c r="A852" s="84">
        <v>46118</v>
      </c>
      <c r="B852" s="88" t="s">
        <v>174</v>
      </c>
      <c r="C852" s="91">
        <v>74.898099999999999</v>
      </c>
    </row>
    <row r="853" spans="1:3" x14ac:dyDescent="0.25">
      <c r="A853" s="84">
        <v>46118</v>
      </c>
      <c r="B853" s="88" t="s">
        <v>175</v>
      </c>
      <c r="C853" s="91">
        <v>74.876300000000001</v>
      </c>
    </row>
    <row r="854" spans="1:3" x14ac:dyDescent="0.25">
      <c r="A854" s="84">
        <v>46118</v>
      </c>
      <c r="B854" s="88" t="s">
        <v>176</v>
      </c>
      <c r="C854" s="91">
        <v>72.53949999999999</v>
      </c>
    </row>
    <row r="855" spans="1:3" x14ac:dyDescent="0.25">
      <c r="A855" s="84">
        <v>46118</v>
      </c>
      <c r="B855" s="88" t="s">
        <v>180</v>
      </c>
      <c r="C855" s="91">
        <v>68.525400000000005</v>
      </c>
    </row>
    <row r="856" spans="1:3" x14ac:dyDescent="0.25">
      <c r="A856" s="84">
        <v>46118</v>
      </c>
      <c r="B856" s="88" t="s">
        <v>182</v>
      </c>
      <c r="C856" s="91">
        <v>65.559399999999997</v>
      </c>
    </row>
    <row r="857" spans="1:3" x14ac:dyDescent="0.25">
      <c r="A857" s="84">
        <v>46118</v>
      </c>
      <c r="B857" s="88" t="s">
        <v>183</v>
      </c>
      <c r="C857" s="91">
        <v>65.610799999999998</v>
      </c>
    </row>
    <row r="858" spans="1:3" x14ac:dyDescent="0.25">
      <c r="A858" s="84">
        <v>46118</v>
      </c>
      <c r="B858" s="88" t="s">
        <v>184</v>
      </c>
      <c r="C858" s="91">
        <v>64.816400000000002</v>
      </c>
    </row>
    <row r="859" spans="1:3" x14ac:dyDescent="0.25">
      <c r="A859" s="84">
        <v>46118</v>
      </c>
      <c r="B859" s="88" t="s">
        <v>169</v>
      </c>
      <c r="C859" s="91">
        <v>72.003600000000006</v>
      </c>
    </row>
    <row r="860" spans="1:3" x14ac:dyDescent="0.25">
      <c r="A860" s="84">
        <v>46118</v>
      </c>
      <c r="B860" s="88" t="s">
        <v>168</v>
      </c>
      <c r="C860" s="91">
        <v>72.001000000000005</v>
      </c>
    </row>
    <row r="861" spans="1:3" x14ac:dyDescent="0.25">
      <c r="A861" s="84">
        <v>46118</v>
      </c>
      <c r="B861" s="88" t="s">
        <v>167</v>
      </c>
      <c r="C861" s="91">
        <v>71.991900000000001</v>
      </c>
    </row>
    <row r="862" spans="1:3" x14ac:dyDescent="0.25">
      <c r="A862" s="84">
        <v>46118</v>
      </c>
      <c r="B862" s="88" t="s">
        <v>166</v>
      </c>
      <c r="C862" s="91">
        <v>71.995899999999992</v>
      </c>
    </row>
    <row r="863" spans="1:3" x14ac:dyDescent="0.25">
      <c r="A863" s="84">
        <v>46118</v>
      </c>
      <c r="B863" s="88" t="s">
        <v>165</v>
      </c>
      <c r="C863" s="91">
        <v>71.966199999999986</v>
      </c>
    </row>
    <row r="864" spans="1:3" x14ac:dyDescent="0.25">
      <c r="A864" s="84">
        <v>46118</v>
      </c>
      <c r="B864" s="88" t="s">
        <v>164</v>
      </c>
      <c r="C864" s="91">
        <v>71.963099999999997</v>
      </c>
    </row>
    <row r="865" spans="1:3" x14ac:dyDescent="0.25">
      <c r="A865" s="84">
        <v>46118</v>
      </c>
      <c r="B865" s="88" t="s">
        <v>163</v>
      </c>
      <c r="C865" s="91">
        <v>71.966099999999997</v>
      </c>
    </row>
    <row r="866" spans="1:3" x14ac:dyDescent="0.25">
      <c r="A866" s="84">
        <v>46118</v>
      </c>
      <c r="B866" s="88" t="s">
        <v>162</v>
      </c>
      <c r="C866" s="91">
        <v>71.960400000000007</v>
      </c>
    </row>
    <row r="867" spans="1:3" x14ac:dyDescent="0.25">
      <c r="A867" s="84">
        <v>46118</v>
      </c>
      <c r="B867" s="88" t="s">
        <v>161</v>
      </c>
      <c r="C867" s="91">
        <v>71.942700000000002</v>
      </c>
    </row>
    <row r="868" spans="1:3" x14ac:dyDescent="0.25">
      <c r="A868" s="84">
        <v>46118</v>
      </c>
      <c r="B868" s="88" t="s">
        <v>160</v>
      </c>
      <c r="C868" s="91">
        <v>71.956199999999995</v>
      </c>
    </row>
    <row r="869" spans="1:3" x14ac:dyDescent="0.25">
      <c r="A869" s="84">
        <v>46118</v>
      </c>
      <c r="B869" s="88" t="s">
        <v>159</v>
      </c>
      <c r="C869" s="91">
        <v>71.990399999999994</v>
      </c>
    </row>
    <row r="870" spans="1:3" x14ac:dyDescent="0.25">
      <c r="A870" s="84">
        <v>46118</v>
      </c>
      <c r="B870" s="88" t="s">
        <v>158</v>
      </c>
      <c r="C870" s="91">
        <v>71.990899999999996</v>
      </c>
    </row>
    <row r="871" spans="1:3" x14ac:dyDescent="0.25">
      <c r="A871" s="84">
        <v>46118</v>
      </c>
      <c r="B871" s="88" t="s">
        <v>185</v>
      </c>
      <c r="C871" s="91">
        <v>73.48790000000001</v>
      </c>
    </row>
    <row r="872" spans="1:3" x14ac:dyDescent="0.25">
      <c r="A872" s="84">
        <v>46118</v>
      </c>
      <c r="B872" s="88" t="s">
        <v>186</v>
      </c>
      <c r="C872" s="91">
        <v>73.485100000000003</v>
      </c>
    </row>
    <row r="873" spans="1:3" x14ac:dyDescent="0.25">
      <c r="A873" s="84">
        <v>46118</v>
      </c>
      <c r="B873" s="88" t="s">
        <v>187</v>
      </c>
      <c r="C873" s="91">
        <v>73.4876</v>
      </c>
    </row>
    <row r="874" spans="1:3" x14ac:dyDescent="0.25">
      <c r="A874" s="84">
        <v>46121</v>
      </c>
      <c r="B874" s="88" t="s">
        <v>142</v>
      </c>
      <c r="C874" s="88">
        <v>74.095399999999998</v>
      </c>
    </row>
    <row r="875" spans="1:3" x14ac:dyDescent="0.25">
      <c r="A875" s="84">
        <v>46121</v>
      </c>
      <c r="B875" s="88" t="s">
        <v>143</v>
      </c>
      <c r="C875" s="88">
        <v>73.994900000000001</v>
      </c>
    </row>
    <row r="876" spans="1:3" x14ac:dyDescent="0.25">
      <c r="A876" s="84">
        <v>46121</v>
      </c>
      <c r="B876" s="88" t="s">
        <v>144</v>
      </c>
      <c r="C876" s="88">
        <v>72.248599999999996</v>
      </c>
    </row>
    <row r="877" spans="1:3" x14ac:dyDescent="0.25">
      <c r="A877" s="84">
        <v>46121</v>
      </c>
      <c r="B877" s="88" t="s">
        <v>113</v>
      </c>
      <c r="C877" s="88">
        <v>74.313100000000006</v>
      </c>
    </row>
    <row r="878" spans="1:3" x14ac:dyDescent="0.25">
      <c r="A878" s="84">
        <v>46121</v>
      </c>
      <c r="B878" s="88" t="s">
        <v>178</v>
      </c>
      <c r="C878" s="88">
        <v>74.087400000000002</v>
      </c>
    </row>
    <row r="879" spans="1:3" x14ac:dyDescent="0.25">
      <c r="A879" s="84">
        <v>46121</v>
      </c>
      <c r="B879" s="88" t="s">
        <v>179</v>
      </c>
      <c r="C879" s="88">
        <v>73.380700000000004</v>
      </c>
    </row>
    <row r="880" spans="1:3" x14ac:dyDescent="0.25">
      <c r="A880" s="84">
        <v>46121</v>
      </c>
      <c r="B880" s="88" t="s">
        <v>145</v>
      </c>
      <c r="C880" s="88">
        <v>70.117099999999994</v>
      </c>
    </row>
    <row r="881" spans="1:3" x14ac:dyDescent="0.25">
      <c r="A881" s="84">
        <v>46121</v>
      </c>
      <c r="B881" s="88" t="s">
        <v>146</v>
      </c>
      <c r="C881" s="88">
        <v>75.9465</v>
      </c>
    </row>
    <row r="882" spans="1:3" x14ac:dyDescent="0.25">
      <c r="A882" s="84">
        <v>46121</v>
      </c>
      <c r="B882" s="88" t="s">
        <v>147</v>
      </c>
      <c r="C882" s="88">
        <v>76.004599999999996</v>
      </c>
    </row>
    <row r="883" spans="1:3" x14ac:dyDescent="0.25">
      <c r="A883" s="84">
        <v>46121</v>
      </c>
      <c r="B883" s="88" t="s">
        <v>170</v>
      </c>
      <c r="C883" s="88">
        <v>76.213799999999992</v>
      </c>
    </row>
    <row r="884" spans="1:3" x14ac:dyDescent="0.25">
      <c r="A884" s="84">
        <v>46121</v>
      </c>
      <c r="B884" s="88" t="s">
        <v>171</v>
      </c>
      <c r="C884" s="88">
        <v>76.2089</v>
      </c>
    </row>
    <row r="885" spans="1:3" x14ac:dyDescent="0.25">
      <c r="A885" s="84">
        <v>46121</v>
      </c>
      <c r="B885" s="88" t="s">
        <v>172</v>
      </c>
      <c r="C885" s="88">
        <v>76.107399999999998</v>
      </c>
    </row>
    <row r="886" spans="1:3" x14ac:dyDescent="0.25">
      <c r="A886" s="84">
        <v>46121</v>
      </c>
      <c r="B886" s="88" t="s">
        <v>173</v>
      </c>
      <c r="C886" s="88">
        <v>76.060699999999997</v>
      </c>
    </row>
    <row r="887" spans="1:3" x14ac:dyDescent="0.25">
      <c r="A887" s="84">
        <v>46121</v>
      </c>
      <c r="B887" s="88" t="s">
        <v>174</v>
      </c>
      <c r="C887" s="88">
        <v>74.897499999999994</v>
      </c>
    </row>
    <row r="888" spans="1:3" x14ac:dyDescent="0.25">
      <c r="A888" s="84">
        <v>46121</v>
      </c>
      <c r="B888" s="88" t="s">
        <v>175</v>
      </c>
      <c r="C888" s="88">
        <v>74.875500000000002</v>
      </c>
    </row>
    <row r="889" spans="1:3" x14ac:dyDescent="0.25">
      <c r="A889" s="84">
        <v>46121</v>
      </c>
      <c r="B889" s="88" t="s">
        <v>176</v>
      </c>
      <c r="C889" s="88">
        <v>72.539199999999994</v>
      </c>
    </row>
    <row r="890" spans="1:3" x14ac:dyDescent="0.25">
      <c r="A890" s="84">
        <v>46121</v>
      </c>
      <c r="B890" s="88" t="s">
        <v>180</v>
      </c>
      <c r="C890" s="88">
        <v>68.526200000000003</v>
      </c>
    </row>
    <row r="891" spans="1:3" x14ac:dyDescent="0.25">
      <c r="A891" s="84">
        <v>46121</v>
      </c>
      <c r="B891" s="88" t="s">
        <v>181</v>
      </c>
      <c r="C891" s="88">
        <v>68.538700000000006</v>
      </c>
    </row>
    <row r="892" spans="1:3" x14ac:dyDescent="0.25">
      <c r="A892" s="84">
        <v>46121</v>
      </c>
      <c r="B892" s="88" t="s">
        <v>182</v>
      </c>
      <c r="C892" s="88">
        <v>65.5595</v>
      </c>
    </row>
    <row r="893" spans="1:3" x14ac:dyDescent="0.25">
      <c r="A893" s="84">
        <v>46121</v>
      </c>
      <c r="B893" s="88" t="s">
        <v>183</v>
      </c>
      <c r="C893" s="88">
        <v>65.611099999999993</v>
      </c>
    </row>
    <row r="894" spans="1:3" x14ac:dyDescent="0.25">
      <c r="A894" s="84">
        <v>46121</v>
      </c>
      <c r="B894" s="88" t="s">
        <v>184</v>
      </c>
      <c r="C894" s="88">
        <v>64.816199999999995</v>
      </c>
    </row>
    <row r="895" spans="1:3" x14ac:dyDescent="0.25">
      <c r="A895" s="84">
        <v>46121</v>
      </c>
      <c r="B895" s="88" t="s">
        <v>169</v>
      </c>
      <c r="C895" s="88">
        <v>72.004000000000005</v>
      </c>
    </row>
    <row r="896" spans="1:3" x14ac:dyDescent="0.25">
      <c r="A896" s="84">
        <v>46121</v>
      </c>
      <c r="B896" s="88" t="s">
        <v>168</v>
      </c>
      <c r="C896" s="88">
        <v>72.001499999999993</v>
      </c>
    </row>
    <row r="897" spans="1:3" x14ac:dyDescent="0.25">
      <c r="A897" s="84">
        <v>46121</v>
      </c>
      <c r="B897" s="88" t="s">
        <v>167</v>
      </c>
      <c r="C897" s="88">
        <v>71.991799999999998</v>
      </c>
    </row>
    <row r="898" spans="1:3" x14ac:dyDescent="0.25">
      <c r="A898" s="84">
        <v>46121</v>
      </c>
      <c r="B898" s="88" t="s">
        <v>166</v>
      </c>
      <c r="C898" s="88">
        <v>71.995999999999995</v>
      </c>
    </row>
    <row r="899" spans="1:3" x14ac:dyDescent="0.25">
      <c r="A899" s="84">
        <v>46121</v>
      </c>
      <c r="B899" s="88" t="s">
        <v>165</v>
      </c>
      <c r="C899" s="88">
        <v>71.966300000000004</v>
      </c>
    </row>
    <row r="900" spans="1:3" x14ac:dyDescent="0.25">
      <c r="A900" s="84">
        <v>46121</v>
      </c>
      <c r="B900" s="88" t="s">
        <v>164</v>
      </c>
      <c r="C900" s="88">
        <v>71.962699999999998</v>
      </c>
    </row>
    <row r="901" spans="1:3" x14ac:dyDescent="0.25">
      <c r="A901" s="84">
        <v>46121</v>
      </c>
      <c r="B901" s="88" t="s">
        <v>162</v>
      </c>
      <c r="C901" s="88">
        <v>71.960499999999996</v>
      </c>
    </row>
    <row r="902" spans="1:3" x14ac:dyDescent="0.25">
      <c r="A902" s="84">
        <v>46121</v>
      </c>
      <c r="B902" s="88" t="s">
        <v>161</v>
      </c>
      <c r="C902" s="88">
        <v>71.942800000000005</v>
      </c>
    </row>
    <row r="903" spans="1:3" x14ac:dyDescent="0.25">
      <c r="A903" s="84">
        <v>46121</v>
      </c>
      <c r="B903" s="88" t="s">
        <v>160</v>
      </c>
      <c r="C903" s="88">
        <v>71.956699999999998</v>
      </c>
    </row>
    <row r="904" spans="1:3" x14ac:dyDescent="0.25">
      <c r="A904" s="84">
        <v>46121</v>
      </c>
      <c r="B904" s="88" t="s">
        <v>159</v>
      </c>
      <c r="C904" s="88">
        <v>71.990499999999997</v>
      </c>
    </row>
    <row r="905" spans="1:3" x14ac:dyDescent="0.25">
      <c r="A905" s="84">
        <v>46121</v>
      </c>
      <c r="B905" s="88" t="s">
        <v>158</v>
      </c>
      <c r="C905" s="88">
        <v>71.990700000000004</v>
      </c>
    </row>
    <row r="906" spans="1:3" x14ac:dyDescent="0.25">
      <c r="A906" s="84">
        <v>46125</v>
      </c>
      <c r="B906" s="88" t="s">
        <v>146</v>
      </c>
      <c r="C906" s="88">
        <v>75.946600000000004</v>
      </c>
    </row>
    <row r="907" spans="1:3" x14ac:dyDescent="0.25">
      <c r="A907" s="84">
        <v>46125</v>
      </c>
      <c r="B907" s="88" t="s">
        <v>147</v>
      </c>
      <c r="C907" s="88">
        <v>76.004599999999996</v>
      </c>
    </row>
    <row r="908" spans="1:3" x14ac:dyDescent="0.25">
      <c r="A908" s="84">
        <v>46125</v>
      </c>
      <c r="B908" s="88" t="s">
        <v>170</v>
      </c>
      <c r="C908" s="88">
        <v>76.213800000000006</v>
      </c>
    </row>
    <row r="909" spans="1:3" x14ac:dyDescent="0.25">
      <c r="A909" s="84">
        <v>46125</v>
      </c>
      <c r="B909" s="88" t="s">
        <v>171</v>
      </c>
      <c r="C909" s="88">
        <v>76.208799999999997</v>
      </c>
    </row>
    <row r="910" spans="1:3" x14ac:dyDescent="0.25">
      <c r="A910" s="84">
        <v>46125</v>
      </c>
      <c r="B910" s="88" t="s">
        <v>172</v>
      </c>
      <c r="C910" s="88">
        <v>76.107399999999998</v>
      </c>
    </row>
    <row r="911" spans="1:3" x14ac:dyDescent="0.25">
      <c r="A911" s="84">
        <v>46125</v>
      </c>
      <c r="B911" s="88" t="s">
        <v>173</v>
      </c>
      <c r="C911" s="88">
        <v>76.060699999999997</v>
      </c>
    </row>
    <row r="912" spans="1:3" x14ac:dyDescent="0.25">
      <c r="A912" s="84">
        <v>46125</v>
      </c>
      <c r="B912" s="88" t="s">
        <v>174</v>
      </c>
      <c r="C912" s="88">
        <v>74.897400000000005</v>
      </c>
    </row>
    <row r="913" spans="1:3" x14ac:dyDescent="0.25">
      <c r="A913" s="84">
        <v>46125</v>
      </c>
      <c r="B913" s="88" t="s">
        <v>175</v>
      </c>
      <c r="C913" s="88">
        <v>74.875200000000007</v>
      </c>
    </row>
    <row r="914" spans="1:3" x14ac:dyDescent="0.25">
      <c r="A914" s="84">
        <v>46125</v>
      </c>
      <c r="B914" s="88" t="s">
        <v>176</v>
      </c>
      <c r="C914" s="88">
        <v>72.538899999999998</v>
      </c>
    </row>
    <row r="915" spans="1:3" x14ac:dyDescent="0.25">
      <c r="A915" s="84">
        <v>46125</v>
      </c>
      <c r="B915" s="88" t="s">
        <v>180</v>
      </c>
      <c r="C915" s="88">
        <v>68.525599999999997</v>
      </c>
    </row>
    <row r="916" spans="1:3" x14ac:dyDescent="0.25">
      <c r="A916" s="84">
        <v>46125</v>
      </c>
      <c r="B916" s="88" t="s">
        <v>181</v>
      </c>
      <c r="C916" s="88">
        <v>68.5381</v>
      </c>
    </row>
    <row r="917" spans="1:3" x14ac:dyDescent="0.25">
      <c r="A917" s="84">
        <v>46125</v>
      </c>
      <c r="B917" s="88" t="s">
        <v>182</v>
      </c>
      <c r="C917" s="88">
        <v>65.559899999999999</v>
      </c>
    </row>
    <row r="918" spans="1:3" x14ac:dyDescent="0.25">
      <c r="A918" s="84">
        <v>46125</v>
      </c>
      <c r="B918" s="88" t="s">
        <v>183</v>
      </c>
      <c r="C918" s="88">
        <v>65.6113</v>
      </c>
    </row>
    <row r="919" spans="1:3" x14ac:dyDescent="0.25">
      <c r="A919" s="84">
        <v>46125</v>
      </c>
      <c r="B919" s="88" t="s">
        <v>184</v>
      </c>
      <c r="C919" s="88">
        <v>64.816599999999994</v>
      </c>
    </row>
    <row r="920" spans="1:3" x14ac:dyDescent="0.25">
      <c r="A920" s="84">
        <v>46125</v>
      </c>
      <c r="B920" s="88" t="s">
        <v>166</v>
      </c>
      <c r="C920" s="88">
        <v>71.995900000000006</v>
      </c>
    </row>
    <row r="921" spans="1:3" x14ac:dyDescent="0.25">
      <c r="A921" s="84">
        <v>46125</v>
      </c>
      <c r="B921" s="88" t="s">
        <v>165</v>
      </c>
      <c r="C921" s="88">
        <v>71.966399999999993</v>
      </c>
    </row>
    <row r="922" spans="1:3" x14ac:dyDescent="0.25">
      <c r="A922" s="84">
        <v>46125</v>
      </c>
      <c r="B922" s="88" t="s">
        <v>164</v>
      </c>
      <c r="C922" s="88">
        <v>71.962699999999998</v>
      </c>
    </row>
    <row r="923" spans="1:3" x14ac:dyDescent="0.25">
      <c r="A923" s="84">
        <v>46125</v>
      </c>
      <c r="B923" s="88" t="s">
        <v>163</v>
      </c>
      <c r="C923" s="88">
        <v>71.966700000000003</v>
      </c>
    </row>
    <row r="924" spans="1:3" x14ac:dyDescent="0.25">
      <c r="A924" s="84">
        <v>46125</v>
      </c>
      <c r="B924" s="88" t="s">
        <v>162</v>
      </c>
      <c r="C924" s="88">
        <v>71.960099999999997</v>
      </c>
    </row>
    <row r="925" spans="1:3" x14ac:dyDescent="0.25">
      <c r="A925" s="84">
        <v>46125</v>
      </c>
      <c r="B925" s="88" t="s">
        <v>161</v>
      </c>
      <c r="C925" s="88">
        <v>71.942599999999999</v>
      </c>
    </row>
    <row r="926" spans="1:3" x14ac:dyDescent="0.25">
      <c r="A926" s="84">
        <v>46125</v>
      </c>
      <c r="B926" s="88" t="s">
        <v>160</v>
      </c>
      <c r="C926" s="88">
        <v>71.956299999999999</v>
      </c>
    </row>
    <row r="927" spans="1:3" x14ac:dyDescent="0.25">
      <c r="A927" s="84">
        <v>46125</v>
      </c>
      <c r="B927" s="88" t="s">
        <v>159</v>
      </c>
      <c r="C927" s="88">
        <v>71.990300000000005</v>
      </c>
    </row>
    <row r="928" spans="1:3" x14ac:dyDescent="0.25">
      <c r="A928" s="84">
        <v>46125</v>
      </c>
      <c r="B928" s="88" t="s">
        <v>158</v>
      </c>
      <c r="C928" s="88">
        <v>71.990499999999997</v>
      </c>
    </row>
    <row r="929" spans="1:3" x14ac:dyDescent="0.25">
      <c r="A929" s="84">
        <v>46126</v>
      </c>
      <c r="B929" s="88" t="s">
        <v>180</v>
      </c>
      <c r="C929" s="88">
        <v>68.525199999999998</v>
      </c>
    </row>
    <row r="930" spans="1:3" x14ac:dyDescent="0.25">
      <c r="A930" s="84">
        <v>46126</v>
      </c>
      <c r="B930" s="88" t="s">
        <v>181</v>
      </c>
      <c r="C930" s="88">
        <v>68.537700000000001</v>
      </c>
    </row>
    <row r="931" spans="1:3" x14ac:dyDescent="0.25">
      <c r="A931" s="84">
        <v>46126</v>
      </c>
      <c r="B931" s="88" t="s">
        <v>182</v>
      </c>
      <c r="C931" s="88">
        <v>65.559399999999997</v>
      </c>
    </row>
    <row r="932" spans="1:3" x14ac:dyDescent="0.25">
      <c r="A932" s="84">
        <v>46126</v>
      </c>
      <c r="B932" s="88" t="s">
        <v>183</v>
      </c>
      <c r="C932" s="88">
        <v>65.610699999999994</v>
      </c>
    </row>
    <row r="933" spans="1:3" x14ac:dyDescent="0.25">
      <c r="A933" s="84">
        <v>46126</v>
      </c>
      <c r="B933" s="88" t="s">
        <v>184</v>
      </c>
      <c r="C933" s="88">
        <v>64.816000000000003</v>
      </c>
    </row>
    <row r="934" spans="1:3" x14ac:dyDescent="0.25">
      <c r="A934" s="84">
        <v>46126</v>
      </c>
      <c r="B934" s="88" t="s">
        <v>166</v>
      </c>
      <c r="C934" s="88">
        <v>71.996200000000002</v>
      </c>
    </row>
    <row r="935" spans="1:3" x14ac:dyDescent="0.25">
      <c r="A935" s="84">
        <v>46126</v>
      </c>
      <c r="B935" s="88" t="s">
        <v>165</v>
      </c>
      <c r="C935" s="88">
        <v>71.966499999999996</v>
      </c>
    </row>
    <row r="936" spans="1:3" x14ac:dyDescent="0.25">
      <c r="A936" s="84">
        <v>46126</v>
      </c>
      <c r="B936" s="88" t="s">
        <v>164</v>
      </c>
      <c r="C936" s="88">
        <v>71.962800000000001</v>
      </c>
    </row>
    <row r="937" spans="1:3" x14ac:dyDescent="0.25">
      <c r="A937" s="84">
        <v>46126</v>
      </c>
      <c r="B937" s="88" t="s">
        <v>163</v>
      </c>
      <c r="C937" s="88">
        <v>71.966499999999996</v>
      </c>
    </row>
    <row r="938" spans="1:3" x14ac:dyDescent="0.25">
      <c r="A938" s="84">
        <v>46126</v>
      </c>
      <c r="B938" s="88" t="s">
        <v>162</v>
      </c>
      <c r="C938" s="88">
        <v>71.960300000000004</v>
      </c>
    </row>
    <row r="939" spans="1:3" x14ac:dyDescent="0.25">
      <c r="A939" s="84">
        <v>46126</v>
      </c>
      <c r="B939" s="88" t="s">
        <v>161</v>
      </c>
      <c r="C939" s="88">
        <v>71.942599999999999</v>
      </c>
    </row>
    <row r="940" spans="1:3" x14ac:dyDescent="0.25">
      <c r="A940" s="84">
        <v>46126</v>
      </c>
      <c r="B940" s="88" t="s">
        <v>160</v>
      </c>
      <c r="C940" s="88">
        <v>71.956299999999999</v>
      </c>
    </row>
    <row r="941" spans="1:3" x14ac:dyDescent="0.25">
      <c r="A941" s="84">
        <v>46126</v>
      </c>
      <c r="B941" s="88" t="s">
        <v>159</v>
      </c>
      <c r="C941" s="88">
        <v>71.990399999999994</v>
      </c>
    </row>
    <row r="942" spans="1:3" x14ac:dyDescent="0.25">
      <c r="A942" s="84">
        <v>46126</v>
      </c>
      <c r="B942" s="88" t="s">
        <v>158</v>
      </c>
      <c r="C942" s="88">
        <v>71.990499999999997</v>
      </c>
    </row>
    <row r="943" spans="1:3" x14ac:dyDescent="0.25">
      <c r="A943" s="84">
        <v>46128</v>
      </c>
      <c r="B943" s="88" t="s">
        <v>188</v>
      </c>
      <c r="C943" s="88">
        <v>61.270800000000001</v>
      </c>
    </row>
    <row r="944" spans="1:3" x14ac:dyDescent="0.25">
      <c r="A944" s="84">
        <v>46128</v>
      </c>
      <c r="B944" s="88" t="s">
        <v>189</v>
      </c>
      <c r="C944" s="88">
        <v>61.257599999999996</v>
      </c>
    </row>
    <row r="945" spans="1:3" x14ac:dyDescent="0.25">
      <c r="A945" s="84">
        <v>46128</v>
      </c>
      <c r="B945" s="88" t="s">
        <v>190</v>
      </c>
      <c r="C945" s="88">
        <v>59.547899999999998</v>
      </c>
    </row>
    <row r="946" spans="1:3" x14ac:dyDescent="0.25">
      <c r="A946" s="84">
        <v>46128</v>
      </c>
      <c r="B946" s="88" t="s">
        <v>191</v>
      </c>
      <c r="C946" s="88">
        <v>61.292999999999999</v>
      </c>
    </row>
    <row r="947" spans="1:3" x14ac:dyDescent="0.25">
      <c r="A947" s="84">
        <v>46128</v>
      </c>
      <c r="B947" s="88" t="s">
        <v>192</v>
      </c>
      <c r="C947" s="88">
        <v>59.296100000000003</v>
      </c>
    </row>
    <row r="948" spans="1:3" x14ac:dyDescent="0.25">
      <c r="A948" s="84">
        <v>46128</v>
      </c>
      <c r="B948" s="88" t="s">
        <v>193</v>
      </c>
      <c r="C948" s="88">
        <v>59.003300000000003</v>
      </c>
    </row>
    <row r="949" spans="1:3" x14ac:dyDescent="0.25">
      <c r="A949" s="84">
        <v>46128</v>
      </c>
      <c r="B949" s="88" t="s">
        <v>194</v>
      </c>
      <c r="C949" s="88">
        <v>57.5608</v>
      </c>
    </row>
    <row r="950" spans="1:3" x14ac:dyDescent="0.25">
      <c r="A950" s="84">
        <v>46129</v>
      </c>
      <c r="B950" s="88" t="s">
        <v>146</v>
      </c>
      <c r="C950" s="88">
        <v>75.94619999999999</v>
      </c>
    </row>
    <row r="951" spans="1:3" x14ac:dyDescent="0.25">
      <c r="A951" s="84">
        <v>46129</v>
      </c>
      <c r="B951" s="88" t="s">
        <v>147</v>
      </c>
      <c r="C951" s="88">
        <v>76.004199999999997</v>
      </c>
    </row>
    <row r="952" spans="1:3" x14ac:dyDescent="0.25">
      <c r="A952" s="84">
        <v>46129</v>
      </c>
      <c r="B952" s="88" t="s">
        <v>170</v>
      </c>
      <c r="C952" s="88">
        <v>76.213399999999993</v>
      </c>
    </row>
    <row r="953" spans="1:3" x14ac:dyDescent="0.25">
      <c r="A953" s="84">
        <v>46129</v>
      </c>
      <c r="B953" s="88" t="s">
        <v>171</v>
      </c>
      <c r="C953" s="88">
        <v>76.208500000000001</v>
      </c>
    </row>
    <row r="954" spans="1:3" x14ac:dyDescent="0.25">
      <c r="A954" s="84">
        <v>46129</v>
      </c>
      <c r="B954" s="88" t="s">
        <v>172</v>
      </c>
      <c r="C954" s="88">
        <v>76.106899999999996</v>
      </c>
    </row>
    <row r="955" spans="1:3" x14ac:dyDescent="0.25">
      <c r="A955" s="84">
        <v>46129</v>
      </c>
      <c r="B955" s="88" t="s">
        <v>173</v>
      </c>
      <c r="C955" s="88">
        <v>76.060099999999991</v>
      </c>
    </row>
    <row r="956" spans="1:3" x14ac:dyDescent="0.25">
      <c r="A956" s="84">
        <v>46129</v>
      </c>
      <c r="B956" s="88" t="s">
        <v>174</v>
      </c>
      <c r="C956" s="88">
        <v>74.897499999999994</v>
      </c>
    </row>
    <row r="957" spans="1:3" x14ac:dyDescent="0.25">
      <c r="A957" s="84">
        <v>46129</v>
      </c>
      <c r="B957" s="88" t="s">
        <v>175</v>
      </c>
      <c r="C957" s="88">
        <v>74.875399999999999</v>
      </c>
    </row>
    <row r="958" spans="1:3" x14ac:dyDescent="0.25">
      <c r="A958" s="84">
        <v>46129</v>
      </c>
      <c r="B958" s="88" t="s">
        <v>176</v>
      </c>
      <c r="C958" s="88">
        <v>72.538499999999999</v>
      </c>
    </row>
    <row r="959" spans="1:3" x14ac:dyDescent="0.25">
      <c r="A959" s="84">
        <v>46129</v>
      </c>
      <c r="B959" s="88" t="s">
        <v>180</v>
      </c>
      <c r="C959" s="88">
        <v>68.525999999999996</v>
      </c>
    </row>
    <row r="960" spans="1:3" x14ac:dyDescent="0.25">
      <c r="A960" s="84">
        <v>46129</v>
      </c>
      <c r="B960" s="88" t="s">
        <v>181</v>
      </c>
      <c r="C960" s="88">
        <v>68.538300000000007</v>
      </c>
    </row>
    <row r="961" spans="1:3" x14ac:dyDescent="0.25">
      <c r="A961" s="84">
        <v>46129</v>
      </c>
      <c r="B961" s="88" t="s">
        <v>182</v>
      </c>
      <c r="C961" s="88">
        <v>65.560100000000006</v>
      </c>
    </row>
    <row r="962" spans="1:3" x14ac:dyDescent="0.25">
      <c r="A962" s="84">
        <v>46129</v>
      </c>
      <c r="B962" s="88" t="s">
        <v>183</v>
      </c>
      <c r="C962" s="88">
        <v>65.61160000000001</v>
      </c>
    </row>
    <row r="963" spans="1:3" x14ac:dyDescent="0.25">
      <c r="A963" s="84">
        <v>46129</v>
      </c>
      <c r="B963" s="88" t="s">
        <v>184</v>
      </c>
      <c r="C963" s="88">
        <v>64.816900000000004</v>
      </c>
    </row>
    <row r="964" spans="1:3" x14ac:dyDescent="0.25">
      <c r="A964" s="84">
        <v>46129</v>
      </c>
      <c r="B964" s="88" t="s">
        <v>166</v>
      </c>
      <c r="C964" s="88">
        <v>71.996200000000002</v>
      </c>
    </row>
    <row r="965" spans="1:3" x14ac:dyDescent="0.25">
      <c r="A965" s="84">
        <v>46129</v>
      </c>
      <c r="B965" s="88" t="s">
        <v>165</v>
      </c>
      <c r="C965" s="88">
        <v>71.966300000000004</v>
      </c>
    </row>
    <row r="966" spans="1:3" x14ac:dyDescent="0.25">
      <c r="A966" s="84">
        <v>46129</v>
      </c>
      <c r="B966" s="88" t="s">
        <v>164</v>
      </c>
      <c r="C966" s="88">
        <v>71.962599999999995</v>
      </c>
    </row>
    <row r="967" spans="1:3" x14ac:dyDescent="0.25">
      <c r="A967" s="84">
        <v>46129</v>
      </c>
      <c r="B967" s="88" t="s">
        <v>163</v>
      </c>
      <c r="C967" s="88">
        <v>71.966499999999996</v>
      </c>
    </row>
    <row r="968" spans="1:3" x14ac:dyDescent="0.25">
      <c r="A968" s="84">
        <v>46129</v>
      </c>
      <c r="B968" s="88" t="s">
        <v>162</v>
      </c>
      <c r="C968" s="88">
        <v>71.960300000000004</v>
      </c>
    </row>
    <row r="969" spans="1:3" x14ac:dyDescent="0.25">
      <c r="A969" s="84">
        <v>46129</v>
      </c>
      <c r="B969" s="88" t="s">
        <v>161</v>
      </c>
      <c r="C969" s="88">
        <v>71.942700000000002</v>
      </c>
    </row>
    <row r="970" spans="1:3" x14ac:dyDescent="0.25">
      <c r="A970" s="84">
        <v>46129</v>
      </c>
      <c r="B970" s="88" t="s">
        <v>160</v>
      </c>
      <c r="C970" s="88">
        <v>71.956500000000005</v>
      </c>
    </row>
    <row r="971" spans="1:3" x14ac:dyDescent="0.25">
      <c r="A971" s="84">
        <v>46129</v>
      </c>
      <c r="B971" s="88" t="s">
        <v>159</v>
      </c>
      <c r="C971" s="88">
        <v>71.990499999999997</v>
      </c>
    </row>
    <row r="972" spans="1:3" x14ac:dyDescent="0.25">
      <c r="A972" s="84">
        <v>46129</v>
      </c>
      <c r="B972" s="88" t="s">
        <v>158</v>
      </c>
      <c r="C972" s="88">
        <v>71.990600000000001</v>
      </c>
    </row>
    <row r="973" spans="1:3" x14ac:dyDescent="0.25">
      <c r="A973" s="84">
        <v>46134</v>
      </c>
      <c r="B973" s="88" t="s">
        <v>95</v>
      </c>
      <c r="C973" s="88">
        <v>73.503199999999993</v>
      </c>
    </row>
    <row r="974" spans="1:3" x14ac:dyDescent="0.25">
      <c r="A974" s="84">
        <v>46134</v>
      </c>
      <c r="B974" s="88" t="s">
        <v>97</v>
      </c>
      <c r="C974" s="88">
        <v>73.4803</v>
      </c>
    </row>
    <row r="975" spans="1:3" x14ac:dyDescent="0.25">
      <c r="A975" s="84">
        <v>46134</v>
      </c>
      <c r="B975" s="88" t="s">
        <v>98</v>
      </c>
      <c r="C975" s="88">
        <v>73.482500000000002</v>
      </c>
    </row>
    <row r="976" spans="1:3" x14ac:dyDescent="0.25">
      <c r="A976" s="84">
        <v>46134</v>
      </c>
      <c r="B976" s="88" t="s">
        <v>99</v>
      </c>
      <c r="C976" s="88">
        <v>73.502799999999993</v>
      </c>
    </row>
    <row r="977" spans="1:3" x14ac:dyDescent="0.25">
      <c r="A977" s="84">
        <v>46134</v>
      </c>
      <c r="B977" s="88" t="s">
        <v>146</v>
      </c>
      <c r="C977" s="88">
        <v>75.946200000000005</v>
      </c>
    </row>
    <row r="978" spans="1:3" x14ac:dyDescent="0.25">
      <c r="A978" s="84">
        <v>46134</v>
      </c>
      <c r="B978" s="88" t="s">
        <v>147</v>
      </c>
      <c r="C978" s="88">
        <v>76.004199999999997</v>
      </c>
    </row>
    <row r="979" spans="1:3" x14ac:dyDescent="0.25">
      <c r="A979" s="84">
        <v>46134</v>
      </c>
      <c r="B979" s="88" t="s">
        <v>170</v>
      </c>
      <c r="C979" s="88">
        <v>76.213499999999996</v>
      </c>
    </row>
    <row r="980" spans="1:3" x14ac:dyDescent="0.25">
      <c r="A980" s="84">
        <v>46134</v>
      </c>
      <c r="B980" s="88" t="s">
        <v>171</v>
      </c>
      <c r="C980" s="88">
        <v>76.208399999999997</v>
      </c>
    </row>
    <row r="981" spans="1:3" x14ac:dyDescent="0.25">
      <c r="A981" s="84">
        <v>46134</v>
      </c>
      <c r="B981" s="88" t="s">
        <v>172</v>
      </c>
      <c r="C981" s="88">
        <v>76.106700000000004</v>
      </c>
    </row>
    <row r="982" spans="1:3" x14ac:dyDescent="0.25">
      <c r="A982" s="84">
        <v>46134</v>
      </c>
      <c r="B982" s="88" t="s">
        <v>173</v>
      </c>
      <c r="C982" s="88">
        <v>76.060199999999995</v>
      </c>
    </row>
    <row r="983" spans="1:3" x14ac:dyDescent="0.25">
      <c r="A983" s="84">
        <v>46134</v>
      </c>
      <c r="B983" s="88" t="s">
        <v>174</v>
      </c>
      <c r="C983" s="88">
        <v>74.897099999999995</v>
      </c>
    </row>
    <row r="984" spans="1:3" x14ac:dyDescent="0.25">
      <c r="A984" s="84">
        <v>46134</v>
      </c>
      <c r="B984" s="88" t="s">
        <v>175</v>
      </c>
      <c r="C984" s="88">
        <v>74.874799999999993</v>
      </c>
    </row>
    <row r="985" spans="1:3" x14ac:dyDescent="0.25">
      <c r="A985" s="84">
        <v>46134</v>
      </c>
      <c r="B985" s="88" t="s">
        <v>176</v>
      </c>
      <c r="C985" s="88">
        <v>72.5381</v>
      </c>
    </row>
    <row r="986" spans="1:3" x14ac:dyDescent="0.25">
      <c r="A986" s="84">
        <v>46134</v>
      </c>
      <c r="B986" s="88" t="s">
        <v>180</v>
      </c>
      <c r="C986" s="88">
        <v>68.525400000000005</v>
      </c>
    </row>
    <row r="987" spans="1:3" x14ac:dyDescent="0.25">
      <c r="A987" s="84">
        <v>46134</v>
      </c>
      <c r="B987" s="88" t="s">
        <v>181</v>
      </c>
      <c r="C987" s="88">
        <v>68.537999999999997</v>
      </c>
    </row>
    <row r="988" spans="1:3" x14ac:dyDescent="0.25">
      <c r="A988" s="84">
        <v>46134</v>
      </c>
      <c r="B988" s="88" t="s">
        <v>182</v>
      </c>
      <c r="C988" s="88">
        <v>65.560100000000006</v>
      </c>
    </row>
    <row r="989" spans="1:3" x14ac:dyDescent="0.25">
      <c r="A989" s="84">
        <v>46134</v>
      </c>
      <c r="B989" s="88" t="s">
        <v>183</v>
      </c>
      <c r="C989" s="88">
        <v>65.611500000000007</v>
      </c>
    </row>
    <row r="990" spans="1:3" x14ac:dyDescent="0.25">
      <c r="A990" s="84">
        <v>46134</v>
      </c>
      <c r="B990" s="88" t="s">
        <v>184</v>
      </c>
      <c r="C990" s="88">
        <v>64.816800000000001</v>
      </c>
    </row>
    <row r="991" spans="1:3" x14ac:dyDescent="0.25">
      <c r="A991" s="84">
        <v>46134</v>
      </c>
      <c r="B991" s="88" t="s">
        <v>169</v>
      </c>
      <c r="C991" s="88">
        <v>72.003699999999995</v>
      </c>
    </row>
    <row r="992" spans="1:3" x14ac:dyDescent="0.25">
      <c r="A992" s="84">
        <v>46134</v>
      </c>
      <c r="B992" s="88" t="s">
        <v>168</v>
      </c>
      <c r="C992" s="88">
        <v>72.001199999999997</v>
      </c>
    </row>
    <row r="993" spans="1:3" x14ac:dyDescent="0.25">
      <c r="A993" s="84">
        <v>46134</v>
      </c>
      <c r="B993" s="88" t="s">
        <v>167</v>
      </c>
      <c r="C993" s="88">
        <v>71.991699999999994</v>
      </c>
    </row>
    <row r="994" spans="1:3" x14ac:dyDescent="0.25">
      <c r="A994" s="84">
        <v>46134</v>
      </c>
      <c r="B994" s="88" t="s">
        <v>166</v>
      </c>
      <c r="C994" s="88">
        <v>71.995900000000006</v>
      </c>
    </row>
    <row r="995" spans="1:3" x14ac:dyDescent="0.25">
      <c r="A995" s="84">
        <v>46134</v>
      </c>
      <c r="B995" s="88" t="s">
        <v>165</v>
      </c>
      <c r="C995" s="88">
        <v>71.966200000000001</v>
      </c>
    </row>
    <row r="996" spans="1:3" x14ac:dyDescent="0.25">
      <c r="A996" s="84">
        <v>46134</v>
      </c>
      <c r="B996" s="88" t="s">
        <v>164</v>
      </c>
      <c r="C996" s="88">
        <v>71.962500000000006</v>
      </c>
    </row>
    <row r="997" spans="1:3" x14ac:dyDescent="0.25">
      <c r="A997" s="84">
        <v>46134</v>
      </c>
      <c r="B997" s="88" t="s">
        <v>163</v>
      </c>
      <c r="C997" s="88">
        <v>71.966300000000004</v>
      </c>
    </row>
    <row r="998" spans="1:3" x14ac:dyDescent="0.25">
      <c r="A998" s="84">
        <v>46134</v>
      </c>
      <c r="B998" s="88" t="s">
        <v>162</v>
      </c>
      <c r="C998" s="88">
        <v>71.959999999999994</v>
      </c>
    </row>
    <row r="999" spans="1:3" x14ac:dyDescent="0.25">
      <c r="A999" s="84">
        <v>46134</v>
      </c>
      <c r="B999" s="88" t="s">
        <v>161</v>
      </c>
      <c r="C999" s="88">
        <v>71.942400000000006</v>
      </c>
    </row>
    <row r="1000" spans="1:3" x14ac:dyDescent="0.25">
      <c r="A1000" s="84">
        <v>46134</v>
      </c>
      <c r="B1000" s="88" t="s">
        <v>160</v>
      </c>
      <c r="C1000" s="88">
        <v>71.956299999999999</v>
      </c>
    </row>
    <row r="1001" spans="1:3" x14ac:dyDescent="0.25">
      <c r="A1001" s="84">
        <v>46134</v>
      </c>
      <c r="B1001" s="88" t="s">
        <v>159</v>
      </c>
      <c r="C1001" s="88">
        <v>71.990300000000005</v>
      </c>
    </row>
    <row r="1002" spans="1:3" x14ac:dyDescent="0.25">
      <c r="A1002" s="84">
        <v>46134</v>
      </c>
      <c r="B1002" s="88" t="s">
        <v>158</v>
      </c>
      <c r="C1002" s="88">
        <v>71.990499999999997</v>
      </c>
    </row>
    <row r="1003" spans="1:3" x14ac:dyDescent="0.25">
      <c r="A1003" s="84">
        <v>46136</v>
      </c>
      <c r="B1003" s="88" t="s">
        <v>95</v>
      </c>
      <c r="C1003" s="88">
        <v>73.503</v>
      </c>
    </row>
    <row r="1004" spans="1:3" x14ac:dyDescent="0.25">
      <c r="A1004" s="84">
        <v>46136</v>
      </c>
      <c r="B1004" s="88" t="s">
        <v>97</v>
      </c>
      <c r="C1004" s="88">
        <v>73.480199999999996</v>
      </c>
    </row>
    <row r="1005" spans="1:3" x14ac:dyDescent="0.25">
      <c r="A1005" s="84">
        <v>46136</v>
      </c>
      <c r="B1005" s="88" t="s">
        <v>98</v>
      </c>
      <c r="C1005" s="88">
        <v>73.482299999999995</v>
      </c>
    </row>
    <row r="1006" spans="1:3" x14ac:dyDescent="0.25">
      <c r="A1006" s="84">
        <v>46136</v>
      </c>
      <c r="B1006" s="88" t="s">
        <v>99</v>
      </c>
      <c r="C1006" s="88">
        <v>73.502200000000002</v>
      </c>
    </row>
    <row r="1007" spans="1:3" x14ac:dyDescent="0.25">
      <c r="A1007" s="84">
        <v>46136</v>
      </c>
      <c r="B1007" s="88" t="s">
        <v>146</v>
      </c>
      <c r="C1007" s="88">
        <v>75.945999999999998</v>
      </c>
    </row>
    <row r="1008" spans="1:3" x14ac:dyDescent="0.25">
      <c r="A1008" s="84">
        <v>46136</v>
      </c>
      <c r="B1008" s="88" t="s">
        <v>147</v>
      </c>
      <c r="C1008" s="88">
        <v>76.004099999999994</v>
      </c>
    </row>
    <row r="1009" spans="1:3" x14ac:dyDescent="0.25">
      <c r="A1009" s="84">
        <v>46136</v>
      </c>
      <c r="B1009" s="88" t="s">
        <v>170</v>
      </c>
      <c r="C1009" s="88">
        <v>76.213099999999997</v>
      </c>
    </row>
    <row r="1010" spans="1:3" x14ac:dyDescent="0.25">
      <c r="A1010" s="84">
        <v>46136</v>
      </c>
      <c r="B1010" s="88" t="s">
        <v>171</v>
      </c>
      <c r="C1010" s="88">
        <v>76.208299999999994</v>
      </c>
    </row>
    <row r="1011" spans="1:3" x14ac:dyDescent="0.25">
      <c r="A1011" s="84">
        <v>46136</v>
      </c>
      <c r="B1011" s="88" t="s">
        <v>172</v>
      </c>
      <c r="C1011" s="88">
        <v>76.1066</v>
      </c>
    </row>
    <row r="1012" spans="1:3" x14ac:dyDescent="0.25">
      <c r="A1012" s="84">
        <v>46136</v>
      </c>
      <c r="B1012" s="88" t="s">
        <v>173</v>
      </c>
      <c r="C1012" s="88">
        <v>76.059899999999999</v>
      </c>
    </row>
    <row r="1013" spans="1:3" x14ac:dyDescent="0.25">
      <c r="A1013" s="84">
        <v>46136</v>
      </c>
      <c r="B1013" s="88" t="s">
        <v>174</v>
      </c>
      <c r="C1013" s="88">
        <v>74.897099999999995</v>
      </c>
    </row>
    <row r="1014" spans="1:3" x14ac:dyDescent="0.25">
      <c r="A1014" s="84">
        <v>46136</v>
      </c>
      <c r="B1014" s="88" t="s">
        <v>175</v>
      </c>
      <c r="C1014" s="88">
        <v>74.874899999999997</v>
      </c>
    </row>
    <row r="1015" spans="1:3" x14ac:dyDescent="0.25">
      <c r="A1015" s="84">
        <v>46136</v>
      </c>
      <c r="B1015" s="88" t="s">
        <v>176</v>
      </c>
      <c r="C1015" s="88">
        <v>72.5381</v>
      </c>
    </row>
    <row r="1016" spans="1:3" x14ac:dyDescent="0.25">
      <c r="A1016" s="84">
        <v>46136</v>
      </c>
      <c r="B1016" s="88" t="s">
        <v>180</v>
      </c>
      <c r="C1016" s="88">
        <v>68.525400000000005</v>
      </c>
    </row>
    <row r="1017" spans="1:3" x14ac:dyDescent="0.25">
      <c r="A1017" s="84">
        <v>46136</v>
      </c>
      <c r="B1017" s="88" t="s">
        <v>181</v>
      </c>
      <c r="C1017" s="88">
        <v>68.537899999999993</v>
      </c>
    </row>
    <row r="1018" spans="1:3" x14ac:dyDescent="0.25">
      <c r="A1018" s="84">
        <v>46136</v>
      </c>
      <c r="B1018" s="88" t="s">
        <v>182</v>
      </c>
      <c r="C1018" s="88">
        <v>65.560500000000005</v>
      </c>
    </row>
    <row r="1019" spans="1:3" x14ac:dyDescent="0.25">
      <c r="A1019" s="84">
        <v>46136</v>
      </c>
      <c r="B1019" s="88" t="s">
        <v>183</v>
      </c>
      <c r="C1019" s="88">
        <v>65.611900000000006</v>
      </c>
    </row>
    <row r="1020" spans="1:3" x14ac:dyDescent="0.25">
      <c r="A1020" s="84">
        <v>46136</v>
      </c>
      <c r="B1020" s="88" t="s">
        <v>184</v>
      </c>
      <c r="C1020" s="88">
        <v>64.817300000000003</v>
      </c>
    </row>
    <row r="1021" spans="1:3" x14ac:dyDescent="0.25">
      <c r="A1021" s="84">
        <v>46136</v>
      </c>
      <c r="B1021" s="88" t="s">
        <v>169</v>
      </c>
      <c r="C1021" s="88">
        <v>72.003600000000006</v>
      </c>
    </row>
    <row r="1022" spans="1:3" x14ac:dyDescent="0.25">
      <c r="A1022" s="84">
        <v>46136</v>
      </c>
      <c r="B1022" s="88" t="s">
        <v>168</v>
      </c>
      <c r="C1022" s="88">
        <v>72.001199999999997</v>
      </c>
    </row>
    <row r="1023" spans="1:3" x14ac:dyDescent="0.25">
      <c r="A1023" s="84">
        <v>46136</v>
      </c>
      <c r="B1023" s="88" t="s">
        <v>167</v>
      </c>
      <c r="C1023" s="88">
        <v>71.991600000000005</v>
      </c>
    </row>
    <row r="1024" spans="1:3" x14ac:dyDescent="0.25">
      <c r="A1024" s="84">
        <v>46136</v>
      </c>
      <c r="B1024" s="88" t="s">
        <v>166</v>
      </c>
      <c r="C1024" s="88">
        <v>71.995699999999999</v>
      </c>
    </row>
    <row r="1025" spans="1:3" x14ac:dyDescent="0.25">
      <c r="A1025" s="84">
        <v>46136</v>
      </c>
      <c r="B1025" s="88" t="s">
        <v>165</v>
      </c>
      <c r="C1025" s="88">
        <v>71.966099999999997</v>
      </c>
    </row>
    <row r="1026" spans="1:3" x14ac:dyDescent="0.25">
      <c r="A1026" s="84">
        <v>46136</v>
      </c>
      <c r="B1026" s="88" t="s">
        <v>164</v>
      </c>
      <c r="C1026" s="88">
        <v>71.962299999999999</v>
      </c>
    </row>
    <row r="1027" spans="1:3" x14ac:dyDescent="0.25">
      <c r="A1027" s="84">
        <v>46136</v>
      </c>
      <c r="B1027" s="88" t="s">
        <v>163</v>
      </c>
      <c r="C1027" s="88">
        <v>71.966200000000001</v>
      </c>
    </row>
    <row r="1028" spans="1:3" x14ac:dyDescent="0.25">
      <c r="A1028" s="84">
        <v>46136</v>
      </c>
      <c r="B1028" s="88" t="s">
        <v>162</v>
      </c>
      <c r="C1028" s="88">
        <v>71.959900000000005</v>
      </c>
    </row>
    <row r="1029" spans="1:3" x14ac:dyDescent="0.25">
      <c r="A1029" s="84">
        <v>46136</v>
      </c>
      <c r="B1029" s="88" t="s">
        <v>161</v>
      </c>
      <c r="C1029" s="88">
        <v>71.942300000000003</v>
      </c>
    </row>
    <row r="1030" spans="1:3" x14ac:dyDescent="0.25">
      <c r="A1030" s="84">
        <v>46136</v>
      </c>
      <c r="B1030" s="88" t="s">
        <v>160</v>
      </c>
      <c r="C1030" s="88">
        <v>71.956199999999995</v>
      </c>
    </row>
    <row r="1031" spans="1:3" x14ac:dyDescent="0.25">
      <c r="A1031" s="84">
        <v>46136</v>
      </c>
      <c r="B1031" s="88" t="s">
        <v>159</v>
      </c>
      <c r="C1031" s="88">
        <v>71.990200000000002</v>
      </c>
    </row>
    <row r="1032" spans="1:3" x14ac:dyDescent="0.25">
      <c r="A1032" s="84">
        <v>46136</v>
      </c>
      <c r="B1032" s="88" t="s">
        <v>158</v>
      </c>
      <c r="C1032" s="88">
        <v>71.990399999999994</v>
      </c>
    </row>
    <row r="1033" spans="1:3" x14ac:dyDescent="0.25">
      <c r="A1033" s="84">
        <v>46140</v>
      </c>
      <c r="B1033" s="88" t="s">
        <v>146</v>
      </c>
      <c r="C1033" s="88">
        <v>75.945599999999999</v>
      </c>
    </row>
    <row r="1034" spans="1:3" x14ac:dyDescent="0.25">
      <c r="A1034" s="84">
        <v>46140</v>
      </c>
      <c r="B1034" s="88" t="s">
        <v>147</v>
      </c>
      <c r="C1034" s="88">
        <v>76.003399999999999</v>
      </c>
    </row>
    <row r="1035" spans="1:3" x14ac:dyDescent="0.25">
      <c r="A1035" s="84">
        <v>46140</v>
      </c>
      <c r="B1035" s="88" t="s">
        <v>170</v>
      </c>
      <c r="C1035" s="88">
        <v>76.212600000000009</v>
      </c>
    </row>
    <row r="1036" spans="1:3" x14ac:dyDescent="0.25">
      <c r="A1036" s="84">
        <v>46140</v>
      </c>
      <c r="B1036" s="88" t="s">
        <v>171</v>
      </c>
      <c r="C1036" s="88">
        <v>76.207800000000006</v>
      </c>
    </row>
    <row r="1037" spans="1:3" x14ac:dyDescent="0.25">
      <c r="A1037" s="84">
        <v>46140</v>
      </c>
      <c r="B1037" s="88" t="s">
        <v>172</v>
      </c>
      <c r="C1037" s="88">
        <v>76.105900000000005</v>
      </c>
    </row>
    <row r="1038" spans="1:3" x14ac:dyDescent="0.25">
      <c r="A1038" s="84">
        <v>46140</v>
      </c>
      <c r="B1038" s="88" t="s">
        <v>173</v>
      </c>
      <c r="C1038" s="88">
        <v>76.0595</v>
      </c>
    </row>
    <row r="1039" spans="1:3" x14ac:dyDescent="0.25">
      <c r="A1039" s="84">
        <v>46140</v>
      </c>
      <c r="B1039" s="88" t="s">
        <v>174</v>
      </c>
      <c r="C1039" s="88">
        <v>74.896799999999999</v>
      </c>
    </row>
    <row r="1040" spans="1:3" x14ac:dyDescent="0.25">
      <c r="A1040" s="84">
        <v>46140</v>
      </c>
      <c r="B1040" s="88" t="s">
        <v>175</v>
      </c>
      <c r="C1040" s="88">
        <v>74.874300000000005</v>
      </c>
    </row>
    <row r="1041" spans="1:3" x14ac:dyDescent="0.25">
      <c r="A1041" s="84">
        <v>46140</v>
      </c>
      <c r="B1041" s="88" t="s">
        <v>176</v>
      </c>
      <c r="C1041" s="88">
        <v>72.537899999999993</v>
      </c>
    </row>
    <row r="1042" spans="1:3" x14ac:dyDescent="0.25">
      <c r="A1042" s="84">
        <v>46140</v>
      </c>
      <c r="B1042" s="88" t="s">
        <v>180</v>
      </c>
      <c r="C1042" s="88">
        <v>68.525199999999998</v>
      </c>
    </row>
    <row r="1043" spans="1:3" x14ac:dyDescent="0.25">
      <c r="A1043" s="84">
        <v>46140</v>
      </c>
      <c r="B1043" s="88" t="s">
        <v>181</v>
      </c>
      <c r="C1043" s="88">
        <v>68.537700000000001</v>
      </c>
    </row>
    <row r="1044" spans="1:3" x14ac:dyDescent="0.25">
      <c r="A1044" s="84">
        <v>46140</v>
      </c>
      <c r="B1044" s="88" t="s">
        <v>182</v>
      </c>
      <c r="C1044" s="88">
        <v>65.560100000000006</v>
      </c>
    </row>
    <row r="1045" spans="1:3" x14ac:dyDescent="0.25">
      <c r="A1045" s="84">
        <v>46140</v>
      </c>
      <c r="B1045" s="88" t="s">
        <v>183</v>
      </c>
      <c r="C1045" s="88">
        <v>65.611500000000007</v>
      </c>
    </row>
    <row r="1046" spans="1:3" x14ac:dyDescent="0.25">
      <c r="A1046" s="84">
        <v>46140</v>
      </c>
      <c r="B1046" s="88" t="s">
        <v>184</v>
      </c>
      <c r="C1046" s="88">
        <v>64.817099999999996</v>
      </c>
    </row>
    <row r="1047" spans="1:3" x14ac:dyDescent="0.25">
      <c r="A1047" s="84">
        <v>46140</v>
      </c>
      <c r="B1047" s="88" t="s">
        <v>188</v>
      </c>
      <c r="C1047" s="88">
        <v>61.271100000000004</v>
      </c>
    </row>
    <row r="1048" spans="1:3" x14ac:dyDescent="0.25">
      <c r="A1048" s="84">
        <v>46140</v>
      </c>
      <c r="B1048" s="88" t="s">
        <v>189</v>
      </c>
      <c r="C1048" s="88">
        <v>61.258000000000003</v>
      </c>
    </row>
    <row r="1049" spans="1:3" x14ac:dyDescent="0.25">
      <c r="A1049" s="84">
        <v>46140</v>
      </c>
      <c r="B1049" s="88" t="s">
        <v>190</v>
      </c>
      <c r="C1049" s="88">
        <v>59.5488</v>
      </c>
    </row>
    <row r="1050" spans="1:3" x14ac:dyDescent="0.25">
      <c r="A1050" s="84">
        <v>46140</v>
      </c>
      <c r="B1050" s="88" t="s">
        <v>191</v>
      </c>
      <c r="C1050" s="88">
        <v>61.293500000000002</v>
      </c>
    </row>
    <row r="1051" spans="1:3" x14ac:dyDescent="0.25">
      <c r="A1051" s="84">
        <v>46140</v>
      </c>
      <c r="B1051" s="88" t="s">
        <v>192</v>
      </c>
      <c r="C1051" s="88">
        <v>59.296399999999998</v>
      </c>
    </row>
    <row r="1052" spans="1:3" x14ac:dyDescent="0.25">
      <c r="A1052" s="84">
        <v>46140</v>
      </c>
      <c r="B1052" s="88" t="s">
        <v>193</v>
      </c>
      <c r="C1052" s="88">
        <v>59.003799999999998</v>
      </c>
    </row>
    <row r="1053" spans="1:3" x14ac:dyDescent="0.25">
      <c r="A1053" s="84">
        <v>46140</v>
      </c>
      <c r="B1053" s="88" t="s">
        <v>194</v>
      </c>
      <c r="C1053" s="88">
        <v>57.561399999999999</v>
      </c>
    </row>
    <row r="1054" spans="1:3" x14ac:dyDescent="0.25">
      <c r="A1054" s="84">
        <v>46140</v>
      </c>
      <c r="B1054" s="88" t="s">
        <v>169</v>
      </c>
      <c r="C1054" s="88">
        <v>72.003500000000003</v>
      </c>
    </row>
    <row r="1055" spans="1:3" x14ac:dyDescent="0.25">
      <c r="A1055" s="84">
        <v>46140</v>
      </c>
      <c r="B1055" s="88" t="s">
        <v>168</v>
      </c>
      <c r="C1055" s="88">
        <v>72.001000000000005</v>
      </c>
    </row>
    <row r="1056" spans="1:3" x14ac:dyDescent="0.25">
      <c r="A1056" s="84">
        <v>46140</v>
      </c>
      <c r="B1056" s="88" t="s">
        <v>167</v>
      </c>
      <c r="C1056" s="88">
        <v>71.991500000000002</v>
      </c>
    </row>
    <row r="1057" spans="1:4" x14ac:dyDescent="0.25">
      <c r="A1057" s="84">
        <v>46140</v>
      </c>
      <c r="B1057" s="88" t="s">
        <v>166</v>
      </c>
      <c r="C1057" s="88">
        <v>71.995800000000003</v>
      </c>
    </row>
    <row r="1058" spans="1:4" x14ac:dyDescent="0.25">
      <c r="A1058" s="84">
        <v>46140</v>
      </c>
      <c r="B1058" s="88" t="s">
        <v>165</v>
      </c>
      <c r="C1058" s="88">
        <v>71.966000000000008</v>
      </c>
    </row>
    <row r="1059" spans="1:4" x14ac:dyDescent="0.25">
      <c r="A1059" s="84">
        <v>46140</v>
      </c>
      <c r="B1059" s="88" t="s">
        <v>164</v>
      </c>
      <c r="C1059" s="88">
        <v>71.962299999999999</v>
      </c>
    </row>
    <row r="1060" spans="1:4" x14ac:dyDescent="0.25">
      <c r="A1060" s="84">
        <v>46140</v>
      </c>
      <c r="B1060" s="88" t="s">
        <v>163</v>
      </c>
      <c r="C1060" s="88">
        <v>71.966000000000008</v>
      </c>
    </row>
    <row r="1061" spans="1:4" x14ac:dyDescent="0.25">
      <c r="A1061" s="84">
        <v>46140</v>
      </c>
      <c r="B1061" s="88" t="s">
        <v>162</v>
      </c>
      <c r="C1061" s="88">
        <v>71.959800000000001</v>
      </c>
    </row>
    <row r="1062" spans="1:4" x14ac:dyDescent="0.25">
      <c r="A1062" s="84">
        <v>46140</v>
      </c>
      <c r="B1062" s="88" t="s">
        <v>161</v>
      </c>
      <c r="C1062" s="88">
        <v>71.942400000000006</v>
      </c>
    </row>
    <row r="1063" spans="1:4" x14ac:dyDescent="0.25">
      <c r="A1063" s="84">
        <v>46140</v>
      </c>
      <c r="B1063" s="88" t="s">
        <v>160</v>
      </c>
      <c r="C1063" s="88">
        <v>71.95620000000001</v>
      </c>
    </row>
    <row r="1064" spans="1:4" x14ac:dyDescent="0.25">
      <c r="A1064" s="84">
        <v>46140</v>
      </c>
      <c r="B1064" s="88" t="s">
        <v>159</v>
      </c>
      <c r="C1064" s="88">
        <v>71.990200000000002</v>
      </c>
    </row>
    <row r="1065" spans="1:4" x14ac:dyDescent="0.25">
      <c r="A1065" s="84">
        <v>46140</v>
      </c>
      <c r="B1065" s="88" t="s">
        <v>158</v>
      </c>
      <c r="C1065" s="88">
        <v>71.990300000000005</v>
      </c>
    </row>
    <row r="1066" spans="1:4" x14ac:dyDescent="0.25">
      <c r="A1066" s="84">
        <v>46142</v>
      </c>
      <c r="B1066" s="88" t="s">
        <v>182</v>
      </c>
      <c r="C1066" s="88">
        <v>65.559600000000003</v>
      </c>
      <c r="D1066" s="88"/>
    </row>
    <row r="1067" spans="1:4" x14ac:dyDescent="0.25">
      <c r="A1067" s="84">
        <v>46142</v>
      </c>
      <c r="B1067" s="88" t="s">
        <v>183</v>
      </c>
      <c r="C1067" s="88">
        <v>65.611000000000004</v>
      </c>
      <c r="D1067" s="88"/>
    </row>
    <row r="1068" spans="1:4" x14ac:dyDescent="0.25">
      <c r="A1068" s="84">
        <v>46142</v>
      </c>
      <c r="B1068" s="88" t="s">
        <v>184</v>
      </c>
      <c r="C1068" s="88">
        <v>64.816699999999997</v>
      </c>
      <c r="D1068" s="88"/>
    </row>
    <row r="1069" spans="1:4" x14ac:dyDescent="0.25">
      <c r="A1069" s="84">
        <v>46142</v>
      </c>
      <c r="B1069" s="88" t="s">
        <v>188</v>
      </c>
      <c r="C1069" s="88">
        <v>61.271500000000003</v>
      </c>
      <c r="D1069" s="88"/>
    </row>
    <row r="1070" spans="1:4" x14ac:dyDescent="0.25">
      <c r="A1070" s="84">
        <v>46142</v>
      </c>
      <c r="B1070" s="88" t="s">
        <v>189</v>
      </c>
      <c r="C1070" s="88">
        <v>61.258299999999998</v>
      </c>
      <c r="D1070" s="88"/>
    </row>
    <row r="1071" spans="1:4" x14ac:dyDescent="0.25">
      <c r="A1071" s="84">
        <v>46142</v>
      </c>
      <c r="B1071" s="88" t="s">
        <v>190</v>
      </c>
      <c r="C1071" s="88">
        <v>59.548500000000004</v>
      </c>
      <c r="D1071" s="88"/>
    </row>
    <row r="1072" spans="1:4" x14ac:dyDescent="0.25">
      <c r="A1072" s="84">
        <v>46142</v>
      </c>
      <c r="B1072" s="88" t="s">
        <v>191</v>
      </c>
      <c r="C1072" s="88">
        <v>61.293300000000002</v>
      </c>
      <c r="D1072" s="88"/>
    </row>
    <row r="1073" spans="1:4" x14ac:dyDescent="0.25">
      <c r="A1073" s="84">
        <v>46142</v>
      </c>
      <c r="B1073" s="88" t="s">
        <v>192</v>
      </c>
      <c r="C1073" s="88">
        <v>59.296600000000005</v>
      </c>
      <c r="D1073" s="88"/>
    </row>
    <row r="1074" spans="1:4" x14ac:dyDescent="0.25">
      <c r="A1074" s="84">
        <v>46142</v>
      </c>
      <c r="B1074" s="88" t="s">
        <v>193</v>
      </c>
      <c r="C1074" s="88">
        <v>59.004100000000001</v>
      </c>
      <c r="D1074" s="88"/>
    </row>
    <row r="1075" spans="1:4" x14ac:dyDescent="0.25">
      <c r="A1075" s="84">
        <v>46142</v>
      </c>
      <c r="B1075" s="88" t="s">
        <v>194</v>
      </c>
      <c r="C1075" s="88">
        <v>57.561800000000005</v>
      </c>
      <c r="D1075" s="88"/>
    </row>
    <row r="1076" spans="1:4" x14ac:dyDescent="0.25">
      <c r="A1076" s="84">
        <v>46147</v>
      </c>
      <c r="B1076" s="88" t="s">
        <v>176</v>
      </c>
      <c r="C1076" s="88">
        <v>72.538399999999996</v>
      </c>
    </row>
    <row r="1077" spans="1:4" x14ac:dyDescent="0.25">
      <c r="A1077" s="84">
        <v>46147</v>
      </c>
      <c r="B1077" s="88" t="s">
        <v>180</v>
      </c>
      <c r="C1077" s="88">
        <v>68.524799999999999</v>
      </c>
    </row>
    <row r="1078" spans="1:4" x14ac:dyDescent="0.25">
      <c r="A1078" s="84">
        <v>46147</v>
      </c>
      <c r="B1078" s="88" t="s">
        <v>181</v>
      </c>
      <c r="C1078" s="88">
        <v>68.537800000000004</v>
      </c>
    </row>
    <row r="1079" spans="1:4" x14ac:dyDescent="0.25">
      <c r="A1079" s="105">
        <v>46147</v>
      </c>
      <c r="B1079" s="106" t="s">
        <v>188</v>
      </c>
      <c r="C1079" s="106">
        <v>61.271500000000003</v>
      </c>
      <c r="D1079" s="104"/>
    </row>
    <row r="1080" spans="1:4" x14ac:dyDescent="0.25">
      <c r="A1080" s="105">
        <v>46147</v>
      </c>
      <c r="B1080" s="106" t="s">
        <v>189</v>
      </c>
      <c r="C1080" s="106">
        <v>61.258200000000002</v>
      </c>
      <c r="D1080" s="104"/>
    </row>
    <row r="1081" spans="1:4" x14ac:dyDescent="0.25">
      <c r="A1081" s="105">
        <v>46147</v>
      </c>
      <c r="B1081" s="106" t="s">
        <v>190</v>
      </c>
      <c r="C1081" s="106">
        <v>59.547600000000003</v>
      </c>
      <c r="D1081" s="104"/>
    </row>
    <row r="1082" spans="1:4" x14ac:dyDescent="0.25">
      <c r="A1082" s="105">
        <v>46147</v>
      </c>
      <c r="B1082" s="106" t="s">
        <v>191</v>
      </c>
      <c r="C1082" s="106">
        <v>61.293100000000003</v>
      </c>
      <c r="D1082" s="104"/>
    </row>
    <row r="1083" spans="1:4" x14ac:dyDescent="0.25">
      <c r="A1083" s="105">
        <v>46147</v>
      </c>
      <c r="B1083" s="106" t="s">
        <v>192</v>
      </c>
      <c r="C1083" s="106">
        <v>59.2958</v>
      </c>
      <c r="D1083" s="104"/>
    </row>
    <row r="1084" spans="1:4" x14ac:dyDescent="0.25">
      <c r="A1084" s="105">
        <v>46147</v>
      </c>
      <c r="B1084" s="106" t="s">
        <v>193</v>
      </c>
      <c r="C1084" s="106">
        <v>59.0032</v>
      </c>
      <c r="D1084" s="104"/>
    </row>
    <row r="1085" spans="1:4" x14ac:dyDescent="0.25">
      <c r="A1085" s="105">
        <v>46147</v>
      </c>
      <c r="B1085" s="106" t="s">
        <v>194</v>
      </c>
      <c r="C1085" s="106">
        <v>57.560499999999998</v>
      </c>
      <c r="D1085" s="104"/>
    </row>
    <row r="1086" spans="1:4" x14ac:dyDescent="0.25">
      <c r="A1086" s="84">
        <v>46147</v>
      </c>
      <c r="B1086" s="88" t="s">
        <v>169</v>
      </c>
      <c r="C1086" s="88">
        <v>72.003</v>
      </c>
      <c r="D1086" s="104"/>
    </row>
    <row r="1087" spans="1:4" x14ac:dyDescent="0.25">
      <c r="A1087" s="84">
        <v>46147</v>
      </c>
      <c r="B1087" s="88" t="s">
        <v>168</v>
      </c>
      <c r="C1087" s="88">
        <v>72.000600000000006</v>
      </c>
      <c r="D1087" s="104"/>
    </row>
    <row r="1088" spans="1:4" x14ac:dyDescent="0.25">
      <c r="A1088" s="84">
        <v>46147</v>
      </c>
      <c r="B1088" s="88" t="s">
        <v>167</v>
      </c>
      <c r="C1088" s="88">
        <v>71.991200000000006</v>
      </c>
      <c r="D1088" s="104"/>
    </row>
    <row r="1089" spans="1:4" x14ac:dyDescent="0.25">
      <c r="A1089" s="84">
        <v>46147</v>
      </c>
      <c r="B1089" s="88" t="s">
        <v>166</v>
      </c>
      <c r="C1089" s="88">
        <v>71.995400000000004</v>
      </c>
      <c r="D1089" s="104"/>
    </row>
    <row r="1090" spans="1:4" x14ac:dyDescent="0.25">
      <c r="A1090" s="84">
        <v>46147</v>
      </c>
      <c r="B1090" s="88" t="s">
        <v>165</v>
      </c>
      <c r="C1090" s="88">
        <v>71.965699999999998</v>
      </c>
      <c r="D1090" s="104"/>
    </row>
    <row r="1091" spans="1:4" x14ac:dyDescent="0.25">
      <c r="A1091" s="84">
        <v>46147</v>
      </c>
      <c r="B1091" s="88" t="s">
        <v>164</v>
      </c>
      <c r="C1091" s="88">
        <v>71.962000000000003</v>
      </c>
      <c r="D1091" s="104"/>
    </row>
    <row r="1092" spans="1:4" x14ac:dyDescent="0.25">
      <c r="A1092" s="84">
        <v>46147</v>
      </c>
      <c r="B1092" s="88" t="s">
        <v>163</v>
      </c>
      <c r="C1092" s="88">
        <v>71.965500000000006</v>
      </c>
      <c r="D1092" s="104"/>
    </row>
    <row r="1093" spans="1:4" x14ac:dyDescent="0.25">
      <c r="A1093" s="84">
        <v>46147</v>
      </c>
      <c r="B1093" s="88" t="s">
        <v>162</v>
      </c>
      <c r="C1093" s="88">
        <v>71.959299999999999</v>
      </c>
      <c r="D1093" s="104"/>
    </row>
    <row r="1094" spans="1:4" x14ac:dyDescent="0.25">
      <c r="A1094" s="84">
        <v>46147</v>
      </c>
      <c r="B1094" s="88" t="s">
        <v>161</v>
      </c>
      <c r="C1094" s="88">
        <v>71.941900000000004</v>
      </c>
      <c r="D1094" s="104"/>
    </row>
    <row r="1095" spans="1:4" x14ac:dyDescent="0.25">
      <c r="A1095" s="84">
        <v>46147</v>
      </c>
      <c r="B1095" s="88" t="s">
        <v>160</v>
      </c>
      <c r="C1095" s="88">
        <v>71.955699999999993</v>
      </c>
      <c r="D1095" s="104"/>
    </row>
    <row r="1096" spans="1:4" x14ac:dyDescent="0.25">
      <c r="A1096" s="84">
        <v>46147</v>
      </c>
      <c r="B1096" s="88" t="s">
        <v>159</v>
      </c>
      <c r="C1096" s="88">
        <v>71.989599999999996</v>
      </c>
      <c r="D1096" s="104"/>
    </row>
    <row r="1097" spans="1:4" x14ac:dyDescent="0.25">
      <c r="A1097" s="84">
        <v>46147</v>
      </c>
      <c r="B1097" s="88" t="s">
        <v>158</v>
      </c>
      <c r="C1097" s="88">
        <v>71.989900000000006</v>
      </c>
      <c r="D1097" s="104"/>
    </row>
    <row r="1098" spans="1:4" x14ac:dyDescent="0.25">
      <c r="A1098" s="105">
        <v>46148</v>
      </c>
      <c r="B1098" s="88" t="s">
        <v>195</v>
      </c>
      <c r="C1098" s="88">
        <v>58.353499999999997</v>
      </c>
    </row>
    <row r="1099" spans="1:4" x14ac:dyDescent="0.25">
      <c r="A1099" s="105">
        <v>46148</v>
      </c>
      <c r="B1099" s="88" t="s">
        <v>196</v>
      </c>
      <c r="C1099" s="88">
        <v>58.250900000000001</v>
      </c>
    </row>
    <row r="1100" spans="1:4" x14ac:dyDescent="0.25">
      <c r="A1100" s="105">
        <v>46148</v>
      </c>
      <c r="B1100" s="88" t="s">
        <v>197</v>
      </c>
      <c r="C1100" s="88">
        <v>57.623600000000003</v>
      </c>
    </row>
    <row r="1101" spans="1:4" x14ac:dyDescent="0.25">
      <c r="A1101" s="105">
        <v>46148</v>
      </c>
      <c r="B1101" s="88" t="s">
        <v>198</v>
      </c>
      <c r="C1101" s="88">
        <v>57.277900000000002</v>
      </c>
    </row>
    <row r="1102" spans="1:4" x14ac:dyDescent="0.25">
      <c r="A1102" s="105">
        <v>46154</v>
      </c>
      <c r="B1102" s="88" t="s">
        <v>192</v>
      </c>
      <c r="C1102" s="88">
        <v>59.296999999999997</v>
      </c>
      <c r="D1102" s="104"/>
    </row>
    <row r="1103" spans="1:4" x14ac:dyDescent="0.25">
      <c r="A1103" s="105">
        <v>46154</v>
      </c>
      <c r="B1103" s="88" t="s">
        <v>193</v>
      </c>
      <c r="C1103" s="88">
        <v>59.004399999999997</v>
      </c>
      <c r="D1103" s="104"/>
    </row>
    <row r="1104" spans="1:4" x14ac:dyDescent="0.25">
      <c r="A1104" s="105">
        <v>46154</v>
      </c>
      <c r="B1104" s="88" t="s">
        <v>194</v>
      </c>
      <c r="C1104" s="88">
        <v>57.561500000000002</v>
      </c>
      <c r="D1104" s="104"/>
    </row>
    <row r="1105" spans="1:4" x14ac:dyDescent="0.25">
      <c r="A1105" s="105">
        <v>46154</v>
      </c>
      <c r="B1105" s="88" t="s">
        <v>195</v>
      </c>
      <c r="C1105" s="88">
        <v>58.353900000000003</v>
      </c>
      <c r="D1105" s="104"/>
    </row>
    <row r="1106" spans="1:4" x14ac:dyDescent="0.25">
      <c r="A1106" s="105">
        <v>46154</v>
      </c>
      <c r="B1106" s="88" t="s">
        <v>196</v>
      </c>
      <c r="C1106" s="88">
        <v>58.250799999999998</v>
      </c>
      <c r="D1106" s="104"/>
    </row>
    <row r="1107" spans="1:4" x14ac:dyDescent="0.25">
      <c r="A1107" s="105">
        <v>46154</v>
      </c>
      <c r="B1107" s="88" t="s">
        <v>197</v>
      </c>
      <c r="C1107" s="88">
        <v>57.624200000000002</v>
      </c>
      <c r="D1107" s="104"/>
    </row>
    <row r="1108" spans="1:4" x14ac:dyDescent="0.25">
      <c r="A1108" s="105">
        <v>46154</v>
      </c>
      <c r="B1108" s="88" t="s">
        <v>198</v>
      </c>
      <c r="C1108" s="88">
        <v>57.278399999999998</v>
      </c>
      <c r="D1108" s="104"/>
    </row>
    <row r="1109" spans="1:4" x14ac:dyDescent="0.25">
      <c r="A1109" s="105">
        <v>46155</v>
      </c>
      <c r="B1109" s="88" t="s">
        <v>182</v>
      </c>
      <c r="C1109" s="88">
        <v>65.559399999999997</v>
      </c>
      <c r="D1109" s="104"/>
    </row>
    <row r="1110" spans="1:4" x14ac:dyDescent="0.25">
      <c r="A1110" s="105">
        <v>46155</v>
      </c>
      <c r="B1110" s="88" t="s">
        <v>183</v>
      </c>
      <c r="C1110" s="88">
        <v>65.611000000000004</v>
      </c>
      <c r="D1110" s="104"/>
    </row>
    <row r="1111" spans="1:4" x14ac:dyDescent="0.25">
      <c r="A1111" s="105">
        <v>46155</v>
      </c>
      <c r="B1111" s="88" t="s">
        <v>184</v>
      </c>
      <c r="C1111" s="88">
        <v>64.816000000000003</v>
      </c>
      <c r="D1111" s="104"/>
    </row>
    <row r="1112" spans="1:4" x14ac:dyDescent="0.25">
      <c r="A1112" s="105">
        <v>46155</v>
      </c>
      <c r="B1112" s="88" t="s">
        <v>195</v>
      </c>
      <c r="C1112" s="88">
        <v>58.353900000000003</v>
      </c>
      <c r="D1112" s="104"/>
    </row>
    <row r="1113" spans="1:4" x14ac:dyDescent="0.25">
      <c r="A1113" s="105">
        <v>46155</v>
      </c>
      <c r="B1113" s="88" t="s">
        <v>196</v>
      </c>
      <c r="C1113" s="88">
        <v>58.251100000000001</v>
      </c>
      <c r="D1113" s="104"/>
    </row>
    <row r="1114" spans="1:4" x14ac:dyDescent="0.25">
      <c r="A1114" s="105">
        <v>46155</v>
      </c>
      <c r="B1114" s="88" t="s">
        <v>197</v>
      </c>
      <c r="C1114" s="88">
        <v>57.624000000000002</v>
      </c>
      <c r="D1114" s="104"/>
    </row>
    <row r="1115" spans="1:4" x14ac:dyDescent="0.25">
      <c r="A1115" s="105">
        <v>46155</v>
      </c>
      <c r="B1115" s="88" t="s">
        <v>198</v>
      </c>
      <c r="C1115" s="88">
        <v>57.278500000000001</v>
      </c>
      <c r="D1115" s="104"/>
    </row>
    <row r="1116" spans="1:4" x14ac:dyDescent="0.25">
      <c r="A1116" s="105">
        <v>46156</v>
      </c>
      <c r="B1116" s="88" t="s">
        <v>188</v>
      </c>
      <c r="C1116" s="88">
        <v>61.270600000000002</v>
      </c>
      <c r="D1116" s="104"/>
    </row>
    <row r="1117" spans="1:4" x14ac:dyDescent="0.25">
      <c r="A1117" s="105">
        <v>46156</v>
      </c>
      <c r="B1117" s="88" t="s">
        <v>189</v>
      </c>
      <c r="C1117" s="88">
        <v>61.2575</v>
      </c>
      <c r="D1117" s="104"/>
    </row>
    <row r="1118" spans="1:4" x14ac:dyDescent="0.25">
      <c r="A1118" s="105">
        <v>46156</v>
      </c>
      <c r="B1118" s="88" t="s">
        <v>192</v>
      </c>
      <c r="C1118" s="88">
        <v>59.297499999999999</v>
      </c>
      <c r="D1118" s="104"/>
    </row>
    <row r="1119" spans="1:4" x14ac:dyDescent="0.25">
      <c r="A1119" s="105">
        <v>46156</v>
      </c>
      <c r="B1119" s="88" t="s">
        <v>193</v>
      </c>
      <c r="C1119" s="88">
        <v>59.005099999999999</v>
      </c>
      <c r="D1119" s="104"/>
    </row>
    <row r="1120" spans="1:4" x14ac:dyDescent="0.25">
      <c r="A1120" s="105">
        <v>46156</v>
      </c>
      <c r="B1120" s="88" t="s">
        <v>194</v>
      </c>
      <c r="C1120" s="88">
        <v>57.561300000000003</v>
      </c>
      <c r="D1120" s="104"/>
    </row>
    <row r="1121" spans="1:4" x14ac:dyDescent="0.25">
      <c r="A1121" s="105">
        <v>46156</v>
      </c>
      <c r="B1121" s="88" t="s">
        <v>195</v>
      </c>
      <c r="C1121" s="88">
        <v>58.3538</v>
      </c>
      <c r="D1121" s="104"/>
    </row>
    <row r="1122" spans="1:4" x14ac:dyDescent="0.25">
      <c r="A1122" s="105">
        <v>46156</v>
      </c>
      <c r="B1122" s="88" t="s">
        <v>196</v>
      </c>
      <c r="C1122" s="88">
        <v>58.250700000000002</v>
      </c>
      <c r="D1122" s="104"/>
    </row>
    <row r="1123" spans="1:4" x14ac:dyDescent="0.25">
      <c r="A1123" s="105">
        <v>46156</v>
      </c>
      <c r="B1123" s="88" t="s">
        <v>197</v>
      </c>
      <c r="C1123" s="88">
        <v>57.624000000000002</v>
      </c>
      <c r="D1123" s="104"/>
    </row>
    <row r="1124" spans="1:4" x14ac:dyDescent="0.25">
      <c r="A1124" s="105">
        <v>46156</v>
      </c>
      <c r="B1124" s="88" t="s">
        <v>198</v>
      </c>
      <c r="C1124" s="88">
        <v>57.278399999999998</v>
      </c>
      <c r="D1124" s="104"/>
    </row>
    <row r="1125" spans="1:4" x14ac:dyDescent="0.25">
      <c r="A1125" s="105">
        <v>46161</v>
      </c>
      <c r="B1125" s="88" t="s">
        <v>188</v>
      </c>
      <c r="C1125" s="88">
        <v>61.27</v>
      </c>
    </row>
    <row r="1126" spans="1:4" x14ac:dyDescent="0.25">
      <c r="A1126" s="105">
        <v>46161</v>
      </c>
      <c r="B1126" s="88" t="s">
        <v>189</v>
      </c>
      <c r="C1126" s="88">
        <v>61.256900000000002</v>
      </c>
    </row>
    <row r="1127" spans="1:4" x14ac:dyDescent="0.25">
      <c r="A1127" s="105">
        <v>46161</v>
      </c>
      <c r="B1127" s="88" t="s">
        <v>190</v>
      </c>
      <c r="C1127" s="88">
        <v>59.546900000000001</v>
      </c>
    </row>
    <row r="1128" spans="1:4" x14ac:dyDescent="0.25">
      <c r="A1128" s="105">
        <v>46161</v>
      </c>
      <c r="B1128" s="88" t="s">
        <v>191</v>
      </c>
      <c r="C1128" s="88">
        <v>61.293000000000006</v>
      </c>
    </row>
    <row r="1129" spans="1:4" x14ac:dyDescent="0.25">
      <c r="A1129" s="105">
        <v>46161</v>
      </c>
      <c r="B1129" s="88" t="s">
        <v>192</v>
      </c>
      <c r="C1129" s="88">
        <v>59.296799999999998</v>
      </c>
    </row>
    <row r="1130" spans="1:4" x14ac:dyDescent="0.25">
      <c r="A1130" s="105">
        <v>46161</v>
      </c>
      <c r="B1130" s="88" t="s">
        <v>193</v>
      </c>
      <c r="C1130" s="88">
        <v>59.0047</v>
      </c>
    </row>
    <row r="1131" spans="1:4" x14ac:dyDescent="0.25">
      <c r="A1131" s="105">
        <v>46161</v>
      </c>
      <c r="B1131" s="88" t="s">
        <v>194</v>
      </c>
      <c r="C1131" s="88">
        <v>57.5608</v>
      </c>
    </row>
    <row r="1132" spans="1:4" x14ac:dyDescent="0.25">
      <c r="A1132" s="105">
        <v>46161</v>
      </c>
      <c r="B1132" s="88" t="s">
        <v>195</v>
      </c>
      <c r="C1132" s="88">
        <v>58.3538</v>
      </c>
    </row>
    <row r="1133" spans="1:4" x14ac:dyDescent="0.25">
      <c r="A1133" s="105">
        <v>46161</v>
      </c>
      <c r="B1133" s="88" t="s">
        <v>196</v>
      </c>
      <c r="C1133" s="88">
        <v>58.250599999999999</v>
      </c>
    </row>
    <row r="1134" spans="1:4" x14ac:dyDescent="0.25">
      <c r="A1134" s="105">
        <v>46161</v>
      </c>
      <c r="B1134" s="88" t="s">
        <v>197</v>
      </c>
      <c r="C1134" s="88">
        <v>57.623800000000003</v>
      </c>
    </row>
    <row r="1135" spans="1:4" x14ac:dyDescent="0.25">
      <c r="A1135" s="105">
        <v>46161</v>
      </c>
      <c r="B1135" s="88" t="s">
        <v>198</v>
      </c>
      <c r="C1135" s="88">
        <v>57.278199999999998</v>
      </c>
    </row>
    <row r="1136" spans="1:4" x14ac:dyDescent="0.25">
      <c r="A1136" s="105">
        <v>46162</v>
      </c>
      <c r="B1136" s="88" t="s">
        <v>192</v>
      </c>
      <c r="C1136" s="88">
        <v>59.2958</v>
      </c>
      <c r="D1136" s="104"/>
    </row>
    <row r="1137" spans="1:4" x14ac:dyDescent="0.25">
      <c r="A1137" s="105">
        <v>46162</v>
      </c>
      <c r="B1137" s="88" t="s">
        <v>193</v>
      </c>
      <c r="C1137" s="88">
        <v>59.003599999999999</v>
      </c>
      <c r="D1137" s="104"/>
    </row>
    <row r="1138" spans="1:4" x14ac:dyDescent="0.25">
      <c r="A1138" s="105">
        <v>46162</v>
      </c>
      <c r="B1138" s="88" t="s">
        <v>194</v>
      </c>
      <c r="C1138" s="88">
        <v>57.560600000000001</v>
      </c>
      <c r="D1138" s="104"/>
    </row>
    <row r="1139" spans="1:4" x14ac:dyDescent="0.25">
      <c r="A1139" s="105">
        <v>46162</v>
      </c>
      <c r="B1139" s="88" t="s">
        <v>195</v>
      </c>
      <c r="C1139" s="88">
        <v>58.3538</v>
      </c>
      <c r="D1139" s="104"/>
    </row>
    <row r="1140" spans="1:4" x14ac:dyDescent="0.25">
      <c r="A1140" s="105">
        <v>46162</v>
      </c>
      <c r="B1140" s="88" t="s">
        <v>196</v>
      </c>
      <c r="C1140" s="88">
        <v>58.250799999999998</v>
      </c>
      <c r="D1140" s="104"/>
    </row>
    <row r="1141" spans="1:4" x14ac:dyDescent="0.25">
      <c r="A1141" s="105">
        <v>46162</v>
      </c>
      <c r="B1141" s="88" t="s">
        <v>197</v>
      </c>
      <c r="C1141" s="88">
        <v>57.6233</v>
      </c>
      <c r="D1141" s="104"/>
    </row>
    <row r="1142" spans="1:4" x14ac:dyDescent="0.25">
      <c r="A1142" s="105">
        <v>46162</v>
      </c>
      <c r="B1142" s="88" t="s">
        <v>198</v>
      </c>
      <c r="C1142" s="88">
        <v>57.278100000000002</v>
      </c>
      <c r="D1142" s="104"/>
    </row>
    <row r="1143" spans="1:4" x14ac:dyDescent="0.25">
      <c r="A1143" s="105">
        <v>46163</v>
      </c>
      <c r="B1143" s="88" t="s">
        <v>182</v>
      </c>
      <c r="C1143" s="88">
        <v>65.558199999999999</v>
      </c>
      <c r="D1143" s="104"/>
    </row>
    <row r="1144" spans="1:4" x14ac:dyDescent="0.25">
      <c r="A1144" s="105">
        <v>46163</v>
      </c>
      <c r="B1144" s="88" t="s">
        <v>183</v>
      </c>
      <c r="C1144" s="88">
        <v>65.610199999999992</v>
      </c>
      <c r="D1144" s="104"/>
    </row>
    <row r="1145" spans="1:4" x14ac:dyDescent="0.25">
      <c r="A1145" s="105">
        <v>46163</v>
      </c>
      <c r="B1145" s="88" t="s">
        <v>184</v>
      </c>
      <c r="C1145" s="88">
        <v>64.814999999999998</v>
      </c>
      <c r="D1145" s="104"/>
    </row>
    <row r="1146" spans="1:4" x14ac:dyDescent="0.25">
      <c r="A1146" s="105">
        <v>46163</v>
      </c>
      <c r="B1146" s="88" t="s">
        <v>188</v>
      </c>
      <c r="C1146" s="88">
        <v>61.270699999999998</v>
      </c>
      <c r="D1146" s="104"/>
    </row>
    <row r="1147" spans="1:4" x14ac:dyDescent="0.25">
      <c r="A1147" s="105">
        <v>46163</v>
      </c>
      <c r="B1147" s="88" t="s">
        <v>189</v>
      </c>
      <c r="C1147" s="88">
        <v>61.2575</v>
      </c>
      <c r="D1147" s="104"/>
    </row>
    <row r="1148" spans="1:4" x14ac:dyDescent="0.25">
      <c r="A1148" s="105">
        <v>46163</v>
      </c>
      <c r="B1148" s="88" t="s">
        <v>190</v>
      </c>
      <c r="C1148" s="88">
        <v>59.548099999999998</v>
      </c>
      <c r="D1148" s="104"/>
    </row>
    <row r="1149" spans="1:4" x14ac:dyDescent="0.25">
      <c r="A1149" s="105">
        <v>46163</v>
      </c>
      <c r="B1149" s="88" t="s">
        <v>191</v>
      </c>
      <c r="C1149" s="88">
        <v>61.293199999999999</v>
      </c>
      <c r="D1149" s="104"/>
    </row>
    <row r="1150" spans="1:4" x14ac:dyDescent="0.25">
      <c r="A1150" s="105">
        <v>46163</v>
      </c>
      <c r="B1150" s="88" t="s">
        <v>192</v>
      </c>
      <c r="C1150" s="88">
        <v>59.295699999999997</v>
      </c>
      <c r="D1150" s="104"/>
    </row>
    <row r="1151" spans="1:4" x14ac:dyDescent="0.25">
      <c r="A1151" s="105">
        <v>46163</v>
      </c>
      <c r="B1151" s="88" t="s">
        <v>193</v>
      </c>
      <c r="C1151" s="88">
        <v>59.003500000000003</v>
      </c>
      <c r="D1151" s="104"/>
    </row>
    <row r="1152" spans="1:4" x14ac:dyDescent="0.25">
      <c r="A1152" s="105">
        <v>46163</v>
      </c>
      <c r="B1152" s="88" t="s">
        <v>194</v>
      </c>
      <c r="C1152" s="88">
        <v>57.560299999999998</v>
      </c>
      <c r="D1152" s="104"/>
    </row>
    <row r="1153" spans="1:4" x14ac:dyDescent="0.25">
      <c r="A1153" s="105">
        <v>46163</v>
      </c>
      <c r="B1153" s="88" t="s">
        <v>195</v>
      </c>
      <c r="C1153" s="88">
        <v>58.353700000000003</v>
      </c>
      <c r="D1153" s="104"/>
    </row>
    <row r="1154" spans="1:4" x14ac:dyDescent="0.25">
      <c r="A1154" s="105">
        <v>46163</v>
      </c>
      <c r="B1154" s="88" t="s">
        <v>196</v>
      </c>
      <c r="C1154" s="88">
        <v>58.250599999999999</v>
      </c>
      <c r="D1154" s="104"/>
    </row>
    <row r="1155" spans="1:4" x14ac:dyDescent="0.25">
      <c r="A1155" s="105">
        <v>46163</v>
      </c>
      <c r="B1155" s="88" t="s">
        <v>197</v>
      </c>
      <c r="C1155" s="88">
        <v>57.6235</v>
      </c>
      <c r="D1155" s="104"/>
    </row>
    <row r="1156" spans="1:4" x14ac:dyDescent="0.25">
      <c r="A1156" s="105">
        <v>46163</v>
      </c>
      <c r="B1156" s="88" t="s">
        <v>198</v>
      </c>
      <c r="C1156" s="88">
        <v>57.278199999999998</v>
      </c>
      <c r="D1156" s="104"/>
    </row>
    <row r="1157" spans="1:4" x14ac:dyDescent="0.25">
      <c r="A1157" s="105">
        <v>46168</v>
      </c>
      <c r="B1157" s="88" t="s">
        <v>192</v>
      </c>
      <c r="C1157" s="88">
        <v>59.295299999999997</v>
      </c>
    </row>
    <row r="1158" spans="1:4" x14ac:dyDescent="0.25">
      <c r="A1158" s="105">
        <v>46168</v>
      </c>
      <c r="B1158" s="88" t="s">
        <v>193</v>
      </c>
      <c r="C1158" s="88">
        <v>59.003100000000003</v>
      </c>
    </row>
    <row r="1159" spans="1:4" x14ac:dyDescent="0.25">
      <c r="A1159" s="105">
        <v>46168</v>
      </c>
      <c r="B1159" s="88" t="s">
        <v>194</v>
      </c>
      <c r="C1159" s="88">
        <v>57.560099999999998</v>
      </c>
    </row>
    <row r="1160" spans="1:4" x14ac:dyDescent="0.25">
      <c r="A1160" s="105">
        <v>46168</v>
      </c>
      <c r="B1160" s="88" t="s">
        <v>195</v>
      </c>
      <c r="C1160" s="88">
        <v>58.353299999999997</v>
      </c>
    </row>
    <row r="1161" spans="1:4" x14ac:dyDescent="0.25">
      <c r="A1161" s="105">
        <v>46168</v>
      </c>
      <c r="B1161" s="88" t="s">
        <v>196</v>
      </c>
      <c r="C1161" s="88">
        <v>58.250300000000003</v>
      </c>
    </row>
    <row r="1162" spans="1:4" x14ac:dyDescent="0.25">
      <c r="A1162" s="105">
        <v>46168</v>
      </c>
      <c r="B1162" s="88" t="s">
        <v>197</v>
      </c>
      <c r="C1162" s="88">
        <v>57.623100000000001</v>
      </c>
    </row>
    <row r="1163" spans="1:4" x14ac:dyDescent="0.25">
      <c r="A1163" s="105">
        <v>46168</v>
      </c>
      <c r="B1163" s="88" t="s">
        <v>198</v>
      </c>
      <c r="C1163" s="88">
        <v>57.277700000000003</v>
      </c>
    </row>
    <row r="1164" spans="1:4" x14ac:dyDescent="0.25">
      <c r="A1164" s="105">
        <v>46169</v>
      </c>
      <c r="B1164" t="s">
        <v>192</v>
      </c>
      <c r="C1164">
        <v>59.295099999999998</v>
      </c>
    </row>
    <row r="1165" spans="1:4" x14ac:dyDescent="0.25">
      <c r="A1165" s="105">
        <v>46169</v>
      </c>
      <c r="B1165" t="s">
        <v>193</v>
      </c>
      <c r="C1165">
        <v>59.002899999999997</v>
      </c>
    </row>
    <row r="1166" spans="1:4" x14ac:dyDescent="0.25">
      <c r="A1166" s="105">
        <v>46169</v>
      </c>
      <c r="B1166" t="s">
        <v>194</v>
      </c>
      <c r="C1166">
        <v>57.56</v>
      </c>
    </row>
    <row r="1167" spans="1:4" x14ac:dyDescent="0.25">
      <c r="A1167" s="105">
        <v>46169</v>
      </c>
      <c r="B1167" t="s">
        <v>195</v>
      </c>
      <c r="C1167">
        <v>58.353299999999997</v>
      </c>
    </row>
    <row r="1168" spans="1:4" x14ac:dyDescent="0.25">
      <c r="A1168" s="105">
        <v>46169</v>
      </c>
      <c r="B1168" t="s">
        <v>196</v>
      </c>
      <c r="C1168">
        <v>58.250300000000003</v>
      </c>
    </row>
    <row r="1169" spans="1:3" x14ac:dyDescent="0.25">
      <c r="A1169" s="105">
        <v>46169</v>
      </c>
      <c r="B1169" t="s">
        <v>197</v>
      </c>
      <c r="C1169">
        <v>57.622599999999998</v>
      </c>
    </row>
    <row r="1170" spans="1:3" x14ac:dyDescent="0.25">
      <c r="A1170" s="105">
        <v>46169</v>
      </c>
      <c r="B1170" t="s">
        <v>198</v>
      </c>
      <c r="C1170">
        <v>57.276899999999998</v>
      </c>
    </row>
    <row r="1171" spans="1:3" x14ac:dyDescent="0.25">
      <c r="A1171" s="105">
        <v>46170</v>
      </c>
      <c r="B1171" t="s">
        <v>192</v>
      </c>
      <c r="C1171">
        <v>59.294899999999998</v>
      </c>
    </row>
    <row r="1172" spans="1:3" x14ac:dyDescent="0.25">
      <c r="A1172" s="105">
        <v>46170</v>
      </c>
      <c r="B1172" t="s">
        <v>193</v>
      </c>
      <c r="C1172">
        <v>59.002800000000001</v>
      </c>
    </row>
    <row r="1173" spans="1:3" x14ac:dyDescent="0.25">
      <c r="A1173" s="105">
        <v>46170</v>
      </c>
      <c r="B1173" t="s">
        <v>194</v>
      </c>
      <c r="C1173">
        <v>57.559800000000003</v>
      </c>
    </row>
    <row r="1174" spans="1:3" x14ac:dyDescent="0.25">
      <c r="A1174" s="105">
        <v>46170</v>
      </c>
      <c r="B1174" t="s">
        <v>195</v>
      </c>
      <c r="C1174">
        <v>58.353499999999997</v>
      </c>
    </row>
    <row r="1175" spans="1:3" x14ac:dyDescent="0.25">
      <c r="A1175" s="105">
        <v>46170</v>
      </c>
      <c r="B1175" t="s">
        <v>196</v>
      </c>
      <c r="C1175">
        <v>58.250399999999999</v>
      </c>
    </row>
    <row r="1176" spans="1:3" x14ac:dyDescent="0.25">
      <c r="A1176" s="105">
        <v>46170</v>
      </c>
      <c r="B1176" t="s">
        <v>197</v>
      </c>
      <c r="C1176">
        <v>57.622999999999998</v>
      </c>
    </row>
    <row r="1177" spans="1:3" x14ac:dyDescent="0.25">
      <c r="A1177" s="105">
        <v>46170</v>
      </c>
      <c r="B1177" t="s">
        <v>198</v>
      </c>
      <c r="C1177">
        <v>57.2774</v>
      </c>
    </row>
    <row r="1178" spans="1:3" x14ac:dyDescent="0.25">
      <c r="A1178" s="105">
        <v>46175</v>
      </c>
      <c r="B1178" t="s">
        <v>192</v>
      </c>
      <c r="C1178">
        <v>59.295400000000001</v>
      </c>
    </row>
    <row r="1179" spans="1:3" x14ac:dyDescent="0.25">
      <c r="A1179" s="105">
        <v>46175</v>
      </c>
      <c r="B1179" t="s">
        <v>193</v>
      </c>
      <c r="C1179">
        <v>59.003100000000003</v>
      </c>
    </row>
    <row r="1180" spans="1:3" x14ac:dyDescent="0.25">
      <c r="A1180" s="105">
        <v>46175</v>
      </c>
      <c r="B1180" t="s">
        <v>194</v>
      </c>
      <c r="C1180">
        <v>57.560299999999998</v>
      </c>
    </row>
    <row r="1181" spans="1:3" x14ac:dyDescent="0.25">
      <c r="A1181" s="105">
        <v>46175</v>
      </c>
      <c r="B1181" t="s">
        <v>195</v>
      </c>
      <c r="C1181">
        <v>58.353400000000001</v>
      </c>
    </row>
    <row r="1182" spans="1:3" x14ac:dyDescent="0.25">
      <c r="A1182" s="105">
        <v>46175</v>
      </c>
      <c r="B1182" t="s">
        <v>196</v>
      </c>
      <c r="C1182">
        <v>58.250300000000003</v>
      </c>
    </row>
    <row r="1183" spans="1:3" x14ac:dyDescent="0.25">
      <c r="A1183" s="105">
        <v>46175</v>
      </c>
      <c r="B1183" t="s">
        <v>197</v>
      </c>
      <c r="C1183">
        <v>57.622900000000001</v>
      </c>
    </row>
    <row r="1184" spans="1:3" x14ac:dyDescent="0.25">
      <c r="A1184" s="105">
        <v>46175</v>
      </c>
      <c r="B1184" t="s">
        <v>198</v>
      </c>
      <c r="C1184">
        <v>57.277999999999999</v>
      </c>
    </row>
    <row r="1185" spans="1:3" x14ac:dyDescent="0.25">
      <c r="A1185" s="105">
        <v>46176</v>
      </c>
      <c r="B1185" t="s">
        <v>192</v>
      </c>
      <c r="C1185">
        <v>59.295200000000001</v>
      </c>
    </row>
    <row r="1186" spans="1:3" x14ac:dyDescent="0.25">
      <c r="A1186" s="105">
        <v>46176</v>
      </c>
      <c r="B1186" t="s">
        <v>193</v>
      </c>
      <c r="C1186">
        <v>59.002899999999997</v>
      </c>
    </row>
    <row r="1187" spans="1:3" x14ac:dyDescent="0.25">
      <c r="A1187" s="105">
        <v>46176</v>
      </c>
      <c r="B1187" t="s">
        <v>194</v>
      </c>
      <c r="C1187">
        <v>57.560299999999998</v>
      </c>
    </row>
    <row r="1188" spans="1:3" x14ac:dyDescent="0.25">
      <c r="A1188" s="105">
        <v>46176</v>
      </c>
      <c r="B1188" t="s">
        <v>195</v>
      </c>
      <c r="C1188">
        <v>58.3536</v>
      </c>
    </row>
    <row r="1189" spans="1:3" x14ac:dyDescent="0.25">
      <c r="A1189" s="105">
        <v>46176</v>
      </c>
      <c r="B1189" t="s">
        <v>196</v>
      </c>
      <c r="C1189">
        <v>58.250399999999999</v>
      </c>
    </row>
    <row r="1190" spans="1:3" x14ac:dyDescent="0.25">
      <c r="A1190" s="105">
        <v>46176</v>
      </c>
      <c r="B1190" t="s">
        <v>197</v>
      </c>
      <c r="C1190">
        <v>57.622599999999998</v>
      </c>
    </row>
    <row r="1191" spans="1:3" x14ac:dyDescent="0.25">
      <c r="A1191" s="105">
        <v>46176</v>
      </c>
      <c r="B1191" t="s">
        <v>198</v>
      </c>
      <c r="C1191">
        <v>57.277700000000003</v>
      </c>
    </row>
    <row r="1192" spans="1:3" x14ac:dyDescent="0.25">
      <c r="A1192" s="105">
        <v>46177</v>
      </c>
      <c r="B1192" t="s">
        <v>192</v>
      </c>
      <c r="C1192">
        <v>59.2956</v>
      </c>
    </row>
    <row r="1193" spans="1:3" x14ac:dyDescent="0.25">
      <c r="A1193" s="105">
        <v>46177</v>
      </c>
      <c r="B1193" t="s">
        <v>193</v>
      </c>
      <c r="C1193">
        <v>59.0032</v>
      </c>
    </row>
    <row r="1194" spans="1:3" x14ac:dyDescent="0.25">
      <c r="A1194" s="105">
        <v>46177</v>
      </c>
      <c r="B1194" t="s">
        <v>194</v>
      </c>
      <c r="C1194">
        <v>57.560699999999997</v>
      </c>
    </row>
    <row r="1195" spans="1:3" x14ac:dyDescent="0.25">
      <c r="A1195" s="105">
        <v>46177</v>
      </c>
      <c r="B1195" t="s">
        <v>195</v>
      </c>
      <c r="C1195">
        <v>58.353299999999997</v>
      </c>
    </row>
    <row r="1196" spans="1:3" x14ac:dyDescent="0.25">
      <c r="A1196" s="105">
        <v>46177</v>
      </c>
      <c r="B1196" t="s">
        <v>196</v>
      </c>
      <c r="C1196">
        <v>58.250100000000003</v>
      </c>
    </row>
    <row r="1197" spans="1:3" x14ac:dyDescent="0.25">
      <c r="A1197" s="105">
        <v>46177</v>
      </c>
      <c r="B1197" t="s">
        <v>197</v>
      </c>
      <c r="C1197">
        <v>57.622500000000002</v>
      </c>
    </row>
    <row r="1198" spans="1:3" x14ac:dyDescent="0.25">
      <c r="A1198" s="105">
        <v>46177</v>
      </c>
      <c r="B1198" t="s">
        <v>198</v>
      </c>
      <c r="C1198">
        <v>57.277999999999999</v>
      </c>
    </row>
    <row r="1199" spans="1:3" x14ac:dyDescent="0.25">
      <c r="A1199" s="105">
        <v>46182</v>
      </c>
      <c r="B1199" t="s">
        <v>195</v>
      </c>
      <c r="C1199">
        <v>58.353400000000001</v>
      </c>
    </row>
    <row r="1200" spans="1:3" x14ac:dyDescent="0.25">
      <c r="A1200" s="105">
        <v>46182</v>
      </c>
      <c r="B1200" t="s">
        <v>196</v>
      </c>
      <c r="C1200">
        <v>58.2502</v>
      </c>
    </row>
    <row r="1201" spans="1:4" x14ac:dyDescent="0.25">
      <c r="A1201" s="105">
        <v>46182</v>
      </c>
      <c r="B1201" t="s">
        <v>197</v>
      </c>
      <c r="C1201">
        <v>57.622399999999999</v>
      </c>
    </row>
    <row r="1202" spans="1:4" x14ac:dyDescent="0.25">
      <c r="A1202" s="105">
        <v>46182</v>
      </c>
      <c r="B1202" t="s">
        <v>198</v>
      </c>
      <c r="C1202">
        <v>57.278100000000002</v>
      </c>
    </row>
    <row r="1203" spans="1:4" x14ac:dyDescent="0.25">
      <c r="A1203" s="105">
        <v>46183</v>
      </c>
      <c r="B1203" t="s">
        <v>192</v>
      </c>
      <c r="C1203">
        <v>59.295400000000001</v>
      </c>
      <c r="D1203" s="104"/>
    </row>
    <row r="1204" spans="1:4" x14ac:dyDescent="0.25">
      <c r="A1204" s="105">
        <v>46183</v>
      </c>
      <c r="B1204" t="s">
        <v>193</v>
      </c>
      <c r="C1204">
        <v>59.003</v>
      </c>
      <c r="D1204" s="104"/>
    </row>
    <row r="1205" spans="1:4" x14ac:dyDescent="0.25">
      <c r="A1205" s="105">
        <v>46183</v>
      </c>
      <c r="B1205" t="s">
        <v>194</v>
      </c>
      <c r="C1205">
        <v>57.560499999999998</v>
      </c>
      <c r="D1205" s="104"/>
    </row>
    <row r="1206" spans="1:4" x14ac:dyDescent="0.25">
      <c r="A1206" s="105">
        <v>46183</v>
      </c>
      <c r="B1206" t="s">
        <v>195</v>
      </c>
      <c r="C1206">
        <v>58.353400000000001</v>
      </c>
      <c r="D1206" s="104"/>
    </row>
    <row r="1207" spans="1:4" x14ac:dyDescent="0.25">
      <c r="A1207" s="105">
        <v>46183</v>
      </c>
      <c r="B1207" t="s">
        <v>196</v>
      </c>
      <c r="C1207">
        <v>58.250300000000003</v>
      </c>
      <c r="D1207" s="104"/>
    </row>
    <row r="1208" spans="1:4" x14ac:dyDescent="0.25">
      <c r="A1208" s="105">
        <v>46183</v>
      </c>
      <c r="B1208" t="s">
        <v>197</v>
      </c>
      <c r="C1208">
        <v>57.622199999999999</v>
      </c>
      <c r="D1208" s="104"/>
    </row>
    <row r="1209" spans="1:4" x14ac:dyDescent="0.25">
      <c r="A1209" s="105">
        <v>46183</v>
      </c>
      <c r="B1209" t="s">
        <v>198</v>
      </c>
      <c r="C1209">
        <v>57.277500000000003</v>
      </c>
      <c r="D1209" s="104"/>
    </row>
    <row r="1210" spans="1:4" x14ac:dyDescent="0.25">
      <c r="A1210" s="105">
        <v>46190</v>
      </c>
      <c r="B1210" t="s">
        <v>195</v>
      </c>
      <c r="C1210">
        <v>58.353400000000001</v>
      </c>
    </row>
    <row r="1211" spans="1:4" x14ac:dyDescent="0.25">
      <c r="A1211" s="105">
        <v>46190</v>
      </c>
      <c r="B1211" t="s">
        <v>196</v>
      </c>
      <c r="C1211">
        <v>58.250300000000003</v>
      </c>
    </row>
    <row r="1212" spans="1:4" x14ac:dyDescent="0.25">
      <c r="A1212" s="105">
        <v>46190</v>
      </c>
      <c r="B1212" t="s">
        <v>197</v>
      </c>
      <c r="C1212">
        <v>57.622</v>
      </c>
    </row>
    <row r="1213" spans="1:4" x14ac:dyDescent="0.25">
      <c r="A1213" s="105">
        <v>46190</v>
      </c>
      <c r="B1213" t="s">
        <v>198</v>
      </c>
      <c r="C1213">
        <v>57.277500000000003</v>
      </c>
    </row>
  </sheetData>
  <sortState xmlns:xlrd2="http://schemas.microsoft.com/office/spreadsheetml/2017/richdata2" ref="A2:C1143">
    <sortCondition ref="A906:A1143"/>
  </sortState>
  <phoneticPr fontId="26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14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8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TZ-112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89" t="s">
        <v>58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42380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88">
        <v>42</v>
      </c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42383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 t="s">
        <v>59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2159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2417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60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1">
        <v>42383</v>
      </c>
      <c r="C16" s="25">
        <v>12.891</v>
      </c>
      <c r="D16" s="26">
        <v>8.0239999999999991</v>
      </c>
      <c r="E16" s="26">
        <v>7.8259999999999996</v>
      </c>
      <c r="F16" s="47"/>
      <c r="G16" s="47"/>
      <c r="H16" s="47"/>
      <c r="I16" s="57">
        <v>116.01900000000001</v>
      </c>
      <c r="J16" s="58">
        <v>2421</v>
      </c>
      <c r="K16" s="18">
        <f t="shared" ref="K16" si="0">IF(ISBLANK(J16),"",(J16-$J$8))</f>
        <v>4</v>
      </c>
      <c r="L16" s="19">
        <f t="shared" ref="L16:R31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42384</v>
      </c>
      <c r="C17" s="74">
        <v>12.753</v>
      </c>
      <c r="D17" s="70">
        <v>8.0269999999999992</v>
      </c>
      <c r="E17" s="70">
        <v>7.76</v>
      </c>
      <c r="F17" s="47"/>
      <c r="G17" s="47"/>
      <c r="H17" s="47"/>
      <c r="I17" s="57">
        <v>116.01600000000001</v>
      </c>
      <c r="J17" s="58">
        <v>2426</v>
      </c>
      <c r="K17" s="18">
        <f t="shared" ref="K17:K18" si="3">IF(ISBLANK(J17),"",(J17-$J$8))</f>
        <v>9</v>
      </c>
      <c r="L17" s="69">
        <f>IF(ISBLANK(C17),"",(C17-C$17)*1000)</f>
        <v>0</v>
      </c>
      <c r="M17" s="69">
        <f>IF(ISBLANK(D17),"",(D17-D$17)*1000)</f>
        <v>0</v>
      </c>
      <c r="N17" s="69">
        <f>IF(ISBLANK(E17),"",(E17-E$17)*1000)</f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>IF(ISBLANK(I17),"",(I17-I$16)*1000)</f>
        <v>-3.0000000000001137</v>
      </c>
      <c r="S17" s="27"/>
      <c r="T17" s="28"/>
      <c r="U17" s="28"/>
      <c r="V17" s="28" t="str">
        <f t="shared" ref="S17:X32" si="4">IF(F17="","",((F17-F16)*1000)/($B17-$B16))</f>
        <v/>
      </c>
      <c r="W17" s="28" t="str">
        <f t="shared" si="4"/>
        <v/>
      </c>
      <c r="X17" s="29" t="str">
        <f t="shared" si="4"/>
        <v/>
      </c>
      <c r="Y17" s="24" t="s">
        <v>61</v>
      </c>
    </row>
    <row r="18" spans="2:25" ht="15" customHeight="1" x14ac:dyDescent="0.2">
      <c r="B18" s="31">
        <v>42387</v>
      </c>
      <c r="C18" s="25">
        <v>12.750999999999999</v>
      </c>
      <c r="D18" s="26">
        <v>8.0259999999999998</v>
      </c>
      <c r="E18" s="26">
        <v>7.7569999999999997</v>
      </c>
      <c r="F18" s="47"/>
      <c r="G18" s="47"/>
      <c r="H18" s="47"/>
      <c r="I18" s="57">
        <v>116.01</v>
      </c>
      <c r="J18" s="58">
        <v>2430</v>
      </c>
      <c r="K18" s="18">
        <f t="shared" si="3"/>
        <v>13</v>
      </c>
      <c r="L18" s="19">
        <f t="shared" ref="L18:L81" si="5">IF(ISBLANK(C18),"",(C18-C$17)*1000)</f>
        <v>-2.0000000000006679</v>
      </c>
      <c r="M18" s="19">
        <f t="shared" ref="M18:M81" si="6">IF(ISBLANK(D18),"",(D18-D$17)*1000)</f>
        <v>-0.99999999999944578</v>
      </c>
      <c r="N18" s="19">
        <f t="shared" ref="N18:N81" si="7">IF(ISBLANK(E18),"",(E18-E$17)*1000)</f>
        <v>-3.0000000000001137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-9.0000000000003411</v>
      </c>
      <c r="S18" s="27">
        <f t="shared" si="4"/>
        <v>-0.66666666666688934</v>
      </c>
      <c r="T18" s="28">
        <f t="shared" si="4"/>
        <v>-0.33333333333314857</v>
      </c>
      <c r="U18" s="28">
        <f t="shared" si="4"/>
        <v>-1.000000000000038</v>
      </c>
      <c r="V18" s="28" t="str">
        <f t="shared" si="4"/>
        <v/>
      </c>
      <c r="W18" s="28" t="str">
        <f t="shared" si="4"/>
        <v/>
      </c>
      <c r="X18" s="29" t="str">
        <f t="shared" si="4"/>
        <v/>
      </c>
      <c r="Y18" s="24"/>
    </row>
    <row r="19" spans="2:25" ht="15" customHeight="1" x14ac:dyDescent="0.2">
      <c r="B19" s="31">
        <v>42388</v>
      </c>
      <c r="C19" s="25">
        <v>12.750999999999999</v>
      </c>
      <c r="D19" s="26">
        <v>8.0250000000000004</v>
      </c>
      <c r="E19" s="26">
        <v>7.7569999999999997</v>
      </c>
      <c r="F19" s="47"/>
      <c r="G19" s="47"/>
      <c r="H19" s="47"/>
      <c r="I19" s="57">
        <v>116.009</v>
      </c>
      <c r="J19" s="58">
        <v>2435</v>
      </c>
      <c r="K19" s="18">
        <f t="shared" ref="K19" si="8">IF(ISBLANK(J19),"",(J19-$J$8))</f>
        <v>18</v>
      </c>
      <c r="L19" s="19">
        <f t="shared" si="5"/>
        <v>-2.0000000000006679</v>
      </c>
      <c r="M19" s="19">
        <f t="shared" si="6"/>
        <v>-1.9999999999988916</v>
      </c>
      <c r="N19" s="19">
        <f t="shared" si="7"/>
        <v>-3.0000000000001137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-10.000000000005116</v>
      </c>
      <c r="S19" s="27">
        <f t="shared" si="4"/>
        <v>0</v>
      </c>
      <c r="T19" s="28">
        <f t="shared" si="4"/>
        <v>-0.99999999999944578</v>
      </c>
      <c r="U19" s="28">
        <f t="shared" si="4"/>
        <v>0</v>
      </c>
      <c r="V19" s="28" t="str">
        <f t="shared" si="4"/>
        <v/>
      </c>
      <c r="W19" s="28" t="str">
        <f t="shared" si="4"/>
        <v/>
      </c>
      <c r="X19" s="29" t="str">
        <f t="shared" si="4"/>
        <v/>
      </c>
      <c r="Y19" s="24"/>
    </row>
    <row r="20" spans="2:25" ht="15" customHeight="1" x14ac:dyDescent="0.2">
      <c r="B20" s="31">
        <v>42389</v>
      </c>
      <c r="C20" s="25">
        <v>12.750999999999999</v>
      </c>
      <c r="D20" s="26">
        <v>8.0259999999999998</v>
      </c>
      <c r="E20" s="26">
        <v>7.7560000000000002</v>
      </c>
      <c r="F20" s="47"/>
      <c r="G20" s="47"/>
      <c r="H20" s="47"/>
      <c r="I20" s="57">
        <v>116.01</v>
      </c>
      <c r="J20" s="58">
        <v>2440</v>
      </c>
      <c r="K20" s="18">
        <f t="shared" ref="K20" si="9">IF(ISBLANK(J20),"",(J20-$J$8))</f>
        <v>23</v>
      </c>
      <c r="L20" s="19">
        <f t="shared" si="5"/>
        <v>-2.0000000000006679</v>
      </c>
      <c r="M20" s="19">
        <f t="shared" si="6"/>
        <v>-0.99999999999944578</v>
      </c>
      <c r="N20" s="19">
        <f t="shared" si="7"/>
        <v>-3.9999999999995595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-9.0000000000003411</v>
      </c>
      <c r="S20" s="27">
        <f t="shared" si="4"/>
        <v>0</v>
      </c>
      <c r="T20" s="28">
        <f t="shared" si="4"/>
        <v>0.99999999999944578</v>
      </c>
      <c r="U20" s="28">
        <f t="shared" si="4"/>
        <v>-0.99999999999944578</v>
      </c>
      <c r="V20" s="28" t="str">
        <f t="shared" si="4"/>
        <v/>
      </c>
      <c r="W20" s="28" t="str">
        <f t="shared" si="4"/>
        <v/>
      </c>
      <c r="X20" s="29" t="str">
        <f t="shared" si="4"/>
        <v/>
      </c>
      <c r="Y20" s="24"/>
    </row>
    <row r="21" spans="2:25" ht="15" customHeight="1" x14ac:dyDescent="0.2">
      <c r="B21" s="31">
        <v>42390</v>
      </c>
      <c r="C21" s="25">
        <v>12.750999999999999</v>
      </c>
      <c r="D21" s="26">
        <v>8.0269999999999992</v>
      </c>
      <c r="E21" s="26">
        <v>7.7569999999999997</v>
      </c>
      <c r="F21" s="47"/>
      <c r="G21" s="47"/>
      <c r="H21" s="47"/>
      <c r="I21" s="57">
        <v>116.01</v>
      </c>
      <c r="J21" s="58">
        <v>2443</v>
      </c>
      <c r="K21" s="18">
        <f t="shared" ref="K21" si="10">IF(ISBLANK(J21),"",(J21-$J$8))</f>
        <v>26</v>
      </c>
      <c r="L21" s="19">
        <f t="shared" si="5"/>
        <v>-2.0000000000006679</v>
      </c>
      <c r="M21" s="19">
        <f t="shared" si="6"/>
        <v>0</v>
      </c>
      <c r="N21" s="19">
        <f t="shared" si="7"/>
        <v>-3.0000000000001137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-9.0000000000003411</v>
      </c>
      <c r="S21" s="27">
        <f t="shared" si="4"/>
        <v>0</v>
      </c>
      <c r="T21" s="28">
        <f t="shared" si="4"/>
        <v>0.99999999999944578</v>
      </c>
      <c r="U21" s="28">
        <f t="shared" si="4"/>
        <v>0.99999999999944578</v>
      </c>
      <c r="V21" s="28" t="str">
        <f t="shared" si="4"/>
        <v/>
      </c>
      <c r="W21" s="28" t="str">
        <f t="shared" si="4"/>
        <v/>
      </c>
      <c r="X21" s="29" t="str">
        <f t="shared" si="4"/>
        <v/>
      </c>
      <c r="Y21" s="24"/>
    </row>
    <row r="22" spans="2:25" ht="15" customHeight="1" x14ac:dyDescent="0.2">
      <c r="B22" s="31">
        <v>42391</v>
      </c>
      <c r="C22" s="25">
        <v>12.749000000000001</v>
      </c>
      <c r="D22" s="26">
        <v>8.0239999999999991</v>
      </c>
      <c r="E22" s="26">
        <v>7.7549999999999999</v>
      </c>
      <c r="F22" s="47"/>
      <c r="G22" s="47"/>
      <c r="H22" s="47"/>
      <c r="I22" s="57">
        <v>116.008</v>
      </c>
      <c r="J22" s="58">
        <v>2447</v>
      </c>
      <c r="K22" s="18">
        <f t="shared" ref="K22" si="11">IF(ISBLANK(J22),"",(J22-$J$8))</f>
        <v>30</v>
      </c>
      <c r="L22" s="19">
        <f t="shared" si="5"/>
        <v>-3.9999999999995595</v>
      </c>
      <c r="M22" s="19">
        <f t="shared" si="6"/>
        <v>-3.0000000000001137</v>
      </c>
      <c r="N22" s="19">
        <f t="shared" si="7"/>
        <v>-4.9999999999998934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-11.000000000009891</v>
      </c>
      <c r="S22" s="27">
        <f t="shared" si="4"/>
        <v>-1.9999999999988916</v>
      </c>
      <c r="T22" s="28">
        <f t="shared" si="4"/>
        <v>-3.0000000000001137</v>
      </c>
      <c r="U22" s="28">
        <f t="shared" si="4"/>
        <v>-1.9999999999997797</v>
      </c>
      <c r="V22" s="28" t="str">
        <f t="shared" si="4"/>
        <v/>
      </c>
      <c r="W22" s="28" t="str">
        <f t="shared" si="4"/>
        <v/>
      </c>
      <c r="X22" s="29" t="str">
        <f t="shared" si="4"/>
        <v/>
      </c>
      <c r="Y22" s="24"/>
    </row>
    <row r="23" spans="2:25" ht="15" customHeight="1" x14ac:dyDescent="0.2">
      <c r="B23" s="31">
        <v>42394</v>
      </c>
      <c r="C23" s="25">
        <v>12.749000000000001</v>
      </c>
      <c r="D23" s="26">
        <v>8.0239999999999991</v>
      </c>
      <c r="E23" s="26">
        <v>7.7539999999999996</v>
      </c>
      <c r="F23" s="47"/>
      <c r="G23" s="47"/>
      <c r="H23" s="47"/>
      <c r="I23" s="57">
        <v>116.009</v>
      </c>
      <c r="J23" s="58">
        <v>2451</v>
      </c>
      <c r="K23" s="18">
        <f t="shared" ref="K23" si="12">IF(ISBLANK(J23),"",(J23-$J$8))</f>
        <v>34</v>
      </c>
      <c r="L23" s="19">
        <f t="shared" si="5"/>
        <v>-3.9999999999995595</v>
      </c>
      <c r="M23" s="19">
        <f t="shared" si="6"/>
        <v>-3.0000000000001137</v>
      </c>
      <c r="N23" s="19">
        <f t="shared" si="7"/>
        <v>-6.0000000000002274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-10.000000000005116</v>
      </c>
      <c r="S23" s="27">
        <f t="shared" si="4"/>
        <v>0</v>
      </c>
      <c r="T23" s="28">
        <f t="shared" si="4"/>
        <v>0</v>
      </c>
      <c r="U23" s="28">
        <f t="shared" si="4"/>
        <v>-0.33333333333344467</v>
      </c>
      <c r="V23" s="28" t="str">
        <f t="shared" si="4"/>
        <v/>
      </c>
      <c r="W23" s="28" t="str">
        <f t="shared" si="4"/>
        <v/>
      </c>
      <c r="X23" s="29" t="str">
        <f t="shared" si="4"/>
        <v/>
      </c>
      <c r="Y23" s="24"/>
    </row>
    <row r="24" spans="2:25" ht="15" customHeight="1" x14ac:dyDescent="0.2">
      <c r="B24" s="31">
        <v>42395</v>
      </c>
      <c r="C24" s="25">
        <v>12.75</v>
      </c>
      <c r="D24" s="26">
        <v>8.0239999999999991</v>
      </c>
      <c r="E24" s="26">
        <v>7.7549999999999999</v>
      </c>
      <c r="F24" s="47"/>
      <c r="G24" s="47"/>
      <c r="H24" s="47"/>
      <c r="I24" s="57">
        <v>116.009</v>
      </c>
      <c r="J24" s="58">
        <v>2455</v>
      </c>
      <c r="K24" s="18">
        <f t="shared" ref="K24" si="13">IF(ISBLANK(J24),"",(J24-$J$8))</f>
        <v>38</v>
      </c>
      <c r="L24" s="19">
        <f t="shared" si="5"/>
        <v>-3.0000000000001137</v>
      </c>
      <c r="M24" s="19">
        <f t="shared" si="6"/>
        <v>-3.0000000000001137</v>
      </c>
      <c r="N24" s="19">
        <f t="shared" si="7"/>
        <v>-4.9999999999998934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-10.000000000005116</v>
      </c>
      <c r="S24" s="27">
        <f t="shared" si="4"/>
        <v>0.99999999999944578</v>
      </c>
      <c r="T24" s="28">
        <f t="shared" si="4"/>
        <v>0</v>
      </c>
      <c r="U24" s="28">
        <f t="shared" si="4"/>
        <v>1.000000000000334</v>
      </c>
      <c r="V24" s="28" t="str">
        <f t="shared" si="4"/>
        <v/>
      </c>
      <c r="W24" s="28" t="str">
        <f t="shared" si="4"/>
        <v/>
      </c>
      <c r="X24" s="29" t="str">
        <f t="shared" si="4"/>
        <v/>
      </c>
      <c r="Y24" s="24"/>
    </row>
    <row r="25" spans="2:25" ht="15" customHeight="1" x14ac:dyDescent="0.2">
      <c r="B25" s="31">
        <v>42396</v>
      </c>
      <c r="C25" s="25">
        <v>12.749000000000001</v>
      </c>
      <c r="D25" s="26">
        <v>8.0250000000000004</v>
      </c>
      <c r="E25" s="26">
        <v>7.7549999999999999</v>
      </c>
      <c r="F25" s="47"/>
      <c r="G25" s="47"/>
      <c r="H25" s="47"/>
      <c r="I25" s="57">
        <v>116.01</v>
      </c>
      <c r="J25" s="58">
        <v>2460</v>
      </c>
      <c r="K25" s="18">
        <f t="shared" ref="K25" si="14">IF(ISBLANK(J25),"",(J25-$J$8))</f>
        <v>43</v>
      </c>
      <c r="L25" s="19">
        <f t="shared" si="5"/>
        <v>-3.9999999999995595</v>
      </c>
      <c r="M25" s="19">
        <f t="shared" si="6"/>
        <v>-1.9999999999988916</v>
      </c>
      <c r="N25" s="19">
        <f t="shared" si="7"/>
        <v>-4.9999999999998934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-9.0000000000003411</v>
      </c>
      <c r="S25" s="27">
        <f t="shared" si="4"/>
        <v>-0.99999999999944578</v>
      </c>
      <c r="T25" s="28">
        <f t="shared" si="4"/>
        <v>1.0000000000012221</v>
      </c>
      <c r="U25" s="28">
        <f t="shared" si="4"/>
        <v>0</v>
      </c>
      <c r="V25" s="28" t="str">
        <f t="shared" si="4"/>
        <v/>
      </c>
      <c r="W25" s="28" t="str">
        <f t="shared" si="4"/>
        <v/>
      </c>
      <c r="X25" s="29" t="str">
        <f t="shared" si="4"/>
        <v/>
      </c>
      <c r="Y25" s="24"/>
    </row>
    <row r="26" spans="2:25" ht="15" customHeight="1" x14ac:dyDescent="0.2">
      <c r="B26" s="31">
        <v>42397</v>
      </c>
      <c r="C26" s="25">
        <v>12.749000000000001</v>
      </c>
      <c r="D26" s="26">
        <v>8.0250000000000004</v>
      </c>
      <c r="E26" s="26">
        <v>7.7549999999999999</v>
      </c>
      <c r="F26" s="47"/>
      <c r="G26" s="47"/>
      <c r="H26" s="47"/>
      <c r="I26" s="57">
        <v>116.01</v>
      </c>
      <c r="J26" s="58">
        <v>2462</v>
      </c>
      <c r="K26" s="18">
        <f t="shared" ref="K26" si="15">IF(ISBLANK(J26),"",(J26-$J$8))</f>
        <v>45</v>
      </c>
      <c r="L26" s="19">
        <f t="shared" si="5"/>
        <v>-3.9999999999995595</v>
      </c>
      <c r="M26" s="19">
        <f t="shared" si="6"/>
        <v>-1.9999999999988916</v>
      </c>
      <c r="N26" s="19">
        <f t="shared" si="7"/>
        <v>-4.9999999999998934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-9.0000000000003411</v>
      </c>
      <c r="S26" s="27">
        <f t="shared" si="4"/>
        <v>0</v>
      </c>
      <c r="T26" s="28">
        <f t="shared" si="4"/>
        <v>0</v>
      </c>
      <c r="U26" s="28">
        <f t="shared" si="4"/>
        <v>0</v>
      </c>
      <c r="V26" s="28" t="str">
        <f t="shared" si="4"/>
        <v/>
      </c>
      <c r="W26" s="28" t="str">
        <f t="shared" si="4"/>
        <v/>
      </c>
      <c r="X26" s="29" t="str">
        <f t="shared" si="4"/>
        <v/>
      </c>
      <c r="Y26" s="24"/>
    </row>
    <row r="27" spans="2:25" ht="15" customHeight="1" x14ac:dyDescent="0.2">
      <c r="B27" s="31">
        <v>42398</v>
      </c>
      <c r="C27" s="25">
        <v>12.749000000000001</v>
      </c>
      <c r="D27" s="26">
        <v>8.0259999999999998</v>
      </c>
      <c r="E27" s="26">
        <v>7.7560000000000002</v>
      </c>
      <c r="F27" s="47"/>
      <c r="G27" s="47"/>
      <c r="H27" s="47"/>
      <c r="I27" s="57">
        <v>116.01</v>
      </c>
      <c r="J27" s="32">
        <v>2466</v>
      </c>
      <c r="K27" s="18">
        <f t="shared" ref="K27" si="16">IF(ISBLANK(J27),"",(J27-$J$8))</f>
        <v>49</v>
      </c>
      <c r="L27" s="19">
        <f t="shared" si="5"/>
        <v>-3.9999999999995595</v>
      </c>
      <c r="M27" s="19">
        <f t="shared" si="6"/>
        <v>-0.99999999999944578</v>
      </c>
      <c r="N27" s="19">
        <f t="shared" si="7"/>
        <v>-3.9999999999995595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-9.0000000000003411</v>
      </c>
      <c r="S27" s="27">
        <f t="shared" si="4"/>
        <v>0</v>
      </c>
      <c r="T27" s="28">
        <f t="shared" si="4"/>
        <v>0.99999999999944578</v>
      </c>
      <c r="U27" s="28">
        <f t="shared" si="4"/>
        <v>1.000000000000334</v>
      </c>
      <c r="V27" s="28" t="str">
        <f t="shared" si="4"/>
        <v/>
      </c>
      <c r="W27" s="28" t="str">
        <f t="shared" si="4"/>
        <v/>
      </c>
      <c r="X27" s="29" t="str">
        <f t="shared" si="4"/>
        <v/>
      </c>
      <c r="Y27" s="24"/>
    </row>
    <row r="28" spans="2:25" ht="15" customHeight="1" x14ac:dyDescent="0.2">
      <c r="B28" s="31">
        <v>42401</v>
      </c>
      <c r="C28" s="25">
        <v>12.749000000000001</v>
      </c>
      <c r="D28" s="26">
        <v>8.0250000000000004</v>
      </c>
      <c r="E28" s="26">
        <v>7.7569999999999997</v>
      </c>
      <c r="F28" s="47"/>
      <c r="G28" s="47"/>
      <c r="H28" s="47"/>
      <c r="I28" s="57">
        <v>116.01</v>
      </c>
      <c r="J28" s="58">
        <v>2471</v>
      </c>
      <c r="K28" s="18">
        <f t="shared" ref="K28" si="17">IF(ISBLANK(J28),"",(J28-$J$8))</f>
        <v>54</v>
      </c>
      <c r="L28" s="19">
        <f t="shared" si="5"/>
        <v>-3.9999999999995595</v>
      </c>
      <c r="M28" s="19">
        <f t="shared" si="6"/>
        <v>-1.9999999999988916</v>
      </c>
      <c r="N28" s="19">
        <f t="shared" si="7"/>
        <v>-3.0000000000001137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-9.0000000000003411</v>
      </c>
      <c r="S28" s="27">
        <f t="shared" si="4"/>
        <v>0</v>
      </c>
      <c r="T28" s="28">
        <f t="shared" si="4"/>
        <v>-0.33333333333314857</v>
      </c>
      <c r="U28" s="28">
        <f t="shared" si="4"/>
        <v>0.33333333333314857</v>
      </c>
      <c r="V28" s="28" t="str">
        <f t="shared" si="4"/>
        <v/>
      </c>
      <c r="W28" s="28" t="str">
        <f t="shared" si="4"/>
        <v/>
      </c>
      <c r="X28" s="29" t="str">
        <f t="shared" si="4"/>
        <v/>
      </c>
      <c r="Y28" s="24"/>
    </row>
    <row r="29" spans="2:25" ht="15" customHeight="1" x14ac:dyDescent="0.2">
      <c r="B29" s="31">
        <v>42402</v>
      </c>
      <c r="C29" s="25">
        <v>12.75</v>
      </c>
      <c r="D29" s="26">
        <v>8.0259999999999998</v>
      </c>
      <c r="E29" s="26">
        <v>7.7560000000000002</v>
      </c>
      <c r="F29" s="47"/>
      <c r="G29" s="47"/>
      <c r="H29" s="47"/>
      <c r="I29" s="57">
        <v>116.008</v>
      </c>
      <c r="J29" s="58">
        <v>2474</v>
      </c>
      <c r="K29" s="18">
        <f t="shared" ref="K29:K30" si="18">IF(ISBLANK(J29),"",(J29-$J$8))</f>
        <v>57</v>
      </c>
      <c r="L29" s="19">
        <f t="shared" si="5"/>
        <v>-3.0000000000001137</v>
      </c>
      <c r="M29" s="19">
        <f t="shared" si="6"/>
        <v>-0.99999999999944578</v>
      </c>
      <c r="N29" s="19">
        <f t="shared" si="7"/>
        <v>-3.9999999999995595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-11.000000000009891</v>
      </c>
      <c r="S29" s="27">
        <f t="shared" si="4"/>
        <v>0.99999999999944578</v>
      </c>
      <c r="T29" s="28">
        <f t="shared" si="4"/>
        <v>0.99999999999944578</v>
      </c>
      <c r="U29" s="28">
        <f t="shared" si="4"/>
        <v>-0.99999999999944578</v>
      </c>
      <c r="V29" s="28" t="str">
        <f t="shared" si="4"/>
        <v/>
      </c>
      <c r="W29" s="28" t="str">
        <f t="shared" si="4"/>
        <v/>
      </c>
      <c r="X29" s="29" t="str">
        <f t="shared" si="4"/>
        <v/>
      </c>
      <c r="Y29" s="24"/>
    </row>
    <row r="30" spans="2:25" ht="15" customHeight="1" x14ac:dyDescent="0.2">
      <c r="B30" s="31">
        <v>42409</v>
      </c>
      <c r="C30" s="25">
        <v>12.749000000000001</v>
      </c>
      <c r="D30" s="26">
        <v>8.0239999999999991</v>
      </c>
      <c r="E30" s="26">
        <v>7.7539999999999996</v>
      </c>
      <c r="F30" s="47"/>
      <c r="G30" s="47"/>
      <c r="H30" s="47"/>
      <c r="I30" s="57">
        <v>116.00700000000001</v>
      </c>
      <c r="J30" s="58">
        <v>2496</v>
      </c>
      <c r="K30" s="18">
        <f t="shared" si="18"/>
        <v>79</v>
      </c>
      <c r="L30" s="19">
        <f t="shared" si="5"/>
        <v>-3.9999999999995595</v>
      </c>
      <c r="M30" s="19">
        <f t="shared" si="6"/>
        <v>-3.0000000000001137</v>
      </c>
      <c r="N30" s="19">
        <f t="shared" si="7"/>
        <v>-6.0000000000002274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-12.000000000000455</v>
      </c>
      <c r="S30" s="27">
        <f t="shared" si="4"/>
        <v>-0.14285714285706369</v>
      </c>
      <c r="T30" s="28">
        <f t="shared" si="4"/>
        <v>-0.28571428571438112</v>
      </c>
      <c r="U30" s="28">
        <f t="shared" si="4"/>
        <v>-0.28571428571438112</v>
      </c>
      <c r="V30" s="28" t="str">
        <f t="shared" si="4"/>
        <v/>
      </c>
      <c r="W30" s="28" t="str">
        <f t="shared" si="4"/>
        <v/>
      </c>
      <c r="X30" s="29" t="str">
        <f t="shared" si="4"/>
        <v/>
      </c>
      <c r="Y30" s="24"/>
    </row>
    <row r="31" spans="2:25" ht="15" customHeight="1" x14ac:dyDescent="0.2">
      <c r="B31" s="31">
        <v>42416</v>
      </c>
      <c r="C31" s="25">
        <v>12.75</v>
      </c>
      <c r="D31" s="26">
        <v>8.0229999999999997</v>
      </c>
      <c r="E31" s="26">
        <v>7.7560000000000002</v>
      </c>
      <c r="F31" s="47"/>
      <c r="G31" s="47"/>
      <c r="H31" s="47"/>
      <c r="I31" s="57">
        <v>116.00700000000001</v>
      </c>
      <c r="J31" s="58">
        <v>2519</v>
      </c>
      <c r="K31" s="18">
        <f t="shared" ref="K31:K33" si="19">IF(ISBLANK(J31),"",(J31-$J$8))</f>
        <v>102</v>
      </c>
      <c r="L31" s="19">
        <f t="shared" si="5"/>
        <v>-3.0000000000001137</v>
      </c>
      <c r="M31" s="19">
        <f t="shared" si="6"/>
        <v>-3.9999999999995595</v>
      </c>
      <c r="N31" s="19">
        <f t="shared" si="7"/>
        <v>-3.9999999999995595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-12.000000000000455</v>
      </c>
      <c r="S31" s="27">
        <f t="shared" si="4"/>
        <v>0.14285714285706369</v>
      </c>
      <c r="T31" s="28">
        <f t="shared" si="4"/>
        <v>-0.14285714285706369</v>
      </c>
      <c r="U31" s="28">
        <f t="shared" si="4"/>
        <v>0.28571428571438112</v>
      </c>
      <c r="V31" s="28" t="str">
        <f t="shared" si="4"/>
        <v/>
      </c>
      <c r="W31" s="28" t="str">
        <f t="shared" si="4"/>
        <v/>
      </c>
      <c r="X31" s="29" t="str">
        <f t="shared" si="4"/>
        <v/>
      </c>
      <c r="Y31" s="24"/>
    </row>
    <row r="32" spans="2:25" ht="15" customHeight="1" x14ac:dyDescent="0.2">
      <c r="B32" s="31">
        <v>42430</v>
      </c>
      <c r="C32" s="25">
        <v>12.749000000000001</v>
      </c>
      <c r="D32" s="26">
        <v>8.0229999999999997</v>
      </c>
      <c r="E32" s="26">
        <v>7.7549999999999999</v>
      </c>
      <c r="F32" s="47"/>
      <c r="G32" s="47"/>
      <c r="H32" s="47"/>
      <c r="I32" s="57">
        <v>116.00700000000001</v>
      </c>
      <c r="J32" s="58">
        <v>2540.5</v>
      </c>
      <c r="K32" s="18">
        <f t="shared" si="19"/>
        <v>123.5</v>
      </c>
      <c r="L32" s="19">
        <f t="shared" si="5"/>
        <v>-3.9999999999995595</v>
      </c>
      <c r="M32" s="19">
        <f t="shared" si="6"/>
        <v>-3.9999999999995595</v>
      </c>
      <c r="N32" s="19">
        <f t="shared" si="7"/>
        <v>-4.9999999999998934</v>
      </c>
      <c r="O32" s="19" t="str">
        <f t="shared" ref="O32:R67" si="20">IF(ISBLANK(F32),"",(F32-F$16)*1000)</f>
        <v/>
      </c>
      <c r="P32" s="19" t="str">
        <f t="shared" si="20"/>
        <v/>
      </c>
      <c r="Q32" s="19" t="str">
        <f t="shared" si="20"/>
        <v/>
      </c>
      <c r="R32" s="19">
        <f t="shared" si="20"/>
        <v>-12.000000000000455</v>
      </c>
      <c r="S32" s="27">
        <f t="shared" si="4"/>
        <v>-7.1428571428531845E-2</v>
      </c>
      <c r="T32" s="28">
        <f t="shared" si="4"/>
        <v>0</v>
      </c>
      <c r="U32" s="28">
        <f t="shared" si="4"/>
        <v>-7.1428571428595281E-2</v>
      </c>
      <c r="V32" s="28" t="str">
        <f t="shared" si="4"/>
        <v/>
      </c>
      <c r="W32" s="28" t="str">
        <f t="shared" si="4"/>
        <v/>
      </c>
      <c r="X32" s="29" t="str">
        <f t="shared" si="4"/>
        <v/>
      </c>
      <c r="Y32" s="24"/>
    </row>
    <row r="33" spans="2:25" ht="15" customHeight="1" x14ac:dyDescent="0.2">
      <c r="B33" s="31">
        <v>42502</v>
      </c>
      <c r="C33" s="73">
        <v>12.749000000000001</v>
      </c>
      <c r="D33" s="71">
        <v>8.0229999999999997</v>
      </c>
      <c r="E33" s="71">
        <v>7.7549999999999999</v>
      </c>
      <c r="F33" s="47"/>
      <c r="G33" s="47"/>
      <c r="H33" s="47"/>
      <c r="I33" s="57">
        <v>116.004</v>
      </c>
      <c r="J33" s="58">
        <v>2429</v>
      </c>
      <c r="K33" s="18">
        <f t="shared" si="19"/>
        <v>12</v>
      </c>
      <c r="L33" s="19">
        <f t="shared" si="5"/>
        <v>-3.9999999999995595</v>
      </c>
      <c r="M33" s="19">
        <f t="shared" si="6"/>
        <v>-3.9999999999995595</v>
      </c>
      <c r="N33" s="19">
        <f t="shared" si="7"/>
        <v>-4.9999999999998934</v>
      </c>
      <c r="O33" s="19" t="str">
        <f t="shared" si="20"/>
        <v/>
      </c>
      <c r="P33" s="19" t="str">
        <f t="shared" si="20"/>
        <v/>
      </c>
      <c r="Q33" s="19" t="str">
        <f t="shared" si="20"/>
        <v/>
      </c>
      <c r="R33" s="19">
        <f t="shared" si="20"/>
        <v>-15.000000000000568</v>
      </c>
      <c r="S33" s="27">
        <f t="shared" ref="S33:X48" si="21">IF(C33="","",((C33-C32)*1000)/($B33-$B32))</f>
        <v>0</v>
      </c>
      <c r="T33" s="28">
        <f t="shared" si="21"/>
        <v>0</v>
      </c>
      <c r="U33" s="28">
        <f t="shared" si="21"/>
        <v>0</v>
      </c>
      <c r="V33" s="28" t="str">
        <f t="shared" si="21"/>
        <v/>
      </c>
      <c r="W33" s="28" t="str">
        <f t="shared" si="21"/>
        <v/>
      </c>
      <c r="X33" s="29" t="str">
        <f t="shared" si="21"/>
        <v/>
      </c>
      <c r="Y33" s="24"/>
    </row>
    <row r="34" spans="2:25" ht="15" customHeight="1" x14ac:dyDescent="0.2">
      <c r="B34" s="31">
        <v>42503</v>
      </c>
      <c r="C34" s="73">
        <v>12.749000000000001</v>
      </c>
      <c r="D34" s="71">
        <v>8.0229999999999997</v>
      </c>
      <c r="E34" s="26">
        <v>7.7530000000000001</v>
      </c>
      <c r="F34" s="47">
        <v>12.86</v>
      </c>
      <c r="G34" s="47">
        <v>10.553000000000001</v>
      </c>
      <c r="H34" s="47">
        <v>10.352</v>
      </c>
      <c r="I34" s="57">
        <v>115.997</v>
      </c>
      <c r="J34" s="58">
        <v>2439</v>
      </c>
      <c r="K34" s="18">
        <f t="shared" ref="K34:K35" si="22">IF(ISBLANK(J34),"",(J34-$J$8))</f>
        <v>22</v>
      </c>
      <c r="L34" s="19">
        <f t="shared" si="5"/>
        <v>-3.9999999999995595</v>
      </c>
      <c r="M34" s="19">
        <f t="shared" si="6"/>
        <v>-3.9999999999995595</v>
      </c>
      <c r="N34" s="19">
        <f t="shared" si="7"/>
        <v>-6.9999999999996732</v>
      </c>
      <c r="O34" s="19">
        <f>IF(ISBLANK(F34),"",((F34-F$34)*1000)+L$34)</f>
        <v>-3.9999999999995595</v>
      </c>
      <c r="P34" s="19">
        <f>IF(ISBLANK(G34),"",((G34-G$34)*1000)+M$34)</f>
        <v>-3.9999999999995595</v>
      </c>
      <c r="Q34" s="19">
        <f>IF(ISBLANK(H34),"",((H34-H$34)*1000)+N$34)</f>
        <v>-6.9999999999996732</v>
      </c>
      <c r="R34" s="19">
        <f t="shared" si="20"/>
        <v>-22.000000000005571</v>
      </c>
      <c r="S34" s="27">
        <f t="shared" si="21"/>
        <v>0</v>
      </c>
      <c r="T34" s="28">
        <f t="shared" si="21"/>
        <v>0</v>
      </c>
      <c r="U34" s="28">
        <f t="shared" si="21"/>
        <v>-1.9999999999997797</v>
      </c>
      <c r="V34" s="28"/>
      <c r="W34" s="28"/>
      <c r="X34" s="29"/>
      <c r="Y34" s="24"/>
    </row>
    <row r="35" spans="2:25" ht="15" customHeight="1" x14ac:dyDescent="0.2">
      <c r="B35" s="31">
        <v>42506</v>
      </c>
      <c r="C35" s="25">
        <v>12.728</v>
      </c>
      <c r="D35" s="26">
        <v>8.0169999999999995</v>
      </c>
      <c r="E35" s="26">
        <v>7.75</v>
      </c>
      <c r="F35" s="47">
        <v>12.858000000000001</v>
      </c>
      <c r="G35" s="47">
        <v>10.551</v>
      </c>
      <c r="H35" s="47">
        <v>10.351000000000001</v>
      </c>
      <c r="I35" s="57">
        <v>115.997</v>
      </c>
      <c r="J35" s="58">
        <v>2450</v>
      </c>
      <c r="K35" s="18">
        <f t="shared" si="22"/>
        <v>33</v>
      </c>
      <c r="L35" s="19">
        <f t="shared" si="5"/>
        <v>-25.000000000000355</v>
      </c>
      <c r="M35" s="19">
        <f t="shared" si="6"/>
        <v>-9.9999999999997868</v>
      </c>
      <c r="N35" s="19">
        <f t="shared" si="7"/>
        <v>-9.9999999999997868</v>
      </c>
      <c r="O35" s="19">
        <f t="shared" ref="O35:O98" si="23">IF(ISBLANK(F35),"",((F35-F$34)*1000)+L$34)</f>
        <v>-5.999999999998451</v>
      </c>
      <c r="P35" s="19">
        <f t="shared" ref="P35:P98" si="24">IF(ISBLANK(G35),"",((G35-G$34)*1000)+M$34)</f>
        <v>-6.0000000000002274</v>
      </c>
      <c r="Q35" s="19">
        <f t="shared" ref="Q35:Q98" si="25">IF(ISBLANK(H35),"",((H35-H$34)*1000)+N$34)</f>
        <v>-7.9999999999991189</v>
      </c>
      <c r="R35" s="19">
        <f t="shared" si="20"/>
        <v>-22.000000000005571</v>
      </c>
      <c r="S35" s="27">
        <f t="shared" si="21"/>
        <v>-7.0000000000002656</v>
      </c>
      <c r="T35" s="28">
        <f t="shared" si="21"/>
        <v>-2.0000000000000759</v>
      </c>
      <c r="U35" s="28">
        <f t="shared" si="21"/>
        <v>-1.000000000000038</v>
      </c>
      <c r="V35" s="28">
        <f t="shared" si="21"/>
        <v>-0.66666666666629715</v>
      </c>
      <c r="W35" s="28">
        <f t="shared" si="21"/>
        <v>-0.66666666666688934</v>
      </c>
      <c r="X35" s="29">
        <f t="shared" si="21"/>
        <v>-0.33333333333314857</v>
      </c>
      <c r="Y35" s="24"/>
    </row>
    <row r="36" spans="2:25" ht="15" customHeight="1" x14ac:dyDescent="0.2">
      <c r="B36" s="31">
        <v>42507</v>
      </c>
      <c r="C36" s="25">
        <v>12.728999999999999</v>
      </c>
      <c r="D36" s="26">
        <v>8.0169999999999995</v>
      </c>
      <c r="E36" s="26">
        <v>7.75</v>
      </c>
      <c r="F36" s="47">
        <v>12.859</v>
      </c>
      <c r="G36" s="47">
        <v>10.551</v>
      </c>
      <c r="H36" s="47">
        <v>10.351000000000001</v>
      </c>
      <c r="I36" s="57">
        <v>115.999</v>
      </c>
      <c r="J36" s="58">
        <v>2459</v>
      </c>
      <c r="K36" s="18">
        <f t="shared" ref="K36" si="26">IF(ISBLANK(J36),"",(J36-$J$8))</f>
        <v>42</v>
      </c>
      <c r="L36" s="19">
        <f t="shared" si="5"/>
        <v>-24.000000000000909</v>
      </c>
      <c r="M36" s="19">
        <f t="shared" si="6"/>
        <v>-9.9999999999997868</v>
      </c>
      <c r="N36" s="19">
        <f t="shared" si="7"/>
        <v>-9.9999999999997868</v>
      </c>
      <c r="O36" s="19">
        <f t="shared" si="23"/>
        <v>-4.9999999999990052</v>
      </c>
      <c r="P36" s="19">
        <f t="shared" si="24"/>
        <v>-6.0000000000002274</v>
      </c>
      <c r="Q36" s="19">
        <f t="shared" si="25"/>
        <v>-7.9999999999991189</v>
      </c>
      <c r="R36" s="19">
        <f t="shared" si="20"/>
        <v>-20.000000000010232</v>
      </c>
      <c r="S36" s="27">
        <f t="shared" si="21"/>
        <v>0.99999999999944578</v>
      </c>
      <c r="T36" s="28">
        <f t="shared" si="21"/>
        <v>0</v>
      </c>
      <c r="U36" s="28">
        <f t="shared" si="21"/>
        <v>0</v>
      </c>
      <c r="V36" s="28">
        <f t="shared" si="21"/>
        <v>0.99999999999944578</v>
      </c>
      <c r="W36" s="28">
        <f t="shared" si="21"/>
        <v>0</v>
      </c>
      <c r="X36" s="29">
        <f t="shared" si="21"/>
        <v>0</v>
      </c>
      <c r="Y36" s="24"/>
    </row>
    <row r="37" spans="2:25" ht="15" customHeight="1" x14ac:dyDescent="0.2">
      <c r="B37" s="31">
        <v>42508</v>
      </c>
      <c r="C37" s="25">
        <v>12.728</v>
      </c>
      <c r="D37" s="26">
        <v>8.016</v>
      </c>
      <c r="E37" s="26">
        <v>7.7519999999999998</v>
      </c>
      <c r="F37" s="47">
        <v>12.859</v>
      </c>
      <c r="G37" s="47">
        <v>10.552</v>
      </c>
      <c r="H37" s="47">
        <v>10.351000000000001</v>
      </c>
      <c r="I37" s="57">
        <v>116</v>
      </c>
      <c r="J37" s="58">
        <v>2467</v>
      </c>
      <c r="K37" s="18">
        <f t="shared" ref="K37" si="27">IF(ISBLANK(J37),"",(J37-$J$8))</f>
        <v>50</v>
      </c>
      <c r="L37" s="19">
        <f t="shared" si="5"/>
        <v>-25.000000000000355</v>
      </c>
      <c r="M37" s="19">
        <f t="shared" si="6"/>
        <v>-10.999999999999233</v>
      </c>
      <c r="N37" s="19">
        <f t="shared" si="7"/>
        <v>-8.0000000000000071</v>
      </c>
      <c r="O37" s="19">
        <f t="shared" si="23"/>
        <v>-4.9999999999990052</v>
      </c>
      <c r="P37" s="19">
        <f t="shared" si="24"/>
        <v>-5.0000000000007816</v>
      </c>
      <c r="Q37" s="19">
        <f t="shared" si="25"/>
        <v>-7.9999999999991189</v>
      </c>
      <c r="R37" s="19">
        <f t="shared" si="20"/>
        <v>-19.000000000005457</v>
      </c>
      <c r="S37" s="27">
        <f t="shared" si="21"/>
        <v>-0.99999999999944578</v>
      </c>
      <c r="T37" s="28">
        <f t="shared" si="21"/>
        <v>-0.99999999999944578</v>
      </c>
      <c r="U37" s="28">
        <f t="shared" si="21"/>
        <v>1.9999999999997797</v>
      </c>
      <c r="V37" s="28">
        <f t="shared" si="21"/>
        <v>0</v>
      </c>
      <c r="W37" s="28">
        <f t="shared" si="21"/>
        <v>0.99999999999944578</v>
      </c>
      <c r="X37" s="29">
        <f t="shared" si="21"/>
        <v>0</v>
      </c>
      <c r="Y37" s="24"/>
    </row>
    <row r="38" spans="2:25" ht="15" customHeight="1" x14ac:dyDescent="0.2">
      <c r="B38" s="31">
        <v>42509</v>
      </c>
      <c r="C38" s="25">
        <v>12.728</v>
      </c>
      <c r="D38" s="26">
        <v>8.016</v>
      </c>
      <c r="E38" s="26">
        <v>7.7519999999999998</v>
      </c>
      <c r="F38" s="47">
        <v>12.859</v>
      </c>
      <c r="G38" s="47">
        <v>10.552</v>
      </c>
      <c r="H38" s="47">
        <v>10.351000000000001</v>
      </c>
      <c r="I38" s="57">
        <v>116</v>
      </c>
      <c r="J38" s="58">
        <v>2479</v>
      </c>
      <c r="K38" s="18">
        <f t="shared" ref="K38:K42" si="28">IF(ISBLANK(J38),"",(J38-$J$8))</f>
        <v>62</v>
      </c>
      <c r="L38" s="19">
        <f t="shared" si="5"/>
        <v>-25.000000000000355</v>
      </c>
      <c r="M38" s="19">
        <f t="shared" si="6"/>
        <v>-10.999999999999233</v>
      </c>
      <c r="N38" s="19">
        <f t="shared" si="7"/>
        <v>-8.0000000000000071</v>
      </c>
      <c r="O38" s="19">
        <f t="shared" si="23"/>
        <v>-4.9999999999990052</v>
      </c>
      <c r="P38" s="19">
        <f t="shared" si="24"/>
        <v>-5.0000000000007816</v>
      </c>
      <c r="Q38" s="19">
        <f t="shared" si="25"/>
        <v>-7.9999999999991189</v>
      </c>
      <c r="R38" s="19">
        <f t="shared" si="20"/>
        <v>-19.000000000005457</v>
      </c>
      <c r="S38" s="27">
        <f t="shared" si="21"/>
        <v>0</v>
      </c>
      <c r="T38" s="28">
        <f t="shared" si="21"/>
        <v>0</v>
      </c>
      <c r="U38" s="28">
        <f t="shared" si="21"/>
        <v>0</v>
      </c>
      <c r="V38" s="28">
        <f t="shared" si="21"/>
        <v>0</v>
      </c>
      <c r="W38" s="28">
        <f t="shared" si="21"/>
        <v>0</v>
      </c>
      <c r="X38" s="29">
        <f t="shared" si="21"/>
        <v>0</v>
      </c>
      <c r="Y38" s="24"/>
    </row>
    <row r="39" spans="2:25" ht="15" customHeight="1" x14ac:dyDescent="0.2">
      <c r="B39" s="31">
        <v>42510</v>
      </c>
      <c r="C39" s="25">
        <v>12.728</v>
      </c>
      <c r="D39" s="26">
        <v>8.016</v>
      </c>
      <c r="E39" s="26">
        <v>7.7519999999999998</v>
      </c>
      <c r="F39" s="47">
        <v>12.859</v>
      </c>
      <c r="G39" s="47">
        <v>10.551</v>
      </c>
      <c r="H39" s="47">
        <v>10.351000000000001</v>
      </c>
      <c r="I39" s="57">
        <v>116</v>
      </c>
      <c r="J39" s="58">
        <v>2490</v>
      </c>
      <c r="K39" s="18">
        <f t="shared" si="28"/>
        <v>73</v>
      </c>
      <c r="L39" s="19">
        <f t="shared" si="5"/>
        <v>-25.000000000000355</v>
      </c>
      <c r="M39" s="19">
        <f t="shared" si="6"/>
        <v>-10.999999999999233</v>
      </c>
      <c r="N39" s="19">
        <f t="shared" si="7"/>
        <v>-8.0000000000000071</v>
      </c>
      <c r="O39" s="19">
        <f t="shared" si="23"/>
        <v>-4.9999999999990052</v>
      </c>
      <c r="P39" s="19">
        <f t="shared" si="24"/>
        <v>-6.0000000000002274</v>
      </c>
      <c r="Q39" s="19">
        <f t="shared" si="25"/>
        <v>-7.9999999999991189</v>
      </c>
      <c r="R39" s="19">
        <f t="shared" si="20"/>
        <v>-19.000000000005457</v>
      </c>
      <c r="S39" s="27">
        <f t="shared" si="21"/>
        <v>0</v>
      </c>
      <c r="T39" s="28">
        <f t="shared" si="21"/>
        <v>0</v>
      </c>
      <c r="U39" s="28">
        <f t="shared" si="21"/>
        <v>0</v>
      </c>
      <c r="V39" s="28">
        <f t="shared" si="21"/>
        <v>0</v>
      </c>
      <c r="W39" s="28">
        <f t="shared" si="21"/>
        <v>-0.99999999999944578</v>
      </c>
      <c r="X39" s="29">
        <f t="shared" si="21"/>
        <v>0</v>
      </c>
      <c r="Y39" s="24"/>
    </row>
    <row r="40" spans="2:25" ht="15" customHeight="1" x14ac:dyDescent="0.2">
      <c r="B40" s="31">
        <v>42513</v>
      </c>
      <c r="C40" s="25">
        <v>12.728</v>
      </c>
      <c r="D40" s="26">
        <v>8.016</v>
      </c>
      <c r="E40" s="26">
        <v>7.7519999999999998</v>
      </c>
      <c r="F40" s="47">
        <v>12.858000000000001</v>
      </c>
      <c r="G40" s="47">
        <v>10.551</v>
      </c>
      <c r="H40" s="47">
        <v>10.35</v>
      </c>
      <c r="I40" s="57">
        <v>116</v>
      </c>
      <c r="J40" s="58">
        <v>2500</v>
      </c>
      <c r="K40" s="18">
        <f t="shared" si="28"/>
        <v>83</v>
      </c>
      <c r="L40" s="19">
        <f t="shared" si="5"/>
        <v>-25.000000000000355</v>
      </c>
      <c r="M40" s="19">
        <f t="shared" si="6"/>
        <v>-10.999999999999233</v>
      </c>
      <c r="N40" s="19">
        <f t="shared" si="7"/>
        <v>-8.0000000000000071</v>
      </c>
      <c r="O40" s="19">
        <f t="shared" si="23"/>
        <v>-5.999999999998451</v>
      </c>
      <c r="P40" s="19">
        <f t="shared" si="24"/>
        <v>-6.0000000000002274</v>
      </c>
      <c r="Q40" s="19">
        <f t="shared" si="25"/>
        <v>-9.0000000000003411</v>
      </c>
      <c r="R40" s="19">
        <f t="shared" si="20"/>
        <v>-19.000000000005457</v>
      </c>
      <c r="S40" s="27">
        <f t="shared" si="21"/>
        <v>0</v>
      </c>
      <c r="T40" s="28">
        <f t="shared" si="21"/>
        <v>0</v>
      </c>
      <c r="U40" s="28">
        <f t="shared" si="21"/>
        <v>0</v>
      </c>
      <c r="V40" s="28">
        <f t="shared" si="21"/>
        <v>-0.33333333333314857</v>
      </c>
      <c r="W40" s="28">
        <f t="shared" si="21"/>
        <v>0</v>
      </c>
      <c r="X40" s="29">
        <f t="shared" si="21"/>
        <v>-0.33333333333374071</v>
      </c>
      <c r="Y40" s="24"/>
    </row>
    <row r="41" spans="2:25" ht="15" customHeight="1" x14ac:dyDescent="0.2">
      <c r="B41" s="31">
        <v>42514</v>
      </c>
      <c r="C41" s="25">
        <v>12.728</v>
      </c>
      <c r="D41" s="26">
        <v>8.016</v>
      </c>
      <c r="E41" s="26">
        <v>7.7519999999999998</v>
      </c>
      <c r="F41" s="47">
        <v>12.858000000000001</v>
      </c>
      <c r="G41" s="47">
        <v>10.551</v>
      </c>
      <c r="H41" s="47">
        <v>10.349</v>
      </c>
      <c r="I41" s="57">
        <v>116</v>
      </c>
      <c r="J41" s="58">
        <v>2515</v>
      </c>
      <c r="K41" s="18">
        <f t="shared" si="28"/>
        <v>98</v>
      </c>
      <c r="L41" s="19">
        <f t="shared" si="5"/>
        <v>-25.000000000000355</v>
      </c>
      <c r="M41" s="19">
        <f t="shared" si="6"/>
        <v>-10.999999999999233</v>
      </c>
      <c r="N41" s="19">
        <f t="shared" si="7"/>
        <v>-8.0000000000000071</v>
      </c>
      <c r="O41" s="19">
        <f t="shared" si="23"/>
        <v>-5.999999999998451</v>
      </c>
      <c r="P41" s="19">
        <f t="shared" si="24"/>
        <v>-6.0000000000002274</v>
      </c>
      <c r="Q41" s="19">
        <f t="shared" si="25"/>
        <v>-9.9999999999997868</v>
      </c>
      <c r="R41" s="19">
        <f t="shared" si="20"/>
        <v>-19.000000000005457</v>
      </c>
      <c r="S41" s="27">
        <f t="shared" si="21"/>
        <v>0</v>
      </c>
      <c r="T41" s="28">
        <f t="shared" si="21"/>
        <v>0</v>
      </c>
      <c r="U41" s="28">
        <f t="shared" si="21"/>
        <v>0</v>
      </c>
      <c r="V41" s="28">
        <f t="shared" si="21"/>
        <v>0</v>
      </c>
      <c r="W41" s="28">
        <f t="shared" si="21"/>
        <v>0</v>
      </c>
      <c r="X41" s="29">
        <f t="shared" si="21"/>
        <v>-0.99999999999944578</v>
      </c>
      <c r="Y41" s="24"/>
    </row>
    <row r="42" spans="2:25" ht="15" customHeight="1" x14ac:dyDescent="0.2">
      <c r="B42" s="31">
        <v>42515</v>
      </c>
      <c r="C42" s="25">
        <v>12.728999999999999</v>
      </c>
      <c r="D42" s="26">
        <v>8.016</v>
      </c>
      <c r="E42" s="26">
        <v>7.7519999999999998</v>
      </c>
      <c r="F42" s="47">
        <v>12.856999999999999</v>
      </c>
      <c r="G42" s="47">
        <v>10.548999999999999</v>
      </c>
      <c r="H42" s="47">
        <v>10.35</v>
      </c>
      <c r="I42" s="57">
        <v>115.999</v>
      </c>
      <c r="J42" s="58">
        <v>2524</v>
      </c>
      <c r="K42" s="18">
        <f t="shared" si="28"/>
        <v>107</v>
      </c>
      <c r="L42" s="19">
        <f t="shared" si="5"/>
        <v>-24.000000000000909</v>
      </c>
      <c r="M42" s="19">
        <f t="shared" si="6"/>
        <v>-10.999999999999233</v>
      </c>
      <c r="N42" s="19">
        <f t="shared" si="7"/>
        <v>-8.0000000000000071</v>
      </c>
      <c r="O42" s="19">
        <f t="shared" si="23"/>
        <v>-6.9999999999996732</v>
      </c>
      <c r="P42" s="19">
        <f t="shared" si="24"/>
        <v>-8.0000000000008953</v>
      </c>
      <c r="Q42" s="19">
        <f t="shared" si="25"/>
        <v>-9.0000000000003411</v>
      </c>
      <c r="R42" s="19">
        <f t="shared" si="20"/>
        <v>-20.000000000010232</v>
      </c>
      <c r="S42" s="27">
        <f t="shared" si="21"/>
        <v>0.99999999999944578</v>
      </c>
      <c r="T42" s="28">
        <f t="shared" si="21"/>
        <v>0</v>
      </c>
      <c r="U42" s="28">
        <f t="shared" si="21"/>
        <v>0</v>
      </c>
      <c r="V42" s="28">
        <f t="shared" si="21"/>
        <v>-1.0000000000012221</v>
      </c>
      <c r="W42" s="28">
        <f t="shared" si="21"/>
        <v>-2.0000000000006679</v>
      </c>
      <c r="X42" s="29">
        <f t="shared" si="21"/>
        <v>0.99999999999944578</v>
      </c>
      <c r="Y42" s="24"/>
    </row>
    <row r="43" spans="2:25" ht="15" customHeight="1" x14ac:dyDescent="0.2">
      <c r="B43" s="31">
        <v>42516</v>
      </c>
      <c r="C43" s="25">
        <v>12.728</v>
      </c>
      <c r="D43" s="26">
        <v>8.016</v>
      </c>
      <c r="E43" s="26">
        <v>7.75</v>
      </c>
      <c r="F43" s="47">
        <v>12.858000000000001</v>
      </c>
      <c r="G43" s="47">
        <v>10.55</v>
      </c>
      <c r="H43" s="47">
        <v>10.35</v>
      </c>
      <c r="I43" s="57">
        <v>115.999</v>
      </c>
      <c r="J43" s="58">
        <v>2524</v>
      </c>
      <c r="K43" s="18">
        <f t="shared" ref="K43:K45" si="29">IF(ISBLANK(J43),"",(J43-$J$8))</f>
        <v>107</v>
      </c>
      <c r="L43" s="19">
        <f t="shared" si="5"/>
        <v>-25.000000000000355</v>
      </c>
      <c r="M43" s="19">
        <f t="shared" si="6"/>
        <v>-10.999999999999233</v>
      </c>
      <c r="N43" s="19">
        <f t="shared" si="7"/>
        <v>-9.9999999999997868</v>
      </c>
      <c r="O43" s="19">
        <f t="shared" si="23"/>
        <v>-5.999999999998451</v>
      </c>
      <c r="P43" s="19">
        <f t="shared" si="24"/>
        <v>-6.9999999999996732</v>
      </c>
      <c r="Q43" s="19">
        <f t="shared" si="25"/>
        <v>-9.0000000000003411</v>
      </c>
      <c r="R43" s="19">
        <f t="shared" si="20"/>
        <v>-20.000000000010232</v>
      </c>
      <c r="S43" s="27">
        <f t="shared" si="21"/>
        <v>-0.99999999999944578</v>
      </c>
      <c r="T43" s="28">
        <f t="shared" si="21"/>
        <v>0</v>
      </c>
      <c r="U43" s="28">
        <f t="shared" si="21"/>
        <v>-1.9999999999997797</v>
      </c>
      <c r="V43" s="28">
        <f t="shared" si="21"/>
        <v>1.0000000000012221</v>
      </c>
      <c r="W43" s="28">
        <f t="shared" si="21"/>
        <v>1.0000000000012221</v>
      </c>
      <c r="X43" s="29">
        <f t="shared" si="21"/>
        <v>0</v>
      </c>
      <c r="Y43" s="24"/>
    </row>
    <row r="44" spans="2:25" ht="15" customHeight="1" x14ac:dyDescent="0.2">
      <c r="B44" s="31">
        <v>42529</v>
      </c>
      <c r="C44" s="25">
        <v>12.727</v>
      </c>
      <c r="D44" s="26">
        <v>8.016</v>
      </c>
      <c r="E44" s="26">
        <v>7.75</v>
      </c>
      <c r="F44" s="47">
        <v>12.858000000000001</v>
      </c>
      <c r="G44" s="47">
        <v>10.55</v>
      </c>
      <c r="H44" s="47">
        <v>10.35</v>
      </c>
      <c r="I44" s="57">
        <v>116</v>
      </c>
      <c r="J44" s="58">
        <v>2603</v>
      </c>
      <c r="K44" s="18">
        <f t="shared" si="29"/>
        <v>186</v>
      </c>
      <c r="L44" s="19">
        <f t="shared" si="5"/>
        <v>-25.999999999999801</v>
      </c>
      <c r="M44" s="19">
        <f t="shared" si="6"/>
        <v>-10.999999999999233</v>
      </c>
      <c r="N44" s="19">
        <f t="shared" si="7"/>
        <v>-9.9999999999997868</v>
      </c>
      <c r="O44" s="19">
        <f t="shared" si="23"/>
        <v>-5.999999999998451</v>
      </c>
      <c r="P44" s="19">
        <f t="shared" si="24"/>
        <v>-6.9999999999996732</v>
      </c>
      <c r="Q44" s="19">
        <f t="shared" si="25"/>
        <v>-9.0000000000003411</v>
      </c>
      <c r="R44" s="19">
        <f t="shared" si="20"/>
        <v>-19.000000000005457</v>
      </c>
      <c r="S44" s="27">
        <f t="shared" si="21"/>
        <v>-7.6923076923034295E-2</v>
      </c>
      <c r="T44" s="28">
        <f t="shared" si="21"/>
        <v>0</v>
      </c>
      <c r="U44" s="28">
        <f t="shared" si="21"/>
        <v>0</v>
      </c>
      <c r="V44" s="28">
        <f t="shared" si="21"/>
        <v>0</v>
      </c>
      <c r="W44" s="28">
        <f t="shared" si="21"/>
        <v>0</v>
      </c>
      <c r="X44" s="29">
        <f t="shared" si="21"/>
        <v>0</v>
      </c>
      <c r="Y44" s="24"/>
    </row>
    <row r="45" spans="2:25" ht="15" customHeight="1" x14ac:dyDescent="0.2">
      <c r="B45" s="31">
        <v>42558</v>
      </c>
      <c r="C45" s="25">
        <v>12.727</v>
      </c>
      <c r="D45" s="26">
        <v>8.016</v>
      </c>
      <c r="E45" s="26">
        <v>7.75</v>
      </c>
      <c r="F45" s="47">
        <v>12.858000000000001</v>
      </c>
      <c r="G45" s="47">
        <v>10.55</v>
      </c>
      <c r="H45" s="47">
        <v>10.35</v>
      </c>
      <c r="I45" s="57">
        <v>116</v>
      </c>
      <c r="J45" s="58">
        <v>2689</v>
      </c>
      <c r="K45" s="18">
        <f t="shared" si="29"/>
        <v>272</v>
      </c>
      <c r="L45" s="19">
        <f t="shared" si="5"/>
        <v>-25.999999999999801</v>
      </c>
      <c r="M45" s="19">
        <f t="shared" si="6"/>
        <v>-10.999999999999233</v>
      </c>
      <c r="N45" s="19">
        <f t="shared" si="7"/>
        <v>-9.9999999999997868</v>
      </c>
      <c r="O45" s="19">
        <f t="shared" si="23"/>
        <v>-5.999999999998451</v>
      </c>
      <c r="P45" s="19">
        <f t="shared" si="24"/>
        <v>-6.9999999999996732</v>
      </c>
      <c r="Q45" s="19">
        <f t="shared" si="25"/>
        <v>-9.0000000000003411</v>
      </c>
      <c r="R45" s="19">
        <f t="shared" si="20"/>
        <v>-19.000000000005457</v>
      </c>
      <c r="S45" s="27">
        <f t="shared" si="21"/>
        <v>0</v>
      </c>
      <c r="T45" s="28">
        <f t="shared" si="21"/>
        <v>0</v>
      </c>
      <c r="U45" s="28">
        <f t="shared" si="21"/>
        <v>0</v>
      </c>
      <c r="V45" s="28">
        <f t="shared" si="21"/>
        <v>0</v>
      </c>
      <c r="W45" s="28">
        <f t="shared" si="21"/>
        <v>0</v>
      </c>
      <c r="X45" s="29">
        <f t="shared" si="21"/>
        <v>0</v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5"/>
        <v/>
      </c>
      <c r="M46" s="19" t="str">
        <f t="shared" si="6"/>
        <v/>
      </c>
      <c r="N46" s="19" t="str">
        <f t="shared" si="7"/>
        <v/>
      </c>
      <c r="O46" s="19" t="str">
        <f t="shared" si="23"/>
        <v/>
      </c>
      <c r="P46" s="19" t="str">
        <f t="shared" si="24"/>
        <v/>
      </c>
      <c r="Q46" s="19" t="str">
        <f t="shared" si="25"/>
        <v/>
      </c>
      <c r="R46" s="19" t="str">
        <f t="shared" si="20"/>
        <v/>
      </c>
      <c r="S46" s="27" t="str">
        <f t="shared" si="21"/>
        <v/>
      </c>
      <c r="T46" s="28" t="str">
        <f t="shared" si="21"/>
        <v/>
      </c>
      <c r="U46" s="28" t="str">
        <f t="shared" si="21"/>
        <v/>
      </c>
      <c r="V46" s="28" t="str">
        <f t="shared" si="21"/>
        <v/>
      </c>
      <c r="W46" s="28" t="str">
        <f t="shared" si="21"/>
        <v/>
      </c>
      <c r="X46" s="29" t="str">
        <f t="shared" si="2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5"/>
        <v/>
      </c>
      <c r="M47" s="19" t="str">
        <f t="shared" si="6"/>
        <v/>
      </c>
      <c r="N47" s="19" t="str">
        <f t="shared" si="7"/>
        <v/>
      </c>
      <c r="O47" s="19" t="str">
        <f t="shared" si="23"/>
        <v/>
      </c>
      <c r="P47" s="19" t="str">
        <f t="shared" si="24"/>
        <v/>
      </c>
      <c r="Q47" s="19" t="str">
        <f t="shared" si="25"/>
        <v/>
      </c>
      <c r="R47" s="19" t="str">
        <f t="shared" si="20"/>
        <v/>
      </c>
      <c r="S47" s="27" t="str">
        <f t="shared" si="21"/>
        <v/>
      </c>
      <c r="T47" s="28" t="str">
        <f t="shared" si="21"/>
        <v/>
      </c>
      <c r="U47" s="28" t="str">
        <f t="shared" si="21"/>
        <v/>
      </c>
      <c r="V47" s="28" t="str">
        <f t="shared" si="21"/>
        <v/>
      </c>
      <c r="W47" s="28" t="str">
        <f t="shared" si="21"/>
        <v/>
      </c>
      <c r="X47" s="29" t="str">
        <f t="shared" si="2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5"/>
        <v/>
      </c>
      <c r="M48" s="19" t="str">
        <f t="shared" si="6"/>
        <v/>
      </c>
      <c r="N48" s="19" t="str">
        <f t="shared" si="7"/>
        <v/>
      </c>
      <c r="O48" s="19" t="str">
        <f t="shared" si="23"/>
        <v/>
      </c>
      <c r="P48" s="19" t="str">
        <f t="shared" si="24"/>
        <v/>
      </c>
      <c r="Q48" s="19" t="str">
        <f t="shared" si="25"/>
        <v/>
      </c>
      <c r="R48" s="19" t="str">
        <f t="shared" si="20"/>
        <v/>
      </c>
      <c r="S48" s="27" t="str">
        <f t="shared" si="21"/>
        <v/>
      </c>
      <c r="T48" s="28" t="str">
        <f t="shared" si="21"/>
        <v/>
      </c>
      <c r="U48" s="28" t="str">
        <f t="shared" si="21"/>
        <v/>
      </c>
      <c r="V48" s="28" t="str">
        <f t="shared" si="21"/>
        <v/>
      </c>
      <c r="W48" s="28" t="str">
        <f t="shared" si="21"/>
        <v/>
      </c>
      <c r="X48" s="29" t="str">
        <f t="shared" si="2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5"/>
        <v/>
      </c>
      <c r="M49" s="19" t="str">
        <f t="shared" si="6"/>
        <v/>
      </c>
      <c r="N49" s="19" t="str">
        <f t="shared" si="7"/>
        <v/>
      </c>
      <c r="O49" s="19" t="str">
        <f t="shared" si="23"/>
        <v/>
      </c>
      <c r="P49" s="19" t="str">
        <f t="shared" si="24"/>
        <v/>
      </c>
      <c r="Q49" s="19" t="str">
        <f t="shared" si="25"/>
        <v/>
      </c>
      <c r="R49" s="19" t="str">
        <f t="shared" si="20"/>
        <v/>
      </c>
      <c r="S49" s="27" t="str">
        <f t="shared" ref="S49:X64" si="30">IF(C49="","",((C49-C48)*1000)/($B49-$B48))</f>
        <v/>
      </c>
      <c r="T49" s="28" t="str">
        <f t="shared" si="30"/>
        <v/>
      </c>
      <c r="U49" s="28" t="str">
        <f t="shared" si="30"/>
        <v/>
      </c>
      <c r="V49" s="28" t="str">
        <f t="shared" si="30"/>
        <v/>
      </c>
      <c r="W49" s="28" t="str">
        <f t="shared" si="30"/>
        <v/>
      </c>
      <c r="X49" s="29" t="str">
        <f t="shared" si="30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5"/>
        <v/>
      </c>
      <c r="M50" s="19" t="str">
        <f t="shared" si="6"/>
        <v/>
      </c>
      <c r="N50" s="19" t="str">
        <f t="shared" si="7"/>
        <v/>
      </c>
      <c r="O50" s="19" t="str">
        <f t="shared" si="23"/>
        <v/>
      </c>
      <c r="P50" s="19" t="str">
        <f t="shared" si="24"/>
        <v/>
      </c>
      <c r="Q50" s="19" t="str">
        <f t="shared" si="25"/>
        <v/>
      </c>
      <c r="R50" s="19" t="str">
        <f t="shared" si="20"/>
        <v/>
      </c>
      <c r="S50" s="27" t="str">
        <f t="shared" si="30"/>
        <v/>
      </c>
      <c r="T50" s="28" t="str">
        <f t="shared" si="30"/>
        <v/>
      </c>
      <c r="U50" s="28" t="str">
        <f t="shared" si="30"/>
        <v/>
      </c>
      <c r="V50" s="28" t="str">
        <f t="shared" si="30"/>
        <v/>
      </c>
      <c r="W50" s="28" t="str">
        <f t="shared" si="30"/>
        <v/>
      </c>
      <c r="X50" s="29" t="str">
        <f t="shared" si="30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5"/>
        <v/>
      </c>
      <c r="M51" s="19" t="str">
        <f t="shared" si="6"/>
        <v/>
      </c>
      <c r="N51" s="19" t="str">
        <f t="shared" si="7"/>
        <v/>
      </c>
      <c r="O51" s="19" t="str">
        <f t="shared" si="23"/>
        <v/>
      </c>
      <c r="P51" s="19" t="str">
        <f t="shared" si="24"/>
        <v/>
      </c>
      <c r="Q51" s="19" t="str">
        <f t="shared" si="25"/>
        <v/>
      </c>
      <c r="R51" s="19" t="str">
        <f t="shared" si="20"/>
        <v/>
      </c>
      <c r="S51" s="27" t="str">
        <f t="shared" si="30"/>
        <v/>
      </c>
      <c r="T51" s="28" t="str">
        <f t="shared" si="30"/>
        <v/>
      </c>
      <c r="U51" s="28" t="str">
        <f t="shared" si="30"/>
        <v/>
      </c>
      <c r="V51" s="28" t="str">
        <f t="shared" si="30"/>
        <v/>
      </c>
      <c r="W51" s="28" t="str">
        <f t="shared" si="30"/>
        <v/>
      </c>
      <c r="X51" s="29" t="str">
        <f t="shared" si="30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5"/>
        <v/>
      </c>
      <c r="M52" s="19" t="str">
        <f t="shared" si="6"/>
        <v/>
      </c>
      <c r="N52" s="19" t="str">
        <f t="shared" si="7"/>
        <v/>
      </c>
      <c r="O52" s="19" t="str">
        <f t="shared" si="23"/>
        <v/>
      </c>
      <c r="P52" s="19" t="str">
        <f t="shared" si="24"/>
        <v/>
      </c>
      <c r="Q52" s="19" t="str">
        <f t="shared" si="25"/>
        <v/>
      </c>
      <c r="R52" s="19" t="str">
        <f t="shared" si="20"/>
        <v/>
      </c>
      <c r="S52" s="27" t="str">
        <f t="shared" si="30"/>
        <v/>
      </c>
      <c r="T52" s="28" t="str">
        <f t="shared" si="30"/>
        <v/>
      </c>
      <c r="U52" s="28" t="str">
        <f t="shared" si="30"/>
        <v/>
      </c>
      <c r="V52" s="28" t="str">
        <f t="shared" si="30"/>
        <v/>
      </c>
      <c r="W52" s="28" t="str">
        <f t="shared" si="30"/>
        <v/>
      </c>
      <c r="X52" s="29" t="str">
        <f t="shared" si="30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5"/>
        <v/>
      </c>
      <c r="M53" s="19" t="str">
        <f t="shared" si="6"/>
        <v/>
      </c>
      <c r="N53" s="19" t="str">
        <f t="shared" si="7"/>
        <v/>
      </c>
      <c r="O53" s="19" t="str">
        <f t="shared" si="23"/>
        <v/>
      </c>
      <c r="P53" s="19" t="str">
        <f t="shared" si="24"/>
        <v/>
      </c>
      <c r="Q53" s="19" t="str">
        <f t="shared" si="25"/>
        <v/>
      </c>
      <c r="R53" s="19" t="str">
        <f t="shared" si="20"/>
        <v/>
      </c>
      <c r="S53" s="27" t="str">
        <f t="shared" si="30"/>
        <v/>
      </c>
      <c r="T53" s="28" t="str">
        <f t="shared" si="30"/>
        <v/>
      </c>
      <c r="U53" s="28" t="str">
        <f t="shared" si="30"/>
        <v/>
      </c>
      <c r="V53" s="28" t="str">
        <f t="shared" si="30"/>
        <v/>
      </c>
      <c r="W53" s="28" t="str">
        <f t="shared" si="30"/>
        <v/>
      </c>
      <c r="X53" s="29" t="str">
        <f t="shared" si="30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5"/>
        <v/>
      </c>
      <c r="M54" s="19" t="str">
        <f t="shared" si="6"/>
        <v/>
      </c>
      <c r="N54" s="19" t="str">
        <f t="shared" si="7"/>
        <v/>
      </c>
      <c r="O54" s="19" t="str">
        <f t="shared" si="23"/>
        <v/>
      </c>
      <c r="P54" s="19" t="str">
        <f t="shared" si="24"/>
        <v/>
      </c>
      <c r="Q54" s="19" t="str">
        <f t="shared" si="25"/>
        <v/>
      </c>
      <c r="R54" s="19" t="str">
        <f t="shared" si="20"/>
        <v/>
      </c>
      <c r="S54" s="27" t="str">
        <f t="shared" si="30"/>
        <v/>
      </c>
      <c r="T54" s="28" t="str">
        <f t="shared" si="30"/>
        <v/>
      </c>
      <c r="U54" s="28" t="str">
        <f t="shared" si="30"/>
        <v/>
      </c>
      <c r="V54" s="28" t="str">
        <f t="shared" si="30"/>
        <v/>
      </c>
      <c r="W54" s="28" t="str">
        <f t="shared" si="30"/>
        <v/>
      </c>
      <c r="X54" s="29" t="str">
        <f t="shared" si="30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5"/>
        <v/>
      </c>
      <c r="M55" s="19" t="str">
        <f t="shared" si="6"/>
        <v/>
      </c>
      <c r="N55" s="19" t="str">
        <f t="shared" si="7"/>
        <v/>
      </c>
      <c r="O55" s="19" t="str">
        <f t="shared" si="23"/>
        <v/>
      </c>
      <c r="P55" s="19" t="str">
        <f t="shared" si="24"/>
        <v/>
      </c>
      <c r="Q55" s="19" t="str">
        <f t="shared" si="25"/>
        <v/>
      </c>
      <c r="R55" s="19" t="str">
        <f t="shared" si="20"/>
        <v/>
      </c>
      <c r="S55" s="27" t="str">
        <f t="shared" si="30"/>
        <v/>
      </c>
      <c r="T55" s="28" t="str">
        <f t="shared" si="30"/>
        <v/>
      </c>
      <c r="U55" s="28" t="str">
        <f t="shared" si="30"/>
        <v/>
      </c>
      <c r="V55" s="28" t="str">
        <f t="shared" si="30"/>
        <v/>
      </c>
      <c r="W55" s="28" t="str">
        <f t="shared" si="30"/>
        <v/>
      </c>
      <c r="X55" s="29" t="str">
        <f t="shared" si="30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5"/>
        <v/>
      </c>
      <c r="M56" s="19" t="str">
        <f t="shared" si="6"/>
        <v/>
      </c>
      <c r="N56" s="19" t="str">
        <f t="shared" si="7"/>
        <v/>
      </c>
      <c r="O56" s="19" t="str">
        <f t="shared" si="23"/>
        <v/>
      </c>
      <c r="P56" s="19" t="str">
        <f t="shared" si="24"/>
        <v/>
      </c>
      <c r="Q56" s="19" t="str">
        <f t="shared" si="25"/>
        <v/>
      </c>
      <c r="R56" s="19" t="str">
        <f t="shared" si="20"/>
        <v/>
      </c>
      <c r="S56" s="27" t="str">
        <f t="shared" si="30"/>
        <v/>
      </c>
      <c r="T56" s="28" t="str">
        <f t="shared" si="30"/>
        <v/>
      </c>
      <c r="U56" s="28" t="str">
        <f t="shared" si="30"/>
        <v/>
      </c>
      <c r="V56" s="28" t="str">
        <f t="shared" si="30"/>
        <v/>
      </c>
      <c r="W56" s="28" t="str">
        <f t="shared" si="30"/>
        <v/>
      </c>
      <c r="X56" s="29" t="str">
        <f t="shared" si="30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5"/>
        <v/>
      </c>
      <c r="M57" s="19" t="str">
        <f t="shared" si="6"/>
        <v/>
      </c>
      <c r="N57" s="19" t="str">
        <f t="shared" si="7"/>
        <v/>
      </c>
      <c r="O57" s="19" t="str">
        <f t="shared" si="23"/>
        <v/>
      </c>
      <c r="P57" s="19" t="str">
        <f t="shared" si="24"/>
        <v/>
      </c>
      <c r="Q57" s="19" t="str">
        <f t="shared" si="25"/>
        <v/>
      </c>
      <c r="R57" s="19" t="str">
        <f t="shared" si="20"/>
        <v/>
      </c>
      <c r="S57" s="27" t="str">
        <f t="shared" si="30"/>
        <v/>
      </c>
      <c r="T57" s="28" t="str">
        <f t="shared" si="30"/>
        <v/>
      </c>
      <c r="U57" s="28" t="str">
        <f t="shared" si="30"/>
        <v/>
      </c>
      <c r="V57" s="28" t="str">
        <f t="shared" si="30"/>
        <v/>
      </c>
      <c r="W57" s="28" t="str">
        <f t="shared" si="30"/>
        <v/>
      </c>
      <c r="X57" s="29" t="str">
        <f t="shared" si="30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5"/>
        <v/>
      </c>
      <c r="M58" s="19" t="str">
        <f t="shared" si="6"/>
        <v/>
      </c>
      <c r="N58" s="19" t="str">
        <f t="shared" si="7"/>
        <v/>
      </c>
      <c r="O58" s="19" t="str">
        <f t="shared" si="23"/>
        <v/>
      </c>
      <c r="P58" s="19" t="str">
        <f t="shared" si="24"/>
        <v/>
      </c>
      <c r="Q58" s="19" t="str">
        <f t="shared" si="25"/>
        <v/>
      </c>
      <c r="R58" s="19" t="str">
        <f t="shared" si="20"/>
        <v/>
      </c>
      <c r="S58" s="27" t="str">
        <f t="shared" si="30"/>
        <v/>
      </c>
      <c r="T58" s="28" t="str">
        <f t="shared" si="30"/>
        <v/>
      </c>
      <c r="U58" s="28" t="str">
        <f t="shared" si="30"/>
        <v/>
      </c>
      <c r="V58" s="28" t="str">
        <f t="shared" si="30"/>
        <v/>
      </c>
      <c r="W58" s="28" t="str">
        <f t="shared" si="30"/>
        <v/>
      </c>
      <c r="X58" s="29" t="str">
        <f t="shared" si="30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5"/>
        <v/>
      </c>
      <c r="M59" s="19" t="str">
        <f t="shared" si="6"/>
        <v/>
      </c>
      <c r="N59" s="19" t="str">
        <f t="shared" si="7"/>
        <v/>
      </c>
      <c r="O59" s="19" t="str">
        <f t="shared" si="23"/>
        <v/>
      </c>
      <c r="P59" s="19" t="str">
        <f t="shared" si="24"/>
        <v/>
      </c>
      <c r="Q59" s="19" t="str">
        <f t="shared" si="25"/>
        <v/>
      </c>
      <c r="R59" s="19" t="str">
        <f t="shared" si="20"/>
        <v/>
      </c>
      <c r="S59" s="27" t="str">
        <f t="shared" si="30"/>
        <v/>
      </c>
      <c r="T59" s="28" t="str">
        <f t="shared" si="30"/>
        <v/>
      </c>
      <c r="U59" s="28" t="str">
        <f t="shared" si="30"/>
        <v/>
      </c>
      <c r="V59" s="28" t="str">
        <f t="shared" si="30"/>
        <v/>
      </c>
      <c r="W59" s="28" t="str">
        <f t="shared" si="30"/>
        <v/>
      </c>
      <c r="X59" s="29" t="str">
        <f t="shared" si="30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5"/>
        <v/>
      </c>
      <c r="M60" s="19" t="str">
        <f t="shared" si="6"/>
        <v/>
      </c>
      <c r="N60" s="19" t="str">
        <f t="shared" si="7"/>
        <v/>
      </c>
      <c r="O60" s="19" t="str">
        <f t="shared" si="23"/>
        <v/>
      </c>
      <c r="P60" s="19" t="str">
        <f t="shared" si="24"/>
        <v/>
      </c>
      <c r="Q60" s="19" t="str">
        <f t="shared" si="25"/>
        <v/>
      </c>
      <c r="R60" s="19" t="str">
        <f t="shared" si="20"/>
        <v/>
      </c>
      <c r="S60" s="27" t="str">
        <f t="shared" si="30"/>
        <v/>
      </c>
      <c r="T60" s="28" t="str">
        <f t="shared" si="30"/>
        <v/>
      </c>
      <c r="U60" s="28" t="str">
        <f t="shared" si="30"/>
        <v/>
      </c>
      <c r="V60" s="28" t="str">
        <f t="shared" si="30"/>
        <v/>
      </c>
      <c r="W60" s="28" t="str">
        <f t="shared" si="30"/>
        <v/>
      </c>
      <c r="X60" s="29" t="str">
        <f t="shared" si="30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5"/>
        <v/>
      </c>
      <c r="M61" s="19" t="str">
        <f t="shared" si="6"/>
        <v/>
      </c>
      <c r="N61" s="19" t="str">
        <f t="shared" si="7"/>
        <v/>
      </c>
      <c r="O61" s="19" t="str">
        <f t="shared" si="23"/>
        <v/>
      </c>
      <c r="P61" s="19" t="str">
        <f t="shared" si="24"/>
        <v/>
      </c>
      <c r="Q61" s="19" t="str">
        <f t="shared" si="25"/>
        <v/>
      </c>
      <c r="R61" s="19" t="str">
        <f t="shared" si="20"/>
        <v/>
      </c>
      <c r="S61" s="27" t="str">
        <f t="shared" si="30"/>
        <v/>
      </c>
      <c r="T61" s="28" t="str">
        <f t="shared" si="30"/>
        <v/>
      </c>
      <c r="U61" s="28" t="str">
        <f t="shared" si="30"/>
        <v/>
      </c>
      <c r="V61" s="28" t="str">
        <f t="shared" si="30"/>
        <v/>
      </c>
      <c r="W61" s="28" t="str">
        <f t="shared" si="30"/>
        <v/>
      </c>
      <c r="X61" s="29" t="str">
        <f t="shared" si="3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5"/>
        <v/>
      </c>
      <c r="M62" s="19" t="str">
        <f t="shared" si="6"/>
        <v/>
      </c>
      <c r="N62" s="19" t="str">
        <f t="shared" si="7"/>
        <v/>
      </c>
      <c r="O62" s="19" t="str">
        <f t="shared" si="23"/>
        <v/>
      </c>
      <c r="P62" s="19" t="str">
        <f t="shared" si="24"/>
        <v/>
      </c>
      <c r="Q62" s="19" t="str">
        <f t="shared" si="25"/>
        <v/>
      </c>
      <c r="R62" s="19" t="str">
        <f t="shared" si="20"/>
        <v/>
      </c>
      <c r="S62" s="27" t="str">
        <f t="shared" si="30"/>
        <v/>
      </c>
      <c r="T62" s="28" t="str">
        <f t="shared" si="30"/>
        <v/>
      </c>
      <c r="U62" s="28" t="str">
        <f t="shared" si="30"/>
        <v/>
      </c>
      <c r="V62" s="28" t="str">
        <f t="shared" si="30"/>
        <v/>
      </c>
      <c r="W62" s="28" t="str">
        <f t="shared" si="30"/>
        <v/>
      </c>
      <c r="X62" s="29" t="str">
        <f t="shared" si="3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5"/>
        <v/>
      </c>
      <c r="M63" s="19" t="str">
        <f t="shared" si="6"/>
        <v/>
      </c>
      <c r="N63" s="19" t="str">
        <f t="shared" si="7"/>
        <v/>
      </c>
      <c r="O63" s="19" t="str">
        <f t="shared" si="23"/>
        <v/>
      </c>
      <c r="P63" s="19" t="str">
        <f t="shared" si="24"/>
        <v/>
      </c>
      <c r="Q63" s="19" t="str">
        <f t="shared" si="25"/>
        <v/>
      </c>
      <c r="R63" s="19" t="str">
        <f t="shared" si="20"/>
        <v/>
      </c>
      <c r="S63" s="27" t="str">
        <f t="shared" si="30"/>
        <v/>
      </c>
      <c r="T63" s="28" t="str">
        <f t="shared" si="30"/>
        <v/>
      </c>
      <c r="U63" s="28" t="str">
        <f t="shared" si="30"/>
        <v/>
      </c>
      <c r="V63" s="28" t="str">
        <f t="shared" si="30"/>
        <v/>
      </c>
      <c r="W63" s="28" t="str">
        <f t="shared" si="30"/>
        <v/>
      </c>
      <c r="X63" s="29" t="str">
        <f t="shared" si="3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5"/>
        <v/>
      </c>
      <c r="M64" s="19" t="str">
        <f t="shared" si="6"/>
        <v/>
      </c>
      <c r="N64" s="19" t="str">
        <f t="shared" si="7"/>
        <v/>
      </c>
      <c r="O64" s="19" t="str">
        <f t="shared" si="23"/>
        <v/>
      </c>
      <c r="P64" s="19" t="str">
        <f t="shared" si="24"/>
        <v/>
      </c>
      <c r="Q64" s="19" t="str">
        <f t="shared" si="25"/>
        <v/>
      </c>
      <c r="R64" s="19" t="str">
        <f t="shared" si="20"/>
        <v/>
      </c>
      <c r="S64" s="27" t="str">
        <f t="shared" si="30"/>
        <v/>
      </c>
      <c r="T64" s="28" t="str">
        <f t="shared" si="30"/>
        <v/>
      </c>
      <c r="U64" s="28" t="str">
        <f t="shared" si="30"/>
        <v/>
      </c>
      <c r="V64" s="28" t="str">
        <f t="shared" si="30"/>
        <v/>
      </c>
      <c r="W64" s="28" t="str">
        <f t="shared" si="30"/>
        <v/>
      </c>
      <c r="X64" s="29" t="str">
        <f t="shared" si="3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5"/>
        <v/>
      </c>
      <c r="M65" s="19" t="str">
        <f t="shared" si="6"/>
        <v/>
      </c>
      <c r="N65" s="19" t="str">
        <f t="shared" si="7"/>
        <v/>
      </c>
      <c r="O65" s="19" t="str">
        <f t="shared" si="23"/>
        <v/>
      </c>
      <c r="P65" s="19" t="str">
        <f t="shared" si="24"/>
        <v/>
      </c>
      <c r="Q65" s="19" t="str">
        <f t="shared" si="25"/>
        <v/>
      </c>
      <c r="R65" s="19" t="str">
        <f t="shared" si="20"/>
        <v/>
      </c>
      <c r="S65" s="27" t="str">
        <f t="shared" ref="S65:X80" si="31">IF(C65="","",((C65-C64)*1000)/($B65-$B64))</f>
        <v/>
      </c>
      <c r="T65" s="28" t="str">
        <f t="shared" si="31"/>
        <v/>
      </c>
      <c r="U65" s="28" t="str">
        <f t="shared" si="31"/>
        <v/>
      </c>
      <c r="V65" s="28" t="str">
        <f t="shared" si="31"/>
        <v/>
      </c>
      <c r="W65" s="28" t="str">
        <f t="shared" si="31"/>
        <v/>
      </c>
      <c r="X65" s="29" t="str">
        <f t="shared" si="31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5"/>
        <v/>
      </c>
      <c r="M66" s="19" t="str">
        <f t="shared" si="6"/>
        <v/>
      </c>
      <c r="N66" s="19" t="str">
        <f t="shared" si="7"/>
        <v/>
      </c>
      <c r="O66" s="19" t="str">
        <f t="shared" si="23"/>
        <v/>
      </c>
      <c r="P66" s="19" t="str">
        <f t="shared" si="24"/>
        <v/>
      </c>
      <c r="Q66" s="19" t="str">
        <f t="shared" si="25"/>
        <v/>
      </c>
      <c r="R66" s="19" t="str">
        <f t="shared" si="20"/>
        <v/>
      </c>
      <c r="S66" s="27" t="str">
        <f t="shared" si="31"/>
        <v/>
      </c>
      <c r="T66" s="28" t="str">
        <f t="shared" si="31"/>
        <v/>
      </c>
      <c r="U66" s="28" t="str">
        <f t="shared" si="31"/>
        <v/>
      </c>
      <c r="V66" s="28" t="str">
        <f t="shared" si="31"/>
        <v/>
      </c>
      <c r="W66" s="28" t="str">
        <f t="shared" si="31"/>
        <v/>
      </c>
      <c r="X66" s="29" t="str">
        <f t="shared" si="31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5"/>
        <v/>
      </c>
      <c r="M67" s="19" t="str">
        <f t="shared" si="6"/>
        <v/>
      </c>
      <c r="N67" s="19" t="str">
        <f t="shared" si="7"/>
        <v/>
      </c>
      <c r="O67" s="19" t="str">
        <f t="shared" si="23"/>
        <v/>
      </c>
      <c r="P67" s="19" t="str">
        <f t="shared" si="24"/>
        <v/>
      </c>
      <c r="Q67" s="19" t="str">
        <f t="shared" si="25"/>
        <v/>
      </c>
      <c r="R67" s="19" t="str">
        <f t="shared" si="20"/>
        <v/>
      </c>
      <c r="S67" s="27" t="str">
        <f t="shared" si="31"/>
        <v/>
      </c>
      <c r="T67" s="28" t="str">
        <f t="shared" si="31"/>
        <v/>
      </c>
      <c r="U67" s="28" t="str">
        <f t="shared" si="31"/>
        <v/>
      </c>
      <c r="V67" s="28" t="str">
        <f t="shared" si="31"/>
        <v/>
      </c>
      <c r="W67" s="28" t="str">
        <f t="shared" si="31"/>
        <v/>
      </c>
      <c r="X67" s="29" t="str">
        <f t="shared" si="31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5"/>
        <v/>
      </c>
      <c r="M68" s="19" t="str">
        <f t="shared" si="6"/>
        <v/>
      </c>
      <c r="N68" s="19" t="str">
        <f t="shared" si="7"/>
        <v/>
      </c>
      <c r="O68" s="19" t="str">
        <f t="shared" si="23"/>
        <v/>
      </c>
      <c r="P68" s="19" t="str">
        <f t="shared" si="24"/>
        <v/>
      </c>
      <c r="Q68" s="19" t="str">
        <f t="shared" si="25"/>
        <v/>
      </c>
      <c r="R68" s="19" t="str">
        <f t="shared" ref="R68:R130" si="32">IF(ISBLANK(I68),"",(I68-I$16)*1000)</f>
        <v/>
      </c>
      <c r="S68" s="27" t="str">
        <f t="shared" si="31"/>
        <v/>
      </c>
      <c r="T68" s="28" t="str">
        <f t="shared" si="31"/>
        <v/>
      </c>
      <c r="U68" s="28" t="str">
        <f t="shared" si="31"/>
        <v/>
      </c>
      <c r="V68" s="28" t="str">
        <f t="shared" si="31"/>
        <v/>
      </c>
      <c r="W68" s="28" t="str">
        <f t="shared" si="31"/>
        <v/>
      </c>
      <c r="X68" s="29" t="str">
        <f t="shared" si="31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5"/>
        <v/>
      </c>
      <c r="M69" s="19" t="str">
        <f t="shared" si="6"/>
        <v/>
      </c>
      <c r="N69" s="19" t="str">
        <f t="shared" si="7"/>
        <v/>
      </c>
      <c r="O69" s="19" t="str">
        <f t="shared" si="23"/>
        <v/>
      </c>
      <c r="P69" s="19" t="str">
        <f t="shared" si="24"/>
        <v/>
      </c>
      <c r="Q69" s="19" t="str">
        <f t="shared" si="25"/>
        <v/>
      </c>
      <c r="R69" s="19" t="str">
        <f t="shared" si="32"/>
        <v/>
      </c>
      <c r="S69" s="27" t="str">
        <f t="shared" si="31"/>
        <v/>
      </c>
      <c r="T69" s="28" t="str">
        <f t="shared" si="31"/>
        <v/>
      </c>
      <c r="U69" s="28" t="str">
        <f t="shared" si="31"/>
        <v/>
      </c>
      <c r="V69" s="28" t="str">
        <f t="shared" si="31"/>
        <v/>
      </c>
      <c r="W69" s="28" t="str">
        <f t="shared" si="31"/>
        <v/>
      </c>
      <c r="X69" s="29" t="str">
        <f t="shared" si="31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5"/>
        <v/>
      </c>
      <c r="M70" s="19" t="str">
        <f t="shared" si="6"/>
        <v/>
      </c>
      <c r="N70" s="19" t="str">
        <f t="shared" si="7"/>
        <v/>
      </c>
      <c r="O70" s="19" t="str">
        <f t="shared" si="23"/>
        <v/>
      </c>
      <c r="P70" s="19" t="str">
        <f t="shared" si="24"/>
        <v/>
      </c>
      <c r="Q70" s="19" t="str">
        <f t="shared" si="25"/>
        <v/>
      </c>
      <c r="R70" s="19" t="str">
        <f t="shared" si="32"/>
        <v/>
      </c>
      <c r="S70" s="27" t="str">
        <f t="shared" si="31"/>
        <v/>
      </c>
      <c r="T70" s="28" t="str">
        <f t="shared" si="31"/>
        <v/>
      </c>
      <c r="U70" s="28" t="str">
        <f t="shared" si="31"/>
        <v/>
      </c>
      <c r="V70" s="28" t="str">
        <f t="shared" si="31"/>
        <v/>
      </c>
      <c r="W70" s="28" t="str">
        <f t="shared" si="31"/>
        <v/>
      </c>
      <c r="X70" s="29" t="str">
        <f t="shared" si="31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5"/>
        <v/>
      </c>
      <c r="M71" s="19" t="str">
        <f t="shared" si="6"/>
        <v/>
      </c>
      <c r="N71" s="19" t="str">
        <f t="shared" si="7"/>
        <v/>
      </c>
      <c r="O71" s="19" t="str">
        <f t="shared" si="23"/>
        <v/>
      </c>
      <c r="P71" s="19" t="str">
        <f t="shared" si="24"/>
        <v/>
      </c>
      <c r="Q71" s="19" t="str">
        <f t="shared" si="25"/>
        <v/>
      </c>
      <c r="R71" s="19" t="str">
        <f t="shared" si="32"/>
        <v/>
      </c>
      <c r="S71" s="27" t="str">
        <f t="shared" si="31"/>
        <v/>
      </c>
      <c r="T71" s="28" t="str">
        <f t="shared" si="31"/>
        <v/>
      </c>
      <c r="U71" s="28" t="str">
        <f t="shared" si="31"/>
        <v/>
      </c>
      <c r="V71" s="28" t="str">
        <f t="shared" si="31"/>
        <v/>
      </c>
      <c r="W71" s="28" t="str">
        <f t="shared" si="31"/>
        <v/>
      </c>
      <c r="X71" s="29" t="str">
        <f t="shared" si="31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5"/>
        <v/>
      </c>
      <c r="M72" s="19" t="str">
        <f t="shared" si="6"/>
        <v/>
      </c>
      <c r="N72" s="19" t="str">
        <f t="shared" si="7"/>
        <v/>
      </c>
      <c r="O72" s="19" t="str">
        <f t="shared" si="23"/>
        <v/>
      </c>
      <c r="P72" s="19" t="str">
        <f t="shared" si="24"/>
        <v/>
      </c>
      <c r="Q72" s="19" t="str">
        <f t="shared" si="25"/>
        <v/>
      </c>
      <c r="R72" s="19" t="str">
        <f t="shared" si="32"/>
        <v/>
      </c>
      <c r="S72" s="27" t="str">
        <f t="shared" si="31"/>
        <v/>
      </c>
      <c r="T72" s="28" t="str">
        <f t="shared" si="31"/>
        <v/>
      </c>
      <c r="U72" s="28" t="str">
        <f t="shared" si="31"/>
        <v/>
      </c>
      <c r="V72" s="28" t="str">
        <f t="shared" si="31"/>
        <v/>
      </c>
      <c r="W72" s="28" t="str">
        <f t="shared" si="31"/>
        <v/>
      </c>
      <c r="X72" s="29" t="str">
        <f t="shared" si="31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5"/>
        <v/>
      </c>
      <c r="M73" s="19" t="str">
        <f t="shared" si="6"/>
        <v/>
      </c>
      <c r="N73" s="19" t="str">
        <f t="shared" si="7"/>
        <v/>
      </c>
      <c r="O73" s="19" t="str">
        <f t="shared" si="23"/>
        <v/>
      </c>
      <c r="P73" s="19" t="str">
        <f t="shared" si="24"/>
        <v/>
      </c>
      <c r="Q73" s="19" t="str">
        <f t="shared" si="25"/>
        <v/>
      </c>
      <c r="R73" s="19" t="str">
        <f t="shared" si="32"/>
        <v/>
      </c>
      <c r="S73" s="27" t="str">
        <f t="shared" si="31"/>
        <v/>
      </c>
      <c r="T73" s="28" t="str">
        <f t="shared" si="31"/>
        <v/>
      </c>
      <c r="U73" s="28" t="str">
        <f t="shared" si="31"/>
        <v/>
      </c>
      <c r="V73" s="28" t="str">
        <f t="shared" si="31"/>
        <v/>
      </c>
      <c r="W73" s="28" t="str">
        <f t="shared" si="31"/>
        <v/>
      </c>
      <c r="X73" s="29" t="str">
        <f t="shared" si="31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5"/>
        <v/>
      </c>
      <c r="M74" s="19" t="str">
        <f t="shared" si="6"/>
        <v/>
      </c>
      <c r="N74" s="19" t="str">
        <f t="shared" si="7"/>
        <v/>
      </c>
      <c r="O74" s="19" t="str">
        <f t="shared" si="23"/>
        <v/>
      </c>
      <c r="P74" s="19" t="str">
        <f t="shared" si="24"/>
        <v/>
      </c>
      <c r="Q74" s="19" t="str">
        <f t="shared" si="25"/>
        <v/>
      </c>
      <c r="R74" s="19" t="str">
        <f t="shared" si="32"/>
        <v/>
      </c>
      <c r="S74" s="27" t="str">
        <f t="shared" si="31"/>
        <v/>
      </c>
      <c r="T74" s="28" t="str">
        <f t="shared" si="31"/>
        <v/>
      </c>
      <c r="U74" s="28" t="str">
        <f t="shared" si="31"/>
        <v/>
      </c>
      <c r="V74" s="28" t="str">
        <f t="shared" si="31"/>
        <v/>
      </c>
      <c r="W74" s="28" t="str">
        <f t="shared" si="31"/>
        <v/>
      </c>
      <c r="X74" s="29" t="str">
        <f t="shared" si="31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5"/>
        <v/>
      </c>
      <c r="M75" s="19" t="str">
        <f t="shared" si="6"/>
        <v/>
      </c>
      <c r="N75" s="19" t="str">
        <f t="shared" si="7"/>
        <v/>
      </c>
      <c r="O75" s="19" t="str">
        <f t="shared" si="23"/>
        <v/>
      </c>
      <c r="P75" s="19" t="str">
        <f t="shared" si="24"/>
        <v/>
      </c>
      <c r="Q75" s="19" t="str">
        <f t="shared" si="25"/>
        <v/>
      </c>
      <c r="R75" s="19" t="str">
        <f t="shared" si="32"/>
        <v/>
      </c>
      <c r="S75" s="27" t="str">
        <f t="shared" si="31"/>
        <v/>
      </c>
      <c r="T75" s="28" t="str">
        <f t="shared" si="31"/>
        <v/>
      </c>
      <c r="U75" s="28" t="str">
        <f t="shared" si="31"/>
        <v/>
      </c>
      <c r="V75" s="28" t="str">
        <f t="shared" si="31"/>
        <v/>
      </c>
      <c r="W75" s="28" t="str">
        <f t="shared" si="31"/>
        <v/>
      </c>
      <c r="X75" s="29" t="str">
        <f t="shared" si="31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5"/>
        <v/>
      </c>
      <c r="M76" s="19" t="str">
        <f t="shared" si="6"/>
        <v/>
      </c>
      <c r="N76" s="19" t="str">
        <f t="shared" si="7"/>
        <v/>
      </c>
      <c r="O76" s="19" t="str">
        <f t="shared" si="23"/>
        <v/>
      </c>
      <c r="P76" s="19" t="str">
        <f t="shared" si="24"/>
        <v/>
      </c>
      <c r="Q76" s="19" t="str">
        <f t="shared" si="25"/>
        <v/>
      </c>
      <c r="R76" s="19" t="str">
        <f t="shared" si="32"/>
        <v/>
      </c>
      <c r="S76" s="27" t="str">
        <f t="shared" si="31"/>
        <v/>
      </c>
      <c r="T76" s="28" t="str">
        <f t="shared" si="31"/>
        <v/>
      </c>
      <c r="U76" s="28" t="str">
        <f t="shared" si="31"/>
        <v/>
      </c>
      <c r="V76" s="28" t="str">
        <f t="shared" si="31"/>
        <v/>
      </c>
      <c r="W76" s="28" t="str">
        <f t="shared" si="31"/>
        <v/>
      </c>
      <c r="X76" s="29" t="str">
        <f t="shared" si="31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5"/>
        <v/>
      </c>
      <c r="M77" s="19" t="str">
        <f t="shared" si="6"/>
        <v/>
      </c>
      <c r="N77" s="19" t="str">
        <f t="shared" si="7"/>
        <v/>
      </c>
      <c r="O77" s="19" t="str">
        <f t="shared" si="23"/>
        <v/>
      </c>
      <c r="P77" s="19" t="str">
        <f t="shared" si="24"/>
        <v/>
      </c>
      <c r="Q77" s="19" t="str">
        <f t="shared" si="25"/>
        <v/>
      </c>
      <c r="R77" s="19" t="str">
        <f t="shared" si="32"/>
        <v/>
      </c>
      <c r="S77" s="27" t="str">
        <f t="shared" si="31"/>
        <v/>
      </c>
      <c r="T77" s="28" t="str">
        <f t="shared" si="31"/>
        <v/>
      </c>
      <c r="U77" s="28" t="str">
        <f t="shared" si="31"/>
        <v/>
      </c>
      <c r="V77" s="28" t="str">
        <f t="shared" si="31"/>
        <v/>
      </c>
      <c r="W77" s="28" t="str">
        <f t="shared" si="31"/>
        <v/>
      </c>
      <c r="X77" s="29" t="str">
        <f t="shared" si="31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5"/>
        <v/>
      </c>
      <c r="M78" s="19" t="str">
        <f t="shared" si="6"/>
        <v/>
      </c>
      <c r="N78" s="19" t="str">
        <f t="shared" si="7"/>
        <v/>
      </c>
      <c r="O78" s="19" t="str">
        <f t="shared" si="23"/>
        <v/>
      </c>
      <c r="P78" s="19" t="str">
        <f t="shared" si="24"/>
        <v/>
      </c>
      <c r="Q78" s="19" t="str">
        <f t="shared" si="25"/>
        <v/>
      </c>
      <c r="R78" s="19" t="str">
        <f t="shared" si="32"/>
        <v/>
      </c>
      <c r="S78" s="27" t="str">
        <f t="shared" si="31"/>
        <v/>
      </c>
      <c r="T78" s="28" t="str">
        <f t="shared" si="31"/>
        <v/>
      </c>
      <c r="U78" s="28" t="str">
        <f t="shared" si="31"/>
        <v/>
      </c>
      <c r="V78" s="28" t="str">
        <f t="shared" si="31"/>
        <v/>
      </c>
      <c r="W78" s="28" t="str">
        <f t="shared" si="31"/>
        <v/>
      </c>
      <c r="X78" s="29" t="str">
        <f t="shared" si="31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5"/>
        <v/>
      </c>
      <c r="M79" s="19" t="str">
        <f t="shared" si="6"/>
        <v/>
      </c>
      <c r="N79" s="19" t="str">
        <f t="shared" si="7"/>
        <v/>
      </c>
      <c r="O79" s="19" t="str">
        <f t="shared" si="23"/>
        <v/>
      </c>
      <c r="P79" s="19" t="str">
        <f t="shared" si="24"/>
        <v/>
      </c>
      <c r="Q79" s="19" t="str">
        <f t="shared" si="25"/>
        <v/>
      </c>
      <c r="R79" s="19" t="str">
        <f t="shared" si="32"/>
        <v/>
      </c>
      <c r="S79" s="27" t="str">
        <f t="shared" si="31"/>
        <v/>
      </c>
      <c r="T79" s="28" t="str">
        <f t="shared" si="31"/>
        <v/>
      </c>
      <c r="U79" s="28" t="str">
        <f t="shared" si="31"/>
        <v/>
      </c>
      <c r="V79" s="28" t="str">
        <f t="shared" si="31"/>
        <v/>
      </c>
      <c r="W79" s="28" t="str">
        <f t="shared" si="31"/>
        <v/>
      </c>
      <c r="X79" s="29" t="str">
        <f t="shared" si="31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5"/>
        <v/>
      </c>
      <c r="M80" s="19" t="str">
        <f t="shared" si="6"/>
        <v/>
      </c>
      <c r="N80" s="19" t="str">
        <f t="shared" si="7"/>
        <v/>
      </c>
      <c r="O80" s="19" t="str">
        <f t="shared" si="23"/>
        <v/>
      </c>
      <c r="P80" s="19" t="str">
        <f t="shared" si="24"/>
        <v/>
      </c>
      <c r="Q80" s="19" t="str">
        <f t="shared" si="25"/>
        <v/>
      </c>
      <c r="R80" s="19" t="str">
        <f t="shared" si="32"/>
        <v/>
      </c>
      <c r="S80" s="27" t="str">
        <f t="shared" si="31"/>
        <v/>
      </c>
      <c r="T80" s="28" t="str">
        <f t="shared" si="31"/>
        <v/>
      </c>
      <c r="U80" s="28" t="str">
        <f t="shared" si="31"/>
        <v/>
      </c>
      <c r="V80" s="28" t="str">
        <f t="shared" si="31"/>
        <v/>
      </c>
      <c r="W80" s="28" t="str">
        <f t="shared" si="31"/>
        <v/>
      </c>
      <c r="X80" s="29" t="str">
        <f t="shared" si="31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5"/>
        <v/>
      </c>
      <c r="M81" s="19" t="str">
        <f t="shared" si="6"/>
        <v/>
      </c>
      <c r="N81" s="19" t="str">
        <f t="shared" si="7"/>
        <v/>
      </c>
      <c r="O81" s="19" t="str">
        <f t="shared" si="23"/>
        <v/>
      </c>
      <c r="P81" s="19" t="str">
        <f t="shared" si="24"/>
        <v/>
      </c>
      <c r="Q81" s="19" t="str">
        <f t="shared" si="25"/>
        <v/>
      </c>
      <c r="R81" s="19" t="str">
        <f t="shared" si="32"/>
        <v/>
      </c>
      <c r="S81" s="27" t="str">
        <f t="shared" ref="S81:X96" si="33">IF(C81="","",((C81-C80)*1000)/($B81-$B80))</f>
        <v/>
      </c>
      <c r="T81" s="28" t="str">
        <f t="shared" si="33"/>
        <v/>
      </c>
      <c r="U81" s="28" t="str">
        <f t="shared" si="33"/>
        <v/>
      </c>
      <c r="V81" s="28" t="str">
        <f t="shared" si="33"/>
        <v/>
      </c>
      <c r="W81" s="28" t="str">
        <f t="shared" si="33"/>
        <v/>
      </c>
      <c r="X81" s="29" t="str">
        <f t="shared" si="3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ref="L82:L145" si="34">IF(ISBLANK(C82),"",(C82-C$17)*1000)</f>
        <v/>
      </c>
      <c r="M82" s="19" t="str">
        <f t="shared" ref="M82:M145" si="35">IF(ISBLANK(D82),"",(D82-D$17)*1000)</f>
        <v/>
      </c>
      <c r="N82" s="19" t="str">
        <f t="shared" ref="N82:N145" si="36">IF(ISBLANK(E82),"",(E82-E$17)*1000)</f>
        <v/>
      </c>
      <c r="O82" s="19" t="str">
        <f t="shared" si="23"/>
        <v/>
      </c>
      <c r="P82" s="19" t="str">
        <f t="shared" si="24"/>
        <v/>
      </c>
      <c r="Q82" s="19" t="str">
        <f t="shared" si="25"/>
        <v/>
      </c>
      <c r="R82" s="19" t="str">
        <f t="shared" si="32"/>
        <v/>
      </c>
      <c r="S82" s="27" t="str">
        <f t="shared" si="33"/>
        <v/>
      </c>
      <c r="T82" s="28" t="str">
        <f t="shared" si="33"/>
        <v/>
      </c>
      <c r="U82" s="28" t="str">
        <f t="shared" si="33"/>
        <v/>
      </c>
      <c r="V82" s="28" t="str">
        <f t="shared" si="33"/>
        <v/>
      </c>
      <c r="W82" s="28" t="str">
        <f t="shared" si="33"/>
        <v/>
      </c>
      <c r="X82" s="29" t="str">
        <f t="shared" si="3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4"/>
        <v/>
      </c>
      <c r="M83" s="19" t="str">
        <f t="shared" si="35"/>
        <v/>
      </c>
      <c r="N83" s="19" t="str">
        <f t="shared" si="36"/>
        <v/>
      </c>
      <c r="O83" s="19" t="str">
        <f t="shared" si="23"/>
        <v/>
      </c>
      <c r="P83" s="19" t="str">
        <f t="shared" si="24"/>
        <v/>
      </c>
      <c r="Q83" s="19" t="str">
        <f t="shared" si="25"/>
        <v/>
      </c>
      <c r="R83" s="19" t="str">
        <f t="shared" si="32"/>
        <v/>
      </c>
      <c r="S83" s="27" t="str">
        <f t="shared" si="33"/>
        <v/>
      </c>
      <c r="T83" s="28" t="str">
        <f t="shared" si="33"/>
        <v/>
      </c>
      <c r="U83" s="28" t="str">
        <f t="shared" si="33"/>
        <v/>
      </c>
      <c r="V83" s="28" t="str">
        <f t="shared" si="33"/>
        <v/>
      </c>
      <c r="W83" s="28" t="str">
        <f t="shared" si="33"/>
        <v/>
      </c>
      <c r="X83" s="29" t="str">
        <f t="shared" si="3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4"/>
        <v/>
      </c>
      <c r="M84" s="19" t="str">
        <f t="shared" si="35"/>
        <v/>
      </c>
      <c r="N84" s="19" t="str">
        <f t="shared" si="36"/>
        <v/>
      </c>
      <c r="O84" s="19" t="str">
        <f t="shared" si="23"/>
        <v/>
      </c>
      <c r="P84" s="19" t="str">
        <f t="shared" si="24"/>
        <v/>
      </c>
      <c r="Q84" s="19" t="str">
        <f t="shared" si="25"/>
        <v/>
      </c>
      <c r="R84" s="19" t="str">
        <f t="shared" si="32"/>
        <v/>
      </c>
      <c r="S84" s="27" t="str">
        <f t="shared" si="33"/>
        <v/>
      </c>
      <c r="T84" s="28" t="str">
        <f t="shared" si="33"/>
        <v/>
      </c>
      <c r="U84" s="28" t="str">
        <f t="shared" si="33"/>
        <v/>
      </c>
      <c r="V84" s="28" t="str">
        <f t="shared" si="33"/>
        <v/>
      </c>
      <c r="W84" s="28" t="str">
        <f t="shared" si="33"/>
        <v/>
      </c>
      <c r="X84" s="29" t="str">
        <f t="shared" si="3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4"/>
        <v/>
      </c>
      <c r="M85" s="19" t="str">
        <f t="shared" si="35"/>
        <v/>
      </c>
      <c r="N85" s="19" t="str">
        <f t="shared" si="36"/>
        <v/>
      </c>
      <c r="O85" s="19" t="str">
        <f t="shared" si="23"/>
        <v/>
      </c>
      <c r="P85" s="19" t="str">
        <f t="shared" si="24"/>
        <v/>
      </c>
      <c r="Q85" s="19" t="str">
        <f t="shared" si="25"/>
        <v/>
      </c>
      <c r="R85" s="19" t="str">
        <f t="shared" si="32"/>
        <v/>
      </c>
      <c r="S85" s="27" t="str">
        <f t="shared" si="33"/>
        <v/>
      </c>
      <c r="T85" s="28" t="str">
        <f t="shared" si="33"/>
        <v/>
      </c>
      <c r="U85" s="28" t="str">
        <f t="shared" si="33"/>
        <v/>
      </c>
      <c r="V85" s="28" t="str">
        <f t="shared" si="33"/>
        <v/>
      </c>
      <c r="W85" s="28" t="str">
        <f t="shared" si="33"/>
        <v/>
      </c>
      <c r="X85" s="29" t="str">
        <f t="shared" si="3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4"/>
        <v/>
      </c>
      <c r="M86" s="19" t="str">
        <f t="shared" si="35"/>
        <v/>
      </c>
      <c r="N86" s="19" t="str">
        <f t="shared" si="36"/>
        <v/>
      </c>
      <c r="O86" s="19" t="str">
        <f t="shared" si="23"/>
        <v/>
      </c>
      <c r="P86" s="19" t="str">
        <f t="shared" si="24"/>
        <v/>
      </c>
      <c r="Q86" s="19" t="str">
        <f t="shared" si="25"/>
        <v/>
      </c>
      <c r="R86" s="19" t="str">
        <f t="shared" si="32"/>
        <v/>
      </c>
      <c r="S86" s="27" t="str">
        <f t="shared" si="33"/>
        <v/>
      </c>
      <c r="T86" s="28" t="str">
        <f t="shared" si="33"/>
        <v/>
      </c>
      <c r="U86" s="28" t="str">
        <f t="shared" si="33"/>
        <v/>
      </c>
      <c r="V86" s="28" t="str">
        <f t="shared" si="33"/>
        <v/>
      </c>
      <c r="W86" s="28" t="str">
        <f t="shared" si="33"/>
        <v/>
      </c>
      <c r="X86" s="29" t="str">
        <f t="shared" si="3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4"/>
        <v/>
      </c>
      <c r="M87" s="19" t="str">
        <f t="shared" si="35"/>
        <v/>
      </c>
      <c r="N87" s="19" t="str">
        <f t="shared" si="36"/>
        <v/>
      </c>
      <c r="O87" s="19" t="str">
        <f t="shared" si="23"/>
        <v/>
      </c>
      <c r="P87" s="19" t="str">
        <f t="shared" si="24"/>
        <v/>
      </c>
      <c r="Q87" s="19" t="str">
        <f t="shared" si="25"/>
        <v/>
      </c>
      <c r="R87" s="19" t="str">
        <f t="shared" si="32"/>
        <v/>
      </c>
      <c r="S87" s="27" t="str">
        <f t="shared" si="33"/>
        <v/>
      </c>
      <c r="T87" s="28" t="str">
        <f t="shared" si="33"/>
        <v/>
      </c>
      <c r="U87" s="28" t="str">
        <f t="shared" si="33"/>
        <v/>
      </c>
      <c r="V87" s="28" t="str">
        <f t="shared" si="33"/>
        <v/>
      </c>
      <c r="W87" s="28" t="str">
        <f t="shared" si="33"/>
        <v/>
      </c>
      <c r="X87" s="29" t="str">
        <f t="shared" si="3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4"/>
        <v/>
      </c>
      <c r="M88" s="19" t="str">
        <f t="shared" si="35"/>
        <v/>
      </c>
      <c r="N88" s="19" t="str">
        <f t="shared" si="36"/>
        <v/>
      </c>
      <c r="O88" s="19" t="str">
        <f t="shared" si="23"/>
        <v/>
      </c>
      <c r="P88" s="19" t="str">
        <f t="shared" si="24"/>
        <v/>
      </c>
      <c r="Q88" s="19" t="str">
        <f t="shared" si="25"/>
        <v/>
      </c>
      <c r="R88" s="19" t="str">
        <f t="shared" si="32"/>
        <v/>
      </c>
      <c r="S88" s="27" t="str">
        <f t="shared" si="33"/>
        <v/>
      </c>
      <c r="T88" s="28" t="str">
        <f t="shared" si="33"/>
        <v/>
      </c>
      <c r="U88" s="28" t="str">
        <f t="shared" si="33"/>
        <v/>
      </c>
      <c r="V88" s="28" t="str">
        <f t="shared" si="33"/>
        <v/>
      </c>
      <c r="W88" s="28" t="str">
        <f t="shared" si="33"/>
        <v/>
      </c>
      <c r="X88" s="29" t="str">
        <f t="shared" si="3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4"/>
        <v/>
      </c>
      <c r="M89" s="19" t="str">
        <f t="shared" si="35"/>
        <v/>
      </c>
      <c r="N89" s="19" t="str">
        <f t="shared" si="36"/>
        <v/>
      </c>
      <c r="O89" s="19" t="str">
        <f t="shared" si="23"/>
        <v/>
      </c>
      <c r="P89" s="19" t="str">
        <f t="shared" si="24"/>
        <v/>
      </c>
      <c r="Q89" s="19" t="str">
        <f t="shared" si="25"/>
        <v/>
      </c>
      <c r="R89" s="19" t="str">
        <f t="shared" si="32"/>
        <v/>
      </c>
      <c r="S89" s="27" t="str">
        <f t="shared" si="33"/>
        <v/>
      </c>
      <c r="T89" s="28" t="str">
        <f t="shared" si="33"/>
        <v/>
      </c>
      <c r="U89" s="28" t="str">
        <f t="shared" si="33"/>
        <v/>
      </c>
      <c r="V89" s="28" t="str">
        <f t="shared" si="33"/>
        <v/>
      </c>
      <c r="W89" s="28" t="str">
        <f t="shared" si="33"/>
        <v/>
      </c>
      <c r="X89" s="29" t="str">
        <f t="shared" si="3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4"/>
        <v/>
      </c>
      <c r="M90" s="19" t="str">
        <f t="shared" si="35"/>
        <v/>
      </c>
      <c r="N90" s="19" t="str">
        <f t="shared" si="36"/>
        <v/>
      </c>
      <c r="O90" s="19" t="str">
        <f t="shared" si="23"/>
        <v/>
      </c>
      <c r="P90" s="19" t="str">
        <f t="shared" si="24"/>
        <v/>
      </c>
      <c r="Q90" s="19" t="str">
        <f t="shared" si="25"/>
        <v/>
      </c>
      <c r="R90" s="19" t="str">
        <f t="shared" si="32"/>
        <v/>
      </c>
      <c r="S90" s="27" t="str">
        <f t="shared" si="33"/>
        <v/>
      </c>
      <c r="T90" s="28" t="str">
        <f t="shared" si="33"/>
        <v/>
      </c>
      <c r="U90" s="28" t="str">
        <f t="shared" si="33"/>
        <v/>
      </c>
      <c r="V90" s="28" t="str">
        <f t="shared" si="33"/>
        <v/>
      </c>
      <c r="W90" s="28" t="str">
        <f t="shared" si="33"/>
        <v/>
      </c>
      <c r="X90" s="29" t="str">
        <f t="shared" si="3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4"/>
        <v/>
      </c>
      <c r="M91" s="19" t="str">
        <f t="shared" si="35"/>
        <v/>
      </c>
      <c r="N91" s="19" t="str">
        <f t="shared" si="36"/>
        <v/>
      </c>
      <c r="O91" s="19" t="str">
        <f t="shared" si="23"/>
        <v/>
      </c>
      <c r="P91" s="19" t="str">
        <f t="shared" si="24"/>
        <v/>
      </c>
      <c r="Q91" s="19" t="str">
        <f t="shared" si="25"/>
        <v/>
      </c>
      <c r="R91" s="19" t="str">
        <f t="shared" si="32"/>
        <v/>
      </c>
      <c r="S91" s="27" t="str">
        <f t="shared" si="33"/>
        <v/>
      </c>
      <c r="T91" s="28" t="str">
        <f t="shared" si="33"/>
        <v/>
      </c>
      <c r="U91" s="28" t="str">
        <f t="shared" si="33"/>
        <v/>
      </c>
      <c r="V91" s="28" t="str">
        <f t="shared" si="33"/>
        <v/>
      </c>
      <c r="W91" s="28" t="str">
        <f t="shared" si="33"/>
        <v/>
      </c>
      <c r="X91" s="29" t="str">
        <f t="shared" si="3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4"/>
        <v/>
      </c>
      <c r="M92" s="19" t="str">
        <f t="shared" si="35"/>
        <v/>
      </c>
      <c r="N92" s="19" t="str">
        <f t="shared" si="36"/>
        <v/>
      </c>
      <c r="O92" s="19" t="str">
        <f t="shared" si="23"/>
        <v/>
      </c>
      <c r="P92" s="19" t="str">
        <f t="shared" si="24"/>
        <v/>
      </c>
      <c r="Q92" s="19" t="str">
        <f t="shared" si="25"/>
        <v/>
      </c>
      <c r="R92" s="19" t="str">
        <f t="shared" si="32"/>
        <v/>
      </c>
      <c r="S92" s="27" t="str">
        <f t="shared" si="33"/>
        <v/>
      </c>
      <c r="T92" s="28" t="str">
        <f t="shared" si="33"/>
        <v/>
      </c>
      <c r="U92" s="28" t="str">
        <f t="shared" si="33"/>
        <v/>
      </c>
      <c r="V92" s="28" t="str">
        <f t="shared" si="33"/>
        <v/>
      </c>
      <c r="W92" s="28" t="str">
        <f t="shared" si="33"/>
        <v/>
      </c>
      <c r="X92" s="29" t="str">
        <f t="shared" si="3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4"/>
        <v/>
      </c>
      <c r="M93" s="19" t="str">
        <f t="shared" si="35"/>
        <v/>
      </c>
      <c r="N93" s="19" t="str">
        <f t="shared" si="36"/>
        <v/>
      </c>
      <c r="O93" s="19" t="str">
        <f t="shared" si="23"/>
        <v/>
      </c>
      <c r="P93" s="19" t="str">
        <f t="shared" si="24"/>
        <v/>
      </c>
      <c r="Q93" s="19" t="str">
        <f t="shared" si="25"/>
        <v/>
      </c>
      <c r="R93" s="19" t="str">
        <f t="shared" si="32"/>
        <v/>
      </c>
      <c r="S93" s="27" t="str">
        <f t="shared" si="33"/>
        <v/>
      </c>
      <c r="T93" s="28" t="str">
        <f t="shared" si="33"/>
        <v/>
      </c>
      <c r="U93" s="28" t="str">
        <f t="shared" si="33"/>
        <v/>
      </c>
      <c r="V93" s="28" t="str">
        <f t="shared" si="33"/>
        <v/>
      </c>
      <c r="W93" s="28" t="str">
        <f t="shared" si="33"/>
        <v/>
      </c>
      <c r="X93" s="29" t="str">
        <f t="shared" si="3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4"/>
        <v/>
      </c>
      <c r="M94" s="19" t="str">
        <f t="shared" si="35"/>
        <v/>
      </c>
      <c r="N94" s="19" t="str">
        <f t="shared" si="36"/>
        <v/>
      </c>
      <c r="O94" s="19" t="str">
        <f t="shared" si="23"/>
        <v/>
      </c>
      <c r="P94" s="19" t="str">
        <f t="shared" si="24"/>
        <v/>
      </c>
      <c r="Q94" s="19" t="str">
        <f t="shared" si="25"/>
        <v/>
      </c>
      <c r="R94" s="19" t="str">
        <f t="shared" si="32"/>
        <v/>
      </c>
      <c r="S94" s="27" t="str">
        <f t="shared" si="33"/>
        <v/>
      </c>
      <c r="T94" s="28" t="str">
        <f t="shared" si="33"/>
        <v/>
      </c>
      <c r="U94" s="28" t="str">
        <f t="shared" si="33"/>
        <v/>
      </c>
      <c r="V94" s="28" t="str">
        <f t="shared" si="33"/>
        <v/>
      </c>
      <c r="W94" s="28" t="str">
        <f t="shared" si="33"/>
        <v/>
      </c>
      <c r="X94" s="29" t="str">
        <f t="shared" si="3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4"/>
        <v/>
      </c>
      <c r="M95" s="19" t="str">
        <f t="shared" si="35"/>
        <v/>
      </c>
      <c r="N95" s="19" t="str">
        <f t="shared" si="36"/>
        <v/>
      </c>
      <c r="O95" s="19" t="str">
        <f t="shared" si="23"/>
        <v/>
      </c>
      <c r="P95" s="19" t="str">
        <f t="shared" si="24"/>
        <v/>
      </c>
      <c r="Q95" s="19" t="str">
        <f t="shared" si="25"/>
        <v/>
      </c>
      <c r="R95" s="19" t="str">
        <f t="shared" si="32"/>
        <v/>
      </c>
      <c r="S95" s="27" t="str">
        <f t="shared" si="33"/>
        <v/>
      </c>
      <c r="T95" s="28" t="str">
        <f t="shared" si="33"/>
        <v/>
      </c>
      <c r="U95" s="28" t="str">
        <f t="shared" si="33"/>
        <v/>
      </c>
      <c r="V95" s="28" t="str">
        <f t="shared" si="33"/>
        <v/>
      </c>
      <c r="W95" s="28" t="str">
        <f t="shared" si="33"/>
        <v/>
      </c>
      <c r="X95" s="29" t="str">
        <f t="shared" si="3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4"/>
        <v/>
      </c>
      <c r="M96" s="19" t="str">
        <f t="shared" si="35"/>
        <v/>
      </c>
      <c r="N96" s="19" t="str">
        <f t="shared" si="36"/>
        <v/>
      </c>
      <c r="O96" s="19" t="str">
        <f t="shared" si="23"/>
        <v/>
      </c>
      <c r="P96" s="19" t="str">
        <f t="shared" si="24"/>
        <v/>
      </c>
      <c r="Q96" s="19" t="str">
        <f t="shared" si="25"/>
        <v/>
      </c>
      <c r="R96" s="19" t="str">
        <f t="shared" si="32"/>
        <v/>
      </c>
      <c r="S96" s="27" t="str">
        <f t="shared" si="33"/>
        <v/>
      </c>
      <c r="T96" s="28" t="str">
        <f t="shared" si="33"/>
        <v/>
      </c>
      <c r="U96" s="28" t="str">
        <f t="shared" si="33"/>
        <v/>
      </c>
      <c r="V96" s="28" t="str">
        <f t="shared" si="33"/>
        <v/>
      </c>
      <c r="W96" s="28" t="str">
        <f t="shared" si="33"/>
        <v/>
      </c>
      <c r="X96" s="29" t="str">
        <f t="shared" si="3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4"/>
        <v/>
      </c>
      <c r="M97" s="19" t="str">
        <f t="shared" si="35"/>
        <v/>
      </c>
      <c r="N97" s="19" t="str">
        <f t="shared" si="36"/>
        <v/>
      </c>
      <c r="O97" s="19" t="str">
        <f t="shared" si="23"/>
        <v/>
      </c>
      <c r="P97" s="19" t="str">
        <f t="shared" si="24"/>
        <v/>
      </c>
      <c r="Q97" s="19" t="str">
        <f t="shared" si="25"/>
        <v/>
      </c>
      <c r="R97" s="19" t="str">
        <f t="shared" si="32"/>
        <v/>
      </c>
      <c r="S97" s="27" t="str">
        <f t="shared" ref="S97:X112" si="37">IF(C97="","",((C97-C96)*1000)/($B97-$B96))</f>
        <v/>
      </c>
      <c r="T97" s="28" t="str">
        <f t="shared" si="37"/>
        <v/>
      </c>
      <c r="U97" s="28" t="str">
        <f t="shared" si="37"/>
        <v/>
      </c>
      <c r="V97" s="28" t="str">
        <f t="shared" si="37"/>
        <v/>
      </c>
      <c r="W97" s="28" t="str">
        <f t="shared" si="37"/>
        <v/>
      </c>
      <c r="X97" s="29" t="str">
        <f t="shared" si="37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4"/>
        <v/>
      </c>
      <c r="M98" s="19" t="str">
        <f t="shared" si="35"/>
        <v/>
      </c>
      <c r="N98" s="19" t="str">
        <f t="shared" si="36"/>
        <v/>
      </c>
      <c r="O98" s="19" t="str">
        <f t="shared" si="23"/>
        <v/>
      </c>
      <c r="P98" s="19" t="str">
        <f t="shared" si="24"/>
        <v/>
      </c>
      <c r="Q98" s="19" t="str">
        <f t="shared" si="25"/>
        <v/>
      </c>
      <c r="R98" s="19" t="str">
        <f t="shared" si="32"/>
        <v/>
      </c>
      <c r="S98" s="27" t="str">
        <f t="shared" si="37"/>
        <v/>
      </c>
      <c r="T98" s="28" t="str">
        <f t="shared" si="37"/>
        <v/>
      </c>
      <c r="U98" s="28" t="str">
        <f t="shared" si="37"/>
        <v/>
      </c>
      <c r="V98" s="28" t="str">
        <f t="shared" si="37"/>
        <v/>
      </c>
      <c r="W98" s="28" t="str">
        <f t="shared" si="37"/>
        <v/>
      </c>
      <c r="X98" s="29" t="str">
        <f t="shared" si="37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4"/>
        <v/>
      </c>
      <c r="M99" s="19" t="str">
        <f t="shared" si="35"/>
        <v/>
      </c>
      <c r="N99" s="19" t="str">
        <f t="shared" si="36"/>
        <v/>
      </c>
      <c r="O99" s="19" t="str">
        <f t="shared" ref="O99:O153" si="38">IF(ISBLANK(F99),"",((F99-F$34)*1000)+L$34)</f>
        <v/>
      </c>
      <c r="P99" s="19" t="str">
        <f t="shared" ref="P99:P153" si="39">IF(ISBLANK(G99),"",((G99-G$34)*1000)+M$34)</f>
        <v/>
      </c>
      <c r="Q99" s="19" t="str">
        <f t="shared" ref="Q99:Q153" si="40">IF(ISBLANK(H99),"",((H99-H$34)*1000)+N$34)</f>
        <v/>
      </c>
      <c r="R99" s="19" t="str">
        <f t="shared" si="32"/>
        <v/>
      </c>
      <c r="S99" s="27" t="str">
        <f t="shared" si="37"/>
        <v/>
      </c>
      <c r="T99" s="28" t="str">
        <f t="shared" si="37"/>
        <v/>
      </c>
      <c r="U99" s="28" t="str">
        <f t="shared" si="37"/>
        <v/>
      </c>
      <c r="V99" s="28" t="str">
        <f t="shared" si="37"/>
        <v/>
      </c>
      <c r="W99" s="28" t="str">
        <f t="shared" si="37"/>
        <v/>
      </c>
      <c r="X99" s="29" t="str">
        <f t="shared" si="37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4"/>
        <v/>
      </c>
      <c r="M100" s="19" t="str">
        <f t="shared" si="35"/>
        <v/>
      </c>
      <c r="N100" s="19" t="str">
        <f t="shared" si="36"/>
        <v/>
      </c>
      <c r="O100" s="19" t="str">
        <f t="shared" si="38"/>
        <v/>
      </c>
      <c r="P100" s="19" t="str">
        <f t="shared" si="39"/>
        <v/>
      </c>
      <c r="Q100" s="19" t="str">
        <f t="shared" si="40"/>
        <v/>
      </c>
      <c r="R100" s="19" t="str">
        <f t="shared" si="32"/>
        <v/>
      </c>
      <c r="S100" s="27" t="str">
        <f t="shared" si="37"/>
        <v/>
      </c>
      <c r="T100" s="28" t="str">
        <f t="shared" si="37"/>
        <v/>
      </c>
      <c r="U100" s="28" t="str">
        <f t="shared" si="37"/>
        <v/>
      </c>
      <c r="V100" s="28" t="str">
        <f t="shared" si="37"/>
        <v/>
      </c>
      <c r="W100" s="28" t="str">
        <f t="shared" si="37"/>
        <v/>
      </c>
      <c r="X100" s="29" t="str">
        <f t="shared" si="37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4"/>
        <v/>
      </c>
      <c r="M101" s="19" t="str">
        <f t="shared" si="35"/>
        <v/>
      </c>
      <c r="N101" s="19" t="str">
        <f t="shared" si="36"/>
        <v/>
      </c>
      <c r="O101" s="19" t="str">
        <f t="shared" si="38"/>
        <v/>
      </c>
      <c r="P101" s="19" t="str">
        <f t="shared" si="39"/>
        <v/>
      </c>
      <c r="Q101" s="19" t="str">
        <f t="shared" si="40"/>
        <v/>
      </c>
      <c r="R101" s="19" t="str">
        <f t="shared" si="32"/>
        <v/>
      </c>
      <c r="S101" s="27" t="str">
        <f t="shared" si="37"/>
        <v/>
      </c>
      <c r="T101" s="28" t="str">
        <f t="shared" si="37"/>
        <v/>
      </c>
      <c r="U101" s="28" t="str">
        <f t="shared" si="37"/>
        <v/>
      </c>
      <c r="V101" s="28" t="str">
        <f t="shared" si="37"/>
        <v/>
      </c>
      <c r="W101" s="28" t="str">
        <f t="shared" si="37"/>
        <v/>
      </c>
      <c r="X101" s="29" t="str">
        <f t="shared" si="37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4"/>
        <v/>
      </c>
      <c r="M102" s="19" t="str">
        <f t="shared" si="35"/>
        <v/>
      </c>
      <c r="N102" s="19" t="str">
        <f t="shared" si="36"/>
        <v/>
      </c>
      <c r="O102" s="19" t="str">
        <f t="shared" si="38"/>
        <v/>
      </c>
      <c r="P102" s="19" t="str">
        <f t="shared" si="39"/>
        <v/>
      </c>
      <c r="Q102" s="19" t="str">
        <f t="shared" si="40"/>
        <v/>
      </c>
      <c r="R102" s="19" t="str">
        <f t="shared" si="32"/>
        <v/>
      </c>
      <c r="S102" s="27" t="str">
        <f t="shared" si="37"/>
        <v/>
      </c>
      <c r="T102" s="28" t="str">
        <f t="shared" si="37"/>
        <v/>
      </c>
      <c r="U102" s="28" t="str">
        <f t="shared" si="37"/>
        <v/>
      </c>
      <c r="V102" s="28" t="str">
        <f t="shared" si="37"/>
        <v/>
      </c>
      <c r="W102" s="28" t="str">
        <f t="shared" si="37"/>
        <v/>
      </c>
      <c r="X102" s="29" t="str">
        <f t="shared" si="37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4"/>
        <v/>
      </c>
      <c r="M103" s="19" t="str">
        <f t="shared" si="35"/>
        <v/>
      </c>
      <c r="N103" s="19" t="str">
        <f t="shared" si="36"/>
        <v/>
      </c>
      <c r="O103" s="19" t="str">
        <f t="shared" si="38"/>
        <v/>
      </c>
      <c r="P103" s="19" t="str">
        <f t="shared" si="39"/>
        <v/>
      </c>
      <c r="Q103" s="19" t="str">
        <f t="shared" si="40"/>
        <v/>
      </c>
      <c r="R103" s="19" t="str">
        <f t="shared" si="32"/>
        <v/>
      </c>
      <c r="S103" s="27" t="str">
        <f t="shared" si="37"/>
        <v/>
      </c>
      <c r="T103" s="28" t="str">
        <f t="shared" si="37"/>
        <v/>
      </c>
      <c r="U103" s="28" t="str">
        <f t="shared" si="37"/>
        <v/>
      </c>
      <c r="V103" s="28" t="str">
        <f t="shared" si="37"/>
        <v/>
      </c>
      <c r="W103" s="28" t="str">
        <f t="shared" si="37"/>
        <v/>
      </c>
      <c r="X103" s="29" t="str">
        <f t="shared" si="37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4"/>
        <v/>
      </c>
      <c r="M104" s="19" t="str">
        <f t="shared" si="35"/>
        <v/>
      </c>
      <c r="N104" s="19" t="str">
        <f t="shared" si="36"/>
        <v/>
      </c>
      <c r="O104" s="19" t="str">
        <f t="shared" si="38"/>
        <v/>
      </c>
      <c r="P104" s="19" t="str">
        <f t="shared" si="39"/>
        <v/>
      </c>
      <c r="Q104" s="19" t="str">
        <f t="shared" si="40"/>
        <v/>
      </c>
      <c r="R104" s="19" t="str">
        <f t="shared" si="32"/>
        <v/>
      </c>
      <c r="S104" s="27" t="str">
        <f t="shared" si="37"/>
        <v/>
      </c>
      <c r="T104" s="28" t="str">
        <f t="shared" si="37"/>
        <v/>
      </c>
      <c r="U104" s="28" t="str">
        <f t="shared" si="37"/>
        <v/>
      </c>
      <c r="V104" s="28" t="str">
        <f t="shared" si="37"/>
        <v/>
      </c>
      <c r="W104" s="28" t="str">
        <f t="shared" si="37"/>
        <v/>
      </c>
      <c r="X104" s="29" t="str">
        <f t="shared" si="37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4"/>
        <v/>
      </c>
      <c r="M105" s="19" t="str">
        <f t="shared" si="35"/>
        <v/>
      </c>
      <c r="N105" s="19" t="str">
        <f t="shared" si="36"/>
        <v/>
      </c>
      <c r="O105" s="19" t="str">
        <f t="shared" si="38"/>
        <v/>
      </c>
      <c r="P105" s="19" t="str">
        <f t="shared" si="39"/>
        <v/>
      </c>
      <c r="Q105" s="19" t="str">
        <f t="shared" si="40"/>
        <v/>
      </c>
      <c r="R105" s="19" t="str">
        <f t="shared" si="32"/>
        <v/>
      </c>
      <c r="S105" s="27" t="str">
        <f t="shared" si="37"/>
        <v/>
      </c>
      <c r="T105" s="28" t="str">
        <f t="shared" si="37"/>
        <v/>
      </c>
      <c r="U105" s="28" t="str">
        <f t="shared" si="37"/>
        <v/>
      </c>
      <c r="V105" s="28" t="str">
        <f t="shared" si="37"/>
        <v/>
      </c>
      <c r="W105" s="28" t="str">
        <f t="shared" si="37"/>
        <v/>
      </c>
      <c r="X105" s="29" t="str">
        <f t="shared" si="37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4"/>
        <v/>
      </c>
      <c r="M106" s="19" t="str">
        <f t="shared" si="35"/>
        <v/>
      </c>
      <c r="N106" s="19" t="str">
        <f t="shared" si="36"/>
        <v/>
      </c>
      <c r="O106" s="19" t="str">
        <f t="shared" si="38"/>
        <v/>
      </c>
      <c r="P106" s="19" t="str">
        <f t="shared" si="39"/>
        <v/>
      </c>
      <c r="Q106" s="19" t="str">
        <f t="shared" si="40"/>
        <v/>
      </c>
      <c r="R106" s="19" t="str">
        <f t="shared" si="32"/>
        <v/>
      </c>
      <c r="S106" s="27" t="str">
        <f t="shared" si="37"/>
        <v/>
      </c>
      <c r="T106" s="28" t="str">
        <f t="shared" si="37"/>
        <v/>
      </c>
      <c r="U106" s="28" t="str">
        <f t="shared" si="37"/>
        <v/>
      </c>
      <c r="V106" s="28" t="str">
        <f t="shared" si="37"/>
        <v/>
      </c>
      <c r="W106" s="28" t="str">
        <f t="shared" si="37"/>
        <v/>
      </c>
      <c r="X106" s="29" t="str">
        <f t="shared" si="37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4"/>
        <v/>
      </c>
      <c r="M107" s="19" t="str">
        <f t="shared" si="35"/>
        <v/>
      </c>
      <c r="N107" s="19" t="str">
        <f t="shared" si="36"/>
        <v/>
      </c>
      <c r="O107" s="19" t="str">
        <f t="shared" si="38"/>
        <v/>
      </c>
      <c r="P107" s="19" t="str">
        <f t="shared" si="39"/>
        <v/>
      </c>
      <c r="Q107" s="19" t="str">
        <f t="shared" si="40"/>
        <v/>
      </c>
      <c r="R107" s="19" t="str">
        <f t="shared" si="32"/>
        <v/>
      </c>
      <c r="S107" s="27" t="str">
        <f t="shared" si="37"/>
        <v/>
      </c>
      <c r="T107" s="28" t="str">
        <f t="shared" si="37"/>
        <v/>
      </c>
      <c r="U107" s="28" t="str">
        <f t="shared" si="37"/>
        <v/>
      </c>
      <c r="V107" s="28" t="str">
        <f t="shared" si="37"/>
        <v/>
      </c>
      <c r="W107" s="28" t="str">
        <f t="shared" si="37"/>
        <v/>
      </c>
      <c r="X107" s="29" t="str">
        <f t="shared" si="37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4"/>
        <v/>
      </c>
      <c r="M108" s="19" t="str">
        <f t="shared" si="35"/>
        <v/>
      </c>
      <c r="N108" s="19" t="str">
        <f t="shared" si="36"/>
        <v/>
      </c>
      <c r="O108" s="19" t="str">
        <f t="shared" si="38"/>
        <v/>
      </c>
      <c r="P108" s="19" t="str">
        <f t="shared" si="39"/>
        <v/>
      </c>
      <c r="Q108" s="19" t="str">
        <f t="shared" si="40"/>
        <v/>
      </c>
      <c r="R108" s="19" t="str">
        <f t="shared" si="32"/>
        <v/>
      </c>
      <c r="S108" s="27" t="str">
        <f t="shared" si="37"/>
        <v/>
      </c>
      <c r="T108" s="28" t="str">
        <f t="shared" si="37"/>
        <v/>
      </c>
      <c r="U108" s="28" t="str">
        <f t="shared" si="37"/>
        <v/>
      </c>
      <c r="V108" s="28" t="str">
        <f t="shared" si="37"/>
        <v/>
      </c>
      <c r="W108" s="28" t="str">
        <f t="shared" si="37"/>
        <v/>
      </c>
      <c r="X108" s="29" t="str">
        <f t="shared" si="37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4"/>
        <v/>
      </c>
      <c r="M109" s="19" t="str">
        <f t="shared" si="35"/>
        <v/>
      </c>
      <c r="N109" s="19" t="str">
        <f t="shared" si="36"/>
        <v/>
      </c>
      <c r="O109" s="19" t="str">
        <f t="shared" si="38"/>
        <v/>
      </c>
      <c r="P109" s="19" t="str">
        <f t="shared" si="39"/>
        <v/>
      </c>
      <c r="Q109" s="19" t="str">
        <f t="shared" si="40"/>
        <v/>
      </c>
      <c r="R109" s="19" t="str">
        <f t="shared" si="32"/>
        <v/>
      </c>
      <c r="S109" s="27" t="str">
        <f t="shared" si="37"/>
        <v/>
      </c>
      <c r="T109" s="28" t="str">
        <f t="shared" si="37"/>
        <v/>
      </c>
      <c r="U109" s="28" t="str">
        <f t="shared" si="37"/>
        <v/>
      </c>
      <c r="V109" s="28" t="str">
        <f t="shared" si="37"/>
        <v/>
      </c>
      <c r="W109" s="28" t="str">
        <f t="shared" si="37"/>
        <v/>
      </c>
      <c r="X109" s="29" t="str">
        <f t="shared" si="37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4"/>
        <v/>
      </c>
      <c r="M110" s="19" t="str">
        <f t="shared" si="35"/>
        <v/>
      </c>
      <c r="N110" s="19" t="str">
        <f t="shared" si="36"/>
        <v/>
      </c>
      <c r="O110" s="19" t="str">
        <f t="shared" si="38"/>
        <v/>
      </c>
      <c r="P110" s="19" t="str">
        <f t="shared" si="39"/>
        <v/>
      </c>
      <c r="Q110" s="19" t="str">
        <f t="shared" si="40"/>
        <v/>
      </c>
      <c r="R110" s="19" t="str">
        <f t="shared" si="32"/>
        <v/>
      </c>
      <c r="S110" s="27" t="str">
        <f t="shared" si="37"/>
        <v/>
      </c>
      <c r="T110" s="28" t="str">
        <f t="shared" si="37"/>
        <v/>
      </c>
      <c r="U110" s="28" t="str">
        <f t="shared" si="37"/>
        <v/>
      </c>
      <c r="V110" s="28" t="str">
        <f t="shared" si="37"/>
        <v/>
      </c>
      <c r="W110" s="28" t="str">
        <f t="shared" si="37"/>
        <v/>
      </c>
      <c r="X110" s="29" t="str">
        <f t="shared" si="37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4"/>
        <v/>
      </c>
      <c r="M111" s="19" t="str">
        <f t="shared" si="35"/>
        <v/>
      </c>
      <c r="N111" s="19" t="str">
        <f t="shared" si="36"/>
        <v/>
      </c>
      <c r="O111" s="19" t="str">
        <f t="shared" si="38"/>
        <v/>
      </c>
      <c r="P111" s="19" t="str">
        <f t="shared" si="39"/>
        <v/>
      </c>
      <c r="Q111" s="19" t="str">
        <f t="shared" si="40"/>
        <v/>
      </c>
      <c r="R111" s="19" t="str">
        <f t="shared" si="32"/>
        <v/>
      </c>
      <c r="S111" s="27" t="str">
        <f t="shared" si="37"/>
        <v/>
      </c>
      <c r="T111" s="28" t="str">
        <f t="shared" si="37"/>
        <v/>
      </c>
      <c r="U111" s="28" t="str">
        <f t="shared" si="37"/>
        <v/>
      </c>
      <c r="V111" s="28" t="str">
        <f t="shared" si="37"/>
        <v/>
      </c>
      <c r="W111" s="28" t="str">
        <f t="shared" si="37"/>
        <v/>
      </c>
      <c r="X111" s="29" t="str">
        <f t="shared" si="37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34"/>
        <v/>
      </c>
      <c r="M112" s="19" t="str">
        <f t="shared" si="35"/>
        <v/>
      </c>
      <c r="N112" s="19" t="str">
        <f t="shared" si="36"/>
        <v/>
      </c>
      <c r="O112" s="19" t="str">
        <f t="shared" si="38"/>
        <v/>
      </c>
      <c r="P112" s="19" t="str">
        <f t="shared" si="39"/>
        <v/>
      </c>
      <c r="Q112" s="19" t="str">
        <f t="shared" si="40"/>
        <v/>
      </c>
      <c r="R112" s="19" t="str">
        <f t="shared" si="32"/>
        <v/>
      </c>
      <c r="S112" s="27" t="str">
        <f t="shared" si="37"/>
        <v/>
      </c>
      <c r="T112" s="28" t="str">
        <f t="shared" si="37"/>
        <v/>
      </c>
      <c r="U112" s="28" t="str">
        <f t="shared" si="37"/>
        <v/>
      </c>
      <c r="V112" s="28" t="str">
        <f t="shared" si="37"/>
        <v/>
      </c>
      <c r="W112" s="28" t="str">
        <f t="shared" si="37"/>
        <v/>
      </c>
      <c r="X112" s="29" t="str">
        <f t="shared" si="37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34"/>
        <v/>
      </c>
      <c r="M113" s="19" t="str">
        <f t="shared" si="35"/>
        <v/>
      </c>
      <c r="N113" s="19" t="str">
        <f t="shared" si="36"/>
        <v/>
      </c>
      <c r="O113" s="19" t="str">
        <f t="shared" si="38"/>
        <v/>
      </c>
      <c r="P113" s="19" t="str">
        <f t="shared" si="39"/>
        <v/>
      </c>
      <c r="Q113" s="19" t="str">
        <f t="shared" si="40"/>
        <v/>
      </c>
      <c r="R113" s="19" t="str">
        <f t="shared" si="32"/>
        <v/>
      </c>
      <c r="S113" s="27" t="str">
        <f t="shared" ref="S113:X128" si="41">IF(C113="","",((C113-C112)*1000)/($B113-$B112))</f>
        <v/>
      </c>
      <c r="T113" s="28" t="str">
        <f t="shared" si="41"/>
        <v/>
      </c>
      <c r="U113" s="28" t="str">
        <f t="shared" si="41"/>
        <v/>
      </c>
      <c r="V113" s="28" t="str">
        <f t="shared" si="41"/>
        <v/>
      </c>
      <c r="W113" s="28" t="str">
        <f t="shared" si="41"/>
        <v/>
      </c>
      <c r="X113" s="29" t="str">
        <f t="shared" si="41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34"/>
        <v/>
      </c>
      <c r="M114" s="19" t="str">
        <f t="shared" si="35"/>
        <v/>
      </c>
      <c r="N114" s="19" t="str">
        <f t="shared" si="36"/>
        <v/>
      </c>
      <c r="O114" s="19" t="str">
        <f t="shared" si="38"/>
        <v/>
      </c>
      <c r="P114" s="19" t="str">
        <f t="shared" si="39"/>
        <v/>
      </c>
      <c r="Q114" s="19" t="str">
        <f t="shared" si="40"/>
        <v/>
      </c>
      <c r="R114" s="19" t="str">
        <f t="shared" si="32"/>
        <v/>
      </c>
      <c r="S114" s="27" t="str">
        <f t="shared" si="41"/>
        <v/>
      </c>
      <c r="T114" s="28" t="str">
        <f t="shared" si="41"/>
        <v/>
      </c>
      <c r="U114" s="28" t="str">
        <f t="shared" si="41"/>
        <v/>
      </c>
      <c r="V114" s="28" t="str">
        <f t="shared" si="41"/>
        <v/>
      </c>
      <c r="W114" s="28" t="str">
        <f t="shared" si="41"/>
        <v/>
      </c>
      <c r="X114" s="29" t="str">
        <f t="shared" si="41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34"/>
        <v/>
      </c>
      <c r="M115" s="19" t="str">
        <f t="shared" si="35"/>
        <v/>
      </c>
      <c r="N115" s="19" t="str">
        <f t="shared" si="36"/>
        <v/>
      </c>
      <c r="O115" s="19" t="str">
        <f t="shared" si="38"/>
        <v/>
      </c>
      <c r="P115" s="19" t="str">
        <f t="shared" si="39"/>
        <v/>
      </c>
      <c r="Q115" s="19" t="str">
        <f t="shared" si="40"/>
        <v/>
      </c>
      <c r="R115" s="19" t="str">
        <f t="shared" si="32"/>
        <v/>
      </c>
      <c r="S115" s="27" t="str">
        <f t="shared" si="41"/>
        <v/>
      </c>
      <c r="T115" s="28" t="str">
        <f t="shared" si="41"/>
        <v/>
      </c>
      <c r="U115" s="28" t="str">
        <f t="shared" si="41"/>
        <v/>
      </c>
      <c r="V115" s="28" t="str">
        <f t="shared" si="41"/>
        <v/>
      </c>
      <c r="W115" s="28" t="str">
        <f t="shared" si="41"/>
        <v/>
      </c>
      <c r="X115" s="29" t="str">
        <f t="shared" si="41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34"/>
        <v/>
      </c>
      <c r="M116" s="19" t="str">
        <f t="shared" si="35"/>
        <v/>
      </c>
      <c r="N116" s="19" t="str">
        <f t="shared" si="36"/>
        <v/>
      </c>
      <c r="O116" s="19" t="str">
        <f t="shared" si="38"/>
        <v/>
      </c>
      <c r="P116" s="19" t="str">
        <f t="shared" si="39"/>
        <v/>
      </c>
      <c r="Q116" s="19" t="str">
        <f t="shared" si="40"/>
        <v/>
      </c>
      <c r="R116" s="19" t="str">
        <f t="shared" si="32"/>
        <v/>
      </c>
      <c r="S116" s="27" t="str">
        <f t="shared" si="41"/>
        <v/>
      </c>
      <c r="T116" s="28" t="str">
        <f t="shared" si="41"/>
        <v/>
      </c>
      <c r="U116" s="28" t="str">
        <f t="shared" si="41"/>
        <v/>
      </c>
      <c r="V116" s="28" t="str">
        <f t="shared" si="41"/>
        <v/>
      </c>
      <c r="W116" s="28" t="str">
        <f t="shared" si="41"/>
        <v/>
      </c>
      <c r="X116" s="29" t="str">
        <f t="shared" si="41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34"/>
        <v/>
      </c>
      <c r="M117" s="19" t="str">
        <f t="shared" si="35"/>
        <v/>
      </c>
      <c r="N117" s="19" t="str">
        <f t="shared" si="36"/>
        <v/>
      </c>
      <c r="O117" s="19" t="str">
        <f t="shared" si="38"/>
        <v/>
      </c>
      <c r="P117" s="19" t="str">
        <f t="shared" si="39"/>
        <v/>
      </c>
      <c r="Q117" s="19" t="str">
        <f t="shared" si="40"/>
        <v/>
      </c>
      <c r="R117" s="19" t="str">
        <f t="shared" si="32"/>
        <v/>
      </c>
      <c r="S117" s="27" t="str">
        <f t="shared" si="41"/>
        <v/>
      </c>
      <c r="T117" s="28" t="str">
        <f t="shared" si="41"/>
        <v/>
      </c>
      <c r="U117" s="28" t="str">
        <f t="shared" si="41"/>
        <v/>
      </c>
      <c r="V117" s="28" t="str">
        <f t="shared" si="41"/>
        <v/>
      </c>
      <c r="W117" s="28" t="str">
        <f t="shared" si="41"/>
        <v/>
      </c>
      <c r="X117" s="29" t="str">
        <f t="shared" si="41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34"/>
        <v/>
      </c>
      <c r="M118" s="19" t="str">
        <f t="shared" si="35"/>
        <v/>
      </c>
      <c r="N118" s="19" t="str">
        <f t="shared" si="36"/>
        <v/>
      </c>
      <c r="O118" s="19" t="str">
        <f t="shared" si="38"/>
        <v/>
      </c>
      <c r="P118" s="19" t="str">
        <f t="shared" si="39"/>
        <v/>
      </c>
      <c r="Q118" s="19" t="str">
        <f t="shared" si="40"/>
        <v/>
      </c>
      <c r="R118" s="19" t="str">
        <f t="shared" si="32"/>
        <v/>
      </c>
      <c r="S118" s="27" t="str">
        <f t="shared" si="41"/>
        <v/>
      </c>
      <c r="T118" s="28" t="str">
        <f t="shared" si="41"/>
        <v/>
      </c>
      <c r="U118" s="28" t="str">
        <f t="shared" si="41"/>
        <v/>
      </c>
      <c r="V118" s="28" t="str">
        <f t="shared" si="41"/>
        <v/>
      </c>
      <c r="W118" s="28" t="str">
        <f t="shared" si="41"/>
        <v/>
      </c>
      <c r="X118" s="29" t="str">
        <f t="shared" si="41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4"/>
        <v/>
      </c>
      <c r="M119" s="19" t="str">
        <f t="shared" si="35"/>
        <v/>
      </c>
      <c r="N119" s="19" t="str">
        <f t="shared" si="36"/>
        <v/>
      </c>
      <c r="O119" s="19" t="str">
        <f t="shared" si="38"/>
        <v/>
      </c>
      <c r="P119" s="19" t="str">
        <f t="shared" si="39"/>
        <v/>
      </c>
      <c r="Q119" s="19" t="str">
        <f t="shared" si="40"/>
        <v/>
      </c>
      <c r="R119" s="19" t="str">
        <f t="shared" si="32"/>
        <v/>
      </c>
      <c r="S119" s="27" t="str">
        <f t="shared" si="41"/>
        <v/>
      </c>
      <c r="T119" s="28" t="str">
        <f t="shared" si="41"/>
        <v/>
      </c>
      <c r="U119" s="28" t="str">
        <f t="shared" si="41"/>
        <v/>
      </c>
      <c r="V119" s="28" t="str">
        <f t="shared" si="41"/>
        <v/>
      </c>
      <c r="W119" s="28" t="str">
        <f t="shared" si="41"/>
        <v/>
      </c>
      <c r="X119" s="29" t="str">
        <f t="shared" si="41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4"/>
        <v/>
      </c>
      <c r="M120" s="19" t="str">
        <f t="shared" si="35"/>
        <v/>
      </c>
      <c r="N120" s="19" t="str">
        <f t="shared" si="36"/>
        <v/>
      </c>
      <c r="O120" s="19" t="str">
        <f t="shared" si="38"/>
        <v/>
      </c>
      <c r="P120" s="19" t="str">
        <f t="shared" si="39"/>
        <v/>
      </c>
      <c r="Q120" s="19" t="str">
        <f t="shared" si="40"/>
        <v/>
      </c>
      <c r="R120" s="19" t="str">
        <f t="shared" si="32"/>
        <v/>
      </c>
      <c r="S120" s="27" t="str">
        <f t="shared" si="41"/>
        <v/>
      </c>
      <c r="T120" s="28" t="str">
        <f t="shared" si="41"/>
        <v/>
      </c>
      <c r="U120" s="28" t="str">
        <f t="shared" si="41"/>
        <v/>
      </c>
      <c r="V120" s="28" t="str">
        <f t="shared" si="41"/>
        <v/>
      </c>
      <c r="W120" s="28" t="str">
        <f t="shared" si="41"/>
        <v/>
      </c>
      <c r="X120" s="29" t="str">
        <f t="shared" si="41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4"/>
        <v/>
      </c>
      <c r="M121" s="19" t="str">
        <f t="shared" si="35"/>
        <v/>
      </c>
      <c r="N121" s="19" t="str">
        <f t="shared" si="36"/>
        <v/>
      </c>
      <c r="O121" s="19" t="str">
        <f t="shared" si="38"/>
        <v/>
      </c>
      <c r="P121" s="19" t="str">
        <f t="shared" si="39"/>
        <v/>
      </c>
      <c r="Q121" s="19" t="str">
        <f t="shared" si="40"/>
        <v/>
      </c>
      <c r="R121" s="19" t="str">
        <f t="shared" si="32"/>
        <v/>
      </c>
      <c r="S121" s="27" t="str">
        <f t="shared" si="41"/>
        <v/>
      </c>
      <c r="T121" s="28" t="str">
        <f t="shared" si="41"/>
        <v/>
      </c>
      <c r="U121" s="28" t="str">
        <f t="shared" si="41"/>
        <v/>
      </c>
      <c r="V121" s="28" t="str">
        <f t="shared" si="41"/>
        <v/>
      </c>
      <c r="W121" s="28" t="str">
        <f t="shared" si="41"/>
        <v/>
      </c>
      <c r="X121" s="29" t="str">
        <f t="shared" si="41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4"/>
        <v/>
      </c>
      <c r="M122" s="19" t="str">
        <f t="shared" si="35"/>
        <v/>
      </c>
      <c r="N122" s="19" t="str">
        <f t="shared" si="36"/>
        <v/>
      </c>
      <c r="O122" s="19" t="str">
        <f t="shared" si="38"/>
        <v/>
      </c>
      <c r="P122" s="19" t="str">
        <f t="shared" si="39"/>
        <v/>
      </c>
      <c r="Q122" s="19" t="str">
        <f t="shared" si="40"/>
        <v/>
      </c>
      <c r="R122" s="19" t="str">
        <f t="shared" si="32"/>
        <v/>
      </c>
      <c r="S122" s="27" t="str">
        <f t="shared" si="41"/>
        <v/>
      </c>
      <c r="T122" s="28" t="str">
        <f t="shared" si="41"/>
        <v/>
      </c>
      <c r="U122" s="28" t="str">
        <f t="shared" si="41"/>
        <v/>
      </c>
      <c r="V122" s="28" t="str">
        <f t="shared" si="41"/>
        <v/>
      </c>
      <c r="W122" s="28" t="str">
        <f t="shared" si="41"/>
        <v/>
      </c>
      <c r="X122" s="29" t="str">
        <f t="shared" si="41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4"/>
        <v/>
      </c>
      <c r="M123" s="19" t="str">
        <f t="shared" si="35"/>
        <v/>
      </c>
      <c r="N123" s="19" t="str">
        <f t="shared" si="36"/>
        <v/>
      </c>
      <c r="O123" s="19" t="str">
        <f t="shared" si="38"/>
        <v/>
      </c>
      <c r="P123" s="19" t="str">
        <f t="shared" si="39"/>
        <v/>
      </c>
      <c r="Q123" s="19" t="str">
        <f t="shared" si="40"/>
        <v/>
      </c>
      <c r="R123" s="19" t="str">
        <f t="shared" si="32"/>
        <v/>
      </c>
      <c r="S123" s="27" t="str">
        <f t="shared" si="41"/>
        <v/>
      </c>
      <c r="T123" s="28" t="str">
        <f t="shared" si="41"/>
        <v/>
      </c>
      <c r="U123" s="28" t="str">
        <f t="shared" si="41"/>
        <v/>
      </c>
      <c r="V123" s="28" t="str">
        <f t="shared" si="41"/>
        <v/>
      </c>
      <c r="W123" s="28" t="str">
        <f t="shared" si="41"/>
        <v/>
      </c>
      <c r="X123" s="29" t="str">
        <f t="shared" si="41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4"/>
        <v/>
      </c>
      <c r="M124" s="19" t="str">
        <f t="shared" si="35"/>
        <v/>
      </c>
      <c r="N124" s="19" t="str">
        <f t="shared" si="36"/>
        <v/>
      </c>
      <c r="O124" s="19" t="str">
        <f t="shared" si="38"/>
        <v/>
      </c>
      <c r="P124" s="19" t="str">
        <f t="shared" si="39"/>
        <v/>
      </c>
      <c r="Q124" s="19" t="str">
        <f t="shared" si="40"/>
        <v/>
      </c>
      <c r="R124" s="19" t="str">
        <f t="shared" si="32"/>
        <v/>
      </c>
      <c r="S124" s="27" t="str">
        <f t="shared" si="41"/>
        <v/>
      </c>
      <c r="T124" s="28" t="str">
        <f t="shared" si="41"/>
        <v/>
      </c>
      <c r="U124" s="28" t="str">
        <f t="shared" si="41"/>
        <v/>
      </c>
      <c r="V124" s="28" t="str">
        <f t="shared" si="41"/>
        <v/>
      </c>
      <c r="W124" s="28" t="str">
        <f t="shared" si="41"/>
        <v/>
      </c>
      <c r="X124" s="29" t="str">
        <f t="shared" si="41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4"/>
        <v/>
      </c>
      <c r="M125" s="19" t="str">
        <f t="shared" si="35"/>
        <v/>
      </c>
      <c r="N125" s="19" t="str">
        <f t="shared" si="36"/>
        <v/>
      </c>
      <c r="O125" s="19" t="str">
        <f t="shared" si="38"/>
        <v/>
      </c>
      <c r="P125" s="19" t="str">
        <f t="shared" si="39"/>
        <v/>
      </c>
      <c r="Q125" s="19" t="str">
        <f t="shared" si="40"/>
        <v/>
      </c>
      <c r="R125" s="19" t="str">
        <f t="shared" si="32"/>
        <v/>
      </c>
      <c r="S125" s="27" t="str">
        <f t="shared" si="41"/>
        <v/>
      </c>
      <c r="T125" s="28" t="str">
        <f t="shared" si="41"/>
        <v/>
      </c>
      <c r="U125" s="28" t="str">
        <f t="shared" si="41"/>
        <v/>
      </c>
      <c r="V125" s="28" t="str">
        <f t="shared" si="41"/>
        <v/>
      </c>
      <c r="W125" s="28" t="str">
        <f t="shared" si="41"/>
        <v/>
      </c>
      <c r="X125" s="29" t="str">
        <f t="shared" si="41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4"/>
        <v/>
      </c>
      <c r="M126" s="19" t="str">
        <f t="shared" si="35"/>
        <v/>
      </c>
      <c r="N126" s="19" t="str">
        <f t="shared" si="36"/>
        <v/>
      </c>
      <c r="O126" s="19" t="str">
        <f t="shared" si="38"/>
        <v/>
      </c>
      <c r="P126" s="19" t="str">
        <f t="shared" si="39"/>
        <v/>
      </c>
      <c r="Q126" s="19" t="str">
        <f t="shared" si="40"/>
        <v/>
      </c>
      <c r="R126" s="19" t="str">
        <f t="shared" si="32"/>
        <v/>
      </c>
      <c r="S126" s="27" t="str">
        <f t="shared" si="41"/>
        <v/>
      </c>
      <c r="T126" s="28" t="str">
        <f t="shared" si="41"/>
        <v/>
      </c>
      <c r="U126" s="28" t="str">
        <f t="shared" si="41"/>
        <v/>
      </c>
      <c r="V126" s="28" t="str">
        <f t="shared" si="41"/>
        <v/>
      </c>
      <c r="W126" s="28" t="str">
        <f t="shared" si="41"/>
        <v/>
      </c>
      <c r="X126" s="29" t="str">
        <f t="shared" si="41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4"/>
        <v/>
      </c>
      <c r="M127" s="19" t="str">
        <f t="shared" si="35"/>
        <v/>
      </c>
      <c r="N127" s="19" t="str">
        <f t="shared" si="36"/>
        <v/>
      </c>
      <c r="O127" s="19" t="str">
        <f t="shared" si="38"/>
        <v/>
      </c>
      <c r="P127" s="19" t="str">
        <f t="shared" si="39"/>
        <v/>
      </c>
      <c r="Q127" s="19" t="str">
        <f t="shared" si="40"/>
        <v/>
      </c>
      <c r="R127" s="19" t="str">
        <f t="shared" si="32"/>
        <v/>
      </c>
      <c r="S127" s="27" t="str">
        <f t="shared" si="41"/>
        <v/>
      </c>
      <c r="T127" s="28" t="str">
        <f t="shared" si="41"/>
        <v/>
      </c>
      <c r="U127" s="28" t="str">
        <f t="shared" si="41"/>
        <v/>
      </c>
      <c r="V127" s="28" t="str">
        <f t="shared" si="41"/>
        <v/>
      </c>
      <c r="W127" s="28" t="str">
        <f t="shared" si="41"/>
        <v/>
      </c>
      <c r="X127" s="29" t="str">
        <f t="shared" si="41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4"/>
        <v/>
      </c>
      <c r="M128" s="19" t="str">
        <f t="shared" si="35"/>
        <v/>
      </c>
      <c r="N128" s="19" t="str">
        <f t="shared" si="36"/>
        <v/>
      </c>
      <c r="O128" s="19" t="str">
        <f t="shared" si="38"/>
        <v/>
      </c>
      <c r="P128" s="19" t="str">
        <f t="shared" si="39"/>
        <v/>
      </c>
      <c r="Q128" s="19" t="str">
        <f t="shared" si="40"/>
        <v/>
      </c>
      <c r="R128" s="19" t="str">
        <f t="shared" si="32"/>
        <v/>
      </c>
      <c r="S128" s="27" t="str">
        <f t="shared" si="41"/>
        <v/>
      </c>
      <c r="T128" s="28" t="str">
        <f t="shared" si="41"/>
        <v/>
      </c>
      <c r="U128" s="28" t="str">
        <f t="shared" si="41"/>
        <v/>
      </c>
      <c r="V128" s="28" t="str">
        <f t="shared" si="41"/>
        <v/>
      </c>
      <c r="W128" s="28" t="str">
        <f t="shared" si="41"/>
        <v/>
      </c>
      <c r="X128" s="29" t="str">
        <f t="shared" si="41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4"/>
        <v/>
      </c>
      <c r="M129" s="19" t="str">
        <f t="shared" si="35"/>
        <v/>
      </c>
      <c r="N129" s="19" t="str">
        <f t="shared" si="36"/>
        <v/>
      </c>
      <c r="O129" s="19" t="str">
        <f t="shared" si="38"/>
        <v/>
      </c>
      <c r="P129" s="19" t="str">
        <f t="shared" si="39"/>
        <v/>
      </c>
      <c r="Q129" s="19" t="str">
        <f t="shared" si="40"/>
        <v/>
      </c>
      <c r="R129" s="19" t="str">
        <f t="shared" si="32"/>
        <v/>
      </c>
      <c r="S129" s="27" t="str">
        <f t="shared" ref="S129:X144" si="42">IF(C129="","",((C129-C128)*1000)/($B129-$B128))</f>
        <v/>
      </c>
      <c r="T129" s="28" t="str">
        <f t="shared" si="42"/>
        <v/>
      </c>
      <c r="U129" s="28" t="str">
        <f t="shared" si="42"/>
        <v/>
      </c>
      <c r="V129" s="28" t="str">
        <f t="shared" si="42"/>
        <v/>
      </c>
      <c r="W129" s="28" t="str">
        <f t="shared" si="42"/>
        <v/>
      </c>
      <c r="X129" s="29" t="str">
        <f t="shared" si="4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4"/>
        <v/>
      </c>
      <c r="M130" s="19" t="str">
        <f t="shared" si="35"/>
        <v/>
      </c>
      <c r="N130" s="19" t="str">
        <f t="shared" si="36"/>
        <v/>
      </c>
      <c r="O130" s="19" t="str">
        <f t="shared" si="38"/>
        <v/>
      </c>
      <c r="P130" s="19" t="str">
        <f t="shared" si="39"/>
        <v/>
      </c>
      <c r="Q130" s="19" t="str">
        <f t="shared" si="40"/>
        <v/>
      </c>
      <c r="R130" s="19" t="str">
        <f t="shared" si="32"/>
        <v/>
      </c>
      <c r="S130" s="27" t="str">
        <f t="shared" si="42"/>
        <v/>
      </c>
      <c r="T130" s="28" t="str">
        <f t="shared" si="42"/>
        <v/>
      </c>
      <c r="U130" s="28" t="str">
        <f t="shared" si="42"/>
        <v/>
      </c>
      <c r="V130" s="28" t="str">
        <f t="shared" si="42"/>
        <v/>
      </c>
      <c r="W130" s="28" t="str">
        <f t="shared" si="42"/>
        <v/>
      </c>
      <c r="X130" s="29" t="str">
        <f t="shared" si="4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4"/>
        <v/>
      </c>
      <c r="M131" s="19" t="str">
        <f t="shared" si="35"/>
        <v/>
      </c>
      <c r="N131" s="19" t="str">
        <f t="shared" si="36"/>
        <v/>
      </c>
      <c r="O131" s="19" t="str">
        <f t="shared" si="38"/>
        <v/>
      </c>
      <c r="P131" s="19" t="str">
        <f t="shared" si="39"/>
        <v/>
      </c>
      <c r="Q131" s="19" t="str">
        <f t="shared" si="40"/>
        <v/>
      </c>
      <c r="R131" s="19" t="str">
        <f t="shared" ref="R131:R152" si="43">IF(ISBLANK(I131),"",(I131-I$16)*1000)</f>
        <v/>
      </c>
      <c r="S131" s="27" t="str">
        <f t="shared" si="42"/>
        <v/>
      </c>
      <c r="T131" s="28" t="str">
        <f t="shared" si="42"/>
        <v/>
      </c>
      <c r="U131" s="28" t="str">
        <f t="shared" si="42"/>
        <v/>
      </c>
      <c r="V131" s="28" t="str">
        <f t="shared" si="42"/>
        <v/>
      </c>
      <c r="W131" s="28" t="str">
        <f t="shared" si="42"/>
        <v/>
      </c>
      <c r="X131" s="29" t="str">
        <f t="shared" si="4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4"/>
        <v/>
      </c>
      <c r="M132" s="19" t="str">
        <f t="shared" si="35"/>
        <v/>
      </c>
      <c r="N132" s="19" t="str">
        <f t="shared" si="36"/>
        <v/>
      </c>
      <c r="O132" s="19" t="str">
        <f t="shared" si="38"/>
        <v/>
      </c>
      <c r="P132" s="19" t="str">
        <f t="shared" si="39"/>
        <v/>
      </c>
      <c r="Q132" s="19" t="str">
        <f t="shared" si="40"/>
        <v/>
      </c>
      <c r="R132" s="19" t="str">
        <f t="shared" si="43"/>
        <v/>
      </c>
      <c r="S132" s="27" t="str">
        <f t="shared" si="42"/>
        <v/>
      </c>
      <c r="T132" s="28" t="str">
        <f t="shared" si="42"/>
        <v/>
      </c>
      <c r="U132" s="28" t="str">
        <f t="shared" si="42"/>
        <v/>
      </c>
      <c r="V132" s="28" t="str">
        <f t="shared" si="42"/>
        <v/>
      </c>
      <c r="W132" s="28" t="str">
        <f t="shared" si="42"/>
        <v/>
      </c>
      <c r="X132" s="29" t="str">
        <f t="shared" si="4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4"/>
        <v/>
      </c>
      <c r="M133" s="19" t="str">
        <f t="shared" si="35"/>
        <v/>
      </c>
      <c r="N133" s="19" t="str">
        <f t="shared" si="36"/>
        <v/>
      </c>
      <c r="O133" s="19" t="str">
        <f t="shared" si="38"/>
        <v/>
      </c>
      <c r="P133" s="19" t="str">
        <f t="shared" si="39"/>
        <v/>
      </c>
      <c r="Q133" s="19" t="str">
        <f t="shared" si="40"/>
        <v/>
      </c>
      <c r="R133" s="19" t="str">
        <f t="shared" si="43"/>
        <v/>
      </c>
      <c r="S133" s="27" t="str">
        <f t="shared" si="42"/>
        <v/>
      </c>
      <c r="T133" s="28" t="str">
        <f t="shared" si="42"/>
        <v/>
      </c>
      <c r="U133" s="28" t="str">
        <f t="shared" si="42"/>
        <v/>
      </c>
      <c r="V133" s="28" t="str">
        <f t="shared" si="42"/>
        <v/>
      </c>
      <c r="W133" s="28" t="str">
        <f t="shared" si="42"/>
        <v/>
      </c>
      <c r="X133" s="29" t="str">
        <f t="shared" si="4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4"/>
        <v/>
      </c>
      <c r="M134" s="19" t="str">
        <f t="shared" si="35"/>
        <v/>
      </c>
      <c r="N134" s="19" t="str">
        <f t="shared" si="36"/>
        <v/>
      </c>
      <c r="O134" s="19" t="str">
        <f t="shared" si="38"/>
        <v/>
      </c>
      <c r="P134" s="19" t="str">
        <f t="shared" si="39"/>
        <v/>
      </c>
      <c r="Q134" s="19" t="str">
        <f t="shared" si="40"/>
        <v/>
      </c>
      <c r="R134" s="19" t="str">
        <f t="shared" si="43"/>
        <v/>
      </c>
      <c r="S134" s="27" t="str">
        <f t="shared" si="42"/>
        <v/>
      </c>
      <c r="T134" s="28" t="str">
        <f t="shared" si="42"/>
        <v/>
      </c>
      <c r="U134" s="28" t="str">
        <f t="shared" si="42"/>
        <v/>
      </c>
      <c r="V134" s="28" t="str">
        <f t="shared" si="42"/>
        <v/>
      </c>
      <c r="W134" s="28" t="str">
        <f t="shared" si="42"/>
        <v/>
      </c>
      <c r="X134" s="29" t="str">
        <f t="shared" si="4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4"/>
        <v/>
      </c>
      <c r="M135" s="19" t="str">
        <f t="shared" si="35"/>
        <v/>
      </c>
      <c r="N135" s="19" t="str">
        <f t="shared" si="36"/>
        <v/>
      </c>
      <c r="O135" s="19" t="str">
        <f t="shared" si="38"/>
        <v/>
      </c>
      <c r="P135" s="19" t="str">
        <f t="shared" si="39"/>
        <v/>
      </c>
      <c r="Q135" s="19" t="str">
        <f t="shared" si="40"/>
        <v/>
      </c>
      <c r="R135" s="19" t="str">
        <f t="shared" si="43"/>
        <v/>
      </c>
      <c r="S135" s="27" t="str">
        <f t="shared" si="42"/>
        <v/>
      </c>
      <c r="T135" s="28" t="str">
        <f t="shared" si="42"/>
        <v/>
      </c>
      <c r="U135" s="28" t="str">
        <f t="shared" si="42"/>
        <v/>
      </c>
      <c r="V135" s="28" t="str">
        <f t="shared" si="42"/>
        <v/>
      </c>
      <c r="W135" s="28" t="str">
        <f t="shared" si="42"/>
        <v/>
      </c>
      <c r="X135" s="29" t="str">
        <f t="shared" si="4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4"/>
        <v/>
      </c>
      <c r="M136" s="19" t="str">
        <f t="shared" si="35"/>
        <v/>
      </c>
      <c r="N136" s="19" t="str">
        <f t="shared" si="36"/>
        <v/>
      </c>
      <c r="O136" s="19" t="str">
        <f t="shared" si="38"/>
        <v/>
      </c>
      <c r="P136" s="19" t="str">
        <f t="shared" si="39"/>
        <v/>
      </c>
      <c r="Q136" s="19" t="str">
        <f t="shared" si="40"/>
        <v/>
      </c>
      <c r="R136" s="19" t="str">
        <f t="shared" si="43"/>
        <v/>
      </c>
      <c r="S136" s="27" t="str">
        <f t="shared" si="42"/>
        <v/>
      </c>
      <c r="T136" s="28" t="str">
        <f t="shared" si="42"/>
        <v/>
      </c>
      <c r="U136" s="28" t="str">
        <f t="shared" si="42"/>
        <v/>
      </c>
      <c r="V136" s="28" t="str">
        <f t="shared" si="42"/>
        <v/>
      </c>
      <c r="W136" s="28" t="str">
        <f t="shared" si="42"/>
        <v/>
      </c>
      <c r="X136" s="29" t="str">
        <f t="shared" si="4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4"/>
        <v/>
      </c>
      <c r="M137" s="19" t="str">
        <f t="shared" si="35"/>
        <v/>
      </c>
      <c r="N137" s="19" t="str">
        <f t="shared" si="36"/>
        <v/>
      </c>
      <c r="O137" s="19" t="str">
        <f t="shared" si="38"/>
        <v/>
      </c>
      <c r="P137" s="19" t="str">
        <f t="shared" si="39"/>
        <v/>
      </c>
      <c r="Q137" s="19" t="str">
        <f t="shared" si="40"/>
        <v/>
      </c>
      <c r="R137" s="19" t="str">
        <f t="shared" si="43"/>
        <v/>
      </c>
      <c r="S137" s="27" t="str">
        <f t="shared" si="42"/>
        <v/>
      </c>
      <c r="T137" s="28" t="str">
        <f t="shared" si="42"/>
        <v/>
      </c>
      <c r="U137" s="28" t="str">
        <f t="shared" si="42"/>
        <v/>
      </c>
      <c r="V137" s="28" t="str">
        <f t="shared" si="42"/>
        <v/>
      </c>
      <c r="W137" s="28" t="str">
        <f t="shared" si="42"/>
        <v/>
      </c>
      <c r="X137" s="29" t="str">
        <f t="shared" si="4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4"/>
        <v/>
      </c>
      <c r="M138" s="19" t="str">
        <f t="shared" si="35"/>
        <v/>
      </c>
      <c r="N138" s="19" t="str">
        <f t="shared" si="36"/>
        <v/>
      </c>
      <c r="O138" s="19" t="str">
        <f t="shared" si="38"/>
        <v/>
      </c>
      <c r="P138" s="19" t="str">
        <f t="shared" si="39"/>
        <v/>
      </c>
      <c r="Q138" s="19" t="str">
        <f t="shared" si="40"/>
        <v/>
      </c>
      <c r="R138" s="19" t="str">
        <f t="shared" si="43"/>
        <v/>
      </c>
      <c r="S138" s="27" t="str">
        <f t="shared" si="42"/>
        <v/>
      </c>
      <c r="T138" s="28" t="str">
        <f t="shared" si="42"/>
        <v/>
      </c>
      <c r="U138" s="28" t="str">
        <f t="shared" si="42"/>
        <v/>
      </c>
      <c r="V138" s="28" t="str">
        <f t="shared" si="42"/>
        <v/>
      </c>
      <c r="W138" s="28" t="str">
        <f t="shared" si="42"/>
        <v/>
      </c>
      <c r="X138" s="29" t="str">
        <f t="shared" si="4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4"/>
        <v/>
      </c>
      <c r="M139" s="19" t="str">
        <f t="shared" si="35"/>
        <v/>
      </c>
      <c r="N139" s="19" t="str">
        <f t="shared" si="36"/>
        <v/>
      </c>
      <c r="O139" s="19" t="str">
        <f t="shared" si="38"/>
        <v/>
      </c>
      <c r="P139" s="19" t="str">
        <f t="shared" si="39"/>
        <v/>
      </c>
      <c r="Q139" s="19" t="str">
        <f t="shared" si="40"/>
        <v/>
      </c>
      <c r="R139" s="19" t="str">
        <f t="shared" si="43"/>
        <v/>
      </c>
      <c r="S139" s="27" t="str">
        <f t="shared" si="42"/>
        <v/>
      </c>
      <c r="T139" s="28" t="str">
        <f t="shared" si="42"/>
        <v/>
      </c>
      <c r="U139" s="28" t="str">
        <f t="shared" si="42"/>
        <v/>
      </c>
      <c r="V139" s="28" t="str">
        <f t="shared" si="42"/>
        <v/>
      </c>
      <c r="W139" s="28" t="str">
        <f t="shared" si="42"/>
        <v/>
      </c>
      <c r="X139" s="29" t="str">
        <f t="shared" si="4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4"/>
        <v/>
      </c>
      <c r="M140" s="19" t="str">
        <f t="shared" si="35"/>
        <v/>
      </c>
      <c r="N140" s="19" t="str">
        <f t="shared" si="36"/>
        <v/>
      </c>
      <c r="O140" s="19" t="str">
        <f t="shared" si="38"/>
        <v/>
      </c>
      <c r="P140" s="19" t="str">
        <f t="shared" si="39"/>
        <v/>
      </c>
      <c r="Q140" s="19" t="str">
        <f t="shared" si="40"/>
        <v/>
      </c>
      <c r="R140" s="19" t="str">
        <f t="shared" si="43"/>
        <v/>
      </c>
      <c r="S140" s="27" t="str">
        <f t="shared" si="42"/>
        <v/>
      </c>
      <c r="T140" s="28" t="str">
        <f t="shared" si="42"/>
        <v/>
      </c>
      <c r="U140" s="28" t="str">
        <f t="shared" si="42"/>
        <v/>
      </c>
      <c r="V140" s="28" t="str">
        <f t="shared" si="42"/>
        <v/>
      </c>
      <c r="W140" s="28" t="str">
        <f t="shared" si="42"/>
        <v/>
      </c>
      <c r="X140" s="29" t="str">
        <f t="shared" si="4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4"/>
        <v/>
      </c>
      <c r="M141" s="19" t="str">
        <f t="shared" si="35"/>
        <v/>
      </c>
      <c r="N141" s="19" t="str">
        <f t="shared" si="36"/>
        <v/>
      </c>
      <c r="O141" s="19" t="str">
        <f t="shared" si="38"/>
        <v/>
      </c>
      <c r="P141" s="19" t="str">
        <f t="shared" si="39"/>
        <v/>
      </c>
      <c r="Q141" s="19" t="str">
        <f t="shared" si="40"/>
        <v/>
      </c>
      <c r="R141" s="19" t="str">
        <f t="shared" si="43"/>
        <v/>
      </c>
      <c r="S141" s="27" t="str">
        <f t="shared" si="42"/>
        <v/>
      </c>
      <c r="T141" s="28" t="str">
        <f t="shared" si="42"/>
        <v/>
      </c>
      <c r="U141" s="28" t="str">
        <f t="shared" si="42"/>
        <v/>
      </c>
      <c r="V141" s="28" t="str">
        <f t="shared" si="42"/>
        <v/>
      </c>
      <c r="W141" s="28" t="str">
        <f t="shared" si="42"/>
        <v/>
      </c>
      <c r="X141" s="29" t="str">
        <f t="shared" si="4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4"/>
        <v/>
      </c>
      <c r="M142" s="19" t="str">
        <f t="shared" si="35"/>
        <v/>
      </c>
      <c r="N142" s="19" t="str">
        <f t="shared" si="36"/>
        <v/>
      </c>
      <c r="O142" s="19" t="str">
        <f t="shared" si="38"/>
        <v/>
      </c>
      <c r="P142" s="19" t="str">
        <f t="shared" si="39"/>
        <v/>
      </c>
      <c r="Q142" s="19" t="str">
        <f t="shared" si="40"/>
        <v/>
      </c>
      <c r="R142" s="19" t="str">
        <f t="shared" si="43"/>
        <v/>
      </c>
      <c r="S142" s="27" t="str">
        <f t="shared" si="42"/>
        <v/>
      </c>
      <c r="T142" s="28" t="str">
        <f t="shared" si="42"/>
        <v/>
      </c>
      <c r="U142" s="28" t="str">
        <f t="shared" si="42"/>
        <v/>
      </c>
      <c r="V142" s="28" t="str">
        <f t="shared" si="42"/>
        <v/>
      </c>
      <c r="W142" s="28" t="str">
        <f t="shared" si="42"/>
        <v/>
      </c>
      <c r="X142" s="29" t="str">
        <f t="shared" si="4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4"/>
        <v/>
      </c>
      <c r="M143" s="19" t="str">
        <f t="shared" si="35"/>
        <v/>
      </c>
      <c r="N143" s="19" t="str">
        <f t="shared" si="36"/>
        <v/>
      </c>
      <c r="O143" s="19" t="str">
        <f t="shared" si="38"/>
        <v/>
      </c>
      <c r="P143" s="19" t="str">
        <f t="shared" si="39"/>
        <v/>
      </c>
      <c r="Q143" s="19" t="str">
        <f t="shared" si="40"/>
        <v/>
      </c>
      <c r="R143" s="19" t="str">
        <f t="shared" si="43"/>
        <v/>
      </c>
      <c r="S143" s="27" t="str">
        <f t="shared" si="42"/>
        <v/>
      </c>
      <c r="T143" s="28" t="str">
        <f t="shared" si="42"/>
        <v/>
      </c>
      <c r="U143" s="28" t="str">
        <f t="shared" si="42"/>
        <v/>
      </c>
      <c r="V143" s="28" t="str">
        <f t="shared" si="42"/>
        <v/>
      </c>
      <c r="W143" s="28" t="str">
        <f t="shared" si="42"/>
        <v/>
      </c>
      <c r="X143" s="29" t="str">
        <f t="shared" si="4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4"/>
        <v/>
      </c>
      <c r="M144" s="19" t="str">
        <f t="shared" si="35"/>
        <v/>
      </c>
      <c r="N144" s="19" t="str">
        <f t="shared" si="36"/>
        <v/>
      </c>
      <c r="O144" s="19" t="str">
        <f t="shared" si="38"/>
        <v/>
      </c>
      <c r="P144" s="19" t="str">
        <f t="shared" si="39"/>
        <v/>
      </c>
      <c r="Q144" s="19" t="str">
        <f t="shared" si="40"/>
        <v/>
      </c>
      <c r="R144" s="19" t="str">
        <f t="shared" si="43"/>
        <v/>
      </c>
      <c r="S144" s="27" t="str">
        <f t="shared" si="42"/>
        <v/>
      </c>
      <c r="T144" s="28" t="str">
        <f t="shared" si="42"/>
        <v/>
      </c>
      <c r="U144" s="28" t="str">
        <f t="shared" si="42"/>
        <v/>
      </c>
      <c r="V144" s="28" t="str">
        <f t="shared" si="42"/>
        <v/>
      </c>
      <c r="W144" s="28" t="str">
        <f t="shared" si="42"/>
        <v/>
      </c>
      <c r="X144" s="29" t="str">
        <f t="shared" si="4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4"/>
        <v/>
      </c>
      <c r="M145" s="19" t="str">
        <f t="shared" si="35"/>
        <v/>
      </c>
      <c r="N145" s="19" t="str">
        <f t="shared" si="36"/>
        <v/>
      </c>
      <c r="O145" s="19" t="str">
        <f t="shared" si="38"/>
        <v/>
      </c>
      <c r="P145" s="19" t="str">
        <f t="shared" si="39"/>
        <v/>
      </c>
      <c r="Q145" s="19" t="str">
        <f t="shared" si="40"/>
        <v/>
      </c>
      <c r="R145" s="19" t="str">
        <f t="shared" si="43"/>
        <v/>
      </c>
      <c r="S145" s="27" t="str">
        <f t="shared" ref="S145:X153" si="44">IF(C145="","",((C145-C144)*1000)/($B145-$B144))</f>
        <v/>
      </c>
      <c r="T145" s="28" t="str">
        <f t="shared" si="44"/>
        <v/>
      </c>
      <c r="U145" s="28" t="str">
        <f t="shared" si="44"/>
        <v/>
      </c>
      <c r="V145" s="28" t="str">
        <f t="shared" si="44"/>
        <v/>
      </c>
      <c r="W145" s="28" t="str">
        <f t="shared" si="44"/>
        <v/>
      </c>
      <c r="X145" s="29" t="str">
        <f t="shared" si="4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ref="L146:L153" si="45">IF(ISBLANK(C146),"",(C146-C$17)*1000)</f>
        <v/>
      </c>
      <c r="M146" s="19" t="str">
        <f t="shared" ref="M146:M153" si="46">IF(ISBLANK(D146),"",(D146-D$17)*1000)</f>
        <v/>
      </c>
      <c r="N146" s="19" t="str">
        <f t="shared" ref="N146:N153" si="47">IF(ISBLANK(E146),"",(E146-E$17)*1000)</f>
        <v/>
      </c>
      <c r="O146" s="19" t="str">
        <f t="shared" si="38"/>
        <v/>
      </c>
      <c r="P146" s="19" t="str">
        <f t="shared" si="39"/>
        <v/>
      </c>
      <c r="Q146" s="19" t="str">
        <f t="shared" si="40"/>
        <v/>
      </c>
      <c r="R146" s="19" t="str">
        <f t="shared" si="43"/>
        <v/>
      </c>
      <c r="S146" s="27" t="str">
        <f t="shared" si="44"/>
        <v/>
      </c>
      <c r="T146" s="28" t="str">
        <f t="shared" si="44"/>
        <v/>
      </c>
      <c r="U146" s="28" t="str">
        <f t="shared" si="44"/>
        <v/>
      </c>
      <c r="V146" s="28" t="str">
        <f t="shared" si="44"/>
        <v/>
      </c>
      <c r="W146" s="28" t="str">
        <f t="shared" si="44"/>
        <v/>
      </c>
      <c r="X146" s="29" t="str">
        <f t="shared" si="4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45"/>
        <v/>
      </c>
      <c r="M147" s="19" t="str">
        <f t="shared" si="46"/>
        <v/>
      </c>
      <c r="N147" s="19" t="str">
        <f t="shared" si="47"/>
        <v/>
      </c>
      <c r="O147" s="19" t="str">
        <f t="shared" si="38"/>
        <v/>
      </c>
      <c r="P147" s="19" t="str">
        <f t="shared" si="39"/>
        <v/>
      </c>
      <c r="Q147" s="19" t="str">
        <f t="shared" si="40"/>
        <v/>
      </c>
      <c r="R147" s="19" t="str">
        <f t="shared" si="43"/>
        <v/>
      </c>
      <c r="S147" s="27" t="str">
        <f t="shared" si="44"/>
        <v/>
      </c>
      <c r="T147" s="28" t="str">
        <f t="shared" si="44"/>
        <v/>
      </c>
      <c r="U147" s="28" t="str">
        <f t="shared" si="44"/>
        <v/>
      </c>
      <c r="V147" s="28" t="str">
        <f t="shared" si="44"/>
        <v/>
      </c>
      <c r="W147" s="28" t="str">
        <f t="shared" si="44"/>
        <v/>
      </c>
      <c r="X147" s="29" t="str">
        <f t="shared" si="4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45"/>
        <v/>
      </c>
      <c r="M148" s="19" t="str">
        <f t="shared" si="46"/>
        <v/>
      </c>
      <c r="N148" s="19" t="str">
        <f t="shared" si="47"/>
        <v/>
      </c>
      <c r="O148" s="19" t="str">
        <f t="shared" si="38"/>
        <v/>
      </c>
      <c r="P148" s="19" t="str">
        <f t="shared" si="39"/>
        <v/>
      </c>
      <c r="Q148" s="19" t="str">
        <f t="shared" si="40"/>
        <v/>
      </c>
      <c r="R148" s="19" t="str">
        <f t="shared" si="43"/>
        <v/>
      </c>
      <c r="S148" s="27" t="str">
        <f t="shared" si="44"/>
        <v/>
      </c>
      <c r="T148" s="28" t="str">
        <f t="shared" si="44"/>
        <v/>
      </c>
      <c r="U148" s="28" t="str">
        <f t="shared" si="44"/>
        <v/>
      </c>
      <c r="V148" s="28" t="str">
        <f t="shared" si="44"/>
        <v/>
      </c>
      <c r="W148" s="28" t="str">
        <f t="shared" si="44"/>
        <v/>
      </c>
      <c r="X148" s="29" t="str">
        <f t="shared" si="4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45"/>
        <v/>
      </c>
      <c r="M149" s="19" t="str">
        <f t="shared" si="46"/>
        <v/>
      </c>
      <c r="N149" s="19" t="str">
        <f t="shared" si="47"/>
        <v/>
      </c>
      <c r="O149" s="19" t="str">
        <f t="shared" si="38"/>
        <v/>
      </c>
      <c r="P149" s="19" t="str">
        <f t="shared" si="39"/>
        <v/>
      </c>
      <c r="Q149" s="19" t="str">
        <f t="shared" si="40"/>
        <v/>
      </c>
      <c r="R149" s="19" t="str">
        <f t="shared" si="43"/>
        <v/>
      </c>
      <c r="S149" s="27" t="str">
        <f t="shared" si="44"/>
        <v/>
      </c>
      <c r="T149" s="28" t="str">
        <f t="shared" si="44"/>
        <v/>
      </c>
      <c r="U149" s="28" t="str">
        <f t="shared" si="44"/>
        <v/>
      </c>
      <c r="V149" s="28" t="str">
        <f t="shared" si="44"/>
        <v/>
      </c>
      <c r="W149" s="28" t="str">
        <f t="shared" si="44"/>
        <v/>
      </c>
      <c r="X149" s="29" t="str">
        <f t="shared" si="4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45"/>
        <v/>
      </c>
      <c r="M150" s="19" t="str">
        <f t="shared" si="46"/>
        <v/>
      </c>
      <c r="N150" s="19" t="str">
        <f t="shared" si="47"/>
        <v/>
      </c>
      <c r="O150" s="19" t="str">
        <f t="shared" si="38"/>
        <v/>
      </c>
      <c r="P150" s="19" t="str">
        <f t="shared" si="39"/>
        <v/>
      </c>
      <c r="Q150" s="19" t="str">
        <f t="shared" si="40"/>
        <v/>
      </c>
      <c r="R150" s="19" t="str">
        <f t="shared" si="43"/>
        <v/>
      </c>
      <c r="S150" s="27" t="str">
        <f t="shared" si="44"/>
        <v/>
      </c>
      <c r="T150" s="28" t="str">
        <f t="shared" si="44"/>
        <v/>
      </c>
      <c r="U150" s="28" t="str">
        <f t="shared" si="44"/>
        <v/>
      </c>
      <c r="V150" s="28" t="str">
        <f t="shared" si="44"/>
        <v/>
      </c>
      <c r="W150" s="28" t="str">
        <f t="shared" si="44"/>
        <v/>
      </c>
      <c r="X150" s="29" t="str">
        <f t="shared" si="4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45"/>
        <v/>
      </c>
      <c r="M151" s="19" t="str">
        <f t="shared" si="46"/>
        <v/>
      </c>
      <c r="N151" s="19" t="str">
        <f t="shared" si="47"/>
        <v/>
      </c>
      <c r="O151" s="19" t="str">
        <f t="shared" si="38"/>
        <v/>
      </c>
      <c r="P151" s="19" t="str">
        <f t="shared" si="39"/>
        <v/>
      </c>
      <c r="Q151" s="19" t="str">
        <f t="shared" si="40"/>
        <v/>
      </c>
      <c r="R151" s="19" t="str">
        <f t="shared" si="43"/>
        <v/>
      </c>
      <c r="S151" s="27" t="str">
        <f t="shared" si="44"/>
        <v/>
      </c>
      <c r="T151" s="28" t="str">
        <f t="shared" si="44"/>
        <v/>
      </c>
      <c r="U151" s="28" t="str">
        <f t="shared" si="44"/>
        <v/>
      </c>
      <c r="V151" s="28" t="str">
        <f t="shared" si="44"/>
        <v/>
      </c>
      <c r="W151" s="28" t="str">
        <f t="shared" si="44"/>
        <v/>
      </c>
      <c r="X151" s="29" t="str">
        <f t="shared" si="4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45"/>
        <v/>
      </c>
      <c r="M152" s="19" t="str">
        <f t="shared" si="46"/>
        <v/>
      </c>
      <c r="N152" s="19" t="str">
        <f t="shared" si="47"/>
        <v/>
      </c>
      <c r="O152" s="19" t="str">
        <f t="shared" si="38"/>
        <v/>
      </c>
      <c r="P152" s="19" t="str">
        <f t="shared" si="39"/>
        <v/>
      </c>
      <c r="Q152" s="19" t="str">
        <f t="shared" si="40"/>
        <v/>
      </c>
      <c r="R152" s="19" t="str">
        <f t="shared" si="43"/>
        <v/>
      </c>
      <c r="S152" s="27" t="str">
        <f t="shared" si="44"/>
        <v/>
      </c>
      <c r="T152" s="28" t="str">
        <f t="shared" si="44"/>
        <v/>
      </c>
      <c r="U152" s="28" t="str">
        <f t="shared" si="44"/>
        <v/>
      </c>
      <c r="V152" s="28" t="str">
        <f t="shared" si="44"/>
        <v/>
      </c>
      <c r="W152" s="28" t="str">
        <f t="shared" si="44"/>
        <v/>
      </c>
      <c r="X152" s="29" t="str">
        <f t="shared" si="4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45"/>
        <v/>
      </c>
      <c r="M153" s="19" t="str">
        <f t="shared" si="46"/>
        <v/>
      </c>
      <c r="N153" s="19" t="str">
        <f t="shared" si="47"/>
        <v/>
      </c>
      <c r="O153" s="19" t="str">
        <f t="shared" si="38"/>
        <v/>
      </c>
      <c r="P153" s="19" t="str">
        <f t="shared" si="39"/>
        <v/>
      </c>
      <c r="Q153" s="19" t="str">
        <f t="shared" si="40"/>
        <v/>
      </c>
      <c r="R153" s="19" t="str">
        <f>IF(ISBLANK(I153),"",(I153-I$16)*1000)</f>
        <v/>
      </c>
      <c r="S153" s="27" t="str">
        <f t="shared" si="44"/>
        <v/>
      </c>
      <c r="T153" s="28" t="str">
        <f t="shared" si="44"/>
        <v/>
      </c>
      <c r="U153" s="28" t="str">
        <f t="shared" si="44"/>
        <v/>
      </c>
      <c r="V153" s="28" t="str">
        <f t="shared" si="44"/>
        <v/>
      </c>
      <c r="W153" s="28" t="str">
        <f t="shared" si="44"/>
        <v/>
      </c>
      <c r="X153" s="29" t="str">
        <f t="shared" si="44"/>
        <v/>
      </c>
      <c r="Y153" s="24"/>
    </row>
  </sheetData>
  <sheetProtection selectLockedCells="1"/>
  <mergeCells count="38"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J6:Q6"/>
    <mergeCell ref="R6:V6"/>
    <mergeCell ref="W6:Y6"/>
    <mergeCell ref="E7:I7"/>
    <mergeCell ref="J7:Q7"/>
    <mergeCell ref="R7:V7"/>
    <mergeCell ref="W7:Y7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16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9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TZ-114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89" t="s">
        <v>58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42388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88">
        <v>42</v>
      </c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42391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 t="s">
        <v>59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2179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2437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60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1">
        <v>42391</v>
      </c>
      <c r="C16" s="25">
        <v>12.935</v>
      </c>
      <c r="D16" s="26"/>
      <c r="E16" s="26"/>
      <c r="F16" s="47"/>
      <c r="G16" s="47"/>
      <c r="H16" s="47"/>
      <c r="I16" s="57"/>
      <c r="J16" s="58">
        <v>2447</v>
      </c>
      <c r="K16" s="18">
        <f t="shared" ref="K16:K17" si="0">IF(ISBLANK(J16),"",(J16-$J$8))</f>
        <v>10</v>
      </c>
      <c r="L16" s="19">
        <f t="shared" ref="L16:Q17" si="1">IF(ISBLANK(C16),"",(C16-C$16)*1000)</f>
        <v>0</v>
      </c>
      <c r="M16" s="19" t="str">
        <f t="shared" si="1"/>
        <v/>
      </c>
      <c r="N16" s="19" t="str">
        <f t="shared" si="1"/>
        <v/>
      </c>
      <c r="O16" s="20"/>
      <c r="P16" s="20"/>
      <c r="Q16" s="20"/>
      <c r="R16" s="21" t="str">
        <f t="shared" ref="R16" si="2">IF(ISBLANK(I16),"",(I16-I$16)*1000)</f>
        <v/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42394</v>
      </c>
      <c r="C17" s="25">
        <v>12.933999999999999</v>
      </c>
      <c r="D17" s="26">
        <v>8.0839999999999996</v>
      </c>
      <c r="E17" s="26">
        <v>7.7560000000000002</v>
      </c>
      <c r="F17" s="47"/>
      <c r="G17" s="47"/>
      <c r="H17" s="47"/>
      <c r="I17" s="57">
        <v>115.818</v>
      </c>
      <c r="J17" s="58">
        <v>2451</v>
      </c>
      <c r="K17" s="18">
        <f t="shared" si="0"/>
        <v>14</v>
      </c>
      <c r="L17" s="19">
        <f t="shared" si="1"/>
        <v>-1.0000000000012221</v>
      </c>
      <c r="M17" s="19">
        <f t="shared" ref="M17:N17" si="3">IF(ISBLANK(D17),"",(D17-D$17)*1000)</f>
        <v>0</v>
      </c>
      <c r="N17" s="19">
        <f t="shared" si="3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ref="R17" si="4">IF(ISBLANK(I17),"",(I17-I$17)*1000)</f>
        <v>0</v>
      </c>
      <c r="S17" s="27">
        <f t="shared" ref="S17:X32" si="5">IF(C17="","",((C17-C16)*1000)/($B17-$B16))</f>
        <v>-0.33333333333374071</v>
      </c>
      <c r="T17" s="28"/>
      <c r="U17" s="28"/>
      <c r="V17" s="28" t="str">
        <f t="shared" si="5"/>
        <v/>
      </c>
      <c r="W17" s="28" t="str">
        <f t="shared" si="5"/>
        <v/>
      </c>
      <c r="X17" s="29" t="str">
        <f t="shared" si="5"/>
        <v/>
      </c>
      <c r="Y17" s="24"/>
    </row>
    <row r="18" spans="2:25" ht="15" customHeight="1" x14ac:dyDescent="0.2">
      <c r="B18" s="31">
        <v>42395</v>
      </c>
      <c r="C18" s="25">
        <v>12.935</v>
      </c>
      <c r="D18" s="26">
        <v>8.0860000000000003</v>
      </c>
      <c r="E18" s="26">
        <v>7.7560000000000002</v>
      </c>
      <c r="F18" s="47"/>
      <c r="G18" s="47"/>
      <c r="H18" s="47"/>
      <c r="I18" s="57">
        <v>115.81699999999999</v>
      </c>
      <c r="J18" s="58">
        <v>2455</v>
      </c>
      <c r="K18" s="18">
        <f t="shared" ref="K18" si="6">IF(ISBLANK(J18),"",(J18-$J$8))</f>
        <v>18</v>
      </c>
      <c r="L18" s="19">
        <f t="shared" ref="L18:L31" si="7">IF(ISBLANK(C18),"",(C18-C$16)*1000)</f>
        <v>0</v>
      </c>
      <c r="M18" s="19">
        <f t="shared" ref="M18:M37" si="8">IF(ISBLANK(D18),"",(D18-D$17)*1000)</f>
        <v>2.0000000000006679</v>
      </c>
      <c r="N18" s="19">
        <f t="shared" ref="N18:N81" si="9">IF(ISBLANK(E18),"",(E18-E$17)*1000)</f>
        <v>0</v>
      </c>
      <c r="O18" s="19" t="str">
        <f t="shared" ref="O18:O37" si="10">IF(ISBLANK(F18),"",(F18-F$16)*1000)</f>
        <v/>
      </c>
      <c r="P18" s="19" t="str">
        <f t="shared" ref="P18:P37" si="11">IF(ISBLANK(G18),"",(G18-G$16)*1000)</f>
        <v/>
      </c>
      <c r="Q18" s="19" t="str">
        <f t="shared" ref="Q18:Q37" si="12">IF(ISBLANK(H18),"",(H18-H$16)*1000)</f>
        <v/>
      </c>
      <c r="R18" s="19">
        <f t="shared" ref="R18:R81" si="13">IF(ISBLANK(I18),"",(I18-I$17)*1000)</f>
        <v>-1.0000000000047748</v>
      </c>
      <c r="S18" s="27">
        <f t="shared" si="5"/>
        <v>1.0000000000012221</v>
      </c>
      <c r="T18" s="28">
        <f t="shared" si="5"/>
        <v>2.0000000000006679</v>
      </c>
      <c r="U18" s="28">
        <f t="shared" si="5"/>
        <v>0</v>
      </c>
      <c r="V18" s="28" t="str">
        <f t="shared" si="5"/>
        <v/>
      </c>
      <c r="W18" s="28" t="str">
        <f t="shared" si="5"/>
        <v/>
      </c>
      <c r="X18" s="29" t="str">
        <f t="shared" si="5"/>
        <v/>
      </c>
      <c r="Y18" s="24"/>
    </row>
    <row r="19" spans="2:25" ht="15" customHeight="1" x14ac:dyDescent="0.2">
      <c r="B19" s="31">
        <v>42396</v>
      </c>
      <c r="C19" s="25">
        <v>12.936</v>
      </c>
      <c r="D19" s="26">
        <v>8.0879999999999992</v>
      </c>
      <c r="E19" s="26">
        <v>7.7569999999999997</v>
      </c>
      <c r="F19" s="47"/>
      <c r="G19" s="47"/>
      <c r="H19" s="47"/>
      <c r="I19" s="57">
        <v>115.818</v>
      </c>
      <c r="J19" s="58">
        <v>2460</v>
      </c>
      <c r="K19" s="18">
        <f t="shared" ref="K19" si="14">IF(ISBLANK(J19),"",(J19-$J$8))</f>
        <v>23</v>
      </c>
      <c r="L19" s="19">
        <f t="shared" ref="L19" si="15">IF(ISBLANK(C19),"",(C19-C$16)*1000)</f>
        <v>0.99999999999944578</v>
      </c>
      <c r="M19" s="19">
        <f t="shared" si="8"/>
        <v>3.9999999999995595</v>
      </c>
      <c r="N19" s="19">
        <f t="shared" si="9"/>
        <v>0.99999999999944578</v>
      </c>
      <c r="O19" s="19" t="str">
        <f t="shared" si="10"/>
        <v/>
      </c>
      <c r="P19" s="19" t="str">
        <f t="shared" si="11"/>
        <v/>
      </c>
      <c r="Q19" s="19" t="str">
        <f t="shared" si="12"/>
        <v/>
      </c>
      <c r="R19" s="19">
        <f t="shared" si="13"/>
        <v>0</v>
      </c>
      <c r="S19" s="27">
        <f t="shared" si="5"/>
        <v>0.99999999999944578</v>
      </c>
      <c r="T19" s="28">
        <f t="shared" si="5"/>
        <v>1.9999999999988916</v>
      </c>
      <c r="U19" s="28">
        <f t="shared" si="5"/>
        <v>0.99999999999944578</v>
      </c>
      <c r="V19" s="28" t="str">
        <f t="shared" si="5"/>
        <v/>
      </c>
      <c r="W19" s="28" t="str">
        <f t="shared" si="5"/>
        <v/>
      </c>
      <c r="X19" s="29" t="str">
        <f t="shared" si="5"/>
        <v/>
      </c>
      <c r="Y19" s="24"/>
    </row>
    <row r="20" spans="2:25" ht="15" customHeight="1" x14ac:dyDescent="0.2">
      <c r="B20" s="31">
        <v>42397</v>
      </c>
      <c r="C20" s="25">
        <v>12.936999999999999</v>
      </c>
      <c r="D20" s="26">
        <v>8.0879999999999992</v>
      </c>
      <c r="E20" s="26">
        <v>7.7560000000000002</v>
      </c>
      <c r="F20" s="47"/>
      <c r="G20" s="47"/>
      <c r="H20" s="47"/>
      <c r="I20" s="57">
        <v>115.81699999999999</v>
      </c>
      <c r="J20" s="58">
        <v>2462</v>
      </c>
      <c r="K20" s="18">
        <f t="shared" ref="K20" si="16">IF(ISBLANK(J20),"",(J20-$J$8))</f>
        <v>25</v>
      </c>
      <c r="L20" s="19">
        <f t="shared" si="7"/>
        <v>1.9999999999988916</v>
      </c>
      <c r="M20" s="19">
        <f t="shared" si="8"/>
        <v>3.9999999999995595</v>
      </c>
      <c r="N20" s="19">
        <f t="shared" si="9"/>
        <v>0</v>
      </c>
      <c r="O20" s="19" t="str">
        <f t="shared" si="10"/>
        <v/>
      </c>
      <c r="P20" s="19" t="str">
        <f t="shared" si="11"/>
        <v/>
      </c>
      <c r="Q20" s="19" t="str">
        <f t="shared" si="12"/>
        <v/>
      </c>
      <c r="R20" s="19">
        <f t="shared" si="13"/>
        <v>-1.0000000000047748</v>
      </c>
      <c r="S20" s="27">
        <f t="shared" si="5"/>
        <v>0.99999999999944578</v>
      </c>
      <c r="T20" s="28">
        <f t="shared" si="5"/>
        <v>0</v>
      </c>
      <c r="U20" s="28">
        <f t="shared" si="5"/>
        <v>-0.99999999999944578</v>
      </c>
      <c r="V20" s="28" t="str">
        <f t="shared" si="5"/>
        <v/>
      </c>
      <c r="W20" s="28" t="str">
        <f t="shared" si="5"/>
        <v/>
      </c>
      <c r="X20" s="29" t="str">
        <f t="shared" si="5"/>
        <v/>
      </c>
      <c r="Y20" s="24"/>
    </row>
    <row r="21" spans="2:25" ht="15" customHeight="1" x14ac:dyDescent="0.2">
      <c r="B21" s="31">
        <v>42398</v>
      </c>
      <c r="C21" s="25">
        <v>12.933999999999999</v>
      </c>
      <c r="D21" s="26">
        <v>8.0879999999999992</v>
      </c>
      <c r="E21" s="26">
        <v>7.7560000000000002</v>
      </c>
      <c r="F21" s="47"/>
      <c r="G21" s="47"/>
      <c r="H21" s="47"/>
      <c r="I21" s="57">
        <v>115.81699999999999</v>
      </c>
      <c r="J21" s="32">
        <v>2466</v>
      </c>
      <c r="K21" s="18">
        <f t="shared" ref="K21" si="17">IF(ISBLANK(J21),"",(J21-$J$8))</f>
        <v>29</v>
      </c>
      <c r="L21" s="19">
        <f t="shared" si="7"/>
        <v>-1.0000000000012221</v>
      </c>
      <c r="M21" s="19">
        <f t="shared" si="8"/>
        <v>3.9999999999995595</v>
      </c>
      <c r="N21" s="19">
        <f t="shared" si="9"/>
        <v>0</v>
      </c>
      <c r="O21" s="19" t="str">
        <f t="shared" si="10"/>
        <v/>
      </c>
      <c r="P21" s="19" t="str">
        <f t="shared" si="11"/>
        <v/>
      </c>
      <c r="Q21" s="19" t="str">
        <f t="shared" si="12"/>
        <v/>
      </c>
      <c r="R21" s="19">
        <f t="shared" si="13"/>
        <v>-1.0000000000047748</v>
      </c>
      <c r="S21" s="27">
        <f t="shared" si="5"/>
        <v>-3.0000000000001137</v>
      </c>
      <c r="T21" s="28">
        <f t="shared" si="5"/>
        <v>0</v>
      </c>
      <c r="U21" s="28">
        <f t="shared" si="5"/>
        <v>0</v>
      </c>
      <c r="V21" s="28" t="str">
        <f t="shared" si="5"/>
        <v/>
      </c>
      <c r="W21" s="28" t="str">
        <f t="shared" si="5"/>
        <v/>
      </c>
      <c r="X21" s="29" t="str">
        <f t="shared" si="5"/>
        <v/>
      </c>
      <c r="Y21" s="24"/>
    </row>
    <row r="22" spans="2:25" ht="15" customHeight="1" x14ac:dyDescent="0.2">
      <c r="B22" s="31">
        <v>42401</v>
      </c>
      <c r="C22" s="25">
        <v>12.935</v>
      </c>
      <c r="D22" s="26">
        <v>8.0860000000000003</v>
      </c>
      <c r="E22" s="26">
        <v>7.7560000000000002</v>
      </c>
      <c r="F22" s="47"/>
      <c r="G22" s="47"/>
      <c r="H22" s="47"/>
      <c r="I22" s="57">
        <v>115.816</v>
      </c>
      <c r="J22" s="58">
        <v>2471</v>
      </c>
      <c r="K22" s="18">
        <f t="shared" ref="K22" si="18">IF(ISBLANK(J22),"",(J22-$J$8))</f>
        <v>34</v>
      </c>
      <c r="L22" s="19">
        <f t="shared" si="7"/>
        <v>0</v>
      </c>
      <c r="M22" s="19">
        <f t="shared" si="8"/>
        <v>2.0000000000006679</v>
      </c>
      <c r="N22" s="19">
        <f t="shared" si="9"/>
        <v>0</v>
      </c>
      <c r="O22" s="19" t="str">
        <f t="shared" si="10"/>
        <v/>
      </c>
      <c r="P22" s="19" t="str">
        <f t="shared" si="11"/>
        <v/>
      </c>
      <c r="Q22" s="19" t="str">
        <f t="shared" si="12"/>
        <v/>
      </c>
      <c r="R22" s="19">
        <f t="shared" si="13"/>
        <v>-1.9999999999953388</v>
      </c>
      <c r="S22" s="27">
        <f t="shared" si="5"/>
        <v>0.33333333333374071</v>
      </c>
      <c r="T22" s="28">
        <f t="shared" si="5"/>
        <v>-0.66666666666629715</v>
      </c>
      <c r="U22" s="28">
        <f t="shared" si="5"/>
        <v>0</v>
      </c>
      <c r="V22" s="28" t="str">
        <f t="shared" si="5"/>
        <v/>
      </c>
      <c r="W22" s="28" t="str">
        <f t="shared" si="5"/>
        <v/>
      </c>
      <c r="X22" s="29" t="str">
        <f t="shared" si="5"/>
        <v/>
      </c>
      <c r="Y22" s="24"/>
    </row>
    <row r="23" spans="2:25" ht="15" customHeight="1" x14ac:dyDescent="0.2">
      <c r="B23" s="31">
        <v>42402</v>
      </c>
      <c r="C23" s="25">
        <v>12.935</v>
      </c>
      <c r="D23" s="26">
        <v>8.0860000000000003</v>
      </c>
      <c r="E23" s="26">
        <v>7.7560000000000002</v>
      </c>
      <c r="F23" s="47"/>
      <c r="G23" s="47"/>
      <c r="H23" s="47"/>
      <c r="I23" s="57">
        <v>115.815</v>
      </c>
      <c r="J23" s="58">
        <v>2474</v>
      </c>
      <c r="K23" s="18">
        <f t="shared" ref="K23" si="19">IF(ISBLANK(J23),"",(J23-$J$8))</f>
        <v>37</v>
      </c>
      <c r="L23" s="19">
        <f t="shared" si="7"/>
        <v>0</v>
      </c>
      <c r="M23" s="19">
        <f t="shared" si="8"/>
        <v>2.0000000000006679</v>
      </c>
      <c r="N23" s="19">
        <f t="shared" si="9"/>
        <v>0</v>
      </c>
      <c r="O23" s="19" t="str">
        <f t="shared" si="10"/>
        <v/>
      </c>
      <c r="P23" s="19" t="str">
        <f t="shared" si="11"/>
        <v/>
      </c>
      <c r="Q23" s="19" t="str">
        <f t="shared" si="12"/>
        <v/>
      </c>
      <c r="R23" s="19">
        <f t="shared" si="13"/>
        <v>-3.0000000000001137</v>
      </c>
      <c r="S23" s="27">
        <f t="shared" si="5"/>
        <v>0</v>
      </c>
      <c r="T23" s="28">
        <f t="shared" si="5"/>
        <v>0</v>
      </c>
      <c r="U23" s="28">
        <f t="shared" si="5"/>
        <v>0</v>
      </c>
      <c r="V23" s="28" t="str">
        <f t="shared" si="5"/>
        <v/>
      </c>
      <c r="W23" s="28" t="str">
        <f t="shared" si="5"/>
        <v/>
      </c>
      <c r="X23" s="29" t="str">
        <f t="shared" si="5"/>
        <v/>
      </c>
      <c r="Y23" s="24"/>
    </row>
    <row r="24" spans="2:25" ht="15" customHeight="1" x14ac:dyDescent="0.2">
      <c r="B24" s="31">
        <v>42403</v>
      </c>
      <c r="C24" s="25">
        <v>12.935</v>
      </c>
      <c r="D24" s="26">
        <v>8.0860000000000003</v>
      </c>
      <c r="E24" s="26">
        <v>7.7560000000000002</v>
      </c>
      <c r="F24" s="47"/>
      <c r="G24" s="47"/>
      <c r="H24" s="47"/>
      <c r="I24" s="57">
        <v>115.81399999999999</v>
      </c>
      <c r="J24" s="58">
        <v>2479</v>
      </c>
      <c r="K24" s="18">
        <f t="shared" ref="K24" si="20">IF(ISBLANK(J24),"",(J24-$J$8))</f>
        <v>42</v>
      </c>
      <c r="L24" s="19">
        <f t="shared" si="7"/>
        <v>0</v>
      </c>
      <c r="M24" s="19">
        <f t="shared" si="8"/>
        <v>2.0000000000006679</v>
      </c>
      <c r="N24" s="19">
        <f t="shared" si="9"/>
        <v>0</v>
      </c>
      <c r="O24" s="19" t="str">
        <f t="shared" si="10"/>
        <v/>
      </c>
      <c r="P24" s="19" t="str">
        <f t="shared" si="11"/>
        <v/>
      </c>
      <c r="Q24" s="19" t="str">
        <f t="shared" si="12"/>
        <v/>
      </c>
      <c r="R24" s="19">
        <f t="shared" si="13"/>
        <v>-4.0000000000048885</v>
      </c>
      <c r="S24" s="27">
        <f t="shared" si="5"/>
        <v>0</v>
      </c>
      <c r="T24" s="28">
        <f t="shared" si="5"/>
        <v>0</v>
      </c>
      <c r="U24" s="28">
        <f t="shared" si="5"/>
        <v>0</v>
      </c>
      <c r="V24" s="28" t="str">
        <f t="shared" si="5"/>
        <v/>
      </c>
      <c r="W24" s="28" t="str">
        <f t="shared" si="5"/>
        <v/>
      </c>
      <c r="X24" s="29" t="str">
        <f t="shared" si="5"/>
        <v/>
      </c>
      <c r="Y24" s="24"/>
    </row>
    <row r="25" spans="2:25" ht="15" customHeight="1" x14ac:dyDescent="0.2">
      <c r="B25" s="31">
        <v>42404</v>
      </c>
      <c r="C25" s="25">
        <v>12.933999999999999</v>
      </c>
      <c r="D25" s="26">
        <v>8.0860000000000003</v>
      </c>
      <c r="E25" s="26">
        <v>7.7560000000000002</v>
      </c>
      <c r="F25" s="47"/>
      <c r="G25" s="47"/>
      <c r="H25" s="47"/>
      <c r="I25" s="57">
        <v>115.81399999999999</v>
      </c>
      <c r="J25" s="58">
        <v>2484</v>
      </c>
      <c r="K25" s="18">
        <f t="shared" ref="K25" si="21">IF(ISBLANK(J25),"",(J25-$J$8))</f>
        <v>47</v>
      </c>
      <c r="L25" s="19">
        <f t="shared" si="7"/>
        <v>-1.0000000000012221</v>
      </c>
      <c r="M25" s="19">
        <f t="shared" si="8"/>
        <v>2.0000000000006679</v>
      </c>
      <c r="N25" s="19">
        <f t="shared" si="9"/>
        <v>0</v>
      </c>
      <c r="O25" s="19" t="str">
        <f t="shared" si="10"/>
        <v/>
      </c>
      <c r="P25" s="19" t="str">
        <f t="shared" si="11"/>
        <v/>
      </c>
      <c r="Q25" s="19" t="str">
        <f t="shared" si="12"/>
        <v/>
      </c>
      <c r="R25" s="19">
        <f t="shared" si="13"/>
        <v>-4.0000000000048885</v>
      </c>
      <c r="S25" s="27">
        <f t="shared" si="5"/>
        <v>-1.0000000000012221</v>
      </c>
      <c r="T25" s="28">
        <f t="shared" si="5"/>
        <v>0</v>
      </c>
      <c r="U25" s="28">
        <f t="shared" si="5"/>
        <v>0</v>
      </c>
      <c r="V25" s="28" t="str">
        <f t="shared" si="5"/>
        <v/>
      </c>
      <c r="W25" s="28" t="str">
        <f t="shared" si="5"/>
        <v/>
      </c>
      <c r="X25" s="29" t="str">
        <f t="shared" si="5"/>
        <v/>
      </c>
      <c r="Y25" s="24"/>
    </row>
    <row r="26" spans="2:25" ht="15" customHeight="1" x14ac:dyDescent="0.2">
      <c r="B26" s="31">
        <v>42405</v>
      </c>
      <c r="C26" s="25">
        <v>12.935</v>
      </c>
      <c r="D26" s="26">
        <v>8.0850000000000009</v>
      </c>
      <c r="E26" s="26">
        <v>7.7560000000000002</v>
      </c>
      <c r="F26" s="47"/>
      <c r="G26" s="47"/>
      <c r="H26" s="47"/>
      <c r="I26" s="57">
        <v>115.81399999999999</v>
      </c>
      <c r="J26" s="58">
        <v>2488</v>
      </c>
      <c r="K26" s="18">
        <f t="shared" ref="K26" si="22">IF(ISBLANK(J26),"",(J26-$J$8))</f>
        <v>51</v>
      </c>
      <c r="L26" s="19">
        <f t="shared" si="7"/>
        <v>0</v>
      </c>
      <c r="M26" s="19">
        <f t="shared" si="8"/>
        <v>1.0000000000012221</v>
      </c>
      <c r="N26" s="19">
        <f t="shared" si="9"/>
        <v>0</v>
      </c>
      <c r="O26" s="19" t="str">
        <f t="shared" si="10"/>
        <v/>
      </c>
      <c r="P26" s="19" t="str">
        <f t="shared" si="11"/>
        <v/>
      </c>
      <c r="Q26" s="19" t="str">
        <f t="shared" si="12"/>
        <v/>
      </c>
      <c r="R26" s="19">
        <f t="shared" si="13"/>
        <v>-4.0000000000048885</v>
      </c>
      <c r="S26" s="27">
        <f t="shared" si="5"/>
        <v>1.0000000000012221</v>
      </c>
      <c r="T26" s="28">
        <f t="shared" si="5"/>
        <v>-0.99999999999944578</v>
      </c>
      <c r="U26" s="28">
        <f t="shared" si="5"/>
        <v>0</v>
      </c>
      <c r="V26" s="28" t="str">
        <f t="shared" si="5"/>
        <v/>
      </c>
      <c r="W26" s="28" t="str">
        <f t="shared" si="5"/>
        <v/>
      </c>
      <c r="X26" s="29" t="str">
        <f t="shared" si="5"/>
        <v/>
      </c>
      <c r="Y26" s="24"/>
    </row>
    <row r="27" spans="2:25" ht="15" customHeight="1" x14ac:dyDescent="0.2">
      <c r="B27" s="31">
        <v>42408</v>
      </c>
      <c r="C27" s="25">
        <v>12.932</v>
      </c>
      <c r="D27" s="26">
        <v>8.0860000000000003</v>
      </c>
      <c r="E27" s="26">
        <v>7.7539999999999996</v>
      </c>
      <c r="F27" s="47"/>
      <c r="G27" s="47"/>
      <c r="H27" s="47"/>
      <c r="I27" s="57">
        <v>115.815</v>
      </c>
      <c r="J27" s="58">
        <v>2493</v>
      </c>
      <c r="K27" s="18">
        <f t="shared" ref="K27" si="23">IF(ISBLANK(J27),"",(J27-$J$8))</f>
        <v>56</v>
      </c>
      <c r="L27" s="19">
        <f t="shared" si="7"/>
        <v>-3.0000000000001137</v>
      </c>
      <c r="M27" s="19">
        <f t="shared" si="8"/>
        <v>2.0000000000006679</v>
      </c>
      <c r="N27" s="19">
        <f t="shared" si="9"/>
        <v>-2.0000000000006679</v>
      </c>
      <c r="O27" s="19" t="str">
        <f t="shared" si="10"/>
        <v/>
      </c>
      <c r="P27" s="19" t="str">
        <f t="shared" si="11"/>
        <v/>
      </c>
      <c r="Q27" s="19" t="str">
        <f t="shared" si="12"/>
        <v/>
      </c>
      <c r="R27" s="19">
        <f t="shared" si="13"/>
        <v>-3.0000000000001137</v>
      </c>
      <c r="S27" s="27">
        <f t="shared" si="5"/>
        <v>-1.000000000000038</v>
      </c>
      <c r="T27" s="28">
        <f t="shared" si="5"/>
        <v>0.33333333333314857</v>
      </c>
      <c r="U27" s="28">
        <f t="shared" si="5"/>
        <v>-0.66666666666688934</v>
      </c>
      <c r="V27" s="28" t="str">
        <f t="shared" si="5"/>
        <v/>
      </c>
      <c r="W27" s="28" t="str">
        <f t="shared" si="5"/>
        <v/>
      </c>
      <c r="X27" s="29" t="str">
        <f t="shared" si="5"/>
        <v/>
      </c>
      <c r="Y27" s="24"/>
    </row>
    <row r="28" spans="2:25" ht="15" customHeight="1" x14ac:dyDescent="0.2">
      <c r="B28" s="31">
        <v>42409</v>
      </c>
      <c r="C28" s="25">
        <v>12.933</v>
      </c>
      <c r="D28" s="26">
        <v>8.0860000000000003</v>
      </c>
      <c r="E28" s="26">
        <v>7.7539999999999996</v>
      </c>
      <c r="F28" s="47"/>
      <c r="G28" s="47"/>
      <c r="H28" s="47"/>
      <c r="I28" s="57">
        <v>115.815</v>
      </c>
      <c r="J28" s="58">
        <v>2496</v>
      </c>
      <c r="K28" s="18">
        <f t="shared" ref="K28" si="24">IF(ISBLANK(J28),"",(J28-$J$8))</f>
        <v>59</v>
      </c>
      <c r="L28" s="19">
        <f t="shared" si="7"/>
        <v>-2.0000000000006679</v>
      </c>
      <c r="M28" s="19">
        <f t="shared" si="8"/>
        <v>2.0000000000006679</v>
      </c>
      <c r="N28" s="19">
        <f t="shared" si="9"/>
        <v>-2.0000000000006679</v>
      </c>
      <c r="O28" s="19" t="str">
        <f t="shared" si="10"/>
        <v/>
      </c>
      <c r="P28" s="19" t="str">
        <f t="shared" si="11"/>
        <v/>
      </c>
      <c r="Q28" s="19" t="str">
        <f t="shared" si="12"/>
        <v/>
      </c>
      <c r="R28" s="19">
        <f t="shared" si="13"/>
        <v>-3.0000000000001137</v>
      </c>
      <c r="S28" s="27">
        <f t="shared" si="5"/>
        <v>0.99999999999944578</v>
      </c>
      <c r="T28" s="28">
        <f t="shared" si="5"/>
        <v>0</v>
      </c>
      <c r="U28" s="28">
        <f t="shared" si="5"/>
        <v>0</v>
      </c>
      <c r="V28" s="28" t="str">
        <f t="shared" si="5"/>
        <v/>
      </c>
      <c r="W28" s="28" t="str">
        <f t="shared" si="5"/>
        <v/>
      </c>
      <c r="X28" s="29" t="str">
        <f t="shared" si="5"/>
        <v/>
      </c>
      <c r="Y28" s="24"/>
    </row>
    <row r="29" spans="2:25" ht="15" customHeight="1" x14ac:dyDescent="0.2">
      <c r="B29" s="31">
        <v>42410</v>
      </c>
      <c r="C29" s="25">
        <v>12.933</v>
      </c>
      <c r="D29" s="26">
        <v>8.0860000000000003</v>
      </c>
      <c r="E29" s="26">
        <v>7.7539999999999996</v>
      </c>
      <c r="F29" s="47"/>
      <c r="G29" s="47"/>
      <c r="H29" s="47"/>
      <c r="I29" s="57">
        <v>115.815</v>
      </c>
      <c r="J29" s="58">
        <v>2500</v>
      </c>
      <c r="K29" s="18">
        <f t="shared" ref="K29" si="25">IF(ISBLANK(J29),"",(J29-$J$8))</f>
        <v>63</v>
      </c>
      <c r="L29" s="19">
        <f t="shared" si="7"/>
        <v>-2.0000000000006679</v>
      </c>
      <c r="M29" s="19">
        <f t="shared" si="8"/>
        <v>2.0000000000006679</v>
      </c>
      <c r="N29" s="19">
        <f t="shared" si="9"/>
        <v>-2.0000000000006679</v>
      </c>
      <c r="O29" s="19" t="str">
        <f t="shared" si="10"/>
        <v/>
      </c>
      <c r="P29" s="19" t="str">
        <f t="shared" si="11"/>
        <v/>
      </c>
      <c r="Q29" s="19" t="str">
        <f t="shared" si="12"/>
        <v/>
      </c>
      <c r="R29" s="19">
        <f t="shared" si="13"/>
        <v>-3.0000000000001137</v>
      </c>
      <c r="S29" s="27">
        <f t="shared" si="5"/>
        <v>0</v>
      </c>
      <c r="T29" s="28">
        <f t="shared" si="5"/>
        <v>0</v>
      </c>
      <c r="U29" s="28">
        <f t="shared" si="5"/>
        <v>0</v>
      </c>
      <c r="V29" s="28" t="str">
        <f t="shared" si="5"/>
        <v/>
      </c>
      <c r="W29" s="28" t="str">
        <f t="shared" si="5"/>
        <v/>
      </c>
      <c r="X29" s="29" t="str">
        <f t="shared" si="5"/>
        <v/>
      </c>
      <c r="Y29" s="24"/>
    </row>
    <row r="30" spans="2:25" ht="15" customHeight="1" x14ac:dyDescent="0.2">
      <c r="B30" s="31">
        <v>42411</v>
      </c>
      <c r="C30" s="25">
        <v>12.933999999999999</v>
      </c>
      <c r="D30" s="26">
        <v>8.0860000000000003</v>
      </c>
      <c r="E30" s="26">
        <v>7.7539999999999996</v>
      </c>
      <c r="F30" s="47"/>
      <c r="G30" s="47"/>
      <c r="H30" s="47"/>
      <c r="I30" s="57">
        <v>115.815</v>
      </c>
      <c r="J30" s="58">
        <v>2504</v>
      </c>
      <c r="K30" s="18">
        <f t="shared" ref="K30:K33" si="26">IF(ISBLANK(J30),"",(J30-$J$8))</f>
        <v>67</v>
      </c>
      <c r="L30" s="19">
        <f t="shared" si="7"/>
        <v>-1.0000000000012221</v>
      </c>
      <c r="M30" s="19">
        <f t="shared" si="8"/>
        <v>2.0000000000006679</v>
      </c>
      <c r="N30" s="19">
        <f t="shared" si="9"/>
        <v>-2.0000000000006679</v>
      </c>
      <c r="O30" s="19" t="str">
        <f t="shared" si="10"/>
        <v/>
      </c>
      <c r="P30" s="19" t="str">
        <f t="shared" si="11"/>
        <v/>
      </c>
      <c r="Q30" s="19" t="str">
        <f t="shared" si="12"/>
        <v/>
      </c>
      <c r="R30" s="19">
        <f t="shared" si="13"/>
        <v>-3.0000000000001137</v>
      </c>
      <c r="S30" s="27">
        <f t="shared" si="5"/>
        <v>0.99999999999944578</v>
      </c>
      <c r="T30" s="28">
        <f t="shared" si="5"/>
        <v>0</v>
      </c>
      <c r="U30" s="28">
        <f t="shared" si="5"/>
        <v>0</v>
      </c>
      <c r="V30" s="28" t="str">
        <f t="shared" si="5"/>
        <v/>
      </c>
      <c r="W30" s="28" t="str">
        <f t="shared" si="5"/>
        <v/>
      </c>
      <c r="X30" s="29" t="str">
        <f t="shared" si="5"/>
        <v/>
      </c>
      <c r="Y30" s="24"/>
    </row>
    <row r="31" spans="2:25" ht="15" customHeight="1" x14ac:dyDescent="0.2">
      <c r="B31" s="31">
        <v>42417</v>
      </c>
      <c r="C31" s="25">
        <v>12.933</v>
      </c>
      <c r="D31" s="26">
        <v>8.0860000000000003</v>
      </c>
      <c r="E31" s="26">
        <v>7.7539999999999996</v>
      </c>
      <c r="F31" s="47"/>
      <c r="G31" s="47"/>
      <c r="H31" s="47"/>
      <c r="I31" s="57">
        <v>115.815</v>
      </c>
      <c r="J31" s="58">
        <v>2521</v>
      </c>
      <c r="K31" s="18">
        <f t="shared" si="26"/>
        <v>84</v>
      </c>
      <c r="L31" s="19">
        <f t="shared" si="7"/>
        <v>-2.0000000000006679</v>
      </c>
      <c r="M31" s="19">
        <f t="shared" si="8"/>
        <v>2.0000000000006679</v>
      </c>
      <c r="N31" s="19">
        <f t="shared" si="9"/>
        <v>-2.0000000000006679</v>
      </c>
      <c r="O31" s="19" t="str">
        <f t="shared" si="10"/>
        <v/>
      </c>
      <c r="P31" s="19" t="str">
        <f t="shared" si="11"/>
        <v/>
      </c>
      <c r="Q31" s="19" t="str">
        <f t="shared" si="12"/>
        <v/>
      </c>
      <c r="R31" s="19">
        <f t="shared" si="13"/>
        <v>-3.0000000000001137</v>
      </c>
      <c r="S31" s="27">
        <f t="shared" si="5"/>
        <v>-0.16666666666657429</v>
      </c>
      <c r="T31" s="28">
        <f t="shared" si="5"/>
        <v>0</v>
      </c>
      <c r="U31" s="28">
        <f t="shared" si="5"/>
        <v>0</v>
      </c>
      <c r="V31" s="28" t="str">
        <f t="shared" si="5"/>
        <v/>
      </c>
      <c r="W31" s="28" t="str">
        <f t="shared" si="5"/>
        <v/>
      </c>
      <c r="X31" s="29" t="str">
        <f t="shared" si="5"/>
        <v/>
      </c>
      <c r="Y31" s="24"/>
    </row>
    <row r="32" spans="2:25" ht="15" customHeight="1" x14ac:dyDescent="0.2">
      <c r="B32" s="31">
        <v>42424</v>
      </c>
      <c r="C32" s="25">
        <v>12.933</v>
      </c>
      <c r="D32" s="26">
        <v>8.0839999999999996</v>
      </c>
      <c r="E32" s="26">
        <v>7.7539999999999996</v>
      </c>
      <c r="F32" s="47"/>
      <c r="G32" s="47"/>
      <c r="H32" s="47"/>
      <c r="I32" s="57">
        <v>115.81399999999999</v>
      </c>
      <c r="J32" s="58">
        <v>2540.5</v>
      </c>
      <c r="K32" s="18">
        <f t="shared" si="26"/>
        <v>103.5</v>
      </c>
      <c r="L32" s="19">
        <f t="shared" ref="L32:L38" si="27">IF(ISBLANK(C32),"",(C32-C$16)*1000)</f>
        <v>-2.0000000000006679</v>
      </c>
      <c r="M32" s="19">
        <f t="shared" si="8"/>
        <v>0</v>
      </c>
      <c r="N32" s="19">
        <f t="shared" si="9"/>
        <v>-2.0000000000006679</v>
      </c>
      <c r="O32" s="19" t="str">
        <f t="shared" si="10"/>
        <v/>
      </c>
      <c r="P32" s="19" t="str">
        <f t="shared" si="11"/>
        <v/>
      </c>
      <c r="Q32" s="19" t="str">
        <f t="shared" si="12"/>
        <v/>
      </c>
      <c r="R32" s="19">
        <f t="shared" si="13"/>
        <v>-4.0000000000048885</v>
      </c>
      <c r="S32" s="27">
        <f t="shared" si="5"/>
        <v>0</v>
      </c>
      <c r="T32" s="28">
        <f t="shared" si="5"/>
        <v>-0.28571428571438112</v>
      </c>
      <c r="U32" s="28">
        <f t="shared" si="5"/>
        <v>0</v>
      </c>
      <c r="V32" s="28" t="str">
        <f t="shared" si="5"/>
        <v/>
      </c>
      <c r="W32" s="28" t="str">
        <f t="shared" si="5"/>
        <v/>
      </c>
      <c r="X32" s="29" t="str">
        <f t="shared" si="5"/>
        <v/>
      </c>
      <c r="Y32" s="24"/>
    </row>
    <row r="33" spans="2:25" ht="15" customHeight="1" x14ac:dyDescent="0.2">
      <c r="B33" s="31">
        <v>42430</v>
      </c>
      <c r="C33" s="25">
        <v>12.933</v>
      </c>
      <c r="D33" s="26">
        <v>8.0860000000000003</v>
      </c>
      <c r="E33" s="26">
        <v>7.7549999999999999</v>
      </c>
      <c r="F33" s="47"/>
      <c r="G33" s="47"/>
      <c r="H33" s="47"/>
      <c r="I33" s="57">
        <v>115.815</v>
      </c>
      <c r="J33" s="58">
        <v>2540.5</v>
      </c>
      <c r="K33" s="18">
        <f t="shared" si="26"/>
        <v>103.5</v>
      </c>
      <c r="L33" s="19">
        <f t="shared" si="27"/>
        <v>-2.0000000000006679</v>
      </c>
      <c r="M33" s="19">
        <f t="shared" si="8"/>
        <v>2.0000000000006679</v>
      </c>
      <c r="N33" s="19">
        <f t="shared" si="9"/>
        <v>-1.000000000000334</v>
      </c>
      <c r="O33" s="19" t="str">
        <f t="shared" si="10"/>
        <v/>
      </c>
      <c r="P33" s="19" t="str">
        <f t="shared" si="11"/>
        <v/>
      </c>
      <c r="Q33" s="19" t="str">
        <f t="shared" si="12"/>
        <v/>
      </c>
      <c r="R33" s="19">
        <f t="shared" si="13"/>
        <v>-3.0000000000001137</v>
      </c>
      <c r="S33" s="27">
        <f t="shared" ref="S33:X48" si="28">IF(C33="","",((C33-C32)*1000)/($B33-$B32))</f>
        <v>0</v>
      </c>
      <c r="T33" s="28">
        <f t="shared" si="28"/>
        <v>0.33333333333344467</v>
      </c>
      <c r="U33" s="28">
        <f t="shared" si="28"/>
        <v>0.16666666666672234</v>
      </c>
      <c r="V33" s="28" t="str">
        <f t="shared" si="28"/>
        <v/>
      </c>
      <c r="W33" s="28" t="str">
        <f t="shared" si="28"/>
        <v/>
      </c>
      <c r="X33" s="29" t="str">
        <f t="shared" si="28"/>
        <v/>
      </c>
      <c r="Y33" s="24"/>
    </row>
    <row r="34" spans="2:25" ht="15" customHeight="1" x14ac:dyDescent="0.2">
      <c r="B34" s="31">
        <v>42458</v>
      </c>
      <c r="C34" s="25">
        <v>12.933999999999999</v>
      </c>
      <c r="D34" s="26">
        <v>8.0850000000000009</v>
      </c>
      <c r="E34" s="26">
        <v>7.7569999999999997</v>
      </c>
      <c r="F34" s="47"/>
      <c r="G34" s="47"/>
      <c r="H34" s="47"/>
      <c r="I34" s="57">
        <v>115.81399999999999</v>
      </c>
      <c r="J34" s="58">
        <v>2571</v>
      </c>
      <c r="K34" s="18">
        <f t="shared" ref="K34" si="29">IF(ISBLANK(J34),"",(J34-$J$8))</f>
        <v>134</v>
      </c>
      <c r="L34" s="19">
        <f t="shared" si="27"/>
        <v>-1.0000000000012221</v>
      </c>
      <c r="M34" s="19">
        <f t="shared" si="8"/>
        <v>1.0000000000012221</v>
      </c>
      <c r="N34" s="19">
        <f t="shared" si="9"/>
        <v>0.99999999999944578</v>
      </c>
      <c r="O34" s="19" t="str">
        <f t="shared" si="10"/>
        <v/>
      </c>
      <c r="P34" s="19" t="str">
        <f t="shared" si="11"/>
        <v/>
      </c>
      <c r="Q34" s="19" t="str">
        <f t="shared" si="12"/>
        <v/>
      </c>
      <c r="R34" s="19">
        <f t="shared" si="13"/>
        <v>-4.0000000000048885</v>
      </c>
      <c r="S34" s="27">
        <f t="shared" si="28"/>
        <v>3.5714285714265923E-2</v>
      </c>
      <c r="T34" s="28">
        <f t="shared" si="28"/>
        <v>-3.5714285714265923E-2</v>
      </c>
      <c r="U34" s="28">
        <f t="shared" si="28"/>
        <v>7.1428571428563556E-2</v>
      </c>
      <c r="V34" s="28" t="str">
        <f t="shared" si="28"/>
        <v/>
      </c>
      <c r="W34" s="28" t="str">
        <f t="shared" si="28"/>
        <v/>
      </c>
      <c r="X34" s="29" t="str">
        <f t="shared" si="28"/>
        <v/>
      </c>
      <c r="Y34" s="24"/>
    </row>
    <row r="35" spans="2:25" ht="15" customHeight="1" x14ac:dyDescent="0.2">
      <c r="B35" s="31">
        <v>42502</v>
      </c>
      <c r="C35" s="73">
        <v>12.933999999999999</v>
      </c>
      <c r="D35" s="71">
        <v>8.0850000000000009</v>
      </c>
      <c r="E35" s="71">
        <v>7.7569999999999997</v>
      </c>
      <c r="F35" s="47"/>
      <c r="G35" s="47"/>
      <c r="H35" s="47"/>
      <c r="I35" s="57">
        <v>115.813</v>
      </c>
      <c r="J35" s="58">
        <v>2429</v>
      </c>
      <c r="K35" s="18">
        <f t="shared" ref="K35" si="30">IF(ISBLANK(J35),"",(J35-$J$8))</f>
        <v>-8</v>
      </c>
      <c r="L35" s="19">
        <f t="shared" si="27"/>
        <v>-1.0000000000012221</v>
      </c>
      <c r="M35" s="19">
        <f t="shared" si="8"/>
        <v>1.0000000000012221</v>
      </c>
      <c r="N35" s="19">
        <f t="shared" si="9"/>
        <v>0.99999999999944578</v>
      </c>
      <c r="O35" s="19" t="str">
        <f t="shared" si="10"/>
        <v/>
      </c>
      <c r="P35" s="19" t="str">
        <f t="shared" si="11"/>
        <v/>
      </c>
      <c r="Q35" s="19" t="str">
        <f t="shared" si="12"/>
        <v/>
      </c>
      <c r="R35" s="19">
        <f t="shared" si="13"/>
        <v>-4.9999999999954525</v>
      </c>
      <c r="S35" s="27">
        <f t="shared" si="28"/>
        <v>0</v>
      </c>
      <c r="T35" s="28">
        <f t="shared" si="28"/>
        <v>0</v>
      </c>
      <c r="U35" s="28">
        <f t="shared" si="28"/>
        <v>0</v>
      </c>
      <c r="V35" s="28" t="str">
        <f t="shared" si="28"/>
        <v/>
      </c>
      <c r="W35" s="28" t="str">
        <f t="shared" si="28"/>
        <v/>
      </c>
      <c r="X35" s="29" t="str">
        <f t="shared" si="28"/>
        <v/>
      </c>
      <c r="Y35" s="24"/>
    </row>
    <row r="36" spans="2:25" ht="15" customHeight="1" x14ac:dyDescent="0.2">
      <c r="B36" s="31">
        <v>42503</v>
      </c>
      <c r="C36" s="73">
        <v>12.933999999999999</v>
      </c>
      <c r="D36" s="71">
        <v>8.0850000000000009</v>
      </c>
      <c r="E36" s="26">
        <v>7.7569999999999997</v>
      </c>
      <c r="F36" s="47"/>
      <c r="G36" s="47"/>
      <c r="H36" s="47"/>
      <c r="I36" s="57">
        <v>115.813</v>
      </c>
      <c r="J36" s="58">
        <v>2439</v>
      </c>
      <c r="K36" s="18">
        <f t="shared" ref="K36:K37" si="31">IF(ISBLANK(J36),"",(J36-$J$8))</f>
        <v>2</v>
      </c>
      <c r="L36" s="19">
        <f t="shared" si="27"/>
        <v>-1.0000000000012221</v>
      </c>
      <c r="M36" s="19">
        <f t="shared" si="8"/>
        <v>1.0000000000012221</v>
      </c>
      <c r="N36" s="19">
        <f t="shared" si="9"/>
        <v>0.99999999999944578</v>
      </c>
      <c r="O36" s="19" t="str">
        <f t="shared" si="10"/>
        <v/>
      </c>
      <c r="P36" s="19" t="str">
        <f t="shared" si="11"/>
        <v/>
      </c>
      <c r="Q36" s="19" t="str">
        <f t="shared" si="12"/>
        <v/>
      </c>
      <c r="R36" s="19">
        <f t="shared" si="13"/>
        <v>-4.9999999999954525</v>
      </c>
      <c r="S36" s="27">
        <f t="shared" si="28"/>
        <v>0</v>
      </c>
      <c r="T36" s="28">
        <f t="shared" si="28"/>
        <v>0</v>
      </c>
      <c r="U36" s="28">
        <f t="shared" si="28"/>
        <v>0</v>
      </c>
      <c r="V36" s="28" t="str">
        <f t="shared" si="28"/>
        <v/>
      </c>
      <c r="W36" s="28" t="str">
        <f t="shared" si="28"/>
        <v/>
      </c>
      <c r="X36" s="29" t="str">
        <f t="shared" si="28"/>
        <v/>
      </c>
      <c r="Y36" s="24"/>
    </row>
    <row r="37" spans="2:25" ht="15" customHeight="1" x14ac:dyDescent="0.2">
      <c r="B37" s="31">
        <v>42506</v>
      </c>
      <c r="C37" s="73">
        <v>12.933999999999999</v>
      </c>
      <c r="D37" s="71">
        <v>8.0850000000000009</v>
      </c>
      <c r="E37" s="26">
        <v>7.7530000000000001</v>
      </c>
      <c r="F37" s="47"/>
      <c r="G37" s="47"/>
      <c r="H37" s="47"/>
      <c r="I37" s="57">
        <v>115.812</v>
      </c>
      <c r="J37" s="58">
        <v>2450</v>
      </c>
      <c r="K37" s="18">
        <f t="shared" si="31"/>
        <v>13</v>
      </c>
      <c r="L37" s="19">
        <f t="shared" si="27"/>
        <v>-1.0000000000012221</v>
      </c>
      <c r="M37" s="19">
        <f t="shared" si="8"/>
        <v>1.0000000000012221</v>
      </c>
      <c r="N37" s="19">
        <f t="shared" si="9"/>
        <v>-3.0000000000001137</v>
      </c>
      <c r="O37" s="19" t="str">
        <f t="shared" si="10"/>
        <v/>
      </c>
      <c r="P37" s="19" t="str">
        <f t="shared" si="11"/>
        <v/>
      </c>
      <c r="Q37" s="19" t="str">
        <f t="shared" si="12"/>
        <v/>
      </c>
      <c r="R37" s="19">
        <f t="shared" si="13"/>
        <v>-6.0000000000002274</v>
      </c>
      <c r="S37" s="27">
        <f t="shared" si="28"/>
        <v>0</v>
      </c>
      <c r="T37" s="28">
        <f t="shared" si="28"/>
        <v>0</v>
      </c>
      <c r="U37" s="28">
        <f t="shared" si="28"/>
        <v>-1.3333333333331865</v>
      </c>
      <c r="V37" s="28" t="str">
        <f t="shared" si="28"/>
        <v/>
      </c>
      <c r="W37" s="28" t="str">
        <f t="shared" si="28"/>
        <v/>
      </c>
      <c r="X37" s="29" t="str">
        <f t="shared" si="28"/>
        <v/>
      </c>
      <c r="Y37" s="24"/>
    </row>
    <row r="38" spans="2:25" ht="15" customHeight="1" x14ac:dyDescent="0.2">
      <c r="B38" s="31">
        <v>42507</v>
      </c>
      <c r="C38" s="73">
        <v>12.933999999999999</v>
      </c>
      <c r="D38" s="70">
        <v>7.5570000000000004</v>
      </c>
      <c r="E38" s="71">
        <v>7.7530000000000001</v>
      </c>
      <c r="F38" s="47">
        <v>13.023999999999999</v>
      </c>
      <c r="G38" s="47">
        <v>10.253</v>
      </c>
      <c r="H38" s="47">
        <v>10.260999999999999</v>
      </c>
      <c r="I38" s="57">
        <v>115.81100000000001</v>
      </c>
      <c r="J38" s="58">
        <v>2459</v>
      </c>
      <c r="K38" s="18">
        <f t="shared" ref="K38" si="32">IF(ISBLANK(J38),"",(J38-$J$8))</f>
        <v>22</v>
      </c>
      <c r="L38" s="19">
        <f t="shared" si="27"/>
        <v>-1.0000000000012221</v>
      </c>
      <c r="M38" s="69">
        <f>IF(ISBLANK(D38),"",(D38-D$38)*1000)</f>
        <v>0</v>
      </c>
      <c r="N38" s="19">
        <f t="shared" si="9"/>
        <v>-3.0000000000001137</v>
      </c>
      <c r="O38" s="19">
        <f>IF(ISBLANK(F38),"",(F38-F$38)*1000)</f>
        <v>0</v>
      </c>
      <c r="P38" s="19">
        <f>IF(ISBLANK(G38),"",(G38-G$38)*1000)</f>
        <v>0</v>
      </c>
      <c r="Q38" s="19">
        <f>IF(ISBLANK(H38),"",(H38-H$38)*1000)</f>
        <v>0</v>
      </c>
      <c r="R38" s="19">
        <f t="shared" si="13"/>
        <v>-6.9999999999907914</v>
      </c>
      <c r="S38" s="27">
        <f t="shared" si="28"/>
        <v>0</v>
      </c>
      <c r="T38" s="28"/>
      <c r="U38" s="28">
        <f t="shared" si="28"/>
        <v>0</v>
      </c>
      <c r="V38" s="28"/>
      <c r="W38" s="28"/>
      <c r="X38" s="29"/>
      <c r="Y38" s="24" t="s">
        <v>62</v>
      </c>
    </row>
    <row r="39" spans="2:25" ht="15" customHeight="1" x14ac:dyDescent="0.2">
      <c r="B39" s="31">
        <v>42508</v>
      </c>
      <c r="C39" s="74">
        <v>12.586</v>
      </c>
      <c r="D39" s="26">
        <v>7.5570000000000004</v>
      </c>
      <c r="E39" s="26">
        <v>7.7539999999999996</v>
      </c>
      <c r="F39" s="47">
        <v>13.022</v>
      </c>
      <c r="G39" s="47">
        <v>10.252000000000001</v>
      </c>
      <c r="H39" s="47">
        <v>10.260999999999999</v>
      </c>
      <c r="I39" s="57">
        <v>115.81100000000001</v>
      </c>
      <c r="J39" s="58">
        <v>2467</v>
      </c>
      <c r="K39" s="18">
        <f t="shared" ref="K39" si="33">IF(ISBLANK(J39),"",(J39-$J$8))</f>
        <v>30</v>
      </c>
      <c r="L39" s="69">
        <f>IF(ISBLANK(C39),"",(C39-C$39)*1000)</f>
        <v>0</v>
      </c>
      <c r="M39" s="19">
        <f t="shared" ref="M39:M102" si="34">IF(ISBLANK(D39),"",(D39-D$38)*1000)</f>
        <v>0</v>
      </c>
      <c r="N39" s="19">
        <f t="shared" si="9"/>
        <v>-2.0000000000006679</v>
      </c>
      <c r="O39" s="19">
        <f t="shared" ref="O39:O102" si="35">IF(ISBLANK(F39),"",(F39-F$38)*1000)</f>
        <v>-1.9999999999988916</v>
      </c>
      <c r="P39" s="19">
        <f t="shared" ref="P39:P102" si="36">IF(ISBLANK(G39),"",(G39-G$38)*1000)</f>
        <v>-0.99999999999944578</v>
      </c>
      <c r="Q39" s="19">
        <f t="shared" ref="Q39:Q102" si="37">IF(ISBLANK(H39),"",(H39-H$38)*1000)</f>
        <v>0</v>
      </c>
      <c r="R39" s="19">
        <f t="shared" si="13"/>
        <v>-6.9999999999907914</v>
      </c>
      <c r="S39" s="27"/>
      <c r="T39" s="28">
        <f t="shared" si="28"/>
        <v>0</v>
      </c>
      <c r="U39" s="28">
        <f t="shared" si="28"/>
        <v>0.99999999999944578</v>
      </c>
      <c r="V39" s="28">
        <f t="shared" si="28"/>
        <v>-1.9999999999988916</v>
      </c>
      <c r="W39" s="28">
        <f t="shared" si="28"/>
        <v>-0.99999999999944578</v>
      </c>
      <c r="X39" s="29">
        <f t="shared" si="28"/>
        <v>0</v>
      </c>
      <c r="Y39" s="24"/>
    </row>
    <row r="40" spans="2:25" ht="15" customHeight="1" x14ac:dyDescent="0.2">
      <c r="B40" s="31">
        <v>42509</v>
      </c>
      <c r="C40" s="25">
        <v>12.586</v>
      </c>
      <c r="D40" s="26">
        <v>7.5570000000000004</v>
      </c>
      <c r="E40" s="26">
        <v>7.7539999999999996</v>
      </c>
      <c r="F40" s="47">
        <v>13.023999999999999</v>
      </c>
      <c r="G40" s="47">
        <v>10.252000000000001</v>
      </c>
      <c r="H40" s="47">
        <v>10.26</v>
      </c>
      <c r="I40" s="57">
        <v>115.81100000000001</v>
      </c>
      <c r="J40" s="58">
        <v>2479</v>
      </c>
      <c r="K40" s="18">
        <f t="shared" ref="K40:K44" si="38">IF(ISBLANK(J40),"",(J40-$J$8))</f>
        <v>42</v>
      </c>
      <c r="L40" s="19">
        <f t="shared" ref="L40:L103" si="39">IF(ISBLANK(C40),"",(C40-C$39)*1000)</f>
        <v>0</v>
      </c>
      <c r="M40" s="19">
        <f t="shared" si="34"/>
        <v>0</v>
      </c>
      <c r="N40" s="19">
        <f t="shared" si="9"/>
        <v>-2.0000000000006679</v>
      </c>
      <c r="O40" s="19">
        <f t="shared" si="35"/>
        <v>0</v>
      </c>
      <c r="P40" s="19">
        <f t="shared" si="36"/>
        <v>-0.99999999999944578</v>
      </c>
      <c r="Q40" s="19">
        <f t="shared" si="37"/>
        <v>-0.99999999999944578</v>
      </c>
      <c r="R40" s="19">
        <f t="shared" si="13"/>
        <v>-6.9999999999907914</v>
      </c>
      <c r="S40" s="27">
        <f t="shared" si="28"/>
        <v>0</v>
      </c>
      <c r="T40" s="28">
        <f t="shared" si="28"/>
        <v>0</v>
      </c>
      <c r="U40" s="28">
        <f t="shared" si="28"/>
        <v>0</v>
      </c>
      <c r="V40" s="28">
        <f t="shared" si="28"/>
        <v>1.9999999999988916</v>
      </c>
      <c r="W40" s="28">
        <f t="shared" si="28"/>
        <v>0</v>
      </c>
      <c r="X40" s="29">
        <f t="shared" si="28"/>
        <v>-0.99999999999944578</v>
      </c>
      <c r="Y40" s="24"/>
    </row>
    <row r="41" spans="2:25" ht="15" customHeight="1" x14ac:dyDescent="0.2">
      <c r="B41" s="31">
        <v>42510</v>
      </c>
      <c r="C41" s="25">
        <v>12.587</v>
      </c>
      <c r="D41" s="26">
        <v>7.556</v>
      </c>
      <c r="E41" s="26">
        <v>7.7539999999999996</v>
      </c>
      <c r="F41" s="47">
        <v>13.023999999999999</v>
      </c>
      <c r="G41" s="47">
        <v>10.252000000000001</v>
      </c>
      <c r="H41" s="47">
        <v>10.262</v>
      </c>
      <c r="I41" s="57">
        <v>115.81100000000001</v>
      </c>
      <c r="J41" s="58">
        <v>2490</v>
      </c>
      <c r="K41" s="18">
        <f t="shared" si="38"/>
        <v>53</v>
      </c>
      <c r="L41" s="19">
        <f t="shared" si="39"/>
        <v>0.99999999999944578</v>
      </c>
      <c r="M41" s="19">
        <f t="shared" si="34"/>
        <v>-1.000000000000334</v>
      </c>
      <c r="N41" s="19">
        <f t="shared" si="9"/>
        <v>-2.0000000000006679</v>
      </c>
      <c r="O41" s="19">
        <f t="shared" si="35"/>
        <v>0</v>
      </c>
      <c r="P41" s="19">
        <f t="shared" si="36"/>
        <v>-0.99999999999944578</v>
      </c>
      <c r="Q41" s="19">
        <f t="shared" si="37"/>
        <v>1.0000000000012221</v>
      </c>
      <c r="R41" s="19">
        <f t="shared" si="13"/>
        <v>-6.9999999999907914</v>
      </c>
      <c r="S41" s="27">
        <f t="shared" si="28"/>
        <v>0.99999999999944578</v>
      </c>
      <c r="T41" s="28">
        <f t="shared" si="28"/>
        <v>-1.000000000000334</v>
      </c>
      <c r="U41" s="28">
        <f t="shared" si="28"/>
        <v>0</v>
      </c>
      <c r="V41" s="28">
        <f t="shared" si="28"/>
        <v>0</v>
      </c>
      <c r="W41" s="28">
        <f t="shared" si="28"/>
        <v>0</v>
      </c>
      <c r="X41" s="29">
        <f t="shared" si="28"/>
        <v>2.0000000000006679</v>
      </c>
      <c r="Y41" s="24"/>
    </row>
    <row r="42" spans="2:25" ht="15" customHeight="1" x14ac:dyDescent="0.2">
      <c r="B42" s="31">
        <v>42513</v>
      </c>
      <c r="C42" s="25">
        <v>12.587</v>
      </c>
      <c r="D42" s="26">
        <v>7.556</v>
      </c>
      <c r="E42" s="26">
        <v>7.7539999999999996</v>
      </c>
      <c r="F42" s="47">
        <v>13.023</v>
      </c>
      <c r="G42" s="47">
        <v>10.253</v>
      </c>
      <c r="H42" s="47">
        <v>10.262</v>
      </c>
      <c r="I42" s="57">
        <v>115.81100000000001</v>
      </c>
      <c r="J42" s="58">
        <v>2500</v>
      </c>
      <c r="K42" s="18">
        <f t="shared" si="38"/>
        <v>63</v>
      </c>
      <c r="L42" s="19">
        <f t="shared" si="39"/>
        <v>0.99999999999944578</v>
      </c>
      <c r="M42" s="19">
        <f t="shared" si="34"/>
        <v>-1.000000000000334</v>
      </c>
      <c r="N42" s="19">
        <f t="shared" si="9"/>
        <v>-2.0000000000006679</v>
      </c>
      <c r="O42" s="19">
        <f t="shared" si="35"/>
        <v>-0.99999999999944578</v>
      </c>
      <c r="P42" s="19">
        <f t="shared" si="36"/>
        <v>0</v>
      </c>
      <c r="Q42" s="19">
        <f t="shared" si="37"/>
        <v>1.0000000000012221</v>
      </c>
      <c r="R42" s="19">
        <f t="shared" si="13"/>
        <v>-6.9999999999907914</v>
      </c>
      <c r="S42" s="27">
        <f t="shared" si="28"/>
        <v>0</v>
      </c>
      <c r="T42" s="28">
        <f t="shared" si="28"/>
        <v>0</v>
      </c>
      <c r="U42" s="28">
        <f t="shared" si="28"/>
        <v>0</v>
      </c>
      <c r="V42" s="28">
        <f t="shared" si="28"/>
        <v>-0.33333333333314857</v>
      </c>
      <c r="W42" s="28">
        <f t="shared" si="28"/>
        <v>0.33333333333314857</v>
      </c>
      <c r="X42" s="29">
        <f t="shared" si="28"/>
        <v>0</v>
      </c>
      <c r="Y42" s="24"/>
    </row>
    <row r="43" spans="2:25" ht="15" customHeight="1" x14ac:dyDescent="0.2">
      <c r="B43" s="31">
        <v>42514</v>
      </c>
      <c r="C43" s="25">
        <v>12.587</v>
      </c>
      <c r="D43" s="26">
        <v>7.556</v>
      </c>
      <c r="E43" s="26">
        <v>7.7539999999999996</v>
      </c>
      <c r="F43" s="47">
        <v>13.023</v>
      </c>
      <c r="G43" s="47">
        <v>10.253</v>
      </c>
      <c r="H43" s="47">
        <v>10.262</v>
      </c>
      <c r="I43" s="57">
        <v>115.81</v>
      </c>
      <c r="J43" s="58">
        <v>2515</v>
      </c>
      <c r="K43" s="18">
        <f t="shared" si="38"/>
        <v>78</v>
      </c>
      <c r="L43" s="19">
        <f t="shared" si="39"/>
        <v>0.99999999999944578</v>
      </c>
      <c r="M43" s="19">
        <f t="shared" si="34"/>
        <v>-1.000000000000334</v>
      </c>
      <c r="N43" s="19">
        <f t="shared" si="9"/>
        <v>-2.0000000000006679</v>
      </c>
      <c r="O43" s="19">
        <f t="shared" si="35"/>
        <v>-0.99999999999944578</v>
      </c>
      <c r="P43" s="19">
        <f t="shared" si="36"/>
        <v>0</v>
      </c>
      <c r="Q43" s="19">
        <f t="shared" si="37"/>
        <v>1.0000000000012221</v>
      </c>
      <c r="R43" s="19">
        <f t="shared" si="13"/>
        <v>-7.9999999999955662</v>
      </c>
      <c r="S43" s="27">
        <f t="shared" si="28"/>
        <v>0</v>
      </c>
      <c r="T43" s="28">
        <f t="shared" si="28"/>
        <v>0</v>
      </c>
      <c r="U43" s="28">
        <f t="shared" si="28"/>
        <v>0</v>
      </c>
      <c r="V43" s="28">
        <f t="shared" si="28"/>
        <v>0</v>
      </c>
      <c r="W43" s="28">
        <f t="shared" si="28"/>
        <v>0</v>
      </c>
      <c r="X43" s="29">
        <f t="shared" si="28"/>
        <v>0</v>
      </c>
      <c r="Y43" s="24"/>
    </row>
    <row r="44" spans="2:25" ht="15" customHeight="1" x14ac:dyDescent="0.2">
      <c r="B44" s="31">
        <v>42515</v>
      </c>
      <c r="C44" s="25">
        <v>12.587</v>
      </c>
      <c r="D44" s="26">
        <v>7.556</v>
      </c>
      <c r="E44" s="26">
        <v>7.7539999999999996</v>
      </c>
      <c r="F44" s="47">
        <v>13.023</v>
      </c>
      <c r="G44" s="47">
        <v>10.253</v>
      </c>
      <c r="H44" s="47">
        <v>10.262</v>
      </c>
      <c r="I44" s="57">
        <v>115.81</v>
      </c>
      <c r="J44" s="58">
        <v>2524</v>
      </c>
      <c r="K44" s="18">
        <f t="shared" si="38"/>
        <v>87</v>
      </c>
      <c r="L44" s="19">
        <f t="shared" si="39"/>
        <v>0.99999999999944578</v>
      </c>
      <c r="M44" s="19">
        <f t="shared" si="34"/>
        <v>-1.000000000000334</v>
      </c>
      <c r="N44" s="19">
        <f t="shared" si="9"/>
        <v>-2.0000000000006679</v>
      </c>
      <c r="O44" s="19">
        <f t="shared" si="35"/>
        <v>-0.99999999999944578</v>
      </c>
      <c r="P44" s="19">
        <f t="shared" si="36"/>
        <v>0</v>
      </c>
      <c r="Q44" s="19">
        <f t="shared" si="37"/>
        <v>1.0000000000012221</v>
      </c>
      <c r="R44" s="19">
        <f t="shared" si="13"/>
        <v>-7.9999999999955662</v>
      </c>
      <c r="S44" s="27">
        <f t="shared" si="28"/>
        <v>0</v>
      </c>
      <c r="T44" s="28">
        <f t="shared" si="28"/>
        <v>0</v>
      </c>
      <c r="U44" s="28">
        <f t="shared" si="28"/>
        <v>0</v>
      </c>
      <c r="V44" s="28">
        <f t="shared" si="28"/>
        <v>0</v>
      </c>
      <c r="W44" s="28">
        <f t="shared" si="28"/>
        <v>0</v>
      </c>
      <c r="X44" s="29">
        <f t="shared" si="28"/>
        <v>0</v>
      </c>
      <c r="Y44" s="24"/>
    </row>
    <row r="45" spans="2:25" ht="15" customHeight="1" x14ac:dyDescent="0.2">
      <c r="B45" s="31">
        <v>42516</v>
      </c>
      <c r="C45" s="25">
        <v>12.587</v>
      </c>
      <c r="D45" s="26">
        <v>7.556</v>
      </c>
      <c r="E45" s="26">
        <v>7.7530000000000001</v>
      </c>
      <c r="F45" s="47">
        <v>13.021000000000001</v>
      </c>
      <c r="G45" s="47">
        <v>10.253</v>
      </c>
      <c r="H45" s="47">
        <v>10.259</v>
      </c>
      <c r="I45" s="57">
        <v>115.81</v>
      </c>
      <c r="J45" s="58">
        <v>2524</v>
      </c>
      <c r="K45" s="18">
        <f t="shared" ref="K45:K47" si="40">IF(ISBLANK(J45),"",(J45-$J$8))</f>
        <v>87</v>
      </c>
      <c r="L45" s="19">
        <f t="shared" si="39"/>
        <v>0.99999999999944578</v>
      </c>
      <c r="M45" s="19">
        <f t="shared" si="34"/>
        <v>-1.000000000000334</v>
      </c>
      <c r="N45" s="19">
        <f t="shared" si="9"/>
        <v>-3.0000000000001137</v>
      </c>
      <c r="O45" s="19">
        <f t="shared" si="35"/>
        <v>-2.9999999999983373</v>
      </c>
      <c r="P45" s="19">
        <f t="shared" si="36"/>
        <v>0</v>
      </c>
      <c r="Q45" s="19">
        <f t="shared" si="37"/>
        <v>-1.9999999999988916</v>
      </c>
      <c r="R45" s="19">
        <f t="shared" si="13"/>
        <v>-7.9999999999955662</v>
      </c>
      <c r="S45" s="27">
        <f t="shared" si="28"/>
        <v>0</v>
      </c>
      <c r="T45" s="28">
        <f t="shared" si="28"/>
        <v>0</v>
      </c>
      <c r="U45" s="28">
        <f t="shared" si="28"/>
        <v>-0.99999999999944578</v>
      </c>
      <c r="V45" s="28">
        <f t="shared" si="28"/>
        <v>-1.9999999999988916</v>
      </c>
      <c r="W45" s="28">
        <f t="shared" si="28"/>
        <v>0</v>
      </c>
      <c r="X45" s="29">
        <f t="shared" si="28"/>
        <v>-3.0000000000001137</v>
      </c>
      <c r="Y45" s="24"/>
    </row>
    <row r="46" spans="2:25" ht="15" customHeight="1" x14ac:dyDescent="0.2">
      <c r="B46" s="31">
        <v>42529</v>
      </c>
      <c r="C46" s="25">
        <v>12.586</v>
      </c>
      <c r="D46" s="26">
        <v>7.5570000000000004</v>
      </c>
      <c r="E46" s="26">
        <v>7.7530000000000001</v>
      </c>
      <c r="F46" s="47">
        <v>13.022</v>
      </c>
      <c r="G46" s="47">
        <v>10.252000000000001</v>
      </c>
      <c r="H46" s="47">
        <v>10.260999999999999</v>
      </c>
      <c r="I46" s="57">
        <v>115.81</v>
      </c>
      <c r="J46" s="58">
        <v>2603</v>
      </c>
      <c r="K46" s="18">
        <f t="shared" si="40"/>
        <v>166</v>
      </c>
      <c r="L46" s="19">
        <f t="shared" si="39"/>
        <v>0</v>
      </c>
      <c r="M46" s="19">
        <f t="shared" si="34"/>
        <v>0</v>
      </c>
      <c r="N46" s="19">
        <f t="shared" si="9"/>
        <v>-3.0000000000001137</v>
      </c>
      <c r="O46" s="19">
        <f t="shared" si="35"/>
        <v>-1.9999999999988916</v>
      </c>
      <c r="P46" s="19">
        <f t="shared" si="36"/>
        <v>-0.99999999999944578</v>
      </c>
      <c r="Q46" s="19">
        <f t="shared" si="37"/>
        <v>0</v>
      </c>
      <c r="R46" s="19">
        <f t="shared" si="13"/>
        <v>-7.9999999999955662</v>
      </c>
      <c r="S46" s="27">
        <f t="shared" si="28"/>
        <v>-7.6923076923034295E-2</v>
      </c>
      <c r="T46" s="28">
        <f t="shared" si="28"/>
        <v>7.6923076923102615E-2</v>
      </c>
      <c r="U46" s="28">
        <f t="shared" si="28"/>
        <v>0</v>
      </c>
      <c r="V46" s="28">
        <f t="shared" si="28"/>
        <v>7.6923076923034295E-2</v>
      </c>
      <c r="W46" s="28">
        <f t="shared" si="28"/>
        <v>-7.6923076923034295E-2</v>
      </c>
      <c r="X46" s="29">
        <f t="shared" si="28"/>
        <v>0.15384615384606859</v>
      </c>
      <c r="Y46" s="24"/>
    </row>
    <row r="47" spans="2:25" ht="15" customHeight="1" x14ac:dyDescent="0.2">
      <c r="B47" s="31">
        <v>42558</v>
      </c>
      <c r="C47" s="25">
        <v>12.584</v>
      </c>
      <c r="D47" s="26">
        <v>7.556</v>
      </c>
      <c r="E47" s="26">
        <v>7.7519999999999998</v>
      </c>
      <c r="F47" s="47">
        <v>13.022</v>
      </c>
      <c r="G47" s="47">
        <v>10.252000000000001</v>
      </c>
      <c r="H47" s="47">
        <v>10.260999999999999</v>
      </c>
      <c r="I47" s="57">
        <v>115.81100000000001</v>
      </c>
      <c r="J47" s="58">
        <v>2689</v>
      </c>
      <c r="K47" s="18">
        <f t="shared" si="40"/>
        <v>252</v>
      </c>
      <c r="L47" s="19">
        <f t="shared" si="39"/>
        <v>-2.0000000000006679</v>
      </c>
      <c r="M47" s="19">
        <f t="shared" si="34"/>
        <v>-1.000000000000334</v>
      </c>
      <c r="N47" s="19">
        <f t="shared" si="9"/>
        <v>-4.0000000000004476</v>
      </c>
      <c r="O47" s="19">
        <f t="shared" si="35"/>
        <v>-1.9999999999988916</v>
      </c>
      <c r="P47" s="19">
        <f t="shared" si="36"/>
        <v>-0.99999999999944578</v>
      </c>
      <c r="Q47" s="19">
        <f t="shared" si="37"/>
        <v>0</v>
      </c>
      <c r="R47" s="19">
        <f t="shared" si="13"/>
        <v>-6.9999999999907914</v>
      </c>
      <c r="S47" s="27">
        <f t="shared" si="28"/>
        <v>-6.8965517241402347E-2</v>
      </c>
      <c r="T47" s="28">
        <f t="shared" si="28"/>
        <v>-3.4482758620701173E-2</v>
      </c>
      <c r="U47" s="28">
        <f t="shared" si="28"/>
        <v>-3.4482758620701173E-2</v>
      </c>
      <c r="V47" s="28">
        <f t="shared" si="28"/>
        <v>0</v>
      </c>
      <c r="W47" s="28">
        <f t="shared" si="28"/>
        <v>0</v>
      </c>
      <c r="X47" s="29">
        <f t="shared" si="28"/>
        <v>0</v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39"/>
        <v/>
      </c>
      <c r="M48" s="19" t="str">
        <f t="shared" si="34"/>
        <v/>
      </c>
      <c r="N48" s="19" t="str">
        <f t="shared" si="9"/>
        <v/>
      </c>
      <c r="O48" s="19" t="str">
        <f t="shared" si="35"/>
        <v/>
      </c>
      <c r="P48" s="19" t="str">
        <f t="shared" si="36"/>
        <v/>
      </c>
      <c r="Q48" s="19" t="str">
        <f t="shared" si="37"/>
        <v/>
      </c>
      <c r="R48" s="19" t="str">
        <f t="shared" si="13"/>
        <v/>
      </c>
      <c r="S48" s="27" t="str">
        <f t="shared" si="28"/>
        <v/>
      </c>
      <c r="T48" s="28" t="str">
        <f t="shared" si="28"/>
        <v/>
      </c>
      <c r="U48" s="28" t="str">
        <f t="shared" si="28"/>
        <v/>
      </c>
      <c r="V48" s="28" t="str">
        <f t="shared" si="28"/>
        <v/>
      </c>
      <c r="W48" s="28" t="str">
        <f t="shared" si="28"/>
        <v/>
      </c>
      <c r="X48" s="29" t="str">
        <f t="shared" si="28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39"/>
        <v/>
      </c>
      <c r="M49" s="19" t="str">
        <f t="shared" si="34"/>
        <v/>
      </c>
      <c r="N49" s="19" t="str">
        <f t="shared" si="9"/>
        <v/>
      </c>
      <c r="O49" s="19" t="str">
        <f t="shared" si="35"/>
        <v/>
      </c>
      <c r="P49" s="19" t="str">
        <f t="shared" si="36"/>
        <v/>
      </c>
      <c r="Q49" s="19" t="str">
        <f t="shared" si="37"/>
        <v/>
      </c>
      <c r="R49" s="19" t="str">
        <f t="shared" si="13"/>
        <v/>
      </c>
      <c r="S49" s="27" t="str">
        <f t="shared" ref="S49:X64" si="41">IF(C49="","",((C49-C48)*1000)/($B49-$B48))</f>
        <v/>
      </c>
      <c r="T49" s="28" t="str">
        <f t="shared" si="41"/>
        <v/>
      </c>
      <c r="U49" s="28" t="str">
        <f t="shared" si="41"/>
        <v/>
      </c>
      <c r="V49" s="28" t="str">
        <f t="shared" si="41"/>
        <v/>
      </c>
      <c r="W49" s="28" t="str">
        <f t="shared" si="41"/>
        <v/>
      </c>
      <c r="X49" s="29" t="str">
        <f t="shared" si="41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39"/>
        <v/>
      </c>
      <c r="M50" s="19" t="str">
        <f t="shared" si="34"/>
        <v/>
      </c>
      <c r="N50" s="19" t="str">
        <f t="shared" si="9"/>
        <v/>
      </c>
      <c r="O50" s="19" t="str">
        <f t="shared" si="35"/>
        <v/>
      </c>
      <c r="P50" s="19" t="str">
        <f t="shared" si="36"/>
        <v/>
      </c>
      <c r="Q50" s="19" t="str">
        <f t="shared" si="37"/>
        <v/>
      </c>
      <c r="R50" s="19" t="str">
        <f t="shared" si="13"/>
        <v/>
      </c>
      <c r="S50" s="27" t="str">
        <f t="shared" si="41"/>
        <v/>
      </c>
      <c r="T50" s="28" t="str">
        <f t="shared" si="41"/>
        <v/>
      </c>
      <c r="U50" s="28" t="str">
        <f t="shared" si="41"/>
        <v/>
      </c>
      <c r="V50" s="28" t="str">
        <f t="shared" si="41"/>
        <v/>
      </c>
      <c r="W50" s="28" t="str">
        <f t="shared" si="41"/>
        <v/>
      </c>
      <c r="X50" s="29" t="str">
        <f t="shared" si="41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39"/>
        <v/>
      </c>
      <c r="M51" s="19" t="str">
        <f t="shared" si="34"/>
        <v/>
      </c>
      <c r="N51" s="19" t="str">
        <f t="shared" si="9"/>
        <v/>
      </c>
      <c r="O51" s="19" t="str">
        <f t="shared" si="35"/>
        <v/>
      </c>
      <c r="P51" s="19" t="str">
        <f t="shared" si="36"/>
        <v/>
      </c>
      <c r="Q51" s="19" t="str">
        <f t="shared" si="37"/>
        <v/>
      </c>
      <c r="R51" s="19" t="str">
        <f t="shared" si="13"/>
        <v/>
      </c>
      <c r="S51" s="27" t="str">
        <f t="shared" si="41"/>
        <v/>
      </c>
      <c r="T51" s="28" t="str">
        <f t="shared" si="41"/>
        <v/>
      </c>
      <c r="U51" s="28" t="str">
        <f t="shared" si="41"/>
        <v/>
      </c>
      <c r="V51" s="28" t="str">
        <f t="shared" si="41"/>
        <v/>
      </c>
      <c r="W51" s="28" t="str">
        <f t="shared" si="41"/>
        <v/>
      </c>
      <c r="X51" s="29" t="str">
        <f t="shared" si="41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39"/>
        <v/>
      </c>
      <c r="M52" s="19" t="str">
        <f t="shared" si="34"/>
        <v/>
      </c>
      <c r="N52" s="19" t="str">
        <f t="shared" si="9"/>
        <v/>
      </c>
      <c r="O52" s="19" t="str">
        <f t="shared" si="35"/>
        <v/>
      </c>
      <c r="P52" s="19" t="str">
        <f t="shared" si="36"/>
        <v/>
      </c>
      <c r="Q52" s="19" t="str">
        <f t="shared" si="37"/>
        <v/>
      </c>
      <c r="R52" s="19" t="str">
        <f t="shared" si="13"/>
        <v/>
      </c>
      <c r="S52" s="27" t="str">
        <f t="shared" si="41"/>
        <v/>
      </c>
      <c r="T52" s="28" t="str">
        <f t="shared" si="41"/>
        <v/>
      </c>
      <c r="U52" s="28" t="str">
        <f t="shared" si="41"/>
        <v/>
      </c>
      <c r="V52" s="28" t="str">
        <f t="shared" si="41"/>
        <v/>
      </c>
      <c r="W52" s="28" t="str">
        <f t="shared" si="41"/>
        <v/>
      </c>
      <c r="X52" s="29" t="str">
        <f t="shared" si="41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39"/>
        <v/>
      </c>
      <c r="M53" s="19" t="str">
        <f t="shared" si="34"/>
        <v/>
      </c>
      <c r="N53" s="19" t="str">
        <f t="shared" si="9"/>
        <v/>
      </c>
      <c r="O53" s="19" t="str">
        <f t="shared" si="35"/>
        <v/>
      </c>
      <c r="P53" s="19" t="str">
        <f t="shared" si="36"/>
        <v/>
      </c>
      <c r="Q53" s="19" t="str">
        <f t="shared" si="37"/>
        <v/>
      </c>
      <c r="R53" s="19" t="str">
        <f t="shared" si="13"/>
        <v/>
      </c>
      <c r="S53" s="27" t="str">
        <f t="shared" si="41"/>
        <v/>
      </c>
      <c r="T53" s="28" t="str">
        <f t="shared" si="41"/>
        <v/>
      </c>
      <c r="U53" s="28" t="str">
        <f t="shared" si="41"/>
        <v/>
      </c>
      <c r="V53" s="28" t="str">
        <f t="shared" si="41"/>
        <v/>
      </c>
      <c r="W53" s="28" t="str">
        <f t="shared" si="41"/>
        <v/>
      </c>
      <c r="X53" s="29" t="str">
        <f t="shared" si="4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39"/>
        <v/>
      </c>
      <c r="M54" s="19" t="str">
        <f t="shared" si="34"/>
        <v/>
      </c>
      <c r="N54" s="19" t="str">
        <f t="shared" si="9"/>
        <v/>
      </c>
      <c r="O54" s="19" t="str">
        <f t="shared" si="35"/>
        <v/>
      </c>
      <c r="P54" s="19" t="str">
        <f t="shared" si="36"/>
        <v/>
      </c>
      <c r="Q54" s="19" t="str">
        <f t="shared" si="37"/>
        <v/>
      </c>
      <c r="R54" s="19" t="str">
        <f t="shared" si="13"/>
        <v/>
      </c>
      <c r="S54" s="27" t="str">
        <f t="shared" si="41"/>
        <v/>
      </c>
      <c r="T54" s="28" t="str">
        <f t="shared" si="41"/>
        <v/>
      </c>
      <c r="U54" s="28" t="str">
        <f t="shared" si="41"/>
        <v/>
      </c>
      <c r="V54" s="28" t="str">
        <f t="shared" si="41"/>
        <v/>
      </c>
      <c r="W54" s="28" t="str">
        <f t="shared" si="41"/>
        <v/>
      </c>
      <c r="X54" s="29" t="str">
        <f t="shared" si="4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39"/>
        <v/>
      </c>
      <c r="M55" s="19" t="str">
        <f t="shared" si="34"/>
        <v/>
      </c>
      <c r="N55" s="19" t="str">
        <f t="shared" si="9"/>
        <v/>
      </c>
      <c r="O55" s="19" t="str">
        <f t="shared" si="35"/>
        <v/>
      </c>
      <c r="P55" s="19" t="str">
        <f t="shared" si="36"/>
        <v/>
      </c>
      <c r="Q55" s="19" t="str">
        <f t="shared" si="37"/>
        <v/>
      </c>
      <c r="R55" s="19" t="str">
        <f t="shared" si="13"/>
        <v/>
      </c>
      <c r="S55" s="27" t="str">
        <f t="shared" si="41"/>
        <v/>
      </c>
      <c r="T55" s="28" t="str">
        <f t="shared" si="41"/>
        <v/>
      </c>
      <c r="U55" s="28" t="str">
        <f t="shared" si="41"/>
        <v/>
      </c>
      <c r="V55" s="28" t="str">
        <f t="shared" si="41"/>
        <v/>
      </c>
      <c r="W55" s="28" t="str">
        <f t="shared" si="41"/>
        <v/>
      </c>
      <c r="X55" s="29" t="str">
        <f t="shared" si="4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39"/>
        <v/>
      </c>
      <c r="M56" s="19" t="str">
        <f t="shared" si="34"/>
        <v/>
      </c>
      <c r="N56" s="19" t="str">
        <f t="shared" si="9"/>
        <v/>
      </c>
      <c r="O56" s="19" t="str">
        <f t="shared" si="35"/>
        <v/>
      </c>
      <c r="P56" s="19" t="str">
        <f t="shared" si="36"/>
        <v/>
      </c>
      <c r="Q56" s="19" t="str">
        <f t="shared" si="37"/>
        <v/>
      </c>
      <c r="R56" s="19" t="str">
        <f t="shared" si="13"/>
        <v/>
      </c>
      <c r="S56" s="27" t="str">
        <f t="shared" si="41"/>
        <v/>
      </c>
      <c r="T56" s="28" t="str">
        <f t="shared" si="41"/>
        <v/>
      </c>
      <c r="U56" s="28" t="str">
        <f t="shared" si="41"/>
        <v/>
      </c>
      <c r="V56" s="28" t="str">
        <f t="shared" si="41"/>
        <v/>
      </c>
      <c r="W56" s="28" t="str">
        <f t="shared" si="41"/>
        <v/>
      </c>
      <c r="X56" s="29" t="str">
        <f t="shared" si="4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39"/>
        <v/>
      </c>
      <c r="M57" s="19" t="str">
        <f t="shared" si="34"/>
        <v/>
      </c>
      <c r="N57" s="19" t="str">
        <f t="shared" si="9"/>
        <v/>
      </c>
      <c r="O57" s="19" t="str">
        <f t="shared" si="35"/>
        <v/>
      </c>
      <c r="P57" s="19" t="str">
        <f t="shared" si="36"/>
        <v/>
      </c>
      <c r="Q57" s="19" t="str">
        <f t="shared" si="37"/>
        <v/>
      </c>
      <c r="R57" s="19" t="str">
        <f t="shared" si="13"/>
        <v/>
      </c>
      <c r="S57" s="27" t="str">
        <f t="shared" si="41"/>
        <v/>
      </c>
      <c r="T57" s="28" t="str">
        <f t="shared" si="41"/>
        <v/>
      </c>
      <c r="U57" s="28" t="str">
        <f t="shared" si="41"/>
        <v/>
      </c>
      <c r="V57" s="28" t="str">
        <f t="shared" si="41"/>
        <v/>
      </c>
      <c r="W57" s="28" t="str">
        <f t="shared" si="41"/>
        <v/>
      </c>
      <c r="X57" s="29" t="str">
        <f t="shared" si="4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39"/>
        <v/>
      </c>
      <c r="M58" s="19" t="str">
        <f t="shared" si="34"/>
        <v/>
      </c>
      <c r="N58" s="19" t="str">
        <f t="shared" si="9"/>
        <v/>
      </c>
      <c r="O58" s="19" t="str">
        <f t="shared" si="35"/>
        <v/>
      </c>
      <c r="P58" s="19" t="str">
        <f t="shared" si="36"/>
        <v/>
      </c>
      <c r="Q58" s="19" t="str">
        <f t="shared" si="37"/>
        <v/>
      </c>
      <c r="R58" s="19" t="str">
        <f t="shared" si="13"/>
        <v/>
      </c>
      <c r="S58" s="27" t="str">
        <f t="shared" si="41"/>
        <v/>
      </c>
      <c r="T58" s="28" t="str">
        <f t="shared" si="41"/>
        <v/>
      </c>
      <c r="U58" s="28" t="str">
        <f t="shared" si="41"/>
        <v/>
      </c>
      <c r="V58" s="28" t="str">
        <f t="shared" si="41"/>
        <v/>
      </c>
      <c r="W58" s="28" t="str">
        <f t="shared" si="41"/>
        <v/>
      </c>
      <c r="X58" s="29" t="str">
        <f t="shared" si="4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39"/>
        <v/>
      </c>
      <c r="M59" s="19" t="str">
        <f t="shared" si="34"/>
        <v/>
      </c>
      <c r="N59" s="19" t="str">
        <f t="shared" si="9"/>
        <v/>
      </c>
      <c r="O59" s="19" t="str">
        <f t="shared" si="35"/>
        <v/>
      </c>
      <c r="P59" s="19" t="str">
        <f t="shared" si="36"/>
        <v/>
      </c>
      <c r="Q59" s="19" t="str">
        <f t="shared" si="37"/>
        <v/>
      </c>
      <c r="R59" s="19" t="str">
        <f t="shared" si="13"/>
        <v/>
      </c>
      <c r="S59" s="27" t="str">
        <f t="shared" si="41"/>
        <v/>
      </c>
      <c r="T59" s="28" t="str">
        <f t="shared" si="41"/>
        <v/>
      </c>
      <c r="U59" s="28" t="str">
        <f t="shared" si="41"/>
        <v/>
      </c>
      <c r="V59" s="28" t="str">
        <f t="shared" si="41"/>
        <v/>
      </c>
      <c r="W59" s="28" t="str">
        <f t="shared" si="41"/>
        <v/>
      </c>
      <c r="X59" s="29" t="str">
        <f t="shared" si="4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39"/>
        <v/>
      </c>
      <c r="M60" s="19" t="str">
        <f t="shared" si="34"/>
        <v/>
      </c>
      <c r="N60" s="19" t="str">
        <f t="shared" si="9"/>
        <v/>
      </c>
      <c r="O60" s="19" t="str">
        <f t="shared" si="35"/>
        <v/>
      </c>
      <c r="P60" s="19" t="str">
        <f t="shared" si="36"/>
        <v/>
      </c>
      <c r="Q60" s="19" t="str">
        <f t="shared" si="37"/>
        <v/>
      </c>
      <c r="R60" s="19" t="str">
        <f t="shared" si="13"/>
        <v/>
      </c>
      <c r="S60" s="27" t="str">
        <f t="shared" si="41"/>
        <v/>
      </c>
      <c r="T60" s="28" t="str">
        <f t="shared" si="41"/>
        <v/>
      </c>
      <c r="U60" s="28" t="str">
        <f t="shared" si="41"/>
        <v/>
      </c>
      <c r="V60" s="28" t="str">
        <f t="shared" si="41"/>
        <v/>
      </c>
      <c r="W60" s="28" t="str">
        <f t="shared" si="41"/>
        <v/>
      </c>
      <c r="X60" s="29" t="str">
        <f t="shared" si="4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39"/>
        <v/>
      </c>
      <c r="M61" s="19" t="str">
        <f t="shared" si="34"/>
        <v/>
      </c>
      <c r="N61" s="19" t="str">
        <f t="shared" si="9"/>
        <v/>
      </c>
      <c r="O61" s="19" t="str">
        <f t="shared" si="35"/>
        <v/>
      </c>
      <c r="P61" s="19" t="str">
        <f t="shared" si="36"/>
        <v/>
      </c>
      <c r="Q61" s="19" t="str">
        <f t="shared" si="37"/>
        <v/>
      </c>
      <c r="R61" s="19" t="str">
        <f t="shared" si="13"/>
        <v/>
      </c>
      <c r="S61" s="27" t="str">
        <f t="shared" si="41"/>
        <v/>
      </c>
      <c r="T61" s="28" t="str">
        <f t="shared" si="41"/>
        <v/>
      </c>
      <c r="U61" s="28" t="str">
        <f t="shared" si="41"/>
        <v/>
      </c>
      <c r="V61" s="28" t="str">
        <f t="shared" si="41"/>
        <v/>
      </c>
      <c r="W61" s="28" t="str">
        <f t="shared" si="41"/>
        <v/>
      </c>
      <c r="X61" s="29" t="str">
        <f t="shared" si="4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39"/>
        <v/>
      </c>
      <c r="M62" s="19" t="str">
        <f t="shared" si="34"/>
        <v/>
      </c>
      <c r="N62" s="19" t="str">
        <f t="shared" si="9"/>
        <v/>
      </c>
      <c r="O62" s="19" t="str">
        <f t="shared" si="35"/>
        <v/>
      </c>
      <c r="P62" s="19" t="str">
        <f t="shared" si="36"/>
        <v/>
      </c>
      <c r="Q62" s="19" t="str">
        <f t="shared" si="37"/>
        <v/>
      </c>
      <c r="R62" s="19" t="str">
        <f t="shared" si="13"/>
        <v/>
      </c>
      <c r="S62" s="27" t="str">
        <f t="shared" si="41"/>
        <v/>
      </c>
      <c r="T62" s="28" t="str">
        <f t="shared" si="41"/>
        <v/>
      </c>
      <c r="U62" s="28" t="str">
        <f t="shared" si="41"/>
        <v/>
      </c>
      <c r="V62" s="28" t="str">
        <f t="shared" si="41"/>
        <v/>
      </c>
      <c r="W62" s="28" t="str">
        <f t="shared" si="41"/>
        <v/>
      </c>
      <c r="X62" s="29" t="str">
        <f t="shared" si="4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39"/>
        <v/>
      </c>
      <c r="M63" s="19" t="str">
        <f t="shared" si="34"/>
        <v/>
      </c>
      <c r="N63" s="19" t="str">
        <f t="shared" si="9"/>
        <v/>
      </c>
      <c r="O63" s="19" t="str">
        <f t="shared" si="35"/>
        <v/>
      </c>
      <c r="P63" s="19" t="str">
        <f t="shared" si="36"/>
        <v/>
      </c>
      <c r="Q63" s="19" t="str">
        <f t="shared" si="37"/>
        <v/>
      </c>
      <c r="R63" s="19" t="str">
        <f t="shared" si="13"/>
        <v/>
      </c>
      <c r="S63" s="27" t="str">
        <f t="shared" si="41"/>
        <v/>
      </c>
      <c r="T63" s="28" t="str">
        <f t="shared" si="41"/>
        <v/>
      </c>
      <c r="U63" s="28" t="str">
        <f t="shared" si="41"/>
        <v/>
      </c>
      <c r="V63" s="28" t="str">
        <f t="shared" si="41"/>
        <v/>
      </c>
      <c r="W63" s="28" t="str">
        <f t="shared" si="41"/>
        <v/>
      </c>
      <c r="X63" s="29" t="str">
        <f t="shared" si="4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39"/>
        <v/>
      </c>
      <c r="M64" s="19" t="str">
        <f t="shared" si="34"/>
        <v/>
      </c>
      <c r="N64" s="19" t="str">
        <f t="shared" si="9"/>
        <v/>
      </c>
      <c r="O64" s="19" t="str">
        <f t="shared" si="35"/>
        <v/>
      </c>
      <c r="P64" s="19" t="str">
        <f t="shared" si="36"/>
        <v/>
      </c>
      <c r="Q64" s="19" t="str">
        <f t="shared" si="37"/>
        <v/>
      </c>
      <c r="R64" s="19" t="str">
        <f t="shared" si="13"/>
        <v/>
      </c>
      <c r="S64" s="27" t="str">
        <f t="shared" si="41"/>
        <v/>
      </c>
      <c r="T64" s="28" t="str">
        <f t="shared" si="41"/>
        <v/>
      </c>
      <c r="U64" s="28" t="str">
        <f t="shared" si="41"/>
        <v/>
      </c>
      <c r="V64" s="28" t="str">
        <f t="shared" si="41"/>
        <v/>
      </c>
      <c r="W64" s="28" t="str">
        <f t="shared" si="41"/>
        <v/>
      </c>
      <c r="X64" s="29" t="str">
        <f t="shared" si="4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39"/>
        <v/>
      </c>
      <c r="M65" s="19" t="str">
        <f t="shared" si="34"/>
        <v/>
      </c>
      <c r="N65" s="19" t="str">
        <f t="shared" si="9"/>
        <v/>
      </c>
      <c r="O65" s="19" t="str">
        <f t="shared" si="35"/>
        <v/>
      </c>
      <c r="P65" s="19" t="str">
        <f t="shared" si="36"/>
        <v/>
      </c>
      <c r="Q65" s="19" t="str">
        <f t="shared" si="37"/>
        <v/>
      </c>
      <c r="R65" s="19" t="str">
        <f t="shared" si="13"/>
        <v/>
      </c>
      <c r="S65" s="27" t="str">
        <f t="shared" ref="S65:X80" si="42">IF(C65="","",((C65-C64)*1000)/($B65-$B64))</f>
        <v/>
      </c>
      <c r="T65" s="28" t="str">
        <f t="shared" si="42"/>
        <v/>
      </c>
      <c r="U65" s="28" t="str">
        <f t="shared" si="42"/>
        <v/>
      </c>
      <c r="V65" s="28" t="str">
        <f t="shared" si="42"/>
        <v/>
      </c>
      <c r="W65" s="28" t="str">
        <f t="shared" si="42"/>
        <v/>
      </c>
      <c r="X65" s="29" t="str">
        <f t="shared" si="42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39"/>
        <v/>
      </c>
      <c r="M66" s="19" t="str">
        <f t="shared" si="34"/>
        <v/>
      </c>
      <c r="N66" s="19" t="str">
        <f t="shared" si="9"/>
        <v/>
      </c>
      <c r="O66" s="19" t="str">
        <f t="shared" si="35"/>
        <v/>
      </c>
      <c r="P66" s="19" t="str">
        <f t="shared" si="36"/>
        <v/>
      </c>
      <c r="Q66" s="19" t="str">
        <f t="shared" si="37"/>
        <v/>
      </c>
      <c r="R66" s="19" t="str">
        <f t="shared" si="13"/>
        <v/>
      </c>
      <c r="S66" s="27" t="str">
        <f t="shared" si="42"/>
        <v/>
      </c>
      <c r="T66" s="28" t="str">
        <f t="shared" si="42"/>
        <v/>
      </c>
      <c r="U66" s="28" t="str">
        <f t="shared" si="42"/>
        <v/>
      </c>
      <c r="V66" s="28" t="str">
        <f t="shared" si="42"/>
        <v/>
      </c>
      <c r="W66" s="28" t="str">
        <f t="shared" si="42"/>
        <v/>
      </c>
      <c r="X66" s="29" t="str">
        <f t="shared" si="42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39"/>
        <v/>
      </c>
      <c r="M67" s="19" t="str">
        <f t="shared" si="34"/>
        <v/>
      </c>
      <c r="N67" s="19" t="str">
        <f t="shared" si="9"/>
        <v/>
      </c>
      <c r="O67" s="19" t="str">
        <f t="shared" si="35"/>
        <v/>
      </c>
      <c r="P67" s="19" t="str">
        <f t="shared" si="36"/>
        <v/>
      </c>
      <c r="Q67" s="19" t="str">
        <f t="shared" si="37"/>
        <v/>
      </c>
      <c r="R67" s="19" t="str">
        <f t="shared" si="13"/>
        <v/>
      </c>
      <c r="S67" s="27" t="str">
        <f t="shared" si="42"/>
        <v/>
      </c>
      <c r="T67" s="28" t="str">
        <f t="shared" si="42"/>
        <v/>
      </c>
      <c r="U67" s="28" t="str">
        <f t="shared" si="42"/>
        <v/>
      </c>
      <c r="V67" s="28" t="str">
        <f t="shared" si="42"/>
        <v/>
      </c>
      <c r="W67" s="28" t="str">
        <f t="shared" si="42"/>
        <v/>
      </c>
      <c r="X67" s="29" t="str">
        <f t="shared" si="42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39"/>
        <v/>
      </c>
      <c r="M68" s="19" t="str">
        <f t="shared" si="34"/>
        <v/>
      </c>
      <c r="N68" s="19" t="str">
        <f t="shared" si="9"/>
        <v/>
      </c>
      <c r="O68" s="19" t="str">
        <f t="shared" si="35"/>
        <v/>
      </c>
      <c r="P68" s="19" t="str">
        <f t="shared" si="36"/>
        <v/>
      </c>
      <c r="Q68" s="19" t="str">
        <f t="shared" si="37"/>
        <v/>
      </c>
      <c r="R68" s="19" t="str">
        <f t="shared" si="13"/>
        <v/>
      </c>
      <c r="S68" s="27" t="str">
        <f t="shared" si="42"/>
        <v/>
      </c>
      <c r="T68" s="28" t="str">
        <f t="shared" si="42"/>
        <v/>
      </c>
      <c r="U68" s="28" t="str">
        <f t="shared" si="42"/>
        <v/>
      </c>
      <c r="V68" s="28" t="str">
        <f t="shared" si="42"/>
        <v/>
      </c>
      <c r="W68" s="28" t="str">
        <f t="shared" si="42"/>
        <v/>
      </c>
      <c r="X68" s="29" t="str">
        <f t="shared" si="42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39"/>
        <v/>
      </c>
      <c r="M69" s="19" t="str">
        <f t="shared" si="34"/>
        <v/>
      </c>
      <c r="N69" s="19" t="str">
        <f t="shared" si="9"/>
        <v/>
      </c>
      <c r="O69" s="19" t="str">
        <f t="shared" si="35"/>
        <v/>
      </c>
      <c r="P69" s="19" t="str">
        <f t="shared" si="36"/>
        <v/>
      </c>
      <c r="Q69" s="19" t="str">
        <f t="shared" si="37"/>
        <v/>
      </c>
      <c r="R69" s="19" t="str">
        <f t="shared" si="13"/>
        <v/>
      </c>
      <c r="S69" s="27" t="str">
        <f t="shared" si="42"/>
        <v/>
      </c>
      <c r="T69" s="28" t="str">
        <f t="shared" si="42"/>
        <v/>
      </c>
      <c r="U69" s="28" t="str">
        <f t="shared" si="42"/>
        <v/>
      </c>
      <c r="V69" s="28" t="str">
        <f t="shared" si="42"/>
        <v/>
      </c>
      <c r="W69" s="28" t="str">
        <f t="shared" si="42"/>
        <v/>
      </c>
      <c r="X69" s="29" t="str">
        <f t="shared" si="4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39"/>
        <v/>
      </c>
      <c r="M70" s="19" t="str">
        <f t="shared" si="34"/>
        <v/>
      </c>
      <c r="N70" s="19" t="str">
        <f t="shared" si="9"/>
        <v/>
      </c>
      <c r="O70" s="19" t="str">
        <f t="shared" si="35"/>
        <v/>
      </c>
      <c r="P70" s="19" t="str">
        <f t="shared" si="36"/>
        <v/>
      </c>
      <c r="Q70" s="19" t="str">
        <f t="shared" si="37"/>
        <v/>
      </c>
      <c r="R70" s="19" t="str">
        <f t="shared" si="13"/>
        <v/>
      </c>
      <c r="S70" s="27" t="str">
        <f t="shared" si="42"/>
        <v/>
      </c>
      <c r="T70" s="28" t="str">
        <f t="shared" si="42"/>
        <v/>
      </c>
      <c r="U70" s="28" t="str">
        <f t="shared" si="42"/>
        <v/>
      </c>
      <c r="V70" s="28" t="str">
        <f t="shared" si="42"/>
        <v/>
      </c>
      <c r="W70" s="28" t="str">
        <f t="shared" si="42"/>
        <v/>
      </c>
      <c r="X70" s="29" t="str">
        <f t="shared" si="4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39"/>
        <v/>
      </c>
      <c r="M71" s="19" t="str">
        <f t="shared" si="34"/>
        <v/>
      </c>
      <c r="N71" s="19" t="str">
        <f t="shared" si="9"/>
        <v/>
      </c>
      <c r="O71" s="19" t="str">
        <f t="shared" si="35"/>
        <v/>
      </c>
      <c r="P71" s="19" t="str">
        <f t="shared" si="36"/>
        <v/>
      </c>
      <c r="Q71" s="19" t="str">
        <f t="shared" si="37"/>
        <v/>
      </c>
      <c r="R71" s="19" t="str">
        <f t="shared" si="13"/>
        <v/>
      </c>
      <c r="S71" s="27" t="str">
        <f t="shared" si="42"/>
        <v/>
      </c>
      <c r="T71" s="28" t="str">
        <f t="shared" si="42"/>
        <v/>
      </c>
      <c r="U71" s="28" t="str">
        <f t="shared" si="42"/>
        <v/>
      </c>
      <c r="V71" s="28" t="str">
        <f t="shared" si="42"/>
        <v/>
      </c>
      <c r="W71" s="28" t="str">
        <f t="shared" si="42"/>
        <v/>
      </c>
      <c r="X71" s="29" t="str">
        <f t="shared" si="4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39"/>
        <v/>
      </c>
      <c r="M72" s="19" t="str">
        <f t="shared" si="34"/>
        <v/>
      </c>
      <c r="N72" s="19" t="str">
        <f t="shared" si="9"/>
        <v/>
      </c>
      <c r="O72" s="19" t="str">
        <f t="shared" si="35"/>
        <v/>
      </c>
      <c r="P72" s="19" t="str">
        <f t="shared" si="36"/>
        <v/>
      </c>
      <c r="Q72" s="19" t="str">
        <f t="shared" si="37"/>
        <v/>
      </c>
      <c r="R72" s="19" t="str">
        <f t="shared" si="13"/>
        <v/>
      </c>
      <c r="S72" s="27" t="str">
        <f t="shared" si="42"/>
        <v/>
      </c>
      <c r="T72" s="28" t="str">
        <f t="shared" si="42"/>
        <v/>
      </c>
      <c r="U72" s="28" t="str">
        <f t="shared" si="42"/>
        <v/>
      </c>
      <c r="V72" s="28" t="str">
        <f t="shared" si="42"/>
        <v/>
      </c>
      <c r="W72" s="28" t="str">
        <f t="shared" si="42"/>
        <v/>
      </c>
      <c r="X72" s="29" t="str">
        <f t="shared" si="4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39"/>
        <v/>
      </c>
      <c r="M73" s="19" t="str">
        <f t="shared" si="34"/>
        <v/>
      </c>
      <c r="N73" s="19" t="str">
        <f t="shared" si="9"/>
        <v/>
      </c>
      <c r="O73" s="19" t="str">
        <f t="shared" si="35"/>
        <v/>
      </c>
      <c r="P73" s="19" t="str">
        <f t="shared" si="36"/>
        <v/>
      </c>
      <c r="Q73" s="19" t="str">
        <f t="shared" si="37"/>
        <v/>
      </c>
      <c r="R73" s="19" t="str">
        <f t="shared" si="13"/>
        <v/>
      </c>
      <c r="S73" s="27" t="str">
        <f t="shared" si="42"/>
        <v/>
      </c>
      <c r="T73" s="28" t="str">
        <f t="shared" si="42"/>
        <v/>
      </c>
      <c r="U73" s="28" t="str">
        <f t="shared" si="42"/>
        <v/>
      </c>
      <c r="V73" s="28" t="str">
        <f t="shared" si="42"/>
        <v/>
      </c>
      <c r="W73" s="28" t="str">
        <f t="shared" si="42"/>
        <v/>
      </c>
      <c r="X73" s="29" t="str">
        <f t="shared" si="4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39"/>
        <v/>
      </c>
      <c r="M74" s="19" t="str">
        <f t="shared" si="34"/>
        <v/>
      </c>
      <c r="N74" s="19" t="str">
        <f t="shared" si="9"/>
        <v/>
      </c>
      <c r="O74" s="19" t="str">
        <f t="shared" si="35"/>
        <v/>
      </c>
      <c r="P74" s="19" t="str">
        <f t="shared" si="36"/>
        <v/>
      </c>
      <c r="Q74" s="19" t="str">
        <f t="shared" si="37"/>
        <v/>
      </c>
      <c r="R74" s="19" t="str">
        <f t="shared" si="13"/>
        <v/>
      </c>
      <c r="S74" s="27" t="str">
        <f t="shared" si="42"/>
        <v/>
      </c>
      <c r="T74" s="28" t="str">
        <f t="shared" si="42"/>
        <v/>
      </c>
      <c r="U74" s="28" t="str">
        <f t="shared" si="42"/>
        <v/>
      </c>
      <c r="V74" s="28" t="str">
        <f t="shared" si="42"/>
        <v/>
      </c>
      <c r="W74" s="28" t="str">
        <f t="shared" si="42"/>
        <v/>
      </c>
      <c r="X74" s="29" t="str">
        <f t="shared" si="4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39"/>
        <v/>
      </c>
      <c r="M75" s="19" t="str">
        <f t="shared" si="34"/>
        <v/>
      </c>
      <c r="N75" s="19" t="str">
        <f t="shared" si="9"/>
        <v/>
      </c>
      <c r="O75" s="19" t="str">
        <f t="shared" si="35"/>
        <v/>
      </c>
      <c r="P75" s="19" t="str">
        <f t="shared" si="36"/>
        <v/>
      </c>
      <c r="Q75" s="19" t="str">
        <f t="shared" si="37"/>
        <v/>
      </c>
      <c r="R75" s="19" t="str">
        <f t="shared" si="13"/>
        <v/>
      </c>
      <c r="S75" s="27" t="str">
        <f t="shared" si="42"/>
        <v/>
      </c>
      <c r="T75" s="28" t="str">
        <f t="shared" si="42"/>
        <v/>
      </c>
      <c r="U75" s="28" t="str">
        <f t="shared" si="42"/>
        <v/>
      </c>
      <c r="V75" s="28" t="str">
        <f t="shared" si="42"/>
        <v/>
      </c>
      <c r="W75" s="28" t="str">
        <f t="shared" si="42"/>
        <v/>
      </c>
      <c r="X75" s="29" t="str">
        <f t="shared" si="4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39"/>
        <v/>
      </c>
      <c r="M76" s="19" t="str">
        <f t="shared" si="34"/>
        <v/>
      </c>
      <c r="N76" s="19" t="str">
        <f t="shared" si="9"/>
        <v/>
      </c>
      <c r="O76" s="19" t="str">
        <f t="shared" si="35"/>
        <v/>
      </c>
      <c r="P76" s="19" t="str">
        <f t="shared" si="36"/>
        <v/>
      </c>
      <c r="Q76" s="19" t="str">
        <f t="shared" si="37"/>
        <v/>
      </c>
      <c r="R76" s="19" t="str">
        <f t="shared" si="13"/>
        <v/>
      </c>
      <c r="S76" s="27" t="str">
        <f t="shared" si="42"/>
        <v/>
      </c>
      <c r="T76" s="28" t="str">
        <f t="shared" si="42"/>
        <v/>
      </c>
      <c r="U76" s="28" t="str">
        <f t="shared" si="42"/>
        <v/>
      </c>
      <c r="V76" s="28" t="str">
        <f t="shared" si="42"/>
        <v/>
      </c>
      <c r="W76" s="28" t="str">
        <f t="shared" si="42"/>
        <v/>
      </c>
      <c r="X76" s="29" t="str">
        <f t="shared" si="4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39"/>
        <v/>
      </c>
      <c r="M77" s="19" t="str">
        <f t="shared" si="34"/>
        <v/>
      </c>
      <c r="N77" s="19" t="str">
        <f t="shared" si="9"/>
        <v/>
      </c>
      <c r="O77" s="19" t="str">
        <f t="shared" si="35"/>
        <v/>
      </c>
      <c r="P77" s="19" t="str">
        <f t="shared" si="36"/>
        <v/>
      </c>
      <c r="Q77" s="19" t="str">
        <f t="shared" si="37"/>
        <v/>
      </c>
      <c r="R77" s="19" t="str">
        <f t="shared" si="13"/>
        <v/>
      </c>
      <c r="S77" s="27" t="str">
        <f t="shared" si="42"/>
        <v/>
      </c>
      <c r="T77" s="28" t="str">
        <f t="shared" si="42"/>
        <v/>
      </c>
      <c r="U77" s="28" t="str">
        <f t="shared" si="42"/>
        <v/>
      </c>
      <c r="V77" s="28" t="str">
        <f t="shared" si="42"/>
        <v/>
      </c>
      <c r="W77" s="28" t="str">
        <f t="shared" si="42"/>
        <v/>
      </c>
      <c r="X77" s="29" t="str">
        <f t="shared" si="4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39"/>
        <v/>
      </c>
      <c r="M78" s="19" t="str">
        <f t="shared" si="34"/>
        <v/>
      </c>
      <c r="N78" s="19" t="str">
        <f t="shared" si="9"/>
        <v/>
      </c>
      <c r="O78" s="19" t="str">
        <f t="shared" si="35"/>
        <v/>
      </c>
      <c r="P78" s="19" t="str">
        <f t="shared" si="36"/>
        <v/>
      </c>
      <c r="Q78" s="19" t="str">
        <f t="shared" si="37"/>
        <v/>
      </c>
      <c r="R78" s="19" t="str">
        <f t="shared" si="13"/>
        <v/>
      </c>
      <c r="S78" s="27" t="str">
        <f t="shared" si="42"/>
        <v/>
      </c>
      <c r="T78" s="28" t="str">
        <f t="shared" si="42"/>
        <v/>
      </c>
      <c r="U78" s="28" t="str">
        <f t="shared" si="42"/>
        <v/>
      </c>
      <c r="V78" s="28" t="str">
        <f t="shared" si="42"/>
        <v/>
      </c>
      <c r="W78" s="28" t="str">
        <f t="shared" si="42"/>
        <v/>
      </c>
      <c r="X78" s="29" t="str">
        <f t="shared" si="4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39"/>
        <v/>
      </c>
      <c r="M79" s="19" t="str">
        <f t="shared" si="34"/>
        <v/>
      </c>
      <c r="N79" s="19" t="str">
        <f t="shared" si="9"/>
        <v/>
      </c>
      <c r="O79" s="19" t="str">
        <f t="shared" si="35"/>
        <v/>
      </c>
      <c r="P79" s="19" t="str">
        <f t="shared" si="36"/>
        <v/>
      </c>
      <c r="Q79" s="19" t="str">
        <f t="shared" si="37"/>
        <v/>
      </c>
      <c r="R79" s="19" t="str">
        <f t="shared" si="13"/>
        <v/>
      </c>
      <c r="S79" s="27" t="str">
        <f t="shared" si="42"/>
        <v/>
      </c>
      <c r="T79" s="28" t="str">
        <f t="shared" si="42"/>
        <v/>
      </c>
      <c r="U79" s="28" t="str">
        <f t="shared" si="42"/>
        <v/>
      </c>
      <c r="V79" s="28" t="str">
        <f t="shared" si="42"/>
        <v/>
      </c>
      <c r="W79" s="28" t="str">
        <f t="shared" si="42"/>
        <v/>
      </c>
      <c r="X79" s="29" t="str">
        <f t="shared" si="4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39"/>
        <v/>
      </c>
      <c r="M80" s="19" t="str">
        <f t="shared" si="34"/>
        <v/>
      </c>
      <c r="N80" s="19" t="str">
        <f t="shared" si="9"/>
        <v/>
      </c>
      <c r="O80" s="19" t="str">
        <f t="shared" si="35"/>
        <v/>
      </c>
      <c r="P80" s="19" t="str">
        <f t="shared" si="36"/>
        <v/>
      </c>
      <c r="Q80" s="19" t="str">
        <f t="shared" si="37"/>
        <v/>
      </c>
      <c r="R80" s="19" t="str">
        <f t="shared" si="13"/>
        <v/>
      </c>
      <c r="S80" s="27" t="str">
        <f t="shared" si="42"/>
        <v/>
      </c>
      <c r="T80" s="28" t="str">
        <f t="shared" si="42"/>
        <v/>
      </c>
      <c r="U80" s="28" t="str">
        <f t="shared" si="42"/>
        <v/>
      </c>
      <c r="V80" s="28" t="str">
        <f t="shared" si="42"/>
        <v/>
      </c>
      <c r="W80" s="28" t="str">
        <f t="shared" si="42"/>
        <v/>
      </c>
      <c r="X80" s="29" t="str">
        <f t="shared" si="4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9"/>
        <v/>
      </c>
      <c r="M81" s="19" t="str">
        <f t="shared" si="34"/>
        <v/>
      </c>
      <c r="N81" s="19" t="str">
        <f t="shared" si="9"/>
        <v/>
      </c>
      <c r="O81" s="19" t="str">
        <f t="shared" si="35"/>
        <v/>
      </c>
      <c r="P81" s="19" t="str">
        <f t="shared" si="36"/>
        <v/>
      </c>
      <c r="Q81" s="19" t="str">
        <f t="shared" si="37"/>
        <v/>
      </c>
      <c r="R81" s="19" t="str">
        <f t="shared" si="13"/>
        <v/>
      </c>
      <c r="S81" s="27" t="str">
        <f t="shared" ref="S81:X96" si="43">IF(C81="","",((C81-C80)*1000)/($B81-$B80))</f>
        <v/>
      </c>
      <c r="T81" s="28" t="str">
        <f t="shared" si="43"/>
        <v/>
      </c>
      <c r="U81" s="28" t="str">
        <f t="shared" si="43"/>
        <v/>
      </c>
      <c r="V81" s="28" t="str">
        <f t="shared" si="43"/>
        <v/>
      </c>
      <c r="W81" s="28" t="str">
        <f t="shared" si="43"/>
        <v/>
      </c>
      <c r="X81" s="29" t="str">
        <f t="shared" si="4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9"/>
        <v/>
      </c>
      <c r="M82" s="19" t="str">
        <f t="shared" si="34"/>
        <v/>
      </c>
      <c r="N82" s="19" t="str">
        <f t="shared" ref="N82:N145" si="44">IF(ISBLANK(E82),"",(E82-E$17)*1000)</f>
        <v/>
      </c>
      <c r="O82" s="19" t="str">
        <f t="shared" si="35"/>
        <v/>
      </c>
      <c r="P82" s="19" t="str">
        <f t="shared" si="36"/>
        <v/>
      </c>
      <c r="Q82" s="19" t="str">
        <f t="shared" si="37"/>
        <v/>
      </c>
      <c r="R82" s="19" t="str">
        <f t="shared" ref="R82:R145" si="45">IF(ISBLANK(I82),"",(I82-I$17)*1000)</f>
        <v/>
      </c>
      <c r="S82" s="27" t="str">
        <f t="shared" si="43"/>
        <v/>
      </c>
      <c r="T82" s="28" t="str">
        <f t="shared" si="43"/>
        <v/>
      </c>
      <c r="U82" s="28" t="str">
        <f t="shared" si="43"/>
        <v/>
      </c>
      <c r="V82" s="28" t="str">
        <f t="shared" si="43"/>
        <v/>
      </c>
      <c r="W82" s="28" t="str">
        <f t="shared" si="43"/>
        <v/>
      </c>
      <c r="X82" s="29" t="str">
        <f t="shared" si="4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9"/>
        <v/>
      </c>
      <c r="M83" s="19" t="str">
        <f t="shared" si="34"/>
        <v/>
      </c>
      <c r="N83" s="19" t="str">
        <f t="shared" si="44"/>
        <v/>
      </c>
      <c r="O83" s="19" t="str">
        <f t="shared" si="35"/>
        <v/>
      </c>
      <c r="P83" s="19" t="str">
        <f t="shared" si="36"/>
        <v/>
      </c>
      <c r="Q83" s="19" t="str">
        <f t="shared" si="37"/>
        <v/>
      </c>
      <c r="R83" s="19" t="str">
        <f t="shared" si="45"/>
        <v/>
      </c>
      <c r="S83" s="27" t="str">
        <f t="shared" si="43"/>
        <v/>
      </c>
      <c r="T83" s="28" t="str">
        <f t="shared" si="43"/>
        <v/>
      </c>
      <c r="U83" s="28" t="str">
        <f t="shared" si="43"/>
        <v/>
      </c>
      <c r="V83" s="28" t="str">
        <f t="shared" si="43"/>
        <v/>
      </c>
      <c r="W83" s="28" t="str">
        <f t="shared" si="43"/>
        <v/>
      </c>
      <c r="X83" s="29" t="str">
        <f t="shared" si="4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9"/>
        <v/>
      </c>
      <c r="M84" s="19" t="str">
        <f t="shared" si="34"/>
        <v/>
      </c>
      <c r="N84" s="19" t="str">
        <f t="shared" si="44"/>
        <v/>
      </c>
      <c r="O84" s="19" t="str">
        <f t="shared" si="35"/>
        <v/>
      </c>
      <c r="P84" s="19" t="str">
        <f t="shared" si="36"/>
        <v/>
      </c>
      <c r="Q84" s="19" t="str">
        <f t="shared" si="37"/>
        <v/>
      </c>
      <c r="R84" s="19" t="str">
        <f t="shared" si="45"/>
        <v/>
      </c>
      <c r="S84" s="27" t="str">
        <f t="shared" si="43"/>
        <v/>
      </c>
      <c r="T84" s="28" t="str">
        <f t="shared" si="43"/>
        <v/>
      </c>
      <c r="U84" s="28" t="str">
        <f t="shared" si="43"/>
        <v/>
      </c>
      <c r="V84" s="28" t="str">
        <f t="shared" si="43"/>
        <v/>
      </c>
      <c r="W84" s="28" t="str">
        <f t="shared" si="43"/>
        <v/>
      </c>
      <c r="X84" s="29" t="str">
        <f t="shared" si="4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9"/>
        <v/>
      </c>
      <c r="M85" s="19" t="str">
        <f t="shared" si="34"/>
        <v/>
      </c>
      <c r="N85" s="19" t="str">
        <f t="shared" si="44"/>
        <v/>
      </c>
      <c r="O85" s="19" t="str">
        <f t="shared" si="35"/>
        <v/>
      </c>
      <c r="P85" s="19" t="str">
        <f t="shared" si="36"/>
        <v/>
      </c>
      <c r="Q85" s="19" t="str">
        <f t="shared" si="37"/>
        <v/>
      </c>
      <c r="R85" s="19" t="str">
        <f t="shared" si="45"/>
        <v/>
      </c>
      <c r="S85" s="27" t="str">
        <f t="shared" si="43"/>
        <v/>
      </c>
      <c r="T85" s="28" t="str">
        <f t="shared" si="43"/>
        <v/>
      </c>
      <c r="U85" s="28" t="str">
        <f t="shared" si="43"/>
        <v/>
      </c>
      <c r="V85" s="28" t="str">
        <f t="shared" si="43"/>
        <v/>
      </c>
      <c r="W85" s="28" t="str">
        <f t="shared" si="43"/>
        <v/>
      </c>
      <c r="X85" s="29" t="str">
        <f t="shared" si="4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9"/>
        <v/>
      </c>
      <c r="M86" s="19" t="str">
        <f t="shared" si="34"/>
        <v/>
      </c>
      <c r="N86" s="19" t="str">
        <f t="shared" si="44"/>
        <v/>
      </c>
      <c r="O86" s="19" t="str">
        <f t="shared" si="35"/>
        <v/>
      </c>
      <c r="P86" s="19" t="str">
        <f t="shared" si="36"/>
        <v/>
      </c>
      <c r="Q86" s="19" t="str">
        <f t="shared" si="37"/>
        <v/>
      </c>
      <c r="R86" s="19" t="str">
        <f t="shared" si="45"/>
        <v/>
      </c>
      <c r="S86" s="27" t="str">
        <f t="shared" si="43"/>
        <v/>
      </c>
      <c r="T86" s="28" t="str">
        <f t="shared" si="43"/>
        <v/>
      </c>
      <c r="U86" s="28" t="str">
        <f t="shared" si="43"/>
        <v/>
      </c>
      <c r="V86" s="28" t="str">
        <f t="shared" si="43"/>
        <v/>
      </c>
      <c r="W86" s="28" t="str">
        <f t="shared" si="43"/>
        <v/>
      </c>
      <c r="X86" s="29" t="str">
        <f t="shared" si="4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9"/>
        <v/>
      </c>
      <c r="M87" s="19" t="str">
        <f t="shared" si="34"/>
        <v/>
      </c>
      <c r="N87" s="19" t="str">
        <f t="shared" si="44"/>
        <v/>
      </c>
      <c r="O87" s="19" t="str">
        <f t="shared" si="35"/>
        <v/>
      </c>
      <c r="P87" s="19" t="str">
        <f t="shared" si="36"/>
        <v/>
      </c>
      <c r="Q87" s="19" t="str">
        <f t="shared" si="37"/>
        <v/>
      </c>
      <c r="R87" s="19" t="str">
        <f t="shared" si="45"/>
        <v/>
      </c>
      <c r="S87" s="27" t="str">
        <f t="shared" si="43"/>
        <v/>
      </c>
      <c r="T87" s="28" t="str">
        <f t="shared" si="43"/>
        <v/>
      </c>
      <c r="U87" s="28" t="str">
        <f t="shared" si="43"/>
        <v/>
      </c>
      <c r="V87" s="28" t="str">
        <f t="shared" si="43"/>
        <v/>
      </c>
      <c r="W87" s="28" t="str">
        <f t="shared" si="43"/>
        <v/>
      </c>
      <c r="X87" s="29" t="str">
        <f t="shared" si="4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9"/>
        <v/>
      </c>
      <c r="M88" s="19" t="str">
        <f t="shared" si="34"/>
        <v/>
      </c>
      <c r="N88" s="19" t="str">
        <f t="shared" si="44"/>
        <v/>
      </c>
      <c r="O88" s="19" t="str">
        <f t="shared" si="35"/>
        <v/>
      </c>
      <c r="P88" s="19" t="str">
        <f t="shared" si="36"/>
        <v/>
      </c>
      <c r="Q88" s="19" t="str">
        <f t="shared" si="37"/>
        <v/>
      </c>
      <c r="R88" s="19" t="str">
        <f t="shared" si="45"/>
        <v/>
      </c>
      <c r="S88" s="27" t="str">
        <f t="shared" si="43"/>
        <v/>
      </c>
      <c r="T88" s="28" t="str">
        <f t="shared" si="43"/>
        <v/>
      </c>
      <c r="U88" s="28" t="str">
        <f t="shared" si="43"/>
        <v/>
      </c>
      <c r="V88" s="28" t="str">
        <f t="shared" si="43"/>
        <v/>
      </c>
      <c r="W88" s="28" t="str">
        <f t="shared" si="43"/>
        <v/>
      </c>
      <c r="X88" s="29" t="str">
        <f t="shared" si="4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9"/>
        <v/>
      </c>
      <c r="M89" s="19" t="str">
        <f t="shared" si="34"/>
        <v/>
      </c>
      <c r="N89" s="19" t="str">
        <f t="shared" si="44"/>
        <v/>
      </c>
      <c r="O89" s="19" t="str">
        <f t="shared" si="35"/>
        <v/>
      </c>
      <c r="P89" s="19" t="str">
        <f t="shared" si="36"/>
        <v/>
      </c>
      <c r="Q89" s="19" t="str">
        <f t="shared" si="37"/>
        <v/>
      </c>
      <c r="R89" s="19" t="str">
        <f t="shared" si="45"/>
        <v/>
      </c>
      <c r="S89" s="27" t="str">
        <f t="shared" si="43"/>
        <v/>
      </c>
      <c r="T89" s="28" t="str">
        <f t="shared" si="43"/>
        <v/>
      </c>
      <c r="U89" s="28" t="str">
        <f t="shared" si="43"/>
        <v/>
      </c>
      <c r="V89" s="28" t="str">
        <f t="shared" si="43"/>
        <v/>
      </c>
      <c r="W89" s="28" t="str">
        <f t="shared" si="43"/>
        <v/>
      </c>
      <c r="X89" s="29" t="str">
        <f t="shared" si="4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9"/>
        <v/>
      </c>
      <c r="M90" s="19" t="str">
        <f t="shared" si="34"/>
        <v/>
      </c>
      <c r="N90" s="19" t="str">
        <f t="shared" si="44"/>
        <v/>
      </c>
      <c r="O90" s="19" t="str">
        <f t="shared" si="35"/>
        <v/>
      </c>
      <c r="P90" s="19" t="str">
        <f t="shared" si="36"/>
        <v/>
      </c>
      <c r="Q90" s="19" t="str">
        <f t="shared" si="37"/>
        <v/>
      </c>
      <c r="R90" s="19" t="str">
        <f t="shared" si="45"/>
        <v/>
      </c>
      <c r="S90" s="27" t="str">
        <f t="shared" si="43"/>
        <v/>
      </c>
      <c r="T90" s="28" t="str">
        <f t="shared" si="43"/>
        <v/>
      </c>
      <c r="U90" s="28" t="str">
        <f t="shared" si="43"/>
        <v/>
      </c>
      <c r="V90" s="28" t="str">
        <f t="shared" si="43"/>
        <v/>
      </c>
      <c r="W90" s="28" t="str">
        <f t="shared" si="43"/>
        <v/>
      </c>
      <c r="X90" s="29" t="str">
        <f t="shared" si="4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9"/>
        <v/>
      </c>
      <c r="M91" s="19" t="str">
        <f t="shared" si="34"/>
        <v/>
      </c>
      <c r="N91" s="19" t="str">
        <f t="shared" si="44"/>
        <v/>
      </c>
      <c r="O91" s="19" t="str">
        <f t="shared" si="35"/>
        <v/>
      </c>
      <c r="P91" s="19" t="str">
        <f t="shared" si="36"/>
        <v/>
      </c>
      <c r="Q91" s="19" t="str">
        <f t="shared" si="37"/>
        <v/>
      </c>
      <c r="R91" s="19" t="str">
        <f t="shared" si="45"/>
        <v/>
      </c>
      <c r="S91" s="27" t="str">
        <f t="shared" si="43"/>
        <v/>
      </c>
      <c r="T91" s="28" t="str">
        <f t="shared" si="43"/>
        <v/>
      </c>
      <c r="U91" s="28" t="str">
        <f t="shared" si="43"/>
        <v/>
      </c>
      <c r="V91" s="28" t="str">
        <f t="shared" si="43"/>
        <v/>
      </c>
      <c r="W91" s="28" t="str">
        <f t="shared" si="43"/>
        <v/>
      </c>
      <c r="X91" s="29" t="str">
        <f t="shared" si="4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9"/>
        <v/>
      </c>
      <c r="M92" s="19" t="str">
        <f t="shared" si="34"/>
        <v/>
      </c>
      <c r="N92" s="19" t="str">
        <f t="shared" si="44"/>
        <v/>
      </c>
      <c r="O92" s="19" t="str">
        <f t="shared" si="35"/>
        <v/>
      </c>
      <c r="P92" s="19" t="str">
        <f t="shared" si="36"/>
        <v/>
      </c>
      <c r="Q92" s="19" t="str">
        <f t="shared" si="37"/>
        <v/>
      </c>
      <c r="R92" s="19" t="str">
        <f t="shared" si="45"/>
        <v/>
      </c>
      <c r="S92" s="27" t="str">
        <f t="shared" si="43"/>
        <v/>
      </c>
      <c r="T92" s="28" t="str">
        <f t="shared" si="43"/>
        <v/>
      </c>
      <c r="U92" s="28" t="str">
        <f t="shared" si="43"/>
        <v/>
      </c>
      <c r="V92" s="28" t="str">
        <f t="shared" si="43"/>
        <v/>
      </c>
      <c r="W92" s="28" t="str">
        <f t="shared" si="43"/>
        <v/>
      </c>
      <c r="X92" s="29" t="str">
        <f t="shared" si="4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9"/>
        <v/>
      </c>
      <c r="M93" s="19" t="str">
        <f t="shared" si="34"/>
        <v/>
      </c>
      <c r="N93" s="19" t="str">
        <f t="shared" si="44"/>
        <v/>
      </c>
      <c r="O93" s="19" t="str">
        <f t="shared" si="35"/>
        <v/>
      </c>
      <c r="P93" s="19" t="str">
        <f t="shared" si="36"/>
        <v/>
      </c>
      <c r="Q93" s="19" t="str">
        <f t="shared" si="37"/>
        <v/>
      </c>
      <c r="R93" s="19" t="str">
        <f t="shared" si="45"/>
        <v/>
      </c>
      <c r="S93" s="27" t="str">
        <f t="shared" si="43"/>
        <v/>
      </c>
      <c r="T93" s="28" t="str">
        <f t="shared" si="43"/>
        <v/>
      </c>
      <c r="U93" s="28" t="str">
        <f t="shared" si="43"/>
        <v/>
      </c>
      <c r="V93" s="28" t="str">
        <f t="shared" si="43"/>
        <v/>
      </c>
      <c r="W93" s="28" t="str">
        <f t="shared" si="43"/>
        <v/>
      </c>
      <c r="X93" s="29" t="str">
        <f t="shared" si="4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9"/>
        <v/>
      </c>
      <c r="M94" s="19" t="str">
        <f t="shared" si="34"/>
        <v/>
      </c>
      <c r="N94" s="19" t="str">
        <f t="shared" si="44"/>
        <v/>
      </c>
      <c r="O94" s="19" t="str">
        <f t="shared" si="35"/>
        <v/>
      </c>
      <c r="P94" s="19" t="str">
        <f t="shared" si="36"/>
        <v/>
      </c>
      <c r="Q94" s="19" t="str">
        <f t="shared" si="37"/>
        <v/>
      </c>
      <c r="R94" s="19" t="str">
        <f t="shared" si="45"/>
        <v/>
      </c>
      <c r="S94" s="27" t="str">
        <f t="shared" si="43"/>
        <v/>
      </c>
      <c r="T94" s="28" t="str">
        <f t="shared" si="43"/>
        <v/>
      </c>
      <c r="U94" s="28" t="str">
        <f t="shared" si="43"/>
        <v/>
      </c>
      <c r="V94" s="28" t="str">
        <f t="shared" si="43"/>
        <v/>
      </c>
      <c r="W94" s="28" t="str">
        <f t="shared" si="43"/>
        <v/>
      </c>
      <c r="X94" s="29" t="str">
        <f t="shared" si="4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9"/>
        <v/>
      </c>
      <c r="M95" s="19" t="str">
        <f t="shared" si="34"/>
        <v/>
      </c>
      <c r="N95" s="19" t="str">
        <f t="shared" si="44"/>
        <v/>
      </c>
      <c r="O95" s="19" t="str">
        <f t="shared" si="35"/>
        <v/>
      </c>
      <c r="P95" s="19" t="str">
        <f t="shared" si="36"/>
        <v/>
      </c>
      <c r="Q95" s="19" t="str">
        <f t="shared" si="37"/>
        <v/>
      </c>
      <c r="R95" s="19" t="str">
        <f t="shared" si="45"/>
        <v/>
      </c>
      <c r="S95" s="27" t="str">
        <f t="shared" si="43"/>
        <v/>
      </c>
      <c r="T95" s="28" t="str">
        <f t="shared" si="43"/>
        <v/>
      </c>
      <c r="U95" s="28" t="str">
        <f t="shared" si="43"/>
        <v/>
      </c>
      <c r="V95" s="28" t="str">
        <f t="shared" si="43"/>
        <v/>
      </c>
      <c r="W95" s="28" t="str">
        <f t="shared" si="43"/>
        <v/>
      </c>
      <c r="X95" s="29" t="str">
        <f t="shared" si="4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9"/>
        <v/>
      </c>
      <c r="M96" s="19" t="str">
        <f t="shared" si="34"/>
        <v/>
      </c>
      <c r="N96" s="19" t="str">
        <f t="shared" si="44"/>
        <v/>
      </c>
      <c r="O96" s="19" t="str">
        <f t="shared" si="35"/>
        <v/>
      </c>
      <c r="P96" s="19" t="str">
        <f t="shared" si="36"/>
        <v/>
      </c>
      <c r="Q96" s="19" t="str">
        <f t="shared" si="37"/>
        <v/>
      </c>
      <c r="R96" s="19" t="str">
        <f t="shared" si="45"/>
        <v/>
      </c>
      <c r="S96" s="27" t="str">
        <f t="shared" si="43"/>
        <v/>
      </c>
      <c r="T96" s="28" t="str">
        <f t="shared" si="43"/>
        <v/>
      </c>
      <c r="U96" s="28" t="str">
        <f t="shared" si="43"/>
        <v/>
      </c>
      <c r="V96" s="28" t="str">
        <f t="shared" si="43"/>
        <v/>
      </c>
      <c r="W96" s="28" t="str">
        <f t="shared" si="43"/>
        <v/>
      </c>
      <c r="X96" s="29" t="str">
        <f t="shared" si="4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9"/>
        <v/>
      </c>
      <c r="M97" s="19" t="str">
        <f t="shared" si="34"/>
        <v/>
      </c>
      <c r="N97" s="19" t="str">
        <f t="shared" si="44"/>
        <v/>
      </c>
      <c r="O97" s="19" t="str">
        <f t="shared" si="35"/>
        <v/>
      </c>
      <c r="P97" s="19" t="str">
        <f t="shared" si="36"/>
        <v/>
      </c>
      <c r="Q97" s="19" t="str">
        <f t="shared" si="37"/>
        <v/>
      </c>
      <c r="R97" s="19" t="str">
        <f t="shared" si="45"/>
        <v/>
      </c>
      <c r="S97" s="27" t="str">
        <f t="shared" ref="S97:X112" si="46">IF(C97="","",((C97-C96)*1000)/($B97-$B96))</f>
        <v/>
      </c>
      <c r="T97" s="28" t="str">
        <f t="shared" si="46"/>
        <v/>
      </c>
      <c r="U97" s="28" t="str">
        <f t="shared" si="46"/>
        <v/>
      </c>
      <c r="V97" s="28" t="str">
        <f t="shared" si="46"/>
        <v/>
      </c>
      <c r="W97" s="28" t="str">
        <f t="shared" si="46"/>
        <v/>
      </c>
      <c r="X97" s="29" t="str">
        <f t="shared" si="46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9"/>
        <v/>
      </c>
      <c r="M98" s="19" t="str">
        <f t="shared" si="34"/>
        <v/>
      </c>
      <c r="N98" s="19" t="str">
        <f t="shared" si="44"/>
        <v/>
      </c>
      <c r="O98" s="19" t="str">
        <f t="shared" si="35"/>
        <v/>
      </c>
      <c r="P98" s="19" t="str">
        <f t="shared" si="36"/>
        <v/>
      </c>
      <c r="Q98" s="19" t="str">
        <f t="shared" si="37"/>
        <v/>
      </c>
      <c r="R98" s="19" t="str">
        <f t="shared" si="45"/>
        <v/>
      </c>
      <c r="S98" s="27" t="str">
        <f t="shared" si="46"/>
        <v/>
      </c>
      <c r="T98" s="28" t="str">
        <f t="shared" si="46"/>
        <v/>
      </c>
      <c r="U98" s="28" t="str">
        <f t="shared" si="46"/>
        <v/>
      </c>
      <c r="V98" s="28" t="str">
        <f t="shared" si="46"/>
        <v/>
      </c>
      <c r="W98" s="28" t="str">
        <f t="shared" si="46"/>
        <v/>
      </c>
      <c r="X98" s="29" t="str">
        <f t="shared" si="46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9"/>
        <v/>
      </c>
      <c r="M99" s="19" t="str">
        <f t="shared" si="34"/>
        <v/>
      </c>
      <c r="N99" s="19" t="str">
        <f t="shared" si="44"/>
        <v/>
      </c>
      <c r="O99" s="19" t="str">
        <f t="shared" si="35"/>
        <v/>
      </c>
      <c r="P99" s="19" t="str">
        <f t="shared" si="36"/>
        <v/>
      </c>
      <c r="Q99" s="19" t="str">
        <f t="shared" si="37"/>
        <v/>
      </c>
      <c r="R99" s="19" t="str">
        <f t="shared" si="45"/>
        <v/>
      </c>
      <c r="S99" s="27" t="str">
        <f t="shared" si="46"/>
        <v/>
      </c>
      <c r="T99" s="28" t="str">
        <f t="shared" si="46"/>
        <v/>
      </c>
      <c r="U99" s="28" t="str">
        <f t="shared" si="46"/>
        <v/>
      </c>
      <c r="V99" s="28" t="str">
        <f t="shared" si="46"/>
        <v/>
      </c>
      <c r="W99" s="28" t="str">
        <f t="shared" si="46"/>
        <v/>
      </c>
      <c r="X99" s="29" t="str">
        <f t="shared" si="46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9"/>
        <v/>
      </c>
      <c r="M100" s="19" t="str">
        <f t="shared" si="34"/>
        <v/>
      </c>
      <c r="N100" s="19" t="str">
        <f t="shared" si="44"/>
        <v/>
      </c>
      <c r="O100" s="19" t="str">
        <f t="shared" si="35"/>
        <v/>
      </c>
      <c r="P100" s="19" t="str">
        <f t="shared" si="36"/>
        <v/>
      </c>
      <c r="Q100" s="19" t="str">
        <f t="shared" si="37"/>
        <v/>
      </c>
      <c r="R100" s="19" t="str">
        <f t="shared" si="45"/>
        <v/>
      </c>
      <c r="S100" s="27" t="str">
        <f t="shared" si="46"/>
        <v/>
      </c>
      <c r="T100" s="28" t="str">
        <f t="shared" si="46"/>
        <v/>
      </c>
      <c r="U100" s="28" t="str">
        <f t="shared" si="46"/>
        <v/>
      </c>
      <c r="V100" s="28" t="str">
        <f t="shared" si="46"/>
        <v/>
      </c>
      <c r="W100" s="28" t="str">
        <f t="shared" si="46"/>
        <v/>
      </c>
      <c r="X100" s="29" t="str">
        <f t="shared" si="46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9"/>
        <v/>
      </c>
      <c r="M101" s="19" t="str">
        <f t="shared" si="34"/>
        <v/>
      </c>
      <c r="N101" s="19" t="str">
        <f t="shared" si="44"/>
        <v/>
      </c>
      <c r="O101" s="19" t="str">
        <f t="shared" si="35"/>
        <v/>
      </c>
      <c r="P101" s="19" t="str">
        <f t="shared" si="36"/>
        <v/>
      </c>
      <c r="Q101" s="19" t="str">
        <f t="shared" si="37"/>
        <v/>
      </c>
      <c r="R101" s="19" t="str">
        <f t="shared" si="45"/>
        <v/>
      </c>
      <c r="S101" s="27" t="str">
        <f t="shared" si="46"/>
        <v/>
      </c>
      <c r="T101" s="28" t="str">
        <f t="shared" si="46"/>
        <v/>
      </c>
      <c r="U101" s="28" t="str">
        <f t="shared" si="46"/>
        <v/>
      </c>
      <c r="V101" s="28" t="str">
        <f t="shared" si="46"/>
        <v/>
      </c>
      <c r="W101" s="28" t="str">
        <f t="shared" si="46"/>
        <v/>
      </c>
      <c r="X101" s="29" t="str">
        <f t="shared" si="46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9"/>
        <v/>
      </c>
      <c r="M102" s="19" t="str">
        <f t="shared" si="34"/>
        <v/>
      </c>
      <c r="N102" s="19" t="str">
        <f t="shared" si="44"/>
        <v/>
      </c>
      <c r="O102" s="19" t="str">
        <f t="shared" si="35"/>
        <v/>
      </c>
      <c r="P102" s="19" t="str">
        <f t="shared" si="36"/>
        <v/>
      </c>
      <c r="Q102" s="19" t="str">
        <f t="shared" si="37"/>
        <v/>
      </c>
      <c r="R102" s="19" t="str">
        <f t="shared" si="45"/>
        <v/>
      </c>
      <c r="S102" s="27" t="str">
        <f t="shared" si="46"/>
        <v/>
      </c>
      <c r="T102" s="28" t="str">
        <f t="shared" si="46"/>
        <v/>
      </c>
      <c r="U102" s="28" t="str">
        <f t="shared" si="46"/>
        <v/>
      </c>
      <c r="V102" s="28" t="str">
        <f t="shared" si="46"/>
        <v/>
      </c>
      <c r="W102" s="28" t="str">
        <f t="shared" si="46"/>
        <v/>
      </c>
      <c r="X102" s="29" t="str">
        <f t="shared" si="46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9"/>
        <v/>
      </c>
      <c r="M103" s="19" t="str">
        <f t="shared" ref="M103:M153" si="47">IF(ISBLANK(D103),"",(D103-D$38)*1000)</f>
        <v/>
      </c>
      <c r="N103" s="19" t="str">
        <f t="shared" si="44"/>
        <v/>
      </c>
      <c r="O103" s="19" t="str">
        <f t="shared" ref="O103:O153" si="48">IF(ISBLANK(F103),"",(F103-F$38)*1000)</f>
        <v/>
      </c>
      <c r="P103" s="19" t="str">
        <f t="shared" ref="P103:P153" si="49">IF(ISBLANK(G103),"",(G103-G$38)*1000)</f>
        <v/>
      </c>
      <c r="Q103" s="19" t="str">
        <f t="shared" ref="Q103:Q153" si="50">IF(ISBLANK(H103),"",(H103-H$38)*1000)</f>
        <v/>
      </c>
      <c r="R103" s="19" t="str">
        <f t="shared" si="45"/>
        <v/>
      </c>
      <c r="S103" s="27" t="str">
        <f t="shared" si="46"/>
        <v/>
      </c>
      <c r="T103" s="28" t="str">
        <f t="shared" si="46"/>
        <v/>
      </c>
      <c r="U103" s="28" t="str">
        <f t="shared" si="46"/>
        <v/>
      </c>
      <c r="V103" s="28" t="str">
        <f t="shared" si="46"/>
        <v/>
      </c>
      <c r="W103" s="28" t="str">
        <f t="shared" si="46"/>
        <v/>
      </c>
      <c r="X103" s="29" t="str">
        <f t="shared" si="46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ref="L104:L153" si="51">IF(ISBLANK(C104),"",(C104-C$39)*1000)</f>
        <v/>
      </c>
      <c r="M104" s="19" t="str">
        <f t="shared" si="47"/>
        <v/>
      </c>
      <c r="N104" s="19" t="str">
        <f t="shared" si="44"/>
        <v/>
      </c>
      <c r="O104" s="19" t="str">
        <f t="shared" si="48"/>
        <v/>
      </c>
      <c r="P104" s="19" t="str">
        <f t="shared" si="49"/>
        <v/>
      </c>
      <c r="Q104" s="19" t="str">
        <f t="shared" si="50"/>
        <v/>
      </c>
      <c r="R104" s="19" t="str">
        <f t="shared" si="45"/>
        <v/>
      </c>
      <c r="S104" s="27" t="str">
        <f t="shared" si="46"/>
        <v/>
      </c>
      <c r="T104" s="28" t="str">
        <f t="shared" si="46"/>
        <v/>
      </c>
      <c r="U104" s="28" t="str">
        <f t="shared" si="46"/>
        <v/>
      </c>
      <c r="V104" s="28" t="str">
        <f t="shared" si="46"/>
        <v/>
      </c>
      <c r="W104" s="28" t="str">
        <f t="shared" si="46"/>
        <v/>
      </c>
      <c r="X104" s="29" t="str">
        <f t="shared" si="46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51"/>
        <v/>
      </c>
      <c r="M105" s="19" t="str">
        <f t="shared" si="47"/>
        <v/>
      </c>
      <c r="N105" s="19" t="str">
        <f t="shared" si="44"/>
        <v/>
      </c>
      <c r="O105" s="19" t="str">
        <f t="shared" si="48"/>
        <v/>
      </c>
      <c r="P105" s="19" t="str">
        <f t="shared" si="49"/>
        <v/>
      </c>
      <c r="Q105" s="19" t="str">
        <f t="shared" si="50"/>
        <v/>
      </c>
      <c r="R105" s="19" t="str">
        <f t="shared" si="45"/>
        <v/>
      </c>
      <c r="S105" s="27" t="str">
        <f t="shared" si="46"/>
        <v/>
      </c>
      <c r="T105" s="28" t="str">
        <f t="shared" si="46"/>
        <v/>
      </c>
      <c r="U105" s="28" t="str">
        <f t="shared" si="46"/>
        <v/>
      </c>
      <c r="V105" s="28" t="str">
        <f t="shared" si="46"/>
        <v/>
      </c>
      <c r="W105" s="28" t="str">
        <f t="shared" si="46"/>
        <v/>
      </c>
      <c r="X105" s="29" t="str">
        <f t="shared" si="46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51"/>
        <v/>
      </c>
      <c r="M106" s="19" t="str">
        <f t="shared" si="47"/>
        <v/>
      </c>
      <c r="N106" s="19" t="str">
        <f t="shared" si="44"/>
        <v/>
      </c>
      <c r="O106" s="19" t="str">
        <f t="shared" si="48"/>
        <v/>
      </c>
      <c r="P106" s="19" t="str">
        <f t="shared" si="49"/>
        <v/>
      </c>
      <c r="Q106" s="19" t="str">
        <f t="shared" si="50"/>
        <v/>
      </c>
      <c r="R106" s="19" t="str">
        <f t="shared" si="45"/>
        <v/>
      </c>
      <c r="S106" s="27" t="str">
        <f t="shared" si="46"/>
        <v/>
      </c>
      <c r="T106" s="28" t="str">
        <f t="shared" si="46"/>
        <v/>
      </c>
      <c r="U106" s="28" t="str">
        <f t="shared" si="46"/>
        <v/>
      </c>
      <c r="V106" s="28" t="str">
        <f t="shared" si="46"/>
        <v/>
      </c>
      <c r="W106" s="28" t="str">
        <f t="shared" si="46"/>
        <v/>
      </c>
      <c r="X106" s="29" t="str">
        <f t="shared" si="46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51"/>
        <v/>
      </c>
      <c r="M107" s="19" t="str">
        <f t="shared" si="47"/>
        <v/>
      </c>
      <c r="N107" s="19" t="str">
        <f t="shared" si="44"/>
        <v/>
      </c>
      <c r="O107" s="19" t="str">
        <f t="shared" si="48"/>
        <v/>
      </c>
      <c r="P107" s="19" t="str">
        <f t="shared" si="49"/>
        <v/>
      </c>
      <c r="Q107" s="19" t="str">
        <f t="shared" si="50"/>
        <v/>
      </c>
      <c r="R107" s="19" t="str">
        <f t="shared" si="45"/>
        <v/>
      </c>
      <c r="S107" s="27" t="str">
        <f t="shared" si="46"/>
        <v/>
      </c>
      <c r="T107" s="28" t="str">
        <f t="shared" si="46"/>
        <v/>
      </c>
      <c r="U107" s="28" t="str">
        <f t="shared" si="46"/>
        <v/>
      </c>
      <c r="V107" s="28" t="str">
        <f t="shared" si="46"/>
        <v/>
      </c>
      <c r="W107" s="28" t="str">
        <f t="shared" si="46"/>
        <v/>
      </c>
      <c r="X107" s="29" t="str">
        <f t="shared" si="46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51"/>
        <v/>
      </c>
      <c r="M108" s="19" t="str">
        <f t="shared" si="47"/>
        <v/>
      </c>
      <c r="N108" s="19" t="str">
        <f t="shared" si="44"/>
        <v/>
      </c>
      <c r="O108" s="19" t="str">
        <f t="shared" si="48"/>
        <v/>
      </c>
      <c r="P108" s="19" t="str">
        <f t="shared" si="49"/>
        <v/>
      </c>
      <c r="Q108" s="19" t="str">
        <f t="shared" si="50"/>
        <v/>
      </c>
      <c r="R108" s="19" t="str">
        <f t="shared" si="45"/>
        <v/>
      </c>
      <c r="S108" s="27" t="str">
        <f t="shared" si="46"/>
        <v/>
      </c>
      <c r="T108" s="28" t="str">
        <f t="shared" si="46"/>
        <v/>
      </c>
      <c r="U108" s="28" t="str">
        <f t="shared" si="46"/>
        <v/>
      </c>
      <c r="V108" s="28" t="str">
        <f t="shared" si="46"/>
        <v/>
      </c>
      <c r="W108" s="28" t="str">
        <f t="shared" si="46"/>
        <v/>
      </c>
      <c r="X108" s="29" t="str">
        <f t="shared" si="46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51"/>
        <v/>
      </c>
      <c r="M109" s="19" t="str">
        <f t="shared" si="47"/>
        <v/>
      </c>
      <c r="N109" s="19" t="str">
        <f t="shared" si="44"/>
        <v/>
      </c>
      <c r="O109" s="19" t="str">
        <f t="shared" si="48"/>
        <v/>
      </c>
      <c r="P109" s="19" t="str">
        <f t="shared" si="49"/>
        <v/>
      </c>
      <c r="Q109" s="19" t="str">
        <f t="shared" si="50"/>
        <v/>
      </c>
      <c r="R109" s="19" t="str">
        <f t="shared" si="45"/>
        <v/>
      </c>
      <c r="S109" s="27" t="str">
        <f t="shared" si="46"/>
        <v/>
      </c>
      <c r="T109" s="28" t="str">
        <f t="shared" si="46"/>
        <v/>
      </c>
      <c r="U109" s="28" t="str">
        <f t="shared" si="46"/>
        <v/>
      </c>
      <c r="V109" s="28" t="str">
        <f t="shared" si="46"/>
        <v/>
      </c>
      <c r="W109" s="28" t="str">
        <f t="shared" si="46"/>
        <v/>
      </c>
      <c r="X109" s="29" t="str">
        <f t="shared" si="46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51"/>
        <v/>
      </c>
      <c r="M110" s="19" t="str">
        <f t="shared" si="47"/>
        <v/>
      </c>
      <c r="N110" s="19" t="str">
        <f t="shared" si="44"/>
        <v/>
      </c>
      <c r="O110" s="19" t="str">
        <f t="shared" si="48"/>
        <v/>
      </c>
      <c r="P110" s="19" t="str">
        <f t="shared" si="49"/>
        <v/>
      </c>
      <c r="Q110" s="19" t="str">
        <f t="shared" si="50"/>
        <v/>
      </c>
      <c r="R110" s="19" t="str">
        <f t="shared" si="45"/>
        <v/>
      </c>
      <c r="S110" s="27" t="str">
        <f t="shared" si="46"/>
        <v/>
      </c>
      <c r="T110" s="28" t="str">
        <f t="shared" si="46"/>
        <v/>
      </c>
      <c r="U110" s="28" t="str">
        <f t="shared" si="46"/>
        <v/>
      </c>
      <c r="V110" s="28" t="str">
        <f t="shared" si="46"/>
        <v/>
      </c>
      <c r="W110" s="28" t="str">
        <f t="shared" si="46"/>
        <v/>
      </c>
      <c r="X110" s="29" t="str">
        <f t="shared" si="46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51"/>
        <v/>
      </c>
      <c r="M111" s="19" t="str">
        <f t="shared" si="47"/>
        <v/>
      </c>
      <c r="N111" s="19" t="str">
        <f t="shared" si="44"/>
        <v/>
      </c>
      <c r="O111" s="19" t="str">
        <f t="shared" si="48"/>
        <v/>
      </c>
      <c r="P111" s="19" t="str">
        <f t="shared" si="49"/>
        <v/>
      </c>
      <c r="Q111" s="19" t="str">
        <f t="shared" si="50"/>
        <v/>
      </c>
      <c r="R111" s="19" t="str">
        <f t="shared" si="45"/>
        <v/>
      </c>
      <c r="S111" s="27" t="str">
        <f t="shared" si="46"/>
        <v/>
      </c>
      <c r="T111" s="28" t="str">
        <f t="shared" si="46"/>
        <v/>
      </c>
      <c r="U111" s="28" t="str">
        <f t="shared" si="46"/>
        <v/>
      </c>
      <c r="V111" s="28" t="str">
        <f t="shared" si="46"/>
        <v/>
      </c>
      <c r="W111" s="28" t="str">
        <f t="shared" si="46"/>
        <v/>
      </c>
      <c r="X111" s="29" t="str">
        <f t="shared" si="46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51"/>
        <v/>
      </c>
      <c r="M112" s="19" t="str">
        <f t="shared" si="47"/>
        <v/>
      </c>
      <c r="N112" s="19" t="str">
        <f t="shared" si="44"/>
        <v/>
      </c>
      <c r="O112" s="19" t="str">
        <f t="shared" si="48"/>
        <v/>
      </c>
      <c r="P112" s="19" t="str">
        <f t="shared" si="49"/>
        <v/>
      </c>
      <c r="Q112" s="19" t="str">
        <f t="shared" si="50"/>
        <v/>
      </c>
      <c r="R112" s="19" t="str">
        <f t="shared" si="45"/>
        <v/>
      </c>
      <c r="S112" s="27" t="str">
        <f t="shared" si="46"/>
        <v/>
      </c>
      <c r="T112" s="28" t="str">
        <f t="shared" si="46"/>
        <v/>
      </c>
      <c r="U112" s="28" t="str">
        <f t="shared" si="46"/>
        <v/>
      </c>
      <c r="V112" s="28" t="str">
        <f t="shared" si="46"/>
        <v/>
      </c>
      <c r="W112" s="28" t="str">
        <f t="shared" si="46"/>
        <v/>
      </c>
      <c r="X112" s="29" t="str">
        <f t="shared" si="46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51"/>
        <v/>
      </c>
      <c r="M113" s="19" t="str">
        <f t="shared" si="47"/>
        <v/>
      </c>
      <c r="N113" s="19" t="str">
        <f t="shared" si="44"/>
        <v/>
      </c>
      <c r="O113" s="19" t="str">
        <f t="shared" si="48"/>
        <v/>
      </c>
      <c r="P113" s="19" t="str">
        <f t="shared" si="49"/>
        <v/>
      </c>
      <c r="Q113" s="19" t="str">
        <f t="shared" si="50"/>
        <v/>
      </c>
      <c r="R113" s="19" t="str">
        <f t="shared" si="45"/>
        <v/>
      </c>
      <c r="S113" s="27" t="str">
        <f t="shared" ref="S113:X128" si="52">IF(C113="","",((C113-C112)*1000)/($B113-$B112))</f>
        <v/>
      </c>
      <c r="T113" s="28" t="str">
        <f t="shared" si="52"/>
        <v/>
      </c>
      <c r="U113" s="28" t="str">
        <f t="shared" si="52"/>
        <v/>
      </c>
      <c r="V113" s="28" t="str">
        <f t="shared" si="52"/>
        <v/>
      </c>
      <c r="W113" s="28" t="str">
        <f t="shared" si="52"/>
        <v/>
      </c>
      <c r="X113" s="29" t="str">
        <f t="shared" si="52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51"/>
        <v/>
      </c>
      <c r="M114" s="19" t="str">
        <f t="shared" si="47"/>
        <v/>
      </c>
      <c r="N114" s="19" t="str">
        <f t="shared" si="44"/>
        <v/>
      </c>
      <c r="O114" s="19" t="str">
        <f t="shared" si="48"/>
        <v/>
      </c>
      <c r="P114" s="19" t="str">
        <f t="shared" si="49"/>
        <v/>
      </c>
      <c r="Q114" s="19" t="str">
        <f t="shared" si="50"/>
        <v/>
      </c>
      <c r="R114" s="19" t="str">
        <f t="shared" si="45"/>
        <v/>
      </c>
      <c r="S114" s="27" t="str">
        <f t="shared" si="52"/>
        <v/>
      </c>
      <c r="T114" s="28" t="str">
        <f t="shared" si="52"/>
        <v/>
      </c>
      <c r="U114" s="28" t="str">
        <f t="shared" si="52"/>
        <v/>
      </c>
      <c r="V114" s="28" t="str">
        <f t="shared" si="52"/>
        <v/>
      </c>
      <c r="W114" s="28" t="str">
        <f t="shared" si="52"/>
        <v/>
      </c>
      <c r="X114" s="29" t="str">
        <f t="shared" si="5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51"/>
        <v/>
      </c>
      <c r="M115" s="19" t="str">
        <f t="shared" si="47"/>
        <v/>
      </c>
      <c r="N115" s="19" t="str">
        <f t="shared" si="44"/>
        <v/>
      </c>
      <c r="O115" s="19" t="str">
        <f t="shared" si="48"/>
        <v/>
      </c>
      <c r="P115" s="19" t="str">
        <f t="shared" si="49"/>
        <v/>
      </c>
      <c r="Q115" s="19" t="str">
        <f t="shared" si="50"/>
        <v/>
      </c>
      <c r="R115" s="19" t="str">
        <f t="shared" si="45"/>
        <v/>
      </c>
      <c r="S115" s="27" t="str">
        <f t="shared" si="52"/>
        <v/>
      </c>
      <c r="T115" s="28" t="str">
        <f t="shared" si="52"/>
        <v/>
      </c>
      <c r="U115" s="28" t="str">
        <f t="shared" si="52"/>
        <v/>
      </c>
      <c r="V115" s="28" t="str">
        <f t="shared" si="52"/>
        <v/>
      </c>
      <c r="W115" s="28" t="str">
        <f t="shared" si="52"/>
        <v/>
      </c>
      <c r="X115" s="29" t="str">
        <f t="shared" si="5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51"/>
        <v/>
      </c>
      <c r="M116" s="19" t="str">
        <f t="shared" si="47"/>
        <v/>
      </c>
      <c r="N116" s="19" t="str">
        <f t="shared" si="44"/>
        <v/>
      </c>
      <c r="O116" s="19" t="str">
        <f t="shared" si="48"/>
        <v/>
      </c>
      <c r="P116" s="19" t="str">
        <f t="shared" si="49"/>
        <v/>
      </c>
      <c r="Q116" s="19" t="str">
        <f t="shared" si="50"/>
        <v/>
      </c>
      <c r="R116" s="19" t="str">
        <f t="shared" si="45"/>
        <v/>
      </c>
      <c r="S116" s="27" t="str">
        <f t="shared" si="52"/>
        <v/>
      </c>
      <c r="T116" s="28" t="str">
        <f t="shared" si="52"/>
        <v/>
      </c>
      <c r="U116" s="28" t="str">
        <f t="shared" si="52"/>
        <v/>
      </c>
      <c r="V116" s="28" t="str">
        <f t="shared" si="52"/>
        <v/>
      </c>
      <c r="W116" s="28" t="str">
        <f t="shared" si="52"/>
        <v/>
      </c>
      <c r="X116" s="29" t="str">
        <f t="shared" si="5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51"/>
        <v/>
      </c>
      <c r="M117" s="19" t="str">
        <f t="shared" si="47"/>
        <v/>
      </c>
      <c r="N117" s="19" t="str">
        <f t="shared" si="44"/>
        <v/>
      </c>
      <c r="O117" s="19" t="str">
        <f t="shared" si="48"/>
        <v/>
      </c>
      <c r="P117" s="19" t="str">
        <f t="shared" si="49"/>
        <v/>
      </c>
      <c r="Q117" s="19" t="str">
        <f t="shared" si="50"/>
        <v/>
      </c>
      <c r="R117" s="19" t="str">
        <f t="shared" si="45"/>
        <v/>
      </c>
      <c r="S117" s="27" t="str">
        <f t="shared" si="52"/>
        <v/>
      </c>
      <c r="T117" s="28" t="str">
        <f t="shared" si="52"/>
        <v/>
      </c>
      <c r="U117" s="28" t="str">
        <f t="shared" si="52"/>
        <v/>
      </c>
      <c r="V117" s="28" t="str">
        <f t="shared" si="52"/>
        <v/>
      </c>
      <c r="W117" s="28" t="str">
        <f t="shared" si="52"/>
        <v/>
      </c>
      <c r="X117" s="29" t="str">
        <f t="shared" si="5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51"/>
        <v/>
      </c>
      <c r="M118" s="19" t="str">
        <f t="shared" si="47"/>
        <v/>
      </c>
      <c r="N118" s="19" t="str">
        <f t="shared" si="44"/>
        <v/>
      </c>
      <c r="O118" s="19" t="str">
        <f t="shared" si="48"/>
        <v/>
      </c>
      <c r="P118" s="19" t="str">
        <f t="shared" si="49"/>
        <v/>
      </c>
      <c r="Q118" s="19" t="str">
        <f t="shared" si="50"/>
        <v/>
      </c>
      <c r="R118" s="19" t="str">
        <f t="shared" si="45"/>
        <v/>
      </c>
      <c r="S118" s="27" t="str">
        <f t="shared" si="52"/>
        <v/>
      </c>
      <c r="T118" s="28" t="str">
        <f t="shared" si="52"/>
        <v/>
      </c>
      <c r="U118" s="28" t="str">
        <f t="shared" si="52"/>
        <v/>
      </c>
      <c r="V118" s="28" t="str">
        <f t="shared" si="52"/>
        <v/>
      </c>
      <c r="W118" s="28" t="str">
        <f t="shared" si="52"/>
        <v/>
      </c>
      <c r="X118" s="29" t="str">
        <f t="shared" si="5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51"/>
        <v/>
      </c>
      <c r="M119" s="19" t="str">
        <f t="shared" si="47"/>
        <v/>
      </c>
      <c r="N119" s="19" t="str">
        <f t="shared" si="44"/>
        <v/>
      </c>
      <c r="O119" s="19" t="str">
        <f t="shared" si="48"/>
        <v/>
      </c>
      <c r="P119" s="19" t="str">
        <f t="shared" si="49"/>
        <v/>
      </c>
      <c r="Q119" s="19" t="str">
        <f t="shared" si="50"/>
        <v/>
      </c>
      <c r="R119" s="19" t="str">
        <f t="shared" si="45"/>
        <v/>
      </c>
      <c r="S119" s="27" t="str">
        <f t="shared" si="52"/>
        <v/>
      </c>
      <c r="T119" s="28" t="str">
        <f t="shared" si="52"/>
        <v/>
      </c>
      <c r="U119" s="28" t="str">
        <f t="shared" si="52"/>
        <v/>
      </c>
      <c r="V119" s="28" t="str">
        <f t="shared" si="52"/>
        <v/>
      </c>
      <c r="W119" s="28" t="str">
        <f t="shared" si="52"/>
        <v/>
      </c>
      <c r="X119" s="29" t="str">
        <f t="shared" si="5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51"/>
        <v/>
      </c>
      <c r="M120" s="19" t="str">
        <f t="shared" si="47"/>
        <v/>
      </c>
      <c r="N120" s="19" t="str">
        <f t="shared" si="44"/>
        <v/>
      </c>
      <c r="O120" s="19" t="str">
        <f t="shared" si="48"/>
        <v/>
      </c>
      <c r="P120" s="19" t="str">
        <f t="shared" si="49"/>
        <v/>
      </c>
      <c r="Q120" s="19" t="str">
        <f t="shared" si="50"/>
        <v/>
      </c>
      <c r="R120" s="19" t="str">
        <f t="shared" si="45"/>
        <v/>
      </c>
      <c r="S120" s="27" t="str">
        <f t="shared" si="52"/>
        <v/>
      </c>
      <c r="T120" s="28" t="str">
        <f t="shared" si="52"/>
        <v/>
      </c>
      <c r="U120" s="28" t="str">
        <f t="shared" si="52"/>
        <v/>
      </c>
      <c r="V120" s="28" t="str">
        <f t="shared" si="52"/>
        <v/>
      </c>
      <c r="W120" s="28" t="str">
        <f t="shared" si="52"/>
        <v/>
      </c>
      <c r="X120" s="29" t="str">
        <f t="shared" si="5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51"/>
        <v/>
      </c>
      <c r="M121" s="19" t="str">
        <f t="shared" si="47"/>
        <v/>
      </c>
      <c r="N121" s="19" t="str">
        <f t="shared" si="44"/>
        <v/>
      </c>
      <c r="O121" s="19" t="str">
        <f t="shared" si="48"/>
        <v/>
      </c>
      <c r="P121" s="19" t="str">
        <f t="shared" si="49"/>
        <v/>
      </c>
      <c r="Q121" s="19" t="str">
        <f t="shared" si="50"/>
        <v/>
      </c>
      <c r="R121" s="19" t="str">
        <f t="shared" si="45"/>
        <v/>
      </c>
      <c r="S121" s="27" t="str">
        <f t="shared" si="52"/>
        <v/>
      </c>
      <c r="T121" s="28" t="str">
        <f t="shared" si="52"/>
        <v/>
      </c>
      <c r="U121" s="28" t="str">
        <f t="shared" si="52"/>
        <v/>
      </c>
      <c r="V121" s="28" t="str">
        <f t="shared" si="52"/>
        <v/>
      </c>
      <c r="W121" s="28" t="str">
        <f t="shared" si="52"/>
        <v/>
      </c>
      <c r="X121" s="29" t="str">
        <f t="shared" si="5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51"/>
        <v/>
      </c>
      <c r="M122" s="19" t="str">
        <f t="shared" si="47"/>
        <v/>
      </c>
      <c r="N122" s="19" t="str">
        <f t="shared" si="44"/>
        <v/>
      </c>
      <c r="O122" s="19" t="str">
        <f t="shared" si="48"/>
        <v/>
      </c>
      <c r="P122" s="19" t="str">
        <f t="shared" si="49"/>
        <v/>
      </c>
      <c r="Q122" s="19" t="str">
        <f t="shared" si="50"/>
        <v/>
      </c>
      <c r="R122" s="19" t="str">
        <f t="shared" si="45"/>
        <v/>
      </c>
      <c r="S122" s="27" t="str">
        <f t="shared" si="52"/>
        <v/>
      </c>
      <c r="T122" s="28" t="str">
        <f t="shared" si="52"/>
        <v/>
      </c>
      <c r="U122" s="28" t="str">
        <f t="shared" si="52"/>
        <v/>
      </c>
      <c r="V122" s="28" t="str">
        <f t="shared" si="52"/>
        <v/>
      </c>
      <c r="W122" s="28" t="str">
        <f t="shared" si="52"/>
        <v/>
      </c>
      <c r="X122" s="29" t="str">
        <f t="shared" si="5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51"/>
        <v/>
      </c>
      <c r="M123" s="19" t="str">
        <f t="shared" si="47"/>
        <v/>
      </c>
      <c r="N123" s="19" t="str">
        <f t="shared" si="44"/>
        <v/>
      </c>
      <c r="O123" s="19" t="str">
        <f t="shared" si="48"/>
        <v/>
      </c>
      <c r="P123" s="19" t="str">
        <f t="shared" si="49"/>
        <v/>
      </c>
      <c r="Q123" s="19" t="str">
        <f t="shared" si="50"/>
        <v/>
      </c>
      <c r="R123" s="19" t="str">
        <f t="shared" si="45"/>
        <v/>
      </c>
      <c r="S123" s="27" t="str">
        <f t="shared" si="52"/>
        <v/>
      </c>
      <c r="T123" s="28" t="str">
        <f t="shared" si="52"/>
        <v/>
      </c>
      <c r="U123" s="28" t="str">
        <f t="shared" si="52"/>
        <v/>
      </c>
      <c r="V123" s="28" t="str">
        <f t="shared" si="52"/>
        <v/>
      </c>
      <c r="W123" s="28" t="str">
        <f t="shared" si="52"/>
        <v/>
      </c>
      <c r="X123" s="29" t="str">
        <f t="shared" si="5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51"/>
        <v/>
      </c>
      <c r="M124" s="19" t="str">
        <f t="shared" si="47"/>
        <v/>
      </c>
      <c r="N124" s="19" t="str">
        <f t="shared" si="44"/>
        <v/>
      </c>
      <c r="O124" s="19" t="str">
        <f t="shared" si="48"/>
        <v/>
      </c>
      <c r="P124" s="19" t="str">
        <f t="shared" si="49"/>
        <v/>
      </c>
      <c r="Q124" s="19" t="str">
        <f t="shared" si="50"/>
        <v/>
      </c>
      <c r="R124" s="19" t="str">
        <f t="shared" si="45"/>
        <v/>
      </c>
      <c r="S124" s="27" t="str">
        <f t="shared" si="52"/>
        <v/>
      </c>
      <c r="T124" s="28" t="str">
        <f t="shared" si="52"/>
        <v/>
      </c>
      <c r="U124" s="28" t="str">
        <f t="shared" si="52"/>
        <v/>
      </c>
      <c r="V124" s="28" t="str">
        <f t="shared" si="52"/>
        <v/>
      </c>
      <c r="W124" s="28" t="str">
        <f t="shared" si="52"/>
        <v/>
      </c>
      <c r="X124" s="29" t="str">
        <f t="shared" si="5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51"/>
        <v/>
      </c>
      <c r="M125" s="19" t="str">
        <f t="shared" si="47"/>
        <v/>
      </c>
      <c r="N125" s="19" t="str">
        <f t="shared" si="44"/>
        <v/>
      </c>
      <c r="O125" s="19" t="str">
        <f t="shared" si="48"/>
        <v/>
      </c>
      <c r="P125" s="19" t="str">
        <f t="shared" si="49"/>
        <v/>
      </c>
      <c r="Q125" s="19" t="str">
        <f t="shared" si="50"/>
        <v/>
      </c>
      <c r="R125" s="19" t="str">
        <f t="shared" si="45"/>
        <v/>
      </c>
      <c r="S125" s="27" t="str">
        <f t="shared" si="52"/>
        <v/>
      </c>
      <c r="T125" s="28" t="str">
        <f t="shared" si="52"/>
        <v/>
      </c>
      <c r="U125" s="28" t="str">
        <f t="shared" si="52"/>
        <v/>
      </c>
      <c r="V125" s="28" t="str">
        <f t="shared" si="52"/>
        <v/>
      </c>
      <c r="W125" s="28" t="str">
        <f t="shared" si="52"/>
        <v/>
      </c>
      <c r="X125" s="29" t="str">
        <f t="shared" si="5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51"/>
        <v/>
      </c>
      <c r="M126" s="19" t="str">
        <f t="shared" si="47"/>
        <v/>
      </c>
      <c r="N126" s="19" t="str">
        <f t="shared" si="44"/>
        <v/>
      </c>
      <c r="O126" s="19" t="str">
        <f t="shared" si="48"/>
        <v/>
      </c>
      <c r="P126" s="19" t="str">
        <f t="shared" si="49"/>
        <v/>
      </c>
      <c r="Q126" s="19" t="str">
        <f t="shared" si="50"/>
        <v/>
      </c>
      <c r="R126" s="19" t="str">
        <f t="shared" si="45"/>
        <v/>
      </c>
      <c r="S126" s="27" t="str">
        <f t="shared" si="52"/>
        <v/>
      </c>
      <c r="T126" s="28" t="str">
        <f t="shared" si="52"/>
        <v/>
      </c>
      <c r="U126" s="28" t="str">
        <f t="shared" si="52"/>
        <v/>
      </c>
      <c r="V126" s="28" t="str">
        <f t="shared" si="52"/>
        <v/>
      </c>
      <c r="W126" s="28" t="str">
        <f t="shared" si="52"/>
        <v/>
      </c>
      <c r="X126" s="29" t="str">
        <f t="shared" si="5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51"/>
        <v/>
      </c>
      <c r="M127" s="19" t="str">
        <f t="shared" si="47"/>
        <v/>
      </c>
      <c r="N127" s="19" t="str">
        <f t="shared" si="44"/>
        <v/>
      </c>
      <c r="O127" s="19" t="str">
        <f t="shared" si="48"/>
        <v/>
      </c>
      <c r="P127" s="19" t="str">
        <f t="shared" si="49"/>
        <v/>
      </c>
      <c r="Q127" s="19" t="str">
        <f t="shared" si="50"/>
        <v/>
      </c>
      <c r="R127" s="19" t="str">
        <f t="shared" si="45"/>
        <v/>
      </c>
      <c r="S127" s="27" t="str">
        <f t="shared" si="52"/>
        <v/>
      </c>
      <c r="T127" s="28" t="str">
        <f t="shared" si="52"/>
        <v/>
      </c>
      <c r="U127" s="28" t="str">
        <f t="shared" si="52"/>
        <v/>
      </c>
      <c r="V127" s="28" t="str">
        <f t="shared" si="52"/>
        <v/>
      </c>
      <c r="W127" s="28" t="str">
        <f t="shared" si="52"/>
        <v/>
      </c>
      <c r="X127" s="29" t="str">
        <f t="shared" si="5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51"/>
        <v/>
      </c>
      <c r="M128" s="19" t="str">
        <f t="shared" si="47"/>
        <v/>
      </c>
      <c r="N128" s="19" t="str">
        <f t="shared" si="44"/>
        <v/>
      </c>
      <c r="O128" s="19" t="str">
        <f t="shared" si="48"/>
        <v/>
      </c>
      <c r="P128" s="19" t="str">
        <f t="shared" si="49"/>
        <v/>
      </c>
      <c r="Q128" s="19" t="str">
        <f t="shared" si="50"/>
        <v/>
      </c>
      <c r="R128" s="19" t="str">
        <f t="shared" si="45"/>
        <v/>
      </c>
      <c r="S128" s="27" t="str">
        <f t="shared" si="52"/>
        <v/>
      </c>
      <c r="T128" s="28" t="str">
        <f t="shared" si="52"/>
        <v/>
      </c>
      <c r="U128" s="28" t="str">
        <f t="shared" si="52"/>
        <v/>
      </c>
      <c r="V128" s="28" t="str">
        <f t="shared" si="52"/>
        <v/>
      </c>
      <c r="W128" s="28" t="str">
        <f t="shared" si="52"/>
        <v/>
      </c>
      <c r="X128" s="29" t="str">
        <f t="shared" si="5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51"/>
        <v/>
      </c>
      <c r="M129" s="19" t="str">
        <f t="shared" si="47"/>
        <v/>
      </c>
      <c r="N129" s="19" t="str">
        <f t="shared" si="44"/>
        <v/>
      </c>
      <c r="O129" s="19" t="str">
        <f t="shared" si="48"/>
        <v/>
      </c>
      <c r="P129" s="19" t="str">
        <f t="shared" si="49"/>
        <v/>
      </c>
      <c r="Q129" s="19" t="str">
        <f t="shared" si="50"/>
        <v/>
      </c>
      <c r="R129" s="19" t="str">
        <f t="shared" si="45"/>
        <v/>
      </c>
      <c r="S129" s="27" t="str">
        <f t="shared" ref="S129:X144" si="53">IF(C129="","",((C129-C128)*1000)/($B129-$B128))</f>
        <v/>
      </c>
      <c r="T129" s="28" t="str">
        <f t="shared" si="53"/>
        <v/>
      </c>
      <c r="U129" s="28" t="str">
        <f t="shared" si="53"/>
        <v/>
      </c>
      <c r="V129" s="28" t="str">
        <f t="shared" si="53"/>
        <v/>
      </c>
      <c r="W129" s="28" t="str">
        <f t="shared" si="53"/>
        <v/>
      </c>
      <c r="X129" s="29" t="str">
        <f t="shared" si="53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51"/>
        <v/>
      </c>
      <c r="M130" s="19" t="str">
        <f t="shared" si="47"/>
        <v/>
      </c>
      <c r="N130" s="19" t="str">
        <f t="shared" si="44"/>
        <v/>
      </c>
      <c r="O130" s="19" t="str">
        <f t="shared" si="48"/>
        <v/>
      </c>
      <c r="P130" s="19" t="str">
        <f t="shared" si="49"/>
        <v/>
      </c>
      <c r="Q130" s="19" t="str">
        <f t="shared" si="50"/>
        <v/>
      </c>
      <c r="R130" s="19" t="str">
        <f t="shared" si="45"/>
        <v/>
      </c>
      <c r="S130" s="27" t="str">
        <f t="shared" si="53"/>
        <v/>
      </c>
      <c r="T130" s="28" t="str">
        <f t="shared" si="53"/>
        <v/>
      </c>
      <c r="U130" s="28" t="str">
        <f t="shared" si="53"/>
        <v/>
      </c>
      <c r="V130" s="28" t="str">
        <f t="shared" si="53"/>
        <v/>
      </c>
      <c r="W130" s="28" t="str">
        <f t="shared" si="53"/>
        <v/>
      </c>
      <c r="X130" s="29" t="str">
        <f t="shared" si="53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51"/>
        <v/>
      </c>
      <c r="M131" s="19" t="str">
        <f t="shared" si="47"/>
        <v/>
      </c>
      <c r="N131" s="19" t="str">
        <f t="shared" si="44"/>
        <v/>
      </c>
      <c r="O131" s="19" t="str">
        <f t="shared" si="48"/>
        <v/>
      </c>
      <c r="P131" s="19" t="str">
        <f t="shared" si="49"/>
        <v/>
      </c>
      <c r="Q131" s="19" t="str">
        <f t="shared" si="50"/>
        <v/>
      </c>
      <c r="R131" s="19" t="str">
        <f t="shared" si="45"/>
        <v/>
      </c>
      <c r="S131" s="27" t="str">
        <f t="shared" si="53"/>
        <v/>
      </c>
      <c r="T131" s="28" t="str">
        <f t="shared" si="53"/>
        <v/>
      </c>
      <c r="U131" s="28" t="str">
        <f t="shared" si="53"/>
        <v/>
      </c>
      <c r="V131" s="28" t="str">
        <f t="shared" si="53"/>
        <v/>
      </c>
      <c r="W131" s="28" t="str">
        <f t="shared" si="53"/>
        <v/>
      </c>
      <c r="X131" s="29" t="str">
        <f t="shared" si="53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51"/>
        <v/>
      </c>
      <c r="M132" s="19" t="str">
        <f t="shared" si="47"/>
        <v/>
      </c>
      <c r="N132" s="19" t="str">
        <f t="shared" si="44"/>
        <v/>
      </c>
      <c r="O132" s="19" t="str">
        <f t="shared" si="48"/>
        <v/>
      </c>
      <c r="P132" s="19" t="str">
        <f t="shared" si="49"/>
        <v/>
      </c>
      <c r="Q132" s="19" t="str">
        <f t="shared" si="50"/>
        <v/>
      </c>
      <c r="R132" s="19" t="str">
        <f t="shared" si="45"/>
        <v/>
      </c>
      <c r="S132" s="27" t="str">
        <f t="shared" si="53"/>
        <v/>
      </c>
      <c r="T132" s="28" t="str">
        <f t="shared" si="53"/>
        <v/>
      </c>
      <c r="U132" s="28" t="str">
        <f t="shared" si="53"/>
        <v/>
      </c>
      <c r="V132" s="28" t="str">
        <f t="shared" si="53"/>
        <v/>
      </c>
      <c r="W132" s="28" t="str">
        <f t="shared" si="53"/>
        <v/>
      </c>
      <c r="X132" s="29" t="str">
        <f t="shared" si="53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51"/>
        <v/>
      </c>
      <c r="M133" s="19" t="str">
        <f t="shared" si="47"/>
        <v/>
      </c>
      <c r="N133" s="19" t="str">
        <f t="shared" si="44"/>
        <v/>
      </c>
      <c r="O133" s="19" t="str">
        <f t="shared" si="48"/>
        <v/>
      </c>
      <c r="P133" s="19" t="str">
        <f t="shared" si="49"/>
        <v/>
      </c>
      <c r="Q133" s="19" t="str">
        <f t="shared" si="50"/>
        <v/>
      </c>
      <c r="R133" s="19" t="str">
        <f t="shared" si="45"/>
        <v/>
      </c>
      <c r="S133" s="27" t="str">
        <f t="shared" si="53"/>
        <v/>
      </c>
      <c r="T133" s="28" t="str">
        <f t="shared" si="53"/>
        <v/>
      </c>
      <c r="U133" s="28" t="str">
        <f t="shared" si="53"/>
        <v/>
      </c>
      <c r="V133" s="28" t="str">
        <f t="shared" si="53"/>
        <v/>
      </c>
      <c r="W133" s="28" t="str">
        <f t="shared" si="53"/>
        <v/>
      </c>
      <c r="X133" s="29" t="str">
        <f t="shared" si="53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51"/>
        <v/>
      </c>
      <c r="M134" s="19" t="str">
        <f t="shared" si="47"/>
        <v/>
      </c>
      <c r="N134" s="19" t="str">
        <f t="shared" si="44"/>
        <v/>
      </c>
      <c r="O134" s="19" t="str">
        <f t="shared" si="48"/>
        <v/>
      </c>
      <c r="P134" s="19" t="str">
        <f t="shared" si="49"/>
        <v/>
      </c>
      <c r="Q134" s="19" t="str">
        <f t="shared" si="50"/>
        <v/>
      </c>
      <c r="R134" s="19" t="str">
        <f t="shared" si="45"/>
        <v/>
      </c>
      <c r="S134" s="27" t="str">
        <f t="shared" si="53"/>
        <v/>
      </c>
      <c r="T134" s="28" t="str">
        <f t="shared" si="53"/>
        <v/>
      </c>
      <c r="U134" s="28" t="str">
        <f t="shared" si="53"/>
        <v/>
      </c>
      <c r="V134" s="28" t="str">
        <f t="shared" si="53"/>
        <v/>
      </c>
      <c r="W134" s="28" t="str">
        <f t="shared" si="53"/>
        <v/>
      </c>
      <c r="X134" s="29" t="str">
        <f t="shared" si="53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51"/>
        <v/>
      </c>
      <c r="M135" s="19" t="str">
        <f t="shared" si="47"/>
        <v/>
      </c>
      <c r="N135" s="19" t="str">
        <f t="shared" si="44"/>
        <v/>
      </c>
      <c r="O135" s="19" t="str">
        <f t="shared" si="48"/>
        <v/>
      </c>
      <c r="P135" s="19" t="str">
        <f t="shared" si="49"/>
        <v/>
      </c>
      <c r="Q135" s="19" t="str">
        <f t="shared" si="50"/>
        <v/>
      </c>
      <c r="R135" s="19" t="str">
        <f t="shared" si="45"/>
        <v/>
      </c>
      <c r="S135" s="27" t="str">
        <f t="shared" si="53"/>
        <v/>
      </c>
      <c r="T135" s="28" t="str">
        <f t="shared" si="53"/>
        <v/>
      </c>
      <c r="U135" s="28" t="str">
        <f t="shared" si="53"/>
        <v/>
      </c>
      <c r="V135" s="28" t="str">
        <f t="shared" si="53"/>
        <v/>
      </c>
      <c r="W135" s="28" t="str">
        <f t="shared" si="53"/>
        <v/>
      </c>
      <c r="X135" s="29" t="str">
        <f t="shared" si="53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51"/>
        <v/>
      </c>
      <c r="M136" s="19" t="str">
        <f t="shared" si="47"/>
        <v/>
      </c>
      <c r="N136" s="19" t="str">
        <f t="shared" si="44"/>
        <v/>
      </c>
      <c r="O136" s="19" t="str">
        <f t="shared" si="48"/>
        <v/>
      </c>
      <c r="P136" s="19" t="str">
        <f t="shared" si="49"/>
        <v/>
      </c>
      <c r="Q136" s="19" t="str">
        <f t="shared" si="50"/>
        <v/>
      </c>
      <c r="R136" s="19" t="str">
        <f t="shared" si="45"/>
        <v/>
      </c>
      <c r="S136" s="27" t="str">
        <f t="shared" si="53"/>
        <v/>
      </c>
      <c r="T136" s="28" t="str">
        <f t="shared" si="53"/>
        <v/>
      </c>
      <c r="U136" s="28" t="str">
        <f t="shared" si="53"/>
        <v/>
      </c>
      <c r="V136" s="28" t="str">
        <f t="shared" si="53"/>
        <v/>
      </c>
      <c r="W136" s="28" t="str">
        <f t="shared" si="53"/>
        <v/>
      </c>
      <c r="X136" s="29" t="str">
        <f t="shared" si="53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51"/>
        <v/>
      </c>
      <c r="M137" s="19" t="str">
        <f t="shared" si="47"/>
        <v/>
      </c>
      <c r="N137" s="19" t="str">
        <f t="shared" si="44"/>
        <v/>
      </c>
      <c r="O137" s="19" t="str">
        <f t="shared" si="48"/>
        <v/>
      </c>
      <c r="P137" s="19" t="str">
        <f t="shared" si="49"/>
        <v/>
      </c>
      <c r="Q137" s="19" t="str">
        <f t="shared" si="50"/>
        <v/>
      </c>
      <c r="R137" s="19" t="str">
        <f t="shared" si="45"/>
        <v/>
      </c>
      <c r="S137" s="27" t="str">
        <f t="shared" si="53"/>
        <v/>
      </c>
      <c r="T137" s="28" t="str">
        <f t="shared" si="53"/>
        <v/>
      </c>
      <c r="U137" s="28" t="str">
        <f t="shared" si="53"/>
        <v/>
      </c>
      <c r="V137" s="28" t="str">
        <f t="shared" si="53"/>
        <v/>
      </c>
      <c r="W137" s="28" t="str">
        <f t="shared" si="53"/>
        <v/>
      </c>
      <c r="X137" s="29" t="str">
        <f t="shared" si="53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51"/>
        <v/>
      </c>
      <c r="M138" s="19" t="str">
        <f t="shared" si="47"/>
        <v/>
      </c>
      <c r="N138" s="19" t="str">
        <f t="shared" si="44"/>
        <v/>
      </c>
      <c r="O138" s="19" t="str">
        <f t="shared" si="48"/>
        <v/>
      </c>
      <c r="P138" s="19" t="str">
        <f t="shared" si="49"/>
        <v/>
      </c>
      <c r="Q138" s="19" t="str">
        <f t="shared" si="50"/>
        <v/>
      </c>
      <c r="R138" s="19" t="str">
        <f t="shared" si="45"/>
        <v/>
      </c>
      <c r="S138" s="27" t="str">
        <f t="shared" si="53"/>
        <v/>
      </c>
      <c r="T138" s="28" t="str">
        <f t="shared" si="53"/>
        <v/>
      </c>
      <c r="U138" s="28" t="str">
        <f t="shared" si="53"/>
        <v/>
      </c>
      <c r="V138" s="28" t="str">
        <f t="shared" si="53"/>
        <v/>
      </c>
      <c r="W138" s="28" t="str">
        <f t="shared" si="53"/>
        <v/>
      </c>
      <c r="X138" s="29" t="str">
        <f t="shared" si="53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51"/>
        <v/>
      </c>
      <c r="M139" s="19" t="str">
        <f t="shared" si="47"/>
        <v/>
      </c>
      <c r="N139" s="19" t="str">
        <f t="shared" si="44"/>
        <v/>
      </c>
      <c r="O139" s="19" t="str">
        <f t="shared" si="48"/>
        <v/>
      </c>
      <c r="P139" s="19" t="str">
        <f t="shared" si="49"/>
        <v/>
      </c>
      <c r="Q139" s="19" t="str">
        <f t="shared" si="50"/>
        <v/>
      </c>
      <c r="R139" s="19" t="str">
        <f t="shared" si="45"/>
        <v/>
      </c>
      <c r="S139" s="27" t="str">
        <f t="shared" si="53"/>
        <v/>
      </c>
      <c r="T139" s="28" t="str">
        <f t="shared" si="53"/>
        <v/>
      </c>
      <c r="U139" s="28" t="str">
        <f t="shared" si="53"/>
        <v/>
      </c>
      <c r="V139" s="28" t="str">
        <f t="shared" si="53"/>
        <v/>
      </c>
      <c r="W139" s="28" t="str">
        <f t="shared" si="53"/>
        <v/>
      </c>
      <c r="X139" s="29" t="str">
        <f t="shared" si="53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51"/>
        <v/>
      </c>
      <c r="M140" s="19" t="str">
        <f t="shared" si="47"/>
        <v/>
      </c>
      <c r="N140" s="19" t="str">
        <f t="shared" si="44"/>
        <v/>
      </c>
      <c r="O140" s="19" t="str">
        <f t="shared" si="48"/>
        <v/>
      </c>
      <c r="P140" s="19" t="str">
        <f t="shared" si="49"/>
        <v/>
      </c>
      <c r="Q140" s="19" t="str">
        <f t="shared" si="50"/>
        <v/>
      </c>
      <c r="R140" s="19" t="str">
        <f t="shared" si="45"/>
        <v/>
      </c>
      <c r="S140" s="27" t="str">
        <f t="shared" si="53"/>
        <v/>
      </c>
      <c r="T140" s="28" t="str">
        <f t="shared" si="53"/>
        <v/>
      </c>
      <c r="U140" s="28" t="str">
        <f t="shared" si="53"/>
        <v/>
      </c>
      <c r="V140" s="28" t="str">
        <f t="shared" si="53"/>
        <v/>
      </c>
      <c r="W140" s="28" t="str">
        <f t="shared" si="53"/>
        <v/>
      </c>
      <c r="X140" s="29" t="str">
        <f t="shared" si="53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51"/>
        <v/>
      </c>
      <c r="M141" s="19" t="str">
        <f t="shared" si="47"/>
        <v/>
      </c>
      <c r="N141" s="19" t="str">
        <f t="shared" si="44"/>
        <v/>
      </c>
      <c r="O141" s="19" t="str">
        <f t="shared" si="48"/>
        <v/>
      </c>
      <c r="P141" s="19" t="str">
        <f t="shared" si="49"/>
        <v/>
      </c>
      <c r="Q141" s="19" t="str">
        <f t="shared" si="50"/>
        <v/>
      </c>
      <c r="R141" s="19" t="str">
        <f t="shared" si="45"/>
        <v/>
      </c>
      <c r="S141" s="27" t="str">
        <f t="shared" si="53"/>
        <v/>
      </c>
      <c r="T141" s="28" t="str">
        <f t="shared" si="53"/>
        <v/>
      </c>
      <c r="U141" s="28" t="str">
        <f t="shared" si="53"/>
        <v/>
      </c>
      <c r="V141" s="28" t="str">
        <f t="shared" si="53"/>
        <v/>
      </c>
      <c r="W141" s="28" t="str">
        <f t="shared" si="53"/>
        <v/>
      </c>
      <c r="X141" s="29" t="str">
        <f t="shared" si="53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51"/>
        <v/>
      </c>
      <c r="M142" s="19" t="str">
        <f t="shared" si="47"/>
        <v/>
      </c>
      <c r="N142" s="19" t="str">
        <f t="shared" si="44"/>
        <v/>
      </c>
      <c r="O142" s="19" t="str">
        <f t="shared" si="48"/>
        <v/>
      </c>
      <c r="P142" s="19" t="str">
        <f t="shared" si="49"/>
        <v/>
      </c>
      <c r="Q142" s="19" t="str">
        <f t="shared" si="50"/>
        <v/>
      </c>
      <c r="R142" s="19" t="str">
        <f t="shared" si="45"/>
        <v/>
      </c>
      <c r="S142" s="27" t="str">
        <f t="shared" si="53"/>
        <v/>
      </c>
      <c r="T142" s="28" t="str">
        <f t="shared" si="53"/>
        <v/>
      </c>
      <c r="U142" s="28" t="str">
        <f t="shared" si="53"/>
        <v/>
      </c>
      <c r="V142" s="28" t="str">
        <f t="shared" si="53"/>
        <v/>
      </c>
      <c r="W142" s="28" t="str">
        <f t="shared" si="53"/>
        <v/>
      </c>
      <c r="X142" s="29" t="str">
        <f t="shared" si="53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51"/>
        <v/>
      </c>
      <c r="M143" s="19" t="str">
        <f t="shared" si="47"/>
        <v/>
      </c>
      <c r="N143" s="19" t="str">
        <f t="shared" si="44"/>
        <v/>
      </c>
      <c r="O143" s="19" t="str">
        <f t="shared" si="48"/>
        <v/>
      </c>
      <c r="P143" s="19" t="str">
        <f t="shared" si="49"/>
        <v/>
      </c>
      <c r="Q143" s="19" t="str">
        <f t="shared" si="50"/>
        <v/>
      </c>
      <c r="R143" s="19" t="str">
        <f t="shared" si="45"/>
        <v/>
      </c>
      <c r="S143" s="27" t="str">
        <f t="shared" si="53"/>
        <v/>
      </c>
      <c r="T143" s="28" t="str">
        <f t="shared" si="53"/>
        <v/>
      </c>
      <c r="U143" s="28" t="str">
        <f t="shared" si="53"/>
        <v/>
      </c>
      <c r="V143" s="28" t="str">
        <f t="shared" si="53"/>
        <v/>
      </c>
      <c r="W143" s="28" t="str">
        <f t="shared" si="53"/>
        <v/>
      </c>
      <c r="X143" s="29" t="str">
        <f t="shared" si="53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51"/>
        <v/>
      </c>
      <c r="M144" s="19" t="str">
        <f t="shared" si="47"/>
        <v/>
      </c>
      <c r="N144" s="19" t="str">
        <f t="shared" si="44"/>
        <v/>
      </c>
      <c r="O144" s="19" t="str">
        <f t="shared" si="48"/>
        <v/>
      </c>
      <c r="P144" s="19" t="str">
        <f t="shared" si="49"/>
        <v/>
      </c>
      <c r="Q144" s="19" t="str">
        <f t="shared" si="50"/>
        <v/>
      </c>
      <c r="R144" s="19" t="str">
        <f t="shared" si="45"/>
        <v/>
      </c>
      <c r="S144" s="27" t="str">
        <f t="shared" si="53"/>
        <v/>
      </c>
      <c r="T144" s="28" t="str">
        <f t="shared" si="53"/>
        <v/>
      </c>
      <c r="U144" s="28" t="str">
        <f t="shared" si="53"/>
        <v/>
      </c>
      <c r="V144" s="28" t="str">
        <f t="shared" si="53"/>
        <v/>
      </c>
      <c r="W144" s="28" t="str">
        <f t="shared" si="53"/>
        <v/>
      </c>
      <c r="X144" s="29" t="str">
        <f t="shared" si="53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1"/>
        <v/>
      </c>
      <c r="M145" s="19" t="str">
        <f t="shared" si="47"/>
        <v/>
      </c>
      <c r="N145" s="19" t="str">
        <f t="shared" si="44"/>
        <v/>
      </c>
      <c r="O145" s="19" t="str">
        <f t="shared" si="48"/>
        <v/>
      </c>
      <c r="P145" s="19" t="str">
        <f t="shared" si="49"/>
        <v/>
      </c>
      <c r="Q145" s="19" t="str">
        <f t="shared" si="50"/>
        <v/>
      </c>
      <c r="R145" s="19" t="str">
        <f t="shared" si="45"/>
        <v/>
      </c>
      <c r="S145" s="27" t="str">
        <f t="shared" ref="S145:X153" si="54">IF(C145="","",((C145-C144)*1000)/($B145-$B144))</f>
        <v/>
      </c>
      <c r="T145" s="28" t="str">
        <f t="shared" si="54"/>
        <v/>
      </c>
      <c r="U145" s="28" t="str">
        <f t="shared" si="54"/>
        <v/>
      </c>
      <c r="V145" s="28" t="str">
        <f t="shared" si="54"/>
        <v/>
      </c>
      <c r="W145" s="28" t="str">
        <f t="shared" si="54"/>
        <v/>
      </c>
      <c r="X145" s="29" t="str">
        <f t="shared" si="5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1"/>
        <v/>
      </c>
      <c r="M146" s="19" t="str">
        <f t="shared" si="47"/>
        <v/>
      </c>
      <c r="N146" s="19" t="str">
        <f t="shared" ref="N146:N153" si="55">IF(ISBLANK(E146),"",(E146-E$17)*1000)</f>
        <v/>
      </c>
      <c r="O146" s="19" t="str">
        <f t="shared" si="48"/>
        <v/>
      </c>
      <c r="P146" s="19" t="str">
        <f t="shared" si="49"/>
        <v/>
      </c>
      <c r="Q146" s="19" t="str">
        <f t="shared" si="50"/>
        <v/>
      </c>
      <c r="R146" s="19" t="str">
        <f t="shared" ref="R146:R153" si="56">IF(ISBLANK(I146),"",(I146-I$17)*1000)</f>
        <v/>
      </c>
      <c r="S146" s="27" t="str">
        <f t="shared" si="54"/>
        <v/>
      </c>
      <c r="T146" s="28" t="str">
        <f t="shared" si="54"/>
        <v/>
      </c>
      <c r="U146" s="28" t="str">
        <f t="shared" si="54"/>
        <v/>
      </c>
      <c r="V146" s="28" t="str">
        <f t="shared" si="54"/>
        <v/>
      </c>
      <c r="W146" s="28" t="str">
        <f t="shared" si="54"/>
        <v/>
      </c>
      <c r="X146" s="29" t="str">
        <f t="shared" si="5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1"/>
        <v/>
      </c>
      <c r="M147" s="19" t="str">
        <f t="shared" si="47"/>
        <v/>
      </c>
      <c r="N147" s="19" t="str">
        <f t="shared" si="55"/>
        <v/>
      </c>
      <c r="O147" s="19" t="str">
        <f t="shared" si="48"/>
        <v/>
      </c>
      <c r="P147" s="19" t="str">
        <f t="shared" si="49"/>
        <v/>
      </c>
      <c r="Q147" s="19" t="str">
        <f t="shared" si="50"/>
        <v/>
      </c>
      <c r="R147" s="19" t="str">
        <f t="shared" si="56"/>
        <v/>
      </c>
      <c r="S147" s="27" t="str">
        <f t="shared" si="54"/>
        <v/>
      </c>
      <c r="T147" s="28" t="str">
        <f t="shared" si="54"/>
        <v/>
      </c>
      <c r="U147" s="28" t="str">
        <f t="shared" si="54"/>
        <v/>
      </c>
      <c r="V147" s="28" t="str">
        <f t="shared" si="54"/>
        <v/>
      </c>
      <c r="W147" s="28" t="str">
        <f t="shared" si="54"/>
        <v/>
      </c>
      <c r="X147" s="29" t="str">
        <f t="shared" si="5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1"/>
        <v/>
      </c>
      <c r="M148" s="19" t="str">
        <f t="shared" si="47"/>
        <v/>
      </c>
      <c r="N148" s="19" t="str">
        <f t="shared" si="55"/>
        <v/>
      </c>
      <c r="O148" s="19" t="str">
        <f t="shared" si="48"/>
        <v/>
      </c>
      <c r="P148" s="19" t="str">
        <f t="shared" si="49"/>
        <v/>
      </c>
      <c r="Q148" s="19" t="str">
        <f t="shared" si="50"/>
        <v/>
      </c>
      <c r="R148" s="19" t="str">
        <f t="shared" si="56"/>
        <v/>
      </c>
      <c r="S148" s="27" t="str">
        <f t="shared" si="54"/>
        <v/>
      </c>
      <c r="T148" s="28" t="str">
        <f t="shared" si="54"/>
        <v/>
      </c>
      <c r="U148" s="28" t="str">
        <f t="shared" si="54"/>
        <v/>
      </c>
      <c r="V148" s="28" t="str">
        <f t="shared" si="54"/>
        <v/>
      </c>
      <c r="W148" s="28" t="str">
        <f t="shared" si="54"/>
        <v/>
      </c>
      <c r="X148" s="29" t="str">
        <f t="shared" si="5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1"/>
        <v/>
      </c>
      <c r="M149" s="19" t="str">
        <f t="shared" si="47"/>
        <v/>
      </c>
      <c r="N149" s="19" t="str">
        <f t="shared" si="55"/>
        <v/>
      </c>
      <c r="O149" s="19" t="str">
        <f t="shared" si="48"/>
        <v/>
      </c>
      <c r="P149" s="19" t="str">
        <f t="shared" si="49"/>
        <v/>
      </c>
      <c r="Q149" s="19" t="str">
        <f t="shared" si="50"/>
        <v/>
      </c>
      <c r="R149" s="19" t="str">
        <f t="shared" si="56"/>
        <v/>
      </c>
      <c r="S149" s="27" t="str">
        <f t="shared" si="54"/>
        <v/>
      </c>
      <c r="T149" s="28" t="str">
        <f t="shared" si="54"/>
        <v/>
      </c>
      <c r="U149" s="28" t="str">
        <f t="shared" si="54"/>
        <v/>
      </c>
      <c r="V149" s="28" t="str">
        <f t="shared" si="54"/>
        <v/>
      </c>
      <c r="W149" s="28" t="str">
        <f t="shared" si="54"/>
        <v/>
      </c>
      <c r="X149" s="29" t="str">
        <f t="shared" si="5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1"/>
        <v/>
      </c>
      <c r="M150" s="19" t="str">
        <f t="shared" si="47"/>
        <v/>
      </c>
      <c r="N150" s="19" t="str">
        <f t="shared" si="55"/>
        <v/>
      </c>
      <c r="O150" s="19" t="str">
        <f t="shared" si="48"/>
        <v/>
      </c>
      <c r="P150" s="19" t="str">
        <f t="shared" si="49"/>
        <v/>
      </c>
      <c r="Q150" s="19" t="str">
        <f t="shared" si="50"/>
        <v/>
      </c>
      <c r="R150" s="19" t="str">
        <f t="shared" si="56"/>
        <v/>
      </c>
      <c r="S150" s="27" t="str">
        <f t="shared" si="54"/>
        <v/>
      </c>
      <c r="T150" s="28" t="str">
        <f t="shared" si="54"/>
        <v/>
      </c>
      <c r="U150" s="28" t="str">
        <f t="shared" si="54"/>
        <v/>
      </c>
      <c r="V150" s="28" t="str">
        <f t="shared" si="54"/>
        <v/>
      </c>
      <c r="W150" s="28" t="str">
        <f t="shared" si="54"/>
        <v/>
      </c>
      <c r="X150" s="29" t="str">
        <f t="shared" si="5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1"/>
        <v/>
      </c>
      <c r="M151" s="19" t="str">
        <f t="shared" si="47"/>
        <v/>
      </c>
      <c r="N151" s="19" t="str">
        <f t="shared" si="55"/>
        <v/>
      </c>
      <c r="O151" s="19" t="str">
        <f t="shared" si="48"/>
        <v/>
      </c>
      <c r="P151" s="19" t="str">
        <f t="shared" si="49"/>
        <v/>
      </c>
      <c r="Q151" s="19" t="str">
        <f t="shared" si="50"/>
        <v/>
      </c>
      <c r="R151" s="19" t="str">
        <f t="shared" si="56"/>
        <v/>
      </c>
      <c r="S151" s="27" t="str">
        <f t="shared" si="54"/>
        <v/>
      </c>
      <c r="T151" s="28" t="str">
        <f t="shared" si="54"/>
        <v/>
      </c>
      <c r="U151" s="28" t="str">
        <f t="shared" si="54"/>
        <v/>
      </c>
      <c r="V151" s="28" t="str">
        <f t="shared" si="54"/>
        <v/>
      </c>
      <c r="W151" s="28" t="str">
        <f t="shared" si="54"/>
        <v/>
      </c>
      <c r="X151" s="29" t="str">
        <f t="shared" si="5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1"/>
        <v/>
      </c>
      <c r="M152" s="19" t="str">
        <f t="shared" si="47"/>
        <v/>
      </c>
      <c r="N152" s="19" t="str">
        <f t="shared" si="55"/>
        <v/>
      </c>
      <c r="O152" s="19" t="str">
        <f t="shared" si="48"/>
        <v/>
      </c>
      <c r="P152" s="19" t="str">
        <f t="shared" si="49"/>
        <v/>
      </c>
      <c r="Q152" s="19" t="str">
        <f t="shared" si="50"/>
        <v/>
      </c>
      <c r="R152" s="19" t="str">
        <f t="shared" si="56"/>
        <v/>
      </c>
      <c r="S152" s="27" t="str">
        <f t="shared" si="54"/>
        <v/>
      </c>
      <c r="T152" s="28" t="str">
        <f t="shared" si="54"/>
        <v/>
      </c>
      <c r="U152" s="28" t="str">
        <f t="shared" si="54"/>
        <v/>
      </c>
      <c r="V152" s="28" t="str">
        <f t="shared" si="54"/>
        <v/>
      </c>
      <c r="W152" s="28" t="str">
        <f t="shared" si="54"/>
        <v/>
      </c>
      <c r="X152" s="29" t="str">
        <f t="shared" si="5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1"/>
        <v/>
      </c>
      <c r="M153" s="19" t="str">
        <f t="shared" si="47"/>
        <v/>
      </c>
      <c r="N153" s="19" t="str">
        <f t="shared" si="55"/>
        <v/>
      </c>
      <c r="O153" s="19" t="str">
        <f t="shared" si="48"/>
        <v/>
      </c>
      <c r="P153" s="19" t="str">
        <f t="shared" si="49"/>
        <v/>
      </c>
      <c r="Q153" s="19" t="str">
        <f t="shared" si="50"/>
        <v/>
      </c>
      <c r="R153" s="19" t="str">
        <f t="shared" si="56"/>
        <v/>
      </c>
      <c r="S153" s="27" t="str">
        <f t="shared" si="54"/>
        <v/>
      </c>
      <c r="T153" s="28" t="str">
        <f t="shared" si="54"/>
        <v/>
      </c>
      <c r="U153" s="28" t="str">
        <f t="shared" si="54"/>
        <v/>
      </c>
      <c r="V153" s="28" t="str">
        <f t="shared" si="54"/>
        <v/>
      </c>
      <c r="W153" s="28" t="str">
        <f t="shared" si="54"/>
        <v/>
      </c>
      <c r="X153" s="29" t="str">
        <f t="shared" si="54"/>
        <v/>
      </c>
      <c r="Y153" s="24"/>
    </row>
  </sheetData>
  <sheetProtection selectLockedCells="1"/>
  <mergeCells count="38"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J6:Q6"/>
    <mergeCell ref="R6:V6"/>
    <mergeCell ref="W6:Y6"/>
    <mergeCell ref="E7:I7"/>
    <mergeCell ref="J7:Q7"/>
    <mergeCell ref="R7:V7"/>
    <mergeCell ref="W7:Y7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  <ignoredErrors>
    <ignoredError sqref="M17:N17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17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24" activePane="bottomLeft" state="frozen"/>
      <selection activeCell="I28" sqref="I28"/>
      <selection pane="bottomLeft" activeCell="I28" sqref="I2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TZ-115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89" t="s">
        <v>58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42391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88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42396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 t="s">
        <v>59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2189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2447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60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4">
        <v>42397</v>
      </c>
      <c r="C16" s="35">
        <v>12.555</v>
      </c>
      <c r="D16" s="36">
        <v>8.0709999999999997</v>
      </c>
      <c r="E16" s="36">
        <v>7.5350000000000001</v>
      </c>
      <c r="F16" s="37"/>
      <c r="G16" s="37"/>
      <c r="H16" s="37"/>
      <c r="I16" s="38">
        <v>116.069</v>
      </c>
      <c r="J16" s="39">
        <v>2462</v>
      </c>
      <c r="K16" s="18">
        <f t="shared" ref="K16:K19" si="0">IF(ISBLANK(J16),"",(J16-$J$8))</f>
        <v>15</v>
      </c>
      <c r="L16" s="19">
        <f t="shared" ref="L16:R31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42398</v>
      </c>
      <c r="C17" s="25">
        <v>12.553000000000001</v>
      </c>
      <c r="D17" s="26">
        <v>8.07</v>
      </c>
      <c r="E17" s="26">
        <v>7.5339999999999998</v>
      </c>
      <c r="F17" s="16"/>
      <c r="G17" s="16"/>
      <c r="H17" s="16"/>
      <c r="I17" s="17">
        <v>116.06699999999999</v>
      </c>
      <c r="J17" s="32">
        <v>2466</v>
      </c>
      <c r="K17" s="18">
        <f t="shared" si="0"/>
        <v>19</v>
      </c>
      <c r="L17" s="19">
        <f t="shared" si="1"/>
        <v>-1.9999999999988916</v>
      </c>
      <c r="M17" s="19">
        <f>IF(ISBLANK(D17),"",(D17-D$16)*1000)</f>
        <v>-0.99999999999944578</v>
      </c>
      <c r="N17" s="19">
        <f>IF(ISBLANK(E17),"",(E17-E$16)*1000)</f>
        <v>-1.000000000000334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>IF(ISBLANK(I17),"",(I17-I$16)*1000)</f>
        <v>-2.0000000000095497</v>
      </c>
      <c r="S17" s="27">
        <f t="shared" ref="S17:X32" si="3">IF(C17="","",((C17-C16)*1000)/($B17-$B16))</f>
        <v>-1.9999999999988916</v>
      </c>
      <c r="T17" s="28"/>
      <c r="U17" s="28"/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42401</v>
      </c>
      <c r="C18" s="25">
        <v>12.554</v>
      </c>
      <c r="D18" s="26">
        <v>8.07</v>
      </c>
      <c r="E18" s="26">
        <v>7.5339999999999998</v>
      </c>
      <c r="F18" s="16"/>
      <c r="G18" s="16"/>
      <c r="H18" s="16"/>
      <c r="I18" s="17">
        <v>116.06699999999999</v>
      </c>
      <c r="J18" s="58">
        <v>2471</v>
      </c>
      <c r="K18" s="18">
        <f t="shared" si="0"/>
        <v>24</v>
      </c>
      <c r="L18" s="19">
        <f t="shared" si="1"/>
        <v>-0.99999999999944578</v>
      </c>
      <c r="M18" s="19">
        <f t="shared" si="1"/>
        <v>-0.99999999999944578</v>
      </c>
      <c r="N18" s="19">
        <f t="shared" si="1"/>
        <v>-1.000000000000334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-2.0000000000095497</v>
      </c>
      <c r="S18" s="27">
        <f t="shared" si="3"/>
        <v>0.33333333333314857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42402</v>
      </c>
      <c r="C19" s="25">
        <v>12.554</v>
      </c>
      <c r="D19" s="26">
        <v>8.07</v>
      </c>
      <c r="E19" s="26">
        <v>7.5339999999999998</v>
      </c>
      <c r="F19" s="16"/>
      <c r="G19" s="16"/>
      <c r="H19" s="16"/>
      <c r="I19" s="17">
        <v>116.06699999999999</v>
      </c>
      <c r="J19" s="58">
        <v>2474</v>
      </c>
      <c r="K19" s="18">
        <f t="shared" si="0"/>
        <v>27</v>
      </c>
      <c r="L19" s="19">
        <f t="shared" si="1"/>
        <v>-0.99999999999944578</v>
      </c>
      <c r="M19" s="19">
        <f t="shared" si="1"/>
        <v>-0.99999999999944578</v>
      </c>
      <c r="N19" s="19">
        <f t="shared" si="1"/>
        <v>-1.000000000000334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-2.0000000000095497</v>
      </c>
      <c r="S19" s="27">
        <f t="shared" si="3"/>
        <v>0</v>
      </c>
      <c r="T19" s="28">
        <f t="shared" si="3"/>
        <v>0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42403</v>
      </c>
      <c r="C20" s="25">
        <v>12.553000000000001</v>
      </c>
      <c r="D20" s="26">
        <v>8.0690000000000008</v>
      </c>
      <c r="E20" s="26">
        <v>7.5339999999999998</v>
      </c>
      <c r="F20" s="16"/>
      <c r="G20" s="16"/>
      <c r="H20" s="16"/>
      <c r="I20" s="17">
        <v>116.066</v>
      </c>
      <c r="J20" s="58">
        <v>2479</v>
      </c>
      <c r="K20" s="18">
        <f t="shared" ref="K20" si="4">IF(ISBLANK(J20),"",(J20-$J$8))</f>
        <v>32</v>
      </c>
      <c r="L20" s="19">
        <f t="shared" si="1"/>
        <v>-1.9999999999988916</v>
      </c>
      <c r="M20" s="19">
        <f t="shared" si="1"/>
        <v>-1.9999999999988916</v>
      </c>
      <c r="N20" s="19">
        <f t="shared" si="1"/>
        <v>-1.000000000000334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-3.0000000000001137</v>
      </c>
      <c r="S20" s="27">
        <f t="shared" si="3"/>
        <v>-0.99999999999944578</v>
      </c>
      <c r="T20" s="28">
        <f t="shared" si="3"/>
        <v>-0.99999999999944578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42404</v>
      </c>
      <c r="C21" s="25">
        <v>12.553000000000001</v>
      </c>
      <c r="D21" s="26">
        <v>8.0690000000000008</v>
      </c>
      <c r="E21" s="26">
        <v>7.5339999999999998</v>
      </c>
      <c r="F21" s="16"/>
      <c r="G21" s="16"/>
      <c r="H21" s="16"/>
      <c r="I21" s="17">
        <v>116.066</v>
      </c>
      <c r="J21" s="58">
        <v>2484</v>
      </c>
      <c r="K21" s="18">
        <f t="shared" ref="K21" si="5">IF(ISBLANK(J21),"",(J21-$J$8))</f>
        <v>37</v>
      </c>
      <c r="L21" s="19">
        <f t="shared" si="1"/>
        <v>-1.9999999999988916</v>
      </c>
      <c r="M21" s="19">
        <f t="shared" si="1"/>
        <v>-1.9999999999988916</v>
      </c>
      <c r="N21" s="19">
        <f t="shared" si="1"/>
        <v>-1.000000000000334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-3.0000000000001137</v>
      </c>
      <c r="S21" s="27">
        <f t="shared" si="3"/>
        <v>0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42405</v>
      </c>
      <c r="C22" s="25">
        <v>12.553000000000001</v>
      </c>
      <c r="D22" s="26">
        <v>8.0690000000000008</v>
      </c>
      <c r="E22" s="26">
        <v>7.5330000000000004</v>
      </c>
      <c r="F22" s="16"/>
      <c r="G22" s="16"/>
      <c r="H22" s="16"/>
      <c r="I22" s="17">
        <v>116.065</v>
      </c>
      <c r="J22" s="58">
        <v>2488</v>
      </c>
      <c r="K22" s="18">
        <f t="shared" ref="K22" si="6">IF(ISBLANK(J22),"",(J22-$J$8))</f>
        <v>41</v>
      </c>
      <c r="L22" s="19">
        <f t="shared" si="1"/>
        <v>-1.9999999999988916</v>
      </c>
      <c r="M22" s="19">
        <f t="shared" si="1"/>
        <v>-1.9999999999988916</v>
      </c>
      <c r="N22" s="19">
        <f t="shared" si="1"/>
        <v>-1.9999999999997797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-4.0000000000048885</v>
      </c>
      <c r="S22" s="27">
        <f t="shared" si="3"/>
        <v>0</v>
      </c>
      <c r="T22" s="28">
        <f t="shared" si="3"/>
        <v>0</v>
      </c>
      <c r="U22" s="28">
        <f t="shared" si="3"/>
        <v>-0.99999999999944578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42408</v>
      </c>
      <c r="C23" s="25">
        <v>12.552</v>
      </c>
      <c r="D23" s="26">
        <v>8.0679999999999996</v>
      </c>
      <c r="E23" s="26">
        <v>7.5339999999999998</v>
      </c>
      <c r="F23" s="16"/>
      <c r="G23" s="16"/>
      <c r="H23" s="16"/>
      <c r="I23" s="17">
        <v>116.066</v>
      </c>
      <c r="J23" s="58">
        <v>2493</v>
      </c>
      <c r="K23" s="18">
        <f t="shared" ref="K23" si="7">IF(ISBLANK(J23),"",(J23-$J$8))</f>
        <v>46</v>
      </c>
      <c r="L23" s="19">
        <f t="shared" si="1"/>
        <v>-3.0000000000001137</v>
      </c>
      <c r="M23" s="19">
        <f t="shared" si="1"/>
        <v>-3.0000000000001137</v>
      </c>
      <c r="N23" s="19">
        <f t="shared" si="1"/>
        <v>-1.000000000000334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-3.0000000000001137</v>
      </c>
      <c r="S23" s="27">
        <f t="shared" si="3"/>
        <v>-0.33333333333374071</v>
      </c>
      <c r="T23" s="28">
        <f t="shared" si="3"/>
        <v>-0.33333333333374071</v>
      </c>
      <c r="U23" s="28">
        <f t="shared" si="3"/>
        <v>0.33333333333314857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42409</v>
      </c>
      <c r="C24" s="25">
        <v>12.552</v>
      </c>
      <c r="D24" s="26">
        <v>8.0690000000000008</v>
      </c>
      <c r="E24" s="26">
        <v>7.5339999999999998</v>
      </c>
      <c r="F24" s="16"/>
      <c r="G24" s="16"/>
      <c r="H24" s="16"/>
      <c r="I24" s="17">
        <v>116.066</v>
      </c>
      <c r="J24" s="58">
        <v>2496</v>
      </c>
      <c r="K24" s="18">
        <f t="shared" ref="K24" si="8">IF(ISBLANK(J24),"",(J24-$J$8))</f>
        <v>49</v>
      </c>
      <c r="L24" s="19">
        <f t="shared" si="1"/>
        <v>-3.0000000000001137</v>
      </c>
      <c r="M24" s="19">
        <f t="shared" si="1"/>
        <v>-1.9999999999988916</v>
      </c>
      <c r="N24" s="19">
        <f t="shared" si="1"/>
        <v>-1.000000000000334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-3.0000000000001137</v>
      </c>
      <c r="S24" s="27">
        <f t="shared" si="3"/>
        <v>0</v>
      </c>
      <c r="T24" s="28">
        <f t="shared" si="3"/>
        <v>1.0000000000012221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42410</v>
      </c>
      <c r="C25" s="25">
        <v>12.553000000000001</v>
      </c>
      <c r="D25" s="26">
        <v>8.0690000000000008</v>
      </c>
      <c r="E25" s="26">
        <v>7.5339999999999998</v>
      </c>
      <c r="F25" s="16"/>
      <c r="G25" s="16"/>
      <c r="H25" s="16"/>
      <c r="I25" s="17">
        <v>116.06699999999999</v>
      </c>
      <c r="J25" s="58">
        <v>2500</v>
      </c>
      <c r="K25" s="18">
        <f t="shared" ref="K25" si="9">IF(ISBLANK(J25),"",(J25-$J$8))</f>
        <v>53</v>
      </c>
      <c r="L25" s="19">
        <f t="shared" si="1"/>
        <v>-1.9999999999988916</v>
      </c>
      <c r="M25" s="19">
        <f t="shared" si="1"/>
        <v>-1.9999999999988916</v>
      </c>
      <c r="N25" s="19">
        <f t="shared" si="1"/>
        <v>-1.000000000000334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-2.0000000000095497</v>
      </c>
      <c r="S25" s="27">
        <f t="shared" si="3"/>
        <v>1.0000000000012221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42411</v>
      </c>
      <c r="C26" s="25">
        <v>12.552</v>
      </c>
      <c r="D26" s="26">
        <v>8.0690000000000008</v>
      </c>
      <c r="E26" s="26">
        <v>7.5339999999999998</v>
      </c>
      <c r="F26" s="16"/>
      <c r="G26" s="16"/>
      <c r="H26" s="16"/>
      <c r="I26" s="17">
        <v>116.066</v>
      </c>
      <c r="J26" s="58">
        <v>2504</v>
      </c>
      <c r="K26" s="18">
        <f t="shared" ref="K26:K31" si="10">IF(ISBLANK(J26),"",(J26-$J$8))</f>
        <v>57</v>
      </c>
      <c r="L26" s="19">
        <f t="shared" si="1"/>
        <v>-3.0000000000001137</v>
      </c>
      <c r="M26" s="19">
        <f t="shared" si="1"/>
        <v>-1.9999999999988916</v>
      </c>
      <c r="N26" s="19">
        <f t="shared" si="1"/>
        <v>-1.000000000000334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-3.0000000000001137</v>
      </c>
      <c r="S26" s="27">
        <f t="shared" si="3"/>
        <v>-1.0000000000012221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42417</v>
      </c>
      <c r="C27" s="25">
        <v>12.553000000000001</v>
      </c>
      <c r="D27" s="26">
        <v>8.0690000000000008</v>
      </c>
      <c r="E27" s="26">
        <v>7.5339999999999998</v>
      </c>
      <c r="F27" s="16"/>
      <c r="G27" s="16"/>
      <c r="H27" s="16"/>
      <c r="I27" s="17">
        <v>116.066</v>
      </c>
      <c r="J27" s="58">
        <v>2521</v>
      </c>
      <c r="K27" s="18">
        <f t="shared" si="10"/>
        <v>74</v>
      </c>
      <c r="L27" s="19">
        <f t="shared" si="1"/>
        <v>-1.9999999999988916</v>
      </c>
      <c r="M27" s="19">
        <f t="shared" si="1"/>
        <v>-1.9999999999988916</v>
      </c>
      <c r="N27" s="19">
        <f t="shared" si="1"/>
        <v>-1.000000000000334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-3.0000000000001137</v>
      </c>
      <c r="S27" s="27">
        <f t="shared" si="3"/>
        <v>0.16666666666687036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42424</v>
      </c>
      <c r="C28" s="25">
        <v>12.552</v>
      </c>
      <c r="D28" s="26">
        <v>8.0679999999999996</v>
      </c>
      <c r="E28" s="26">
        <v>7.5330000000000004</v>
      </c>
      <c r="F28" s="16"/>
      <c r="G28" s="16"/>
      <c r="H28" s="16"/>
      <c r="I28" s="17">
        <v>116.065</v>
      </c>
      <c r="J28" s="58">
        <v>2540.5</v>
      </c>
      <c r="K28" s="18">
        <f t="shared" si="10"/>
        <v>93.5</v>
      </c>
      <c r="L28" s="19">
        <f t="shared" si="1"/>
        <v>-3.0000000000001137</v>
      </c>
      <c r="M28" s="19">
        <f t="shared" si="1"/>
        <v>-3.0000000000001137</v>
      </c>
      <c r="N28" s="19">
        <f t="shared" si="1"/>
        <v>-1.9999999999997797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-0.14285714285731746</v>
      </c>
      <c r="T28" s="28">
        <f t="shared" si="3"/>
        <v>-0.14285714285731746</v>
      </c>
      <c r="U28" s="28">
        <f t="shared" si="3"/>
        <v>-0.14285714285706369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42430</v>
      </c>
      <c r="C29" s="25">
        <v>12.552</v>
      </c>
      <c r="D29" s="26">
        <v>8.0679999999999996</v>
      </c>
      <c r="E29" s="26">
        <v>7.5339999999999998</v>
      </c>
      <c r="F29" s="16"/>
      <c r="G29" s="16"/>
      <c r="H29" s="16"/>
      <c r="I29" s="17">
        <v>116.065</v>
      </c>
      <c r="J29" s="58">
        <v>2540.5</v>
      </c>
      <c r="K29" s="18">
        <f t="shared" si="10"/>
        <v>93.5</v>
      </c>
      <c r="L29" s="19">
        <f t="shared" si="1"/>
        <v>-3.0000000000001137</v>
      </c>
      <c r="M29" s="19">
        <f t="shared" si="1"/>
        <v>-3.0000000000001137</v>
      </c>
      <c r="N29" s="19">
        <f t="shared" si="1"/>
        <v>-1.000000000000334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0.16666666666657429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42458</v>
      </c>
      <c r="C30" s="25">
        <v>12.55</v>
      </c>
      <c r="D30" s="71">
        <v>8.0679999999999996</v>
      </c>
      <c r="E30" s="71">
        <v>7.532</v>
      </c>
      <c r="F30" s="16"/>
      <c r="G30" s="16"/>
      <c r="H30" s="16"/>
      <c r="I30" s="72">
        <v>116.065</v>
      </c>
      <c r="J30" s="58">
        <v>2571</v>
      </c>
      <c r="K30" s="18">
        <f t="shared" si="10"/>
        <v>124</v>
      </c>
      <c r="L30" s="19">
        <f t="shared" si="1"/>
        <v>-4.9999999999990052</v>
      </c>
      <c r="M30" s="19">
        <f t="shared" si="1"/>
        <v>-3.0000000000001137</v>
      </c>
      <c r="N30" s="19">
        <f t="shared" si="1"/>
        <v>-3.0000000000001137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-4.0000000000048885</v>
      </c>
      <c r="S30" s="27">
        <f t="shared" si="3"/>
        <v>-7.1428571428531845E-2</v>
      </c>
      <c r="T30" s="28">
        <f t="shared" si="3"/>
        <v>0</v>
      </c>
      <c r="U30" s="28">
        <f t="shared" si="3"/>
        <v>-7.1428571428563556E-2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 t="s">
        <v>63</v>
      </c>
    </row>
    <row r="31" spans="2:25" ht="15" customHeight="1" x14ac:dyDescent="0.2">
      <c r="B31" s="31">
        <v>42506</v>
      </c>
      <c r="C31" s="73">
        <v>12.55</v>
      </c>
      <c r="D31" s="71">
        <v>8.0679999999999996</v>
      </c>
      <c r="E31" s="26">
        <v>7.532</v>
      </c>
      <c r="F31" s="16"/>
      <c r="G31" s="16"/>
      <c r="H31" s="16"/>
      <c r="I31" s="57">
        <v>116.06100000000001</v>
      </c>
      <c r="J31" s="58">
        <v>2450</v>
      </c>
      <c r="K31" s="18">
        <f t="shared" si="10"/>
        <v>3</v>
      </c>
      <c r="L31" s="19">
        <f t="shared" si="1"/>
        <v>-4.9999999999990052</v>
      </c>
      <c r="M31" s="19">
        <f t="shared" si="1"/>
        <v>-3.0000000000001137</v>
      </c>
      <c r="N31" s="19">
        <f t="shared" si="1"/>
        <v>-3.0000000000001137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-7.9999999999955662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42507</v>
      </c>
      <c r="C32" s="73">
        <v>12.55</v>
      </c>
      <c r="D32" s="71">
        <v>8.0679999999999996</v>
      </c>
      <c r="E32" s="71">
        <v>7.532</v>
      </c>
      <c r="F32" s="16"/>
      <c r="G32" s="16"/>
      <c r="H32" s="16"/>
      <c r="I32" s="57">
        <v>116.06100000000001</v>
      </c>
      <c r="J32" s="58">
        <v>2467</v>
      </c>
      <c r="K32" s="18">
        <f t="shared" ref="K32:K35" si="11">IF(ISBLANK(J32),"",(J32-$J$8))</f>
        <v>20</v>
      </c>
      <c r="L32" s="19">
        <f t="shared" ref="L32:R68" si="12">IF(ISBLANK(C32),"",(C32-C$16)*1000)</f>
        <v>-4.9999999999990052</v>
      </c>
      <c r="M32" s="19">
        <f t="shared" si="12"/>
        <v>-3.0000000000001137</v>
      </c>
      <c r="N32" s="19">
        <f t="shared" si="12"/>
        <v>-3.0000000000001137</v>
      </c>
      <c r="O32" s="19" t="str">
        <f t="shared" si="12"/>
        <v/>
      </c>
      <c r="P32" s="19" t="str">
        <f t="shared" si="12"/>
        <v/>
      </c>
      <c r="Q32" s="19" t="str">
        <f t="shared" si="12"/>
        <v/>
      </c>
      <c r="R32" s="19">
        <f t="shared" si="12"/>
        <v>-7.9999999999955662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42508</v>
      </c>
      <c r="C33" s="73">
        <v>12.55</v>
      </c>
      <c r="D33" s="71">
        <v>8.0679999999999996</v>
      </c>
      <c r="E33" s="71">
        <v>7.532</v>
      </c>
      <c r="F33" s="16"/>
      <c r="G33" s="16"/>
      <c r="H33" s="16"/>
      <c r="I33" s="79">
        <v>116.06100000000001</v>
      </c>
      <c r="J33" s="58">
        <v>2467</v>
      </c>
      <c r="K33" s="18">
        <f t="shared" si="11"/>
        <v>20</v>
      </c>
      <c r="L33" s="19">
        <f t="shared" si="12"/>
        <v>-4.9999999999990052</v>
      </c>
      <c r="M33" s="19">
        <f t="shared" si="12"/>
        <v>-3.0000000000001137</v>
      </c>
      <c r="N33" s="19">
        <f t="shared" si="12"/>
        <v>-3.0000000000001137</v>
      </c>
      <c r="O33" s="19" t="str">
        <f t="shared" si="12"/>
        <v/>
      </c>
      <c r="P33" s="19" t="str">
        <f t="shared" si="12"/>
        <v/>
      </c>
      <c r="Q33" s="19" t="str">
        <f t="shared" si="12"/>
        <v/>
      </c>
      <c r="R33" s="19">
        <f t="shared" si="12"/>
        <v>-7.9999999999955662</v>
      </c>
      <c r="S33" s="27">
        <f t="shared" ref="S33:X48" si="13">IF(C33="","",((C33-C32)*1000)/($B33-$B32))</f>
        <v>0</v>
      </c>
      <c r="T33" s="28">
        <f t="shared" si="13"/>
        <v>0</v>
      </c>
      <c r="U33" s="28">
        <f t="shared" si="13"/>
        <v>0</v>
      </c>
      <c r="V33" s="28" t="str">
        <f t="shared" si="13"/>
        <v/>
      </c>
      <c r="W33" s="28" t="str">
        <f t="shared" si="13"/>
        <v/>
      </c>
      <c r="X33" s="29" t="str">
        <f t="shared" si="13"/>
        <v/>
      </c>
      <c r="Y33" s="24"/>
    </row>
    <row r="34" spans="2:25" ht="15" customHeight="1" x14ac:dyDescent="0.2">
      <c r="B34" s="31">
        <v>42509</v>
      </c>
      <c r="C34" s="73">
        <v>12.55</v>
      </c>
      <c r="D34" s="71">
        <v>8.0679999999999996</v>
      </c>
      <c r="E34" s="71">
        <v>7.532</v>
      </c>
      <c r="F34" s="16"/>
      <c r="G34" s="16"/>
      <c r="H34" s="16"/>
      <c r="I34" s="79">
        <v>116.06100000000001</v>
      </c>
      <c r="J34" s="58">
        <v>2479</v>
      </c>
      <c r="K34" s="18">
        <f t="shared" si="11"/>
        <v>32</v>
      </c>
      <c r="L34" s="19">
        <f t="shared" si="12"/>
        <v>-4.9999999999990052</v>
      </c>
      <c r="M34" s="19">
        <f t="shared" si="12"/>
        <v>-3.0000000000001137</v>
      </c>
      <c r="N34" s="19">
        <f t="shared" si="12"/>
        <v>-3.0000000000001137</v>
      </c>
      <c r="O34" s="19" t="str">
        <f t="shared" si="12"/>
        <v/>
      </c>
      <c r="P34" s="19" t="str">
        <f t="shared" si="12"/>
        <v/>
      </c>
      <c r="Q34" s="19" t="str">
        <f t="shared" si="12"/>
        <v/>
      </c>
      <c r="R34" s="19">
        <f t="shared" si="12"/>
        <v>-7.9999999999955662</v>
      </c>
      <c r="S34" s="27">
        <f t="shared" si="13"/>
        <v>0</v>
      </c>
      <c r="T34" s="28">
        <f t="shared" si="13"/>
        <v>0</v>
      </c>
      <c r="U34" s="28">
        <f t="shared" si="13"/>
        <v>0</v>
      </c>
      <c r="V34" s="28" t="str">
        <f t="shared" si="13"/>
        <v/>
      </c>
      <c r="W34" s="28" t="str">
        <f t="shared" si="13"/>
        <v/>
      </c>
      <c r="X34" s="29" t="str">
        <f t="shared" si="13"/>
        <v/>
      </c>
      <c r="Y34" s="24"/>
    </row>
    <row r="35" spans="2:25" ht="15" customHeight="1" x14ac:dyDescent="0.2">
      <c r="B35" s="31">
        <v>42510</v>
      </c>
      <c r="C35" s="73">
        <v>12.55</v>
      </c>
      <c r="D35" s="71">
        <v>8.0679999999999996</v>
      </c>
      <c r="E35" s="71">
        <v>7.532</v>
      </c>
      <c r="F35" s="16"/>
      <c r="G35" s="16"/>
      <c r="H35" s="16"/>
      <c r="I35" s="79">
        <v>116.06100000000001</v>
      </c>
      <c r="J35" s="58">
        <v>2490</v>
      </c>
      <c r="K35" s="18">
        <f t="shared" si="11"/>
        <v>43</v>
      </c>
      <c r="L35" s="19">
        <f t="shared" si="12"/>
        <v>-4.9999999999990052</v>
      </c>
      <c r="M35" s="19">
        <f t="shared" si="12"/>
        <v>-3.0000000000001137</v>
      </c>
      <c r="N35" s="19">
        <f t="shared" si="12"/>
        <v>-3.0000000000001137</v>
      </c>
      <c r="O35" s="19" t="str">
        <f t="shared" si="12"/>
        <v/>
      </c>
      <c r="P35" s="19" t="str">
        <f t="shared" si="12"/>
        <v/>
      </c>
      <c r="Q35" s="19" t="str">
        <f t="shared" si="12"/>
        <v/>
      </c>
      <c r="R35" s="19">
        <f t="shared" si="12"/>
        <v>-7.9999999999955662</v>
      </c>
      <c r="S35" s="27">
        <f t="shared" si="13"/>
        <v>0</v>
      </c>
      <c r="T35" s="28">
        <f t="shared" si="13"/>
        <v>0</v>
      </c>
      <c r="U35" s="28">
        <f t="shared" si="13"/>
        <v>0</v>
      </c>
      <c r="V35" s="28" t="str">
        <f t="shared" si="13"/>
        <v/>
      </c>
      <c r="W35" s="28" t="str">
        <f t="shared" si="13"/>
        <v/>
      </c>
      <c r="X35" s="29" t="str">
        <f t="shared" si="13"/>
        <v/>
      </c>
      <c r="Y35" s="24"/>
    </row>
    <row r="36" spans="2:25" ht="15" customHeight="1" x14ac:dyDescent="0.2">
      <c r="B36" s="31"/>
      <c r="C36" s="25"/>
      <c r="D36" s="26"/>
      <c r="E36" s="26"/>
      <c r="F36" s="47"/>
      <c r="G36" s="47"/>
      <c r="H36" s="47"/>
      <c r="I36" s="57"/>
      <c r="J36" s="58"/>
      <c r="K36" s="18"/>
      <c r="L36" s="19" t="str">
        <f t="shared" si="12"/>
        <v/>
      </c>
      <c r="M36" s="19" t="str">
        <f t="shared" si="12"/>
        <v/>
      </c>
      <c r="N36" s="19" t="str">
        <f t="shared" si="12"/>
        <v/>
      </c>
      <c r="O36" s="19" t="str">
        <f t="shared" si="12"/>
        <v/>
      </c>
      <c r="P36" s="19" t="str">
        <f t="shared" si="12"/>
        <v/>
      </c>
      <c r="Q36" s="19" t="str">
        <f t="shared" si="12"/>
        <v/>
      </c>
      <c r="R36" s="19" t="str">
        <f t="shared" si="12"/>
        <v/>
      </c>
      <c r="S36" s="27" t="str">
        <f t="shared" si="13"/>
        <v/>
      </c>
      <c r="T36" s="28" t="str">
        <f t="shared" si="13"/>
        <v/>
      </c>
      <c r="U36" s="28" t="str">
        <f t="shared" si="13"/>
        <v/>
      </c>
      <c r="V36" s="28" t="str">
        <f t="shared" si="13"/>
        <v/>
      </c>
      <c r="W36" s="28" t="str">
        <f t="shared" si="13"/>
        <v/>
      </c>
      <c r="X36" s="29" t="str">
        <f t="shared" si="13"/>
        <v/>
      </c>
      <c r="Y36" s="24"/>
    </row>
    <row r="37" spans="2:25" ht="15" customHeight="1" x14ac:dyDescent="0.2">
      <c r="B37" s="31"/>
      <c r="C37" s="25"/>
      <c r="D37" s="26"/>
      <c r="E37" s="26"/>
      <c r="F37" s="47"/>
      <c r="G37" s="47"/>
      <c r="H37" s="47"/>
      <c r="I37" s="57"/>
      <c r="J37" s="58"/>
      <c r="K37" s="18"/>
      <c r="L37" s="19" t="str">
        <f t="shared" si="12"/>
        <v/>
      </c>
      <c r="M37" s="19" t="str">
        <f t="shared" si="12"/>
        <v/>
      </c>
      <c r="N37" s="19" t="str">
        <f t="shared" si="12"/>
        <v/>
      </c>
      <c r="O37" s="19" t="str">
        <f t="shared" si="12"/>
        <v/>
      </c>
      <c r="P37" s="19" t="str">
        <f t="shared" si="12"/>
        <v/>
      </c>
      <c r="Q37" s="19" t="str">
        <f t="shared" si="12"/>
        <v/>
      </c>
      <c r="R37" s="19" t="str">
        <f t="shared" si="12"/>
        <v/>
      </c>
      <c r="S37" s="27" t="str">
        <f t="shared" si="13"/>
        <v/>
      </c>
      <c r="T37" s="28" t="str">
        <f t="shared" si="13"/>
        <v/>
      </c>
      <c r="U37" s="28" t="str">
        <f t="shared" si="13"/>
        <v/>
      </c>
      <c r="V37" s="28" t="str">
        <f t="shared" si="13"/>
        <v/>
      </c>
      <c r="W37" s="28" t="str">
        <f t="shared" si="13"/>
        <v/>
      </c>
      <c r="X37" s="29" t="str">
        <f t="shared" si="13"/>
        <v/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18"/>
      <c r="L38" s="19" t="str">
        <f t="shared" si="12"/>
        <v/>
      </c>
      <c r="M38" s="19" t="str">
        <f t="shared" si="12"/>
        <v/>
      </c>
      <c r="N38" s="19" t="str">
        <f t="shared" si="12"/>
        <v/>
      </c>
      <c r="O38" s="19" t="str">
        <f t="shared" si="12"/>
        <v/>
      </c>
      <c r="P38" s="19" t="str">
        <f t="shared" si="12"/>
        <v/>
      </c>
      <c r="Q38" s="19" t="str">
        <f t="shared" si="12"/>
        <v/>
      </c>
      <c r="R38" s="19" t="str">
        <f t="shared" si="12"/>
        <v/>
      </c>
      <c r="S38" s="27" t="str">
        <f t="shared" si="13"/>
        <v/>
      </c>
      <c r="T38" s="28" t="str">
        <f t="shared" si="13"/>
        <v/>
      </c>
      <c r="U38" s="28" t="str">
        <f t="shared" si="13"/>
        <v/>
      </c>
      <c r="V38" s="28" t="str">
        <f t="shared" si="13"/>
        <v/>
      </c>
      <c r="W38" s="28" t="str">
        <f t="shared" si="13"/>
        <v/>
      </c>
      <c r="X38" s="29" t="str">
        <f t="shared" si="13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18"/>
      <c r="L39" s="19" t="str">
        <f t="shared" si="12"/>
        <v/>
      </c>
      <c r="M39" s="19" t="str">
        <f t="shared" si="12"/>
        <v/>
      </c>
      <c r="N39" s="19" t="str">
        <f t="shared" si="12"/>
        <v/>
      </c>
      <c r="O39" s="19" t="str">
        <f t="shared" si="12"/>
        <v/>
      </c>
      <c r="P39" s="19" t="str">
        <f t="shared" si="12"/>
        <v/>
      </c>
      <c r="Q39" s="19" t="str">
        <f t="shared" si="12"/>
        <v/>
      </c>
      <c r="R39" s="19" t="str">
        <f t="shared" si="12"/>
        <v/>
      </c>
      <c r="S39" s="27" t="str">
        <f t="shared" si="13"/>
        <v/>
      </c>
      <c r="T39" s="28" t="str">
        <f t="shared" si="13"/>
        <v/>
      </c>
      <c r="U39" s="28" t="str">
        <f t="shared" si="13"/>
        <v/>
      </c>
      <c r="V39" s="28" t="str">
        <f t="shared" si="13"/>
        <v/>
      </c>
      <c r="W39" s="28" t="str">
        <f t="shared" si="13"/>
        <v/>
      </c>
      <c r="X39" s="29" t="str">
        <f t="shared" si="13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18"/>
      <c r="L40" s="19" t="str">
        <f t="shared" si="12"/>
        <v/>
      </c>
      <c r="M40" s="19" t="str">
        <f t="shared" si="12"/>
        <v/>
      </c>
      <c r="N40" s="19" t="str">
        <f t="shared" si="12"/>
        <v/>
      </c>
      <c r="O40" s="19" t="str">
        <f t="shared" si="12"/>
        <v/>
      </c>
      <c r="P40" s="19" t="str">
        <f t="shared" si="12"/>
        <v/>
      </c>
      <c r="Q40" s="19" t="str">
        <f t="shared" si="12"/>
        <v/>
      </c>
      <c r="R40" s="19" t="str">
        <f t="shared" si="12"/>
        <v/>
      </c>
      <c r="S40" s="27" t="str">
        <f t="shared" si="13"/>
        <v/>
      </c>
      <c r="T40" s="28" t="str">
        <f t="shared" si="13"/>
        <v/>
      </c>
      <c r="U40" s="28" t="str">
        <f t="shared" si="13"/>
        <v/>
      </c>
      <c r="V40" s="28" t="str">
        <f t="shared" si="13"/>
        <v/>
      </c>
      <c r="W40" s="28" t="str">
        <f t="shared" si="13"/>
        <v/>
      </c>
      <c r="X40" s="29" t="str">
        <f t="shared" si="13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/>
      <c r="L41" s="19" t="str">
        <f t="shared" si="12"/>
        <v/>
      </c>
      <c r="M41" s="19" t="str">
        <f t="shared" si="12"/>
        <v/>
      </c>
      <c r="N41" s="19" t="str">
        <f t="shared" si="12"/>
        <v/>
      </c>
      <c r="O41" s="19" t="str">
        <f t="shared" si="12"/>
        <v/>
      </c>
      <c r="P41" s="19" t="str">
        <f t="shared" si="12"/>
        <v/>
      </c>
      <c r="Q41" s="19" t="str">
        <f t="shared" si="12"/>
        <v/>
      </c>
      <c r="R41" s="19" t="str">
        <f t="shared" si="12"/>
        <v/>
      </c>
      <c r="S41" s="27" t="str">
        <f t="shared" si="13"/>
        <v/>
      </c>
      <c r="T41" s="28" t="str">
        <f t="shared" si="13"/>
        <v/>
      </c>
      <c r="U41" s="28" t="str">
        <f t="shared" si="13"/>
        <v/>
      </c>
      <c r="V41" s="28" t="str">
        <f t="shared" si="13"/>
        <v/>
      </c>
      <c r="W41" s="28" t="str">
        <f t="shared" si="13"/>
        <v/>
      </c>
      <c r="X41" s="29" t="str">
        <f t="shared" si="13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/>
      <c r="L42" s="19" t="str">
        <f t="shared" si="12"/>
        <v/>
      </c>
      <c r="M42" s="19" t="str">
        <f t="shared" si="12"/>
        <v/>
      </c>
      <c r="N42" s="19" t="str">
        <f t="shared" si="12"/>
        <v/>
      </c>
      <c r="O42" s="19" t="str">
        <f t="shared" si="12"/>
        <v/>
      </c>
      <c r="P42" s="19" t="str">
        <f t="shared" si="12"/>
        <v/>
      </c>
      <c r="Q42" s="19" t="str">
        <f t="shared" si="12"/>
        <v/>
      </c>
      <c r="R42" s="19" t="str">
        <f t="shared" si="12"/>
        <v/>
      </c>
      <c r="S42" s="27" t="str">
        <f t="shared" si="13"/>
        <v/>
      </c>
      <c r="T42" s="28" t="str">
        <f t="shared" si="13"/>
        <v/>
      </c>
      <c r="U42" s="28" t="str">
        <f t="shared" si="13"/>
        <v/>
      </c>
      <c r="V42" s="28" t="str">
        <f t="shared" si="13"/>
        <v/>
      </c>
      <c r="W42" s="28" t="str">
        <f t="shared" si="13"/>
        <v/>
      </c>
      <c r="X42" s="29" t="str">
        <f t="shared" si="13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/>
      <c r="L43" s="19" t="str">
        <f t="shared" si="12"/>
        <v/>
      </c>
      <c r="M43" s="19" t="str">
        <f t="shared" si="12"/>
        <v/>
      </c>
      <c r="N43" s="19" t="str">
        <f t="shared" si="12"/>
        <v/>
      </c>
      <c r="O43" s="19" t="str">
        <f t="shared" si="12"/>
        <v/>
      </c>
      <c r="P43" s="19" t="str">
        <f t="shared" si="12"/>
        <v/>
      </c>
      <c r="Q43" s="19" t="str">
        <f t="shared" si="12"/>
        <v/>
      </c>
      <c r="R43" s="19" t="str">
        <f t="shared" si="12"/>
        <v/>
      </c>
      <c r="S43" s="27" t="str">
        <f t="shared" si="13"/>
        <v/>
      </c>
      <c r="T43" s="28" t="str">
        <f t="shared" si="13"/>
        <v/>
      </c>
      <c r="U43" s="28" t="str">
        <f t="shared" si="13"/>
        <v/>
      </c>
      <c r="V43" s="28" t="str">
        <f t="shared" si="13"/>
        <v/>
      </c>
      <c r="W43" s="28" t="str">
        <f t="shared" si="13"/>
        <v/>
      </c>
      <c r="X43" s="29" t="str">
        <f t="shared" si="13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2"/>
        <v/>
      </c>
      <c r="M44" s="19" t="str">
        <f t="shared" si="12"/>
        <v/>
      </c>
      <c r="N44" s="19" t="str">
        <f t="shared" si="12"/>
        <v/>
      </c>
      <c r="O44" s="19" t="str">
        <f t="shared" si="12"/>
        <v/>
      </c>
      <c r="P44" s="19" t="str">
        <f t="shared" si="12"/>
        <v/>
      </c>
      <c r="Q44" s="19" t="str">
        <f t="shared" si="12"/>
        <v/>
      </c>
      <c r="R44" s="19" t="str">
        <f t="shared" si="12"/>
        <v/>
      </c>
      <c r="S44" s="27" t="str">
        <f t="shared" si="13"/>
        <v/>
      </c>
      <c r="T44" s="28" t="str">
        <f t="shared" si="13"/>
        <v/>
      </c>
      <c r="U44" s="28" t="str">
        <f t="shared" si="13"/>
        <v/>
      </c>
      <c r="V44" s="28" t="str">
        <f t="shared" si="13"/>
        <v/>
      </c>
      <c r="W44" s="28" t="str">
        <f t="shared" si="13"/>
        <v/>
      </c>
      <c r="X44" s="29" t="str">
        <f t="shared" si="13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2"/>
        <v/>
      </c>
      <c r="M45" s="19" t="str">
        <f t="shared" si="12"/>
        <v/>
      </c>
      <c r="N45" s="19" t="str">
        <f t="shared" si="12"/>
        <v/>
      </c>
      <c r="O45" s="19" t="str">
        <f t="shared" si="12"/>
        <v/>
      </c>
      <c r="P45" s="19" t="str">
        <f t="shared" si="12"/>
        <v/>
      </c>
      <c r="Q45" s="19" t="str">
        <f t="shared" si="12"/>
        <v/>
      </c>
      <c r="R45" s="19" t="str">
        <f t="shared" si="12"/>
        <v/>
      </c>
      <c r="S45" s="27" t="str">
        <f t="shared" si="13"/>
        <v/>
      </c>
      <c r="T45" s="28" t="str">
        <f t="shared" si="13"/>
        <v/>
      </c>
      <c r="U45" s="28" t="str">
        <f t="shared" si="13"/>
        <v/>
      </c>
      <c r="V45" s="28" t="str">
        <f t="shared" si="13"/>
        <v/>
      </c>
      <c r="W45" s="28" t="str">
        <f t="shared" si="13"/>
        <v/>
      </c>
      <c r="X45" s="29" t="str">
        <f t="shared" si="13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2"/>
        <v/>
      </c>
      <c r="M46" s="19" t="str">
        <f t="shared" si="12"/>
        <v/>
      </c>
      <c r="N46" s="19" t="str">
        <f t="shared" si="12"/>
        <v/>
      </c>
      <c r="O46" s="19" t="str">
        <f t="shared" si="12"/>
        <v/>
      </c>
      <c r="P46" s="19" t="str">
        <f t="shared" si="12"/>
        <v/>
      </c>
      <c r="Q46" s="19" t="str">
        <f t="shared" si="12"/>
        <v/>
      </c>
      <c r="R46" s="19" t="str">
        <f t="shared" si="12"/>
        <v/>
      </c>
      <c r="S46" s="27" t="str">
        <f t="shared" si="13"/>
        <v/>
      </c>
      <c r="T46" s="28" t="str">
        <f t="shared" si="13"/>
        <v/>
      </c>
      <c r="U46" s="28" t="str">
        <f t="shared" si="13"/>
        <v/>
      </c>
      <c r="V46" s="28" t="str">
        <f t="shared" si="13"/>
        <v/>
      </c>
      <c r="W46" s="28" t="str">
        <f t="shared" si="13"/>
        <v/>
      </c>
      <c r="X46" s="29" t="str">
        <f t="shared" si="13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2"/>
        <v/>
      </c>
      <c r="M47" s="19" t="str">
        <f t="shared" si="12"/>
        <v/>
      </c>
      <c r="N47" s="19" t="str">
        <f t="shared" si="12"/>
        <v/>
      </c>
      <c r="O47" s="19" t="str">
        <f t="shared" si="12"/>
        <v/>
      </c>
      <c r="P47" s="19" t="str">
        <f t="shared" si="12"/>
        <v/>
      </c>
      <c r="Q47" s="19" t="str">
        <f t="shared" si="12"/>
        <v/>
      </c>
      <c r="R47" s="19" t="str">
        <f t="shared" si="12"/>
        <v/>
      </c>
      <c r="S47" s="27" t="str">
        <f t="shared" si="13"/>
        <v/>
      </c>
      <c r="T47" s="28" t="str">
        <f t="shared" si="13"/>
        <v/>
      </c>
      <c r="U47" s="28" t="str">
        <f t="shared" si="13"/>
        <v/>
      </c>
      <c r="V47" s="28" t="str">
        <f t="shared" si="13"/>
        <v/>
      </c>
      <c r="W47" s="28" t="str">
        <f t="shared" si="13"/>
        <v/>
      </c>
      <c r="X47" s="29" t="str">
        <f t="shared" si="13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2"/>
        <v/>
      </c>
      <c r="M48" s="19" t="str">
        <f t="shared" si="12"/>
        <v/>
      </c>
      <c r="N48" s="19" t="str">
        <f t="shared" si="12"/>
        <v/>
      </c>
      <c r="O48" s="19" t="str">
        <f t="shared" si="12"/>
        <v/>
      </c>
      <c r="P48" s="19" t="str">
        <f t="shared" si="12"/>
        <v/>
      </c>
      <c r="Q48" s="19" t="str">
        <f t="shared" si="12"/>
        <v/>
      </c>
      <c r="R48" s="19" t="str">
        <f t="shared" si="12"/>
        <v/>
      </c>
      <c r="S48" s="27" t="str">
        <f t="shared" si="13"/>
        <v/>
      </c>
      <c r="T48" s="28" t="str">
        <f t="shared" si="13"/>
        <v/>
      </c>
      <c r="U48" s="28" t="str">
        <f t="shared" si="13"/>
        <v/>
      </c>
      <c r="V48" s="28" t="str">
        <f t="shared" si="13"/>
        <v/>
      </c>
      <c r="W48" s="28" t="str">
        <f t="shared" si="13"/>
        <v/>
      </c>
      <c r="X48" s="29" t="str">
        <f t="shared" si="13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2"/>
        <v/>
      </c>
      <c r="M49" s="19" t="str">
        <f t="shared" si="12"/>
        <v/>
      </c>
      <c r="N49" s="19" t="str">
        <f t="shared" si="12"/>
        <v/>
      </c>
      <c r="O49" s="19" t="str">
        <f t="shared" si="12"/>
        <v/>
      </c>
      <c r="P49" s="19" t="str">
        <f t="shared" si="12"/>
        <v/>
      </c>
      <c r="Q49" s="19" t="str">
        <f t="shared" si="12"/>
        <v/>
      </c>
      <c r="R49" s="19" t="str">
        <f t="shared" si="12"/>
        <v/>
      </c>
      <c r="S49" s="27" t="str">
        <f t="shared" ref="S49:X64" si="14">IF(C49="","",((C49-C48)*1000)/($B49-$B48))</f>
        <v/>
      </c>
      <c r="T49" s="28" t="str">
        <f t="shared" si="14"/>
        <v/>
      </c>
      <c r="U49" s="28" t="str">
        <f t="shared" si="14"/>
        <v/>
      </c>
      <c r="V49" s="28" t="str">
        <f t="shared" si="14"/>
        <v/>
      </c>
      <c r="W49" s="28" t="str">
        <f t="shared" si="14"/>
        <v/>
      </c>
      <c r="X49" s="29" t="str">
        <f t="shared" si="14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2"/>
        <v/>
      </c>
      <c r="M50" s="19" t="str">
        <f t="shared" si="12"/>
        <v/>
      </c>
      <c r="N50" s="19" t="str">
        <f t="shared" si="12"/>
        <v/>
      </c>
      <c r="O50" s="19" t="str">
        <f t="shared" si="12"/>
        <v/>
      </c>
      <c r="P50" s="19" t="str">
        <f t="shared" si="12"/>
        <v/>
      </c>
      <c r="Q50" s="19" t="str">
        <f t="shared" si="12"/>
        <v/>
      </c>
      <c r="R50" s="19" t="str">
        <f t="shared" si="12"/>
        <v/>
      </c>
      <c r="S50" s="27" t="str">
        <f t="shared" si="14"/>
        <v/>
      </c>
      <c r="T50" s="28" t="str">
        <f t="shared" si="14"/>
        <v/>
      </c>
      <c r="U50" s="28" t="str">
        <f t="shared" si="14"/>
        <v/>
      </c>
      <c r="V50" s="28" t="str">
        <f t="shared" si="14"/>
        <v/>
      </c>
      <c r="W50" s="28" t="str">
        <f t="shared" si="14"/>
        <v/>
      </c>
      <c r="X50" s="29" t="str">
        <f t="shared" si="14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2"/>
        <v/>
      </c>
      <c r="M51" s="19" t="str">
        <f t="shared" si="12"/>
        <v/>
      </c>
      <c r="N51" s="19" t="str">
        <f t="shared" si="12"/>
        <v/>
      </c>
      <c r="O51" s="19" t="str">
        <f t="shared" si="12"/>
        <v/>
      </c>
      <c r="P51" s="19" t="str">
        <f t="shared" si="12"/>
        <v/>
      </c>
      <c r="Q51" s="19" t="str">
        <f t="shared" si="12"/>
        <v/>
      </c>
      <c r="R51" s="19" t="str">
        <f t="shared" si="12"/>
        <v/>
      </c>
      <c r="S51" s="27" t="str">
        <f t="shared" si="14"/>
        <v/>
      </c>
      <c r="T51" s="28" t="str">
        <f t="shared" si="14"/>
        <v/>
      </c>
      <c r="U51" s="28" t="str">
        <f t="shared" si="14"/>
        <v/>
      </c>
      <c r="V51" s="28" t="str">
        <f t="shared" si="14"/>
        <v/>
      </c>
      <c r="W51" s="28" t="str">
        <f t="shared" si="14"/>
        <v/>
      </c>
      <c r="X51" s="29" t="str">
        <f t="shared" si="14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2"/>
        <v/>
      </c>
      <c r="M52" s="19" t="str">
        <f t="shared" si="12"/>
        <v/>
      </c>
      <c r="N52" s="19" t="str">
        <f t="shared" si="12"/>
        <v/>
      </c>
      <c r="O52" s="19" t="str">
        <f t="shared" si="12"/>
        <v/>
      </c>
      <c r="P52" s="19" t="str">
        <f t="shared" si="12"/>
        <v/>
      </c>
      <c r="Q52" s="19" t="str">
        <f t="shared" si="12"/>
        <v/>
      </c>
      <c r="R52" s="19" t="str">
        <f t="shared" si="12"/>
        <v/>
      </c>
      <c r="S52" s="27" t="str">
        <f t="shared" si="14"/>
        <v/>
      </c>
      <c r="T52" s="28" t="str">
        <f t="shared" si="14"/>
        <v/>
      </c>
      <c r="U52" s="28" t="str">
        <f t="shared" si="14"/>
        <v/>
      </c>
      <c r="V52" s="28" t="str">
        <f t="shared" si="14"/>
        <v/>
      </c>
      <c r="W52" s="28" t="str">
        <f t="shared" si="14"/>
        <v/>
      </c>
      <c r="X52" s="29" t="str">
        <f t="shared" si="14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2"/>
        <v/>
      </c>
      <c r="M53" s="19" t="str">
        <f t="shared" si="12"/>
        <v/>
      </c>
      <c r="N53" s="19" t="str">
        <f t="shared" si="12"/>
        <v/>
      </c>
      <c r="O53" s="19" t="str">
        <f t="shared" si="12"/>
        <v/>
      </c>
      <c r="P53" s="19" t="str">
        <f t="shared" si="12"/>
        <v/>
      </c>
      <c r="Q53" s="19" t="str">
        <f t="shared" si="12"/>
        <v/>
      </c>
      <c r="R53" s="19" t="str">
        <f t="shared" si="12"/>
        <v/>
      </c>
      <c r="S53" s="27" t="str">
        <f t="shared" si="14"/>
        <v/>
      </c>
      <c r="T53" s="28" t="str">
        <f t="shared" si="14"/>
        <v/>
      </c>
      <c r="U53" s="28" t="str">
        <f t="shared" si="14"/>
        <v/>
      </c>
      <c r="V53" s="28" t="str">
        <f t="shared" si="14"/>
        <v/>
      </c>
      <c r="W53" s="28" t="str">
        <f t="shared" si="14"/>
        <v/>
      </c>
      <c r="X53" s="29" t="str">
        <f t="shared" si="14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2"/>
        <v/>
      </c>
      <c r="M54" s="19" t="str">
        <f t="shared" si="12"/>
        <v/>
      </c>
      <c r="N54" s="19" t="str">
        <f t="shared" si="12"/>
        <v/>
      </c>
      <c r="O54" s="19" t="str">
        <f t="shared" si="12"/>
        <v/>
      </c>
      <c r="P54" s="19" t="str">
        <f t="shared" si="12"/>
        <v/>
      </c>
      <c r="Q54" s="19" t="str">
        <f t="shared" si="12"/>
        <v/>
      </c>
      <c r="R54" s="19" t="str">
        <f t="shared" si="12"/>
        <v/>
      </c>
      <c r="S54" s="27" t="str">
        <f t="shared" si="14"/>
        <v/>
      </c>
      <c r="T54" s="28" t="str">
        <f t="shared" si="14"/>
        <v/>
      </c>
      <c r="U54" s="28" t="str">
        <f t="shared" si="14"/>
        <v/>
      </c>
      <c r="V54" s="28" t="str">
        <f t="shared" si="14"/>
        <v/>
      </c>
      <c r="W54" s="28" t="str">
        <f t="shared" si="14"/>
        <v/>
      </c>
      <c r="X54" s="29" t="str">
        <f t="shared" si="14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2"/>
        <v/>
      </c>
      <c r="M55" s="19" t="str">
        <f t="shared" si="12"/>
        <v/>
      </c>
      <c r="N55" s="19" t="str">
        <f t="shared" si="12"/>
        <v/>
      </c>
      <c r="O55" s="19" t="str">
        <f t="shared" si="12"/>
        <v/>
      </c>
      <c r="P55" s="19" t="str">
        <f t="shared" si="12"/>
        <v/>
      </c>
      <c r="Q55" s="19" t="str">
        <f t="shared" si="12"/>
        <v/>
      </c>
      <c r="R55" s="19" t="str">
        <f t="shared" si="12"/>
        <v/>
      </c>
      <c r="S55" s="27" t="str">
        <f t="shared" si="14"/>
        <v/>
      </c>
      <c r="T55" s="28" t="str">
        <f t="shared" si="14"/>
        <v/>
      </c>
      <c r="U55" s="28" t="str">
        <f t="shared" si="14"/>
        <v/>
      </c>
      <c r="V55" s="28" t="str">
        <f t="shared" si="14"/>
        <v/>
      </c>
      <c r="W55" s="28" t="str">
        <f t="shared" si="14"/>
        <v/>
      </c>
      <c r="X55" s="29" t="str">
        <f t="shared" si="14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2"/>
        <v/>
      </c>
      <c r="M56" s="19" t="str">
        <f t="shared" si="12"/>
        <v/>
      </c>
      <c r="N56" s="19" t="str">
        <f t="shared" si="12"/>
        <v/>
      </c>
      <c r="O56" s="19" t="str">
        <f t="shared" si="12"/>
        <v/>
      </c>
      <c r="P56" s="19" t="str">
        <f t="shared" si="12"/>
        <v/>
      </c>
      <c r="Q56" s="19" t="str">
        <f t="shared" si="12"/>
        <v/>
      </c>
      <c r="R56" s="19" t="str">
        <f t="shared" si="12"/>
        <v/>
      </c>
      <c r="S56" s="27" t="str">
        <f t="shared" si="14"/>
        <v/>
      </c>
      <c r="T56" s="28" t="str">
        <f t="shared" si="14"/>
        <v/>
      </c>
      <c r="U56" s="28" t="str">
        <f t="shared" si="14"/>
        <v/>
      </c>
      <c r="V56" s="28" t="str">
        <f t="shared" si="14"/>
        <v/>
      </c>
      <c r="W56" s="28" t="str">
        <f t="shared" si="14"/>
        <v/>
      </c>
      <c r="X56" s="29" t="str">
        <f t="shared" si="14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2"/>
        <v/>
      </c>
      <c r="M57" s="19" t="str">
        <f t="shared" si="12"/>
        <v/>
      </c>
      <c r="N57" s="19" t="str">
        <f t="shared" si="12"/>
        <v/>
      </c>
      <c r="O57" s="19" t="str">
        <f t="shared" si="12"/>
        <v/>
      </c>
      <c r="P57" s="19" t="str">
        <f t="shared" si="12"/>
        <v/>
      </c>
      <c r="Q57" s="19" t="str">
        <f t="shared" si="12"/>
        <v/>
      </c>
      <c r="R57" s="19" t="str">
        <f t="shared" si="12"/>
        <v/>
      </c>
      <c r="S57" s="27" t="str">
        <f t="shared" si="14"/>
        <v/>
      </c>
      <c r="T57" s="28" t="str">
        <f t="shared" si="14"/>
        <v/>
      </c>
      <c r="U57" s="28" t="str">
        <f t="shared" si="14"/>
        <v/>
      </c>
      <c r="V57" s="28" t="str">
        <f t="shared" si="14"/>
        <v/>
      </c>
      <c r="W57" s="28" t="str">
        <f t="shared" si="14"/>
        <v/>
      </c>
      <c r="X57" s="29" t="str">
        <f t="shared" si="14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2"/>
        <v/>
      </c>
      <c r="M58" s="19" t="str">
        <f t="shared" si="12"/>
        <v/>
      </c>
      <c r="N58" s="19" t="str">
        <f t="shared" si="12"/>
        <v/>
      </c>
      <c r="O58" s="19" t="str">
        <f t="shared" si="12"/>
        <v/>
      </c>
      <c r="P58" s="19" t="str">
        <f t="shared" si="12"/>
        <v/>
      </c>
      <c r="Q58" s="19" t="str">
        <f t="shared" si="12"/>
        <v/>
      </c>
      <c r="R58" s="19" t="str">
        <f t="shared" si="12"/>
        <v/>
      </c>
      <c r="S58" s="27" t="str">
        <f t="shared" si="14"/>
        <v/>
      </c>
      <c r="T58" s="28" t="str">
        <f t="shared" si="14"/>
        <v/>
      </c>
      <c r="U58" s="28" t="str">
        <f t="shared" si="14"/>
        <v/>
      </c>
      <c r="V58" s="28" t="str">
        <f t="shared" si="14"/>
        <v/>
      </c>
      <c r="W58" s="28" t="str">
        <f t="shared" si="14"/>
        <v/>
      </c>
      <c r="X58" s="29" t="str">
        <f t="shared" si="14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2"/>
        <v/>
      </c>
      <c r="M59" s="19" t="str">
        <f t="shared" si="12"/>
        <v/>
      </c>
      <c r="N59" s="19" t="str">
        <f t="shared" si="12"/>
        <v/>
      </c>
      <c r="O59" s="19" t="str">
        <f t="shared" si="12"/>
        <v/>
      </c>
      <c r="P59" s="19" t="str">
        <f t="shared" si="12"/>
        <v/>
      </c>
      <c r="Q59" s="19" t="str">
        <f t="shared" si="12"/>
        <v/>
      </c>
      <c r="R59" s="19" t="str">
        <f t="shared" si="12"/>
        <v/>
      </c>
      <c r="S59" s="27" t="str">
        <f t="shared" si="14"/>
        <v/>
      </c>
      <c r="T59" s="28" t="str">
        <f t="shared" si="14"/>
        <v/>
      </c>
      <c r="U59" s="28" t="str">
        <f t="shared" si="14"/>
        <v/>
      </c>
      <c r="V59" s="28" t="str">
        <f t="shared" si="14"/>
        <v/>
      </c>
      <c r="W59" s="28" t="str">
        <f t="shared" si="14"/>
        <v/>
      </c>
      <c r="X59" s="29" t="str">
        <f t="shared" si="14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2"/>
        <v/>
      </c>
      <c r="M60" s="19" t="str">
        <f t="shared" si="12"/>
        <v/>
      </c>
      <c r="N60" s="19" t="str">
        <f t="shared" si="12"/>
        <v/>
      </c>
      <c r="O60" s="19" t="str">
        <f t="shared" si="12"/>
        <v/>
      </c>
      <c r="P60" s="19" t="str">
        <f t="shared" si="12"/>
        <v/>
      </c>
      <c r="Q60" s="19" t="str">
        <f t="shared" si="12"/>
        <v/>
      </c>
      <c r="R60" s="19" t="str">
        <f t="shared" si="12"/>
        <v/>
      </c>
      <c r="S60" s="27" t="str">
        <f t="shared" si="14"/>
        <v/>
      </c>
      <c r="T60" s="28" t="str">
        <f t="shared" si="14"/>
        <v/>
      </c>
      <c r="U60" s="28" t="str">
        <f t="shared" si="14"/>
        <v/>
      </c>
      <c r="V60" s="28" t="str">
        <f t="shared" si="14"/>
        <v/>
      </c>
      <c r="W60" s="28" t="str">
        <f t="shared" si="14"/>
        <v/>
      </c>
      <c r="X60" s="29" t="str">
        <f t="shared" si="14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2"/>
        <v/>
      </c>
      <c r="M61" s="19" t="str">
        <f t="shared" si="12"/>
        <v/>
      </c>
      <c r="N61" s="19" t="str">
        <f t="shared" si="12"/>
        <v/>
      </c>
      <c r="O61" s="19" t="str">
        <f t="shared" si="12"/>
        <v/>
      </c>
      <c r="P61" s="19" t="str">
        <f t="shared" si="12"/>
        <v/>
      </c>
      <c r="Q61" s="19" t="str">
        <f t="shared" si="12"/>
        <v/>
      </c>
      <c r="R61" s="19" t="str">
        <f t="shared" si="12"/>
        <v/>
      </c>
      <c r="S61" s="27" t="str">
        <f t="shared" si="14"/>
        <v/>
      </c>
      <c r="T61" s="28" t="str">
        <f t="shared" si="14"/>
        <v/>
      </c>
      <c r="U61" s="28" t="str">
        <f t="shared" si="14"/>
        <v/>
      </c>
      <c r="V61" s="28" t="str">
        <f t="shared" si="14"/>
        <v/>
      </c>
      <c r="W61" s="28" t="str">
        <f t="shared" si="14"/>
        <v/>
      </c>
      <c r="X61" s="29" t="str">
        <f t="shared" si="14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2"/>
        <v/>
      </c>
      <c r="M62" s="19" t="str">
        <f t="shared" si="12"/>
        <v/>
      </c>
      <c r="N62" s="19" t="str">
        <f t="shared" si="12"/>
        <v/>
      </c>
      <c r="O62" s="19" t="str">
        <f t="shared" si="12"/>
        <v/>
      </c>
      <c r="P62" s="19" t="str">
        <f t="shared" si="12"/>
        <v/>
      </c>
      <c r="Q62" s="19" t="str">
        <f t="shared" si="12"/>
        <v/>
      </c>
      <c r="R62" s="19" t="str">
        <f t="shared" si="12"/>
        <v/>
      </c>
      <c r="S62" s="27" t="str">
        <f t="shared" si="14"/>
        <v/>
      </c>
      <c r="T62" s="28" t="str">
        <f t="shared" si="14"/>
        <v/>
      </c>
      <c r="U62" s="28" t="str">
        <f t="shared" si="14"/>
        <v/>
      </c>
      <c r="V62" s="28" t="str">
        <f t="shared" si="14"/>
        <v/>
      </c>
      <c r="W62" s="28" t="str">
        <f t="shared" si="14"/>
        <v/>
      </c>
      <c r="X62" s="29" t="str">
        <f t="shared" si="14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2"/>
        <v/>
      </c>
      <c r="M63" s="19" t="str">
        <f t="shared" si="12"/>
        <v/>
      </c>
      <c r="N63" s="19" t="str">
        <f t="shared" si="12"/>
        <v/>
      </c>
      <c r="O63" s="19" t="str">
        <f t="shared" si="12"/>
        <v/>
      </c>
      <c r="P63" s="19" t="str">
        <f t="shared" si="12"/>
        <v/>
      </c>
      <c r="Q63" s="19" t="str">
        <f t="shared" si="12"/>
        <v/>
      </c>
      <c r="R63" s="19" t="str">
        <f t="shared" si="12"/>
        <v/>
      </c>
      <c r="S63" s="27" t="str">
        <f t="shared" si="14"/>
        <v/>
      </c>
      <c r="T63" s="28" t="str">
        <f t="shared" si="14"/>
        <v/>
      </c>
      <c r="U63" s="28" t="str">
        <f t="shared" si="14"/>
        <v/>
      </c>
      <c r="V63" s="28" t="str">
        <f t="shared" si="14"/>
        <v/>
      </c>
      <c r="W63" s="28" t="str">
        <f t="shared" si="14"/>
        <v/>
      </c>
      <c r="X63" s="29" t="str">
        <f t="shared" si="14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2"/>
        <v/>
      </c>
      <c r="M64" s="19" t="str">
        <f t="shared" si="12"/>
        <v/>
      </c>
      <c r="N64" s="19" t="str">
        <f t="shared" si="12"/>
        <v/>
      </c>
      <c r="O64" s="19" t="str">
        <f t="shared" si="12"/>
        <v/>
      </c>
      <c r="P64" s="19" t="str">
        <f t="shared" si="12"/>
        <v/>
      </c>
      <c r="Q64" s="19" t="str">
        <f t="shared" si="12"/>
        <v/>
      </c>
      <c r="R64" s="19" t="str">
        <f t="shared" si="12"/>
        <v/>
      </c>
      <c r="S64" s="27" t="str">
        <f t="shared" si="14"/>
        <v/>
      </c>
      <c r="T64" s="28" t="str">
        <f t="shared" si="14"/>
        <v/>
      </c>
      <c r="U64" s="28" t="str">
        <f t="shared" si="14"/>
        <v/>
      </c>
      <c r="V64" s="28" t="str">
        <f t="shared" si="14"/>
        <v/>
      </c>
      <c r="W64" s="28" t="str">
        <f t="shared" si="14"/>
        <v/>
      </c>
      <c r="X64" s="29" t="str">
        <f t="shared" si="14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2"/>
        <v/>
      </c>
      <c r="M65" s="19" t="str">
        <f t="shared" si="12"/>
        <v/>
      </c>
      <c r="N65" s="19" t="str">
        <f t="shared" si="12"/>
        <v/>
      </c>
      <c r="O65" s="19" t="str">
        <f t="shared" si="12"/>
        <v/>
      </c>
      <c r="P65" s="19" t="str">
        <f t="shared" si="12"/>
        <v/>
      </c>
      <c r="Q65" s="19" t="str">
        <f t="shared" si="12"/>
        <v/>
      </c>
      <c r="R65" s="19" t="str">
        <f t="shared" si="12"/>
        <v/>
      </c>
      <c r="S65" s="27" t="str">
        <f t="shared" ref="S65:X80" si="15">IF(C65="","",((C65-C64)*1000)/($B65-$B64))</f>
        <v/>
      </c>
      <c r="T65" s="28" t="str">
        <f t="shared" si="15"/>
        <v/>
      </c>
      <c r="U65" s="28" t="str">
        <f t="shared" si="15"/>
        <v/>
      </c>
      <c r="V65" s="28" t="str">
        <f t="shared" si="15"/>
        <v/>
      </c>
      <c r="W65" s="28" t="str">
        <f t="shared" si="15"/>
        <v/>
      </c>
      <c r="X65" s="29" t="str">
        <f t="shared" si="15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2"/>
        <v/>
      </c>
      <c r="M66" s="19" t="str">
        <f t="shared" si="12"/>
        <v/>
      </c>
      <c r="N66" s="19" t="str">
        <f t="shared" si="12"/>
        <v/>
      </c>
      <c r="O66" s="19" t="str">
        <f t="shared" si="12"/>
        <v/>
      </c>
      <c r="P66" s="19" t="str">
        <f t="shared" si="12"/>
        <v/>
      </c>
      <c r="Q66" s="19" t="str">
        <f t="shared" si="12"/>
        <v/>
      </c>
      <c r="R66" s="19" t="str">
        <f t="shared" si="12"/>
        <v/>
      </c>
      <c r="S66" s="27" t="str">
        <f t="shared" si="15"/>
        <v/>
      </c>
      <c r="T66" s="28" t="str">
        <f t="shared" si="15"/>
        <v/>
      </c>
      <c r="U66" s="28" t="str">
        <f t="shared" si="15"/>
        <v/>
      </c>
      <c r="V66" s="28" t="str">
        <f t="shared" si="15"/>
        <v/>
      </c>
      <c r="W66" s="28" t="str">
        <f t="shared" si="15"/>
        <v/>
      </c>
      <c r="X66" s="29" t="str">
        <f t="shared" si="15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2"/>
        <v/>
      </c>
      <c r="M67" s="19" t="str">
        <f t="shared" si="12"/>
        <v/>
      </c>
      <c r="N67" s="19" t="str">
        <f t="shared" si="12"/>
        <v/>
      </c>
      <c r="O67" s="19" t="str">
        <f t="shared" si="12"/>
        <v/>
      </c>
      <c r="P67" s="19" t="str">
        <f t="shared" si="12"/>
        <v/>
      </c>
      <c r="Q67" s="19" t="str">
        <f t="shared" si="12"/>
        <v/>
      </c>
      <c r="R67" s="19" t="str">
        <f t="shared" si="12"/>
        <v/>
      </c>
      <c r="S67" s="27" t="str">
        <f t="shared" si="15"/>
        <v/>
      </c>
      <c r="T67" s="28" t="str">
        <f t="shared" si="15"/>
        <v/>
      </c>
      <c r="U67" s="28" t="str">
        <f t="shared" si="15"/>
        <v/>
      </c>
      <c r="V67" s="28" t="str">
        <f t="shared" si="15"/>
        <v/>
      </c>
      <c r="W67" s="28" t="str">
        <f t="shared" si="15"/>
        <v/>
      </c>
      <c r="X67" s="29" t="str">
        <f t="shared" si="15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2"/>
        <v/>
      </c>
      <c r="M68" s="19" t="str">
        <f t="shared" si="12"/>
        <v/>
      </c>
      <c r="N68" s="19" t="str">
        <f t="shared" si="12"/>
        <v/>
      </c>
      <c r="O68" s="19" t="str">
        <f t="shared" ref="O68:R131" si="16">IF(ISBLANK(F68),"",(F68-F$16)*1000)</f>
        <v/>
      </c>
      <c r="P68" s="19" t="str">
        <f t="shared" si="16"/>
        <v/>
      </c>
      <c r="Q68" s="19" t="str">
        <f t="shared" si="16"/>
        <v/>
      </c>
      <c r="R68" s="19" t="str">
        <f t="shared" si="16"/>
        <v/>
      </c>
      <c r="S68" s="27" t="str">
        <f t="shared" si="15"/>
        <v/>
      </c>
      <c r="T68" s="28" t="str">
        <f t="shared" si="15"/>
        <v/>
      </c>
      <c r="U68" s="28" t="str">
        <f t="shared" si="15"/>
        <v/>
      </c>
      <c r="V68" s="28" t="str">
        <f t="shared" si="15"/>
        <v/>
      </c>
      <c r="W68" s="28" t="str">
        <f t="shared" si="15"/>
        <v/>
      </c>
      <c r="X68" s="29" t="str">
        <f t="shared" si="15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Q132" si="17">IF(ISBLANK(C69),"",(C69-C$16)*1000)</f>
        <v/>
      </c>
      <c r="M69" s="19" t="str">
        <f t="shared" si="17"/>
        <v/>
      </c>
      <c r="N69" s="19" t="str">
        <f t="shared" si="17"/>
        <v/>
      </c>
      <c r="O69" s="19" t="str">
        <f t="shared" si="16"/>
        <v/>
      </c>
      <c r="P69" s="19" t="str">
        <f t="shared" si="16"/>
        <v/>
      </c>
      <c r="Q69" s="19" t="str">
        <f t="shared" si="16"/>
        <v/>
      </c>
      <c r="R69" s="19" t="str">
        <f t="shared" si="16"/>
        <v/>
      </c>
      <c r="S69" s="27" t="str">
        <f t="shared" si="15"/>
        <v/>
      </c>
      <c r="T69" s="28" t="str">
        <f t="shared" si="15"/>
        <v/>
      </c>
      <c r="U69" s="28" t="str">
        <f t="shared" si="15"/>
        <v/>
      </c>
      <c r="V69" s="28" t="str">
        <f t="shared" si="15"/>
        <v/>
      </c>
      <c r="W69" s="28" t="str">
        <f t="shared" si="15"/>
        <v/>
      </c>
      <c r="X69" s="29" t="str">
        <f t="shared" si="15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7"/>
        <v/>
      </c>
      <c r="M70" s="19" t="str">
        <f t="shared" si="17"/>
        <v/>
      </c>
      <c r="N70" s="19" t="str">
        <f t="shared" si="17"/>
        <v/>
      </c>
      <c r="O70" s="19" t="str">
        <f t="shared" si="16"/>
        <v/>
      </c>
      <c r="P70" s="19" t="str">
        <f t="shared" si="16"/>
        <v/>
      </c>
      <c r="Q70" s="19" t="str">
        <f t="shared" si="16"/>
        <v/>
      </c>
      <c r="R70" s="19" t="str">
        <f t="shared" si="16"/>
        <v/>
      </c>
      <c r="S70" s="27" t="str">
        <f t="shared" si="15"/>
        <v/>
      </c>
      <c r="T70" s="28" t="str">
        <f t="shared" si="15"/>
        <v/>
      </c>
      <c r="U70" s="28" t="str">
        <f t="shared" si="15"/>
        <v/>
      </c>
      <c r="V70" s="28" t="str">
        <f t="shared" si="15"/>
        <v/>
      </c>
      <c r="W70" s="28" t="str">
        <f t="shared" si="15"/>
        <v/>
      </c>
      <c r="X70" s="29" t="str">
        <f t="shared" si="15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7"/>
        <v/>
      </c>
      <c r="M71" s="19" t="str">
        <f t="shared" si="17"/>
        <v/>
      </c>
      <c r="N71" s="19" t="str">
        <f t="shared" si="17"/>
        <v/>
      </c>
      <c r="O71" s="19" t="str">
        <f t="shared" si="16"/>
        <v/>
      </c>
      <c r="P71" s="19" t="str">
        <f t="shared" si="16"/>
        <v/>
      </c>
      <c r="Q71" s="19" t="str">
        <f t="shared" si="16"/>
        <v/>
      </c>
      <c r="R71" s="19" t="str">
        <f t="shared" si="16"/>
        <v/>
      </c>
      <c r="S71" s="27" t="str">
        <f t="shared" si="15"/>
        <v/>
      </c>
      <c r="T71" s="28" t="str">
        <f t="shared" si="15"/>
        <v/>
      </c>
      <c r="U71" s="28" t="str">
        <f t="shared" si="15"/>
        <v/>
      </c>
      <c r="V71" s="28" t="str">
        <f t="shared" si="15"/>
        <v/>
      </c>
      <c r="W71" s="28" t="str">
        <f t="shared" si="15"/>
        <v/>
      </c>
      <c r="X71" s="29" t="str">
        <f t="shared" si="15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7"/>
        <v/>
      </c>
      <c r="M72" s="19" t="str">
        <f t="shared" si="17"/>
        <v/>
      </c>
      <c r="N72" s="19" t="str">
        <f t="shared" si="17"/>
        <v/>
      </c>
      <c r="O72" s="19" t="str">
        <f t="shared" si="16"/>
        <v/>
      </c>
      <c r="P72" s="19" t="str">
        <f t="shared" si="16"/>
        <v/>
      </c>
      <c r="Q72" s="19" t="str">
        <f t="shared" si="16"/>
        <v/>
      </c>
      <c r="R72" s="19" t="str">
        <f t="shared" si="16"/>
        <v/>
      </c>
      <c r="S72" s="27" t="str">
        <f t="shared" si="15"/>
        <v/>
      </c>
      <c r="T72" s="28" t="str">
        <f t="shared" si="15"/>
        <v/>
      </c>
      <c r="U72" s="28" t="str">
        <f t="shared" si="15"/>
        <v/>
      </c>
      <c r="V72" s="28" t="str">
        <f t="shared" si="15"/>
        <v/>
      </c>
      <c r="W72" s="28" t="str">
        <f t="shared" si="15"/>
        <v/>
      </c>
      <c r="X72" s="29" t="str">
        <f t="shared" si="15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7"/>
        <v/>
      </c>
      <c r="M73" s="19" t="str">
        <f t="shared" si="17"/>
        <v/>
      </c>
      <c r="N73" s="19" t="str">
        <f t="shared" si="17"/>
        <v/>
      </c>
      <c r="O73" s="19" t="str">
        <f t="shared" si="16"/>
        <v/>
      </c>
      <c r="P73" s="19" t="str">
        <f t="shared" si="16"/>
        <v/>
      </c>
      <c r="Q73" s="19" t="str">
        <f t="shared" si="16"/>
        <v/>
      </c>
      <c r="R73" s="19" t="str">
        <f t="shared" si="16"/>
        <v/>
      </c>
      <c r="S73" s="27" t="str">
        <f t="shared" si="15"/>
        <v/>
      </c>
      <c r="T73" s="28" t="str">
        <f t="shared" si="15"/>
        <v/>
      </c>
      <c r="U73" s="28" t="str">
        <f t="shared" si="15"/>
        <v/>
      </c>
      <c r="V73" s="28" t="str">
        <f t="shared" si="15"/>
        <v/>
      </c>
      <c r="W73" s="28" t="str">
        <f t="shared" si="15"/>
        <v/>
      </c>
      <c r="X73" s="29" t="str">
        <f t="shared" si="15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7"/>
        <v/>
      </c>
      <c r="M74" s="19" t="str">
        <f t="shared" si="17"/>
        <v/>
      </c>
      <c r="N74" s="19" t="str">
        <f t="shared" si="17"/>
        <v/>
      </c>
      <c r="O74" s="19" t="str">
        <f t="shared" si="16"/>
        <v/>
      </c>
      <c r="P74" s="19" t="str">
        <f t="shared" si="16"/>
        <v/>
      </c>
      <c r="Q74" s="19" t="str">
        <f t="shared" si="16"/>
        <v/>
      </c>
      <c r="R74" s="19" t="str">
        <f t="shared" si="16"/>
        <v/>
      </c>
      <c r="S74" s="27" t="str">
        <f t="shared" si="15"/>
        <v/>
      </c>
      <c r="T74" s="28" t="str">
        <f t="shared" si="15"/>
        <v/>
      </c>
      <c r="U74" s="28" t="str">
        <f t="shared" si="15"/>
        <v/>
      </c>
      <c r="V74" s="28" t="str">
        <f t="shared" si="15"/>
        <v/>
      </c>
      <c r="W74" s="28" t="str">
        <f t="shared" si="15"/>
        <v/>
      </c>
      <c r="X74" s="29" t="str">
        <f t="shared" si="15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7"/>
        <v/>
      </c>
      <c r="M75" s="19" t="str">
        <f t="shared" si="17"/>
        <v/>
      </c>
      <c r="N75" s="19" t="str">
        <f t="shared" si="17"/>
        <v/>
      </c>
      <c r="O75" s="19" t="str">
        <f t="shared" si="16"/>
        <v/>
      </c>
      <c r="P75" s="19" t="str">
        <f t="shared" si="16"/>
        <v/>
      </c>
      <c r="Q75" s="19" t="str">
        <f t="shared" si="16"/>
        <v/>
      </c>
      <c r="R75" s="19" t="str">
        <f t="shared" si="16"/>
        <v/>
      </c>
      <c r="S75" s="27" t="str">
        <f t="shared" si="15"/>
        <v/>
      </c>
      <c r="T75" s="28" t="str">
        <f t="shared" si="15"/>
        <v/>
      </c>
      <c r="U75" s="28" t="str">
        <f t="shared" si="15"/>
        <v/>
      </c>
      <c r="V75" s="28" t="str">
        <f t="shared" si="15"/>
        <v/>
      </c>
      <c r="W75" s="28" t="str">
        <f t="shared" si="15"/>
        <v/>
      </c>
      <c r="X75" s="29" t="str">
        <f t="shared" si="15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7"/>
        <v/>
      </c>
      <c r="M76" s="19" t="str">
        <f t="shared" si="17"/>
        <v/>
      </c>
      <c r="N76" s="19" t="str">
        <f t="shared" si="17"/>
        <v/>
      </c>
      <c r="O76" s="19" t="str">
        <f t="shared" si="16"/>
        <v/>
      </c>
      <c r="P76" s="19" t="str">
        <f t="shared" si="16"/>
        <v/>
      </c>
      <c r="Q76" s="19" t="str">
        <f t="shared" si="16"/>
        <v/>
      </c>
      <c r="R76" s="19" t="str">
        <f t="shared" si="16"/>
        <v/>
      </c>
      <c r="S76" s="27" t="str">
        <f t="shared" si="15"/>
        <v/>
      </c>
      <c r="T76" s="28" t="str">
        <f t="shared" si="15"/>
        <v/>
      </c>
      <c r="U76" s="28" t="str">
        <f t="shared" si="15"/>
        <v/>
      </c>
      <c r="V76" s="28" t="str">
        <f t="shared" si="15"/>
        <v/>
      </c>
      <c r="W76" s="28" t="str">
        <f t="shared" si="15"/>
        <v/>
      </c>
      <c r="X76" s="29" t="str">
        <f t="shared" si="15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7"/>
        <v/>
      </c>
      <c r="M77" s="19" t="str">
        <f t="shared" si="17"/>
        <v/>
      </c>
      <c r="N77" s="19" t="str">
        <f t="shared" si="17"/>
        <v/>
      </c>
      <c r="O77" s="19" t="str">
        <f t="shared" si="16"/>
        <v/>
      </c>
      <c r="P77" s="19" t="str">
        <f t="shared" si="16"/>
        <v/>
      </c>
      <c r="Q77" s="19" t="str">
        <f t="shared" si="16"/>
        <v/>
      </c>
      <c r="R77" s="19" t="str">
        <f t="shared" si="16"/>
        <v/>
      </c>
      <c r="S77" s="27" t="str">
        <f t="shared" si="15"/>
        <v/>
      </c>
      <c r="T77" s="28" t="str">
        <f t="shared" si="15"/>
        <v/>
      </c>
      <c r="U77" s="28" t="str">
        <f t="shared" si="15"/>
        <v/>
      </c>
      <c r="V77" s="28" t="str">
        <f t="shared" si="15"/>
        <v/>
      </c>
      <c r="W77" s="28" t="str">
        <f t="shared" si="15"/>
        <v/>
      </c>
      <c r="X77" s="29" t="str">
        <f t="shared" si="15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7"/>
        <v/>
      </c>
      <c r="M78" s="19" t="str">
        <f t="shared" si="17"/>
        <v/>
      </c>
      <c r="N78" s="19" t="str">
        <f t="shared" si="17"/>
        <v/>
      </c>
      <c r="O78" s="19" t="str">
        <f t="shared" si="16"/>
        <v/>
      </c>
      <c r="P78" s="19" t="str">
        <f t="shared" si="16"/>
        <v/>
      </c>
      <c r="Q78" s="19" t="str">
        <f t="shared" si="16"/>
        <v/>
      </c>
      <c r="R78" s="19" t="str">
        <f t="shared" si="16"/>
        <v/>
      </c>
      <c r="S78" s="27" t="str">
        <f t="shared" si="15"/>
        <v/>
      </c>
      <c r="T78" s="28" t="str">
        <f t="shared" si="15"/>
        <v/>
      </c>
      <c r="U78" s="28" t="str">
        <f t="shared" si="15"/>
        <v/>
      </c>
      <c r="V78" s="28" t="str">
        <f t="shared" si="15"/>
        <v/>
      </c>
      <c r="W78" s="28" t="str">
        <f t="shared" si="15"/>
        <v/>
      </c>
      <c r="X78" s="29" t="str">
        <f t="shared" si="15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7"/>
        <v/>
      </c>
      <c r="M79" s="19" t="str">
        <f t="shared" si="17"/>
        <v/>
      </c>
      <c r="N79" s="19" t="str">
        <f t="shared" si="17"/>
        <v/>
      </c>
      <c r="O79" s="19" t="str">
        <f t="shared" si="16"/>
        <v/>
      </c>
      <c r="P79" s="19" t="str">
        <f t="shared" si="16"/>
        <v/>
      </c>
      <c r="Q79" s="19" t="str">
        <f t="shared" si="16"/>
        <v/>
      </c>
      <c r="R79" s="19" t="str">
        <f t="shared" si="16"/>
        <v/>
      </c>
      <c r="S79" s="27" t="str">
        <f t="shared" si="15"/>
        <v/>
      </c>
      <c r="T79" s="28" t="str">
        <f t="shared" si="15"/>
        <v/>
      </c>
      <c r="U79" s="28" t="str">
        <f t="shared" si="15"/>
        <v/>
      </c>
      <c r="V79" s="28" t="str">
        <f t="shared" si="15"/>
        <v/>
      </c>
      <c r="W79" s="28" t="str">
        <f t="shared" si="15"/>
        <v/>
      </c>
      <c r="X79" s="29" t="str">
        <f t="shared" si="15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7"/>
        <v/>
      </c>
      <c r="M80" s="19" t="str">
        <f t="shared" si="17"/>
        <v/>
      </c>
      <c r="N80" s="19" t="str">
        <f t="shared" si="17"/>
        <v/>
      </c>
      <c r="O80" s="19" t="str">
        <f t="shared" si="16"/>
        <v/>
      </c>
      <c r="P80" s="19" t="str">
        <f t="shared" si="16"/>
        <v/>
      </c>
      <c r="Q80" s="19" t="str">
        <f t="shared" si="16"/>
        <v/>
      </c>
      <c r="R80" s="19" t="str">
        <f t="shared" si="16"/>
        <v/>
      </c>
      <c r="S80" s="27" t="str">
        <f t="shared" si="15"/>
        <v/>
      </c>
      <c r="T80" s="28" t="str">
        <f t="shared" si="15"/>
        <v/>
      </c>
      <c r="U80" s="28" t="str">
        <f t="shared" si="15"/>
        <v/>
      </c>
      <c r="V80" s="28" t="str">
        <f t="shared" si="15"/>
        <v/>
      </c>
      <c r="W80" s="28" t="str">
        <f t="shared" si="15"/>
        <v/>
      </c>
      <c r="X80" s="29" t="str">
        <f t="shared" si="15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7"/>
        <v/>
      </c>
      <c r="M81" s="19" t="str">
        <f t="shared" si="17"/>
        <v/>
      </c>
      <c r="N81" s="19" t="str">
        <f t="shared" si="17"/>
        <v/>
      </c>
      <c r="O81" s="19" t="str">
        <f t="shared" si="16"/>
        <v/>
      </c>
      <c r="P81" s="19" t="str">
        <f t="shared" si="16"/>
        <v/>
      </c>
      <c r="Q81" s="19" t="str">
        <f t="shared" si="16"/>
        <v/>
      </c>
      <c r="R81" s="19" t="str">
        <f t="shared" si="16"/>
        <v/>
      </c>
      <c r="S81" s="27" t="str">
        <f t="shared" ref="S81:X96" si="18">IF(C81="","",((C81-C80)*1000)/($B81-$B80))</f>
        <v/>
      </c>
      <c r="T81" s="28" t="str">
        <f t="shared" si="18"/>
        <v/>
      </c>
      <c r="U81" s="28" t="str">
        <f t="shared" si="18"/>
        <v/>
      </c>
      <c r="V81" s="28" t="str">
        <f t="shared" si="18"/>
        <v/>
      </c>
      <c r="W81" s="28" t="str">
        <f t="shared" si="18"/>
        <v/>
      </c>
      <c r="X81" s="29" t="str">
        <f t="shared" si="18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7"/>
        <v/>
      </c>
      <c r="M82" s="19" t="str">
        <f t="shared" si="17"/>
        <v/>
      </c>
      <c r="N82" s="19" t="str">
        <f t="shared" si="17"/>
        <v/>
      </c>
      <c r="O82" s="19" t="str">
        <f t="shared" si="16"/>
        <v/>
      </c>
      <c r="P82" s="19" t="str">
        <f t="shared" si="16"/>
        <v/>
      </c>
      <c r="Q82" s="19" t="str">
        <f t="shared" si="16"/>
        <v/>
      </c>
      <c r="R82" s="19" t="str">
        <f t="shared" si="16"/>
        <v/>
      </c>
      <c r="S82" s="27" t="str">
        <f t="shared" si="18"/>
        <v/>
      </c>
      <c r="T82" s="28" t="str">
        <f t="shared" si="18"/>
        <v/>
      </c>
      <c r="U82" s="28" t="str">
        <f t="shared" si="18"/>
        <v/>
      </c>
      <c r="V82" s="28" t="str">
        <f t="shared" si="18"/>
        <v/>
      </c>
      <c r="W82" s="28" t="str">
        <f t="shared" si="18"/>
        <v/>
      </c>
      <c r="X82" s="29" t="str">
        <f t="shared" si="18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7"/>
        <v/>
      </c>
      <c r="M83" s="19" t="str">
        <f t="shared" si="17"/>
        <v/>
      </c>
      <c r="N83" s="19" t="str">
        <f t="shared" si="17"/>
        <v/>
      </c>
      <c r="O83" s="19" t="str">
        <f t="shared" si="16"/>
        <v/>
      </c>
      <c r="P83" s="19" t="str">
        <f t="shared" si="16"/>
        <v/>
      </c>
      <c r="Q83" s="19" t="str">
        <f t="shared" si="16"/>
        <v/>
      </c>
      <c r="R83" s="19" t="str">
        <f t="shared" si="16"/>
        <v/>
      </c>
      <c r="S83" s="27" t="str">
        <f t="shared" si="18"/>
        <v/>
      </c>
      <c r="T83" s="28" t="str">
        <f t="shared" si="18"/>
        <v/>
      </c>
      <c r="U83" s="28" t="str">
        <f t="shared" si="18"/>
        <v/>
      </c>
      <c r="V83" s="28" t="str">
        <f t="shared" si="18"/>
        <v/>
      </c>
      <c r="W83" s="28" t="str">
        <f t="shared" si="18"/>
        <v/>
      </c>
      <c r="X83" s="29" t="str">
        <f t="shared" si="18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7"/>
        <v/>
      </c>
      <c r="M84" s="19" t="str">
        <f t="shared" si="17"/>
        <v/>
      </c>
      <c r="N84" s="19" t="str">
        <f t="shared" si="17"/>
        <v/>
      </c>
      <c r="O84" s="19" t="str">
        <f t="shared" si="16"/>
        <v/>
      </c>
      <c r="P84" s="19" t="str">
        <f t="shared" si="16"/>
        <v/>
      </c>
      <c r="Q84" s="19" t="str">
        <f t="shared" si="16"/>
        <v/>
      </c>
      <c r="R84" s="19" t="str">
        <f t="shared" si="16"/>
        <v/>
      </c>
      <c r="S84" s="27" t="str">
        <f t="shared" si="18"/>
        <v/>
      </c>
      <c r="T84" s="28" t="str">
        <f t="shared" si="18"/>
        <v/>
      </c>
      <c r="U84" s="28" t="str">
        <f t="shared" si="18"/>
        <v/>
      </c>
      <c r="V84" s="28" t="str">
        <f t="shared" si="18"/>
        <v/>
      </c>
      <c r="W84" s="28" t="str">
        <f t="shared" si="18"/>
        <v/>
      </c>
      <c r="X84" s="29" t="str">
        <f t="shared" si="18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7"/>
        <v/>
      </c>
      <c r="M85" s="19" t="str">
        <f t="shared" si="17"/>
        <v/>
      </c>
      <c r="N85" s="19" t="str">
        <f t="shared" si="17"/>
        <v/>
      </c>
      <c r="O85" s="19" t="str">
        <f t="shared" si="16"/>
        <v/>
      </c>
      <c r="P85" s="19" t="str">
        <f t="shared" si="16"/>
        <v/>
      </c>
      <c r="Q85" s="19" t="str">
        <f t="shared" si="16"/>
        <v/>
      </c>
      <c r="R85" s="19" t="str">
        <f t="shared" si="16"/>
        <v/>
      </c>
      <c r="S85" s="27" t="str">
        <f t="shared" si="18"/>
        <v/>
      </c>
      <c r="T85" s="28" t="str">
        <f t="shared" si="18"/>
        <v/>
      </c>
      <c r="U85" s="28" t="str">
        <f t="shared" si="18"/>
        <v/>
      </c>
      <c r="V85" s="28" t="str">
        <f t="shared" si="18"/>
        <v/>
      </c>
      <c r="W85" s="28" t="str">
        <f t="shared" si="18"/>
        <v/>
      </c>
      <c r="X85" s="29" t="str">
        <f t="shared" si="18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7"/>
        <v/>
      </c>
      <c r="M86" s="19" t="str">
        <f t="shared" si="17"/>
        <v/>
      </c>
      <c r="N86" s="19" t="str">
        <f t="shared" si="17"/>
        <v/>
      </c>
      <c r="O86" s="19" t="str">
        <f t="shared" si="16"/>
        <v/>
      </c>
      <c r="P86" s="19" t="str">
        <f t="shared" si="16"/>
        <v/>
      </c>
      <c r="Q86" s="19" t="str">
        <f t="shared" si="16"/>
        <v/>
      </c>
      <c r="R86" s="19" t="str">
        <f t="shared" si="16"/>
        <v/>
      </c>
      <c r="S86" s="27" t="str">
        <f t="shared" si="18"/>
        <v/>
      </c>
      <c r="T86" s="28" t="str">
        <f t="shared" si="18"/>
        <v/>
      </c>
      <c r="U86" s="28" t="str">
        <f t="shared" si="18"/>
        <v/>
      </c>
      <c r="V86" s="28" t="str">
        <f t="shared" si="18"/>
        <v/>
      </c>
      <c r="W86" s="28" t="str">
        <f t="shared" si="18"/>
        <v/>
      </c>
      <c r="X86" s="29" t="str">
        <f t="shared" si="18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7"/>
        <v/>
      </c>
      <c r="M87" s="19" t="str">
        <f t="shared" si="17"/>
        <v/>
      </c>
      <c r="N87" s="19" t="str">
        <f t="shared" si="17"/>
        <v/>
      </c>
      <c r="O87" s="19" t="str">
        <f t="shared" si="16"/>
        <v/>
      </c>
      <c r="P87" s="19" t="str">
        <f t="shared" si="16"/>
        <v/>
      </c>
      <c r="Q87" s="19" t="str">
        <f t="shared" si="16"/>
        <v/>
      </c>
      <c r="R87" s="19" t="str">
        <f t="shared" si="16"/>
        <v/>
      </c>
      <c r="S87" s="27" t="str">
        <f t="shared" si="18"/>
        <v/>
      </c>
      <c r="T87" s="28" t="str">
        <f t="shared" si="18"/>
        <v/>
      </c>
      <c r="U87" s="28" t="str">
        <f t="shared" si="18"/>
        <v/>
      </c>
      <c r="V87" s="28" t="str">
        <f t="shared" si="18"/>
        <v/>
      </c>
      <c r="W87" s="28" t="str">
        <f t="shared" si="18"/>
        <v/>
      </c>
      <c r="X87" s="29" t="str">
        <f t="shared" si="18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7"/>
        <v/>
      </c>
      <c r="M88" s="19" t="str">
        <f t="shared" si="17"/>
        <v/>
      </c>
      <c r="N88" s="19" t="str">
        <f t="shared" si="17"/>
        <v/>
      </c>
      <c r="O88" s="19" t="str">
        <f t="shared" si="16"/>
        <v/>
      </c>
      <c r="P88" s="19" t="str">
        <f t="shared" si="16"/>
        <v/>
      </c>
      <c r="Q88" s="19" t="str">
        <f t="shared" si="16"/>
        <v/>
      </c>
      <c r="R88" s="19" t="str">
        <f t="shared" si="16"/>
        <v/>
      </c>
      <c r="S88" s="27" t="str">
        <f t="shared" si="18"/>
        <v/>
      </c>
      <c r="T88" s="28" t="str">
        <f t="shared" si="18"/>
        <v/>
      </c>
      <c r="U88" s="28" t="str">
        <f t="shared" si="18"/>
        <v/>
      </c>
      <c r="V88" s="28" t="str">
        <f t="shared" si="18"/>
        <v/>
      </c>
      <c r="W88" s="28" t="str">
        <f t="shared" si="18"/>
        <v/>
      </c>
      <c r="X88" s="29" t="str">
        <f t="shared" si="18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7"/>
        <v/>
      </c>
      <c r="M89" s="19" t="str">
        <f t="shared" si="17"/>
        <v/>
      </c>
      <c r="N89" s="19" t="str">
        <f t="shared" si="17"/>
        <v/>
      </c>
      <c r="O89" s="19" t="str">
        <f t="shared" si="16"/>
        <v/>
      </c>
      <c r="P89" s="19" t="str">
        <f t="shared" si="16"/>
        <v/>
      </c>
      <c r="Q89" s="19" t="str">
        <f t="shared" si="16"/>
        <v/>
      </c>
      <c r="R89" s="19" t="str">
        <f t="shared" si="16"/>
        <v/>
      </c>
      <c r="S89" s="27" t="str">
        <f t="shared" si="18"/>
        <v/>
      </c>
      <c r="T89" s="28" t="str">
        <f t="shared" si="18"/>
        <v/>
      </c>
      <c r="U89" s="28" t="str">
        <f t="shared" si="18"/>
        <v/>
      </c>
      <c r="V89" s="28" t="str">
        <f t="shared" si="18"/>
        <v/>
      </c>
      <c r="W89" s="28" t="str">
        <f t="shared" si="18"/>
        <v/>
      </c>
      <c r="X89" s="29" t="str">
        <f t="shared" si="18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7"/>
        <v/>
      </c>
      <c r="M90" s="19" t="str">
        <f t="shared" si="17"/>
        <v/>
      </c>
      <c r="N90" s="19" t="str">
        <f t="shared" si="17"/>
        <v/>
      </c>
      <c r="O90" s="19" t="str">
        <f t="shared" si="16"/>
        <v/>
      </c>
      <c r="P90" s="19" t="str">
        <f t="shared" si="16"/>
        <v/>
      </c>
      <c r="Q90" s="19" t="str">
        <f t="shared" si="16"/>
        <v/>
      </c>
      <c r="R90" s="19" t="str">
        <f t="shared" si="16"/>
        <v/>
      </c>
      <c r="S90" s="27" t="str">
        <f t="shared" si="18"/>
        <v/>
      </c>
      <c r="T90" s="28" t="str">
        <f t="shared" si="18"/>
        <v/>
      </c>
      <c r="U90" s="28" t="str">
        <f t="shared" si="18"/>
        <v/>
      </c>
      <c r="V90" s="28" t="str">
        <f t="shared" si="18"/>
        <v/>
      </c>
      <c r="W90" s="28" t="str">
        <f t="shared" si="18"/>
        <v/>
      </c>
      <c r="X90" s="29" t="str">
        <f t="shared" si="18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7"/>
        <v/>
      </c>
      <c r="M91" s="19" t="str">
        <f t="shared" si="17"/>
        <v/>
      </c>
      <c r="N91" s="19" t="str">
        <f t="shared" si="17"/>
        <v/>
      </c>
      <c r="O91" s="19" t="str">
        <f t="shared" si="16"/>
        <v/>
      </c>
      <c r="P91" s="19" t="str">
        <f t="shared" si="16"/>
        <v/>
      </c>
      <c r="Q91" s="19" t="str">
        <f t="shared" si="16"/>
        <v/>
      </c>
      <c r="R91" s="19" t="str">
        <f t="shared" si="16"/>
        <v/>
      </c>
      <c r="S91" s="27" t="str">
        <f t="shared" si="18"/>
        <v/>
      </c>
      <c r="T91" s="28" t="str">
        <f t="shared" si="18"/>
        <v/>
      </c>
      <c r="U91" s="28" t="str">
        <f t="shared" si="18"/>
        <v/>
      </c>
      <c r="V91" s="28" t="str">
        <f t="shared" si="18"/>
        <v/>
      </c>
      <c r="W91" s="28" t="str">
        <f t="shared" si="18"/>
        <v/>
      </c>
      <c r="X91" s="29" t="str">
        <f t="shared" si="18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7"/>
        <v/>
      </c>
      <c r="M92" s="19" t="str">
        <f t="shared" si="17"/>
        <v/>
      </c>
      <c r="N92" s="19" t="str">
        <f t="shared" si="17"/>
        <v/>
      </c>
      <c r="O92" s="19" t="str">
        <f t="shared" si="16"/>
        <v/>
      </c>
      <c r="P92" s="19" t="str">
        <f t="shared" si="16"/>
        <v/>
      </c>
      <c r="Q92" s="19" t="str">
        <f t="shared" si="16"/>
        <v/>
      </c>
      <c r="R92" s="19" t="str">
        <f t="shared" si="16"/>
        <v/>
      </c>
      <c r="S92" s="27" t="str">
        <f t="shared" si="18"/>
        <v/>
      </c>
      <c r="T92" s="28" t="str">
        <f t="shared" si="18"/>
        <v/>
      </c>
      <c r="U92" s="28" t="str">
        <f t="shared" si="18"/>
        <v/>
      </c>
      <c r="V92" s="28" t="str">
        <f t="shared" si="18"/>
        <v/>
      </c>
      <c r="W92" s="28" t="str">
        <f t="shared" si="18"/>
        <v/>
      </c>
      <c r="X92" s="29" t="str">
        <f t="shared" si="18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7"/>
        <v/>
      </c>
      <c r="M93" s="19" t="str">
        <f t="shared" si="17"/>
        <v/>
      </c>
      <c r="N93" s="19" t="str">
        <f t="shared" si="17"/>
        <v/>
      </c>
      <c r="O93" s="19" t="str">
        <f t="shared" si="16"/>
        <v/>
      </c>
      <c r="P93" s="19" t="str">
        <f t="shared" si="16"/>
        <v/>
      </c>
      <c r="Q93" s="19" t="str">
        <f t="shared" si="16"/>
        <v/>
      </c>
      <c r="R93" s="19" t="str">
        <f t="shared" si="16"/>
        <v/>
      </c>
      <c r="S93" s="27" t="str">
        <f t="shared" si="18"/>
        <v/>
      </c>
      <c r="T93" s="28" t="str">
        <f t="shared" si="18"/>
        <v/>
      </c>
      <c r="U93" s="28" t="str">
        <f t="shared" si="18"/>
        <v/>
      </c>
      <c r="V93" s="28" t="str">
        <f t="shared" si="18"/>
        <v/>
      </c>
      <c r="W93" s="28" t="str">
        <f t="shared" si="18"/>
        <v/>
      </c>
      <c r="X93" s="29" t="str">
        <f t="shared" si="18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7"/>
        <v/>
      </c>
      <c r="M94" s="19" t="str">
        <f t="shared" si="17"/>
        <v/>
      </c>
      <c r="N94" s="19" t="str">
        <f t="shared" si="17"/>
        <v/>
      </c>
      <c r="O94" s="19" t="str">
        <f t="shared" si="16"/>
        <v/>
      </c>
      <c r="P94" s="19" t="str">
        <f t="shared" si="16"/>
        <v/>
      </c>
      <c r="Q94" s="19" t="str">
        <f t="shared" si="16"/>
        <v/>
      </c>
      <c r="R94" s="19" t="str">
        <f t="shared" si="16"/>
        <v/>
      </c>
      <c r="S94" s="27" t="str">
        <f t="shared" si="18"/>
        <v/>
      </c>
      <c r="T94" s="28" t="str">
        <f t="shared" si="18"/>
        <v/>
      </c>
      <c r="U94" s="28" t="str">
        <f t="shared" si="18"/>
        <v/>
      </c>
      <c r="V94" s="28" t="str">
        <f t="shared" si="18"/>
        <v/>
      </c>
      <c r="W94" s="28" t="str">
        <f t="shared" si="18"/>
        <v/>
      </c>
      <c r="X94" s="29" t="str">
        <f t="shared" si="18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17"/>
        <v/>
      </c>
      <c r="M95" s="19" t="str">
        <f t="shared" si="17"/>
        <v/>
      </c>
      <c r="N95" s="19" t="str">
        <f t="shared" si="17"/>
        <v/>
      </c>
      <c r="O95" s="19" t="str">
        <f t="shared" si="16"/>
        <v/>
      </c>
      <c r="P95" s="19" t="str">
        <f t="shared" si="16"/>
        <v/>
      </c>
      <c r="Q95" s="19" t="str">
        <f t="shared" si="16"/>
        <v/>
      </c>
      <c r="R95" s="19" t="str">
        <f t="shared" si="16"/>
        <v/>
      </c>
      <c r="S95" s="27" t="str">
        <f t="shared" si="18"/>
        <v/>
      </c>
      <c r="T95" s="28" t="str">
        <f t="shared" si="18"/>
        <v/>
      </c>
      <c r="U95" s="28" t="str">
        <f t="shared" si="18"/>
        <v/>
      </c>
      <c r="V95" s="28" t="str">
        <f t="shared" si="18"/>
        <v/>
      </c>
      <c r="W95" s="28" t="str">
        <f t="shared" si="18"/>
        <v/>
      </c>
      <c r="X95" s="29" t="str">
        <f t="shared" si="18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7"/>
        <v/>
      </c>
      <c r="M96" s="19" t="str">
        <f t="shared" si="17"/>
        <v/>
      </c>
      <c r="N96" s="19" t="str">
        <f t="shared" si="17"/>
        <v/>
      </c>
      <c r="O96" s="19" t="str">
        <f t="shared" si="16"/>
        <v/>
      </c>
      <c r="P96" s="19" t="str">
        <f t="shared" si="16"/>
        <v/>
      </c>
      <c r="Q96" s="19" t="str">
        <f t="shared" si="16"/>
        <v/>
      </c>
      <c r="R96" s="19" t="str">
        <f t="shared" si="16"/>
        <v/>
      </c>
      <c r="S96" s="27" t="str">
        <f t="shared" si="18"/>
        <v/>
      </c>
      <c r="T96" s="28" t="str">
        <f t="shared" si="18"/>
        <v/>
      </c>
      <c r="U96" s="28" t="str">
        <f t="shared" si="18"/>
        <v/>
      </c>
      <c r="V96" s="28" t="str">
        <f t="shared" si="18"/>
        <v/>
      </c>
      <c r="W96" s="28" t="str">
        <f t="shared" si="18"/>
        <v/>
      </c>
      <c r="X96" s="29" t="str">
        <f t="shared" si="18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7"/>
        <v/>
      </c>
      <c r="M97" s="19" t="str">
        <f t="shared" si="17"/>
        <v/>
      </c>
      <c r="N97" s="19" t="str">
        <f t="shared" si="17"/>
        <v/>
      </c>
      <c r="O97" s="19" t="str">
        <f t="shared" si="16"/>
        <v/>
      </c>
      <c r="P97" s="19" t="str">
        <f t="shared" si="16"/>
        <v/>
      </c>
      <c r="Q97" s="19" t="str">
        <f t="shared" si="16"/>
        <v/>
      </c>
      <c r="R97" s="19" t="str">
        <f t="shared" si="16"/>
        <v/>
      </c>
      <c r="S97" s="27" t="str">
        <f t="shared" ref="S97:X112" si="19">IF(C97="","",((C97-C96)*1000)/($B97-$B96))</f>
        <v/>
      </c>
      <c r="T97" s="28" t="str">
        <f t="shared" si="19"/>
        <v/>
      </c>
      <c r="U97" s="28" t="str">
        <f t="shared" si="19"/>
        <v/>
      </c>
      <c r="V97" s="28" t="str">
        <f t="shared" si="19"/>
        <v/>
      </c>
      <c r="W97" s="28" t="str">
        <f t="shared" si="19"/>
        <v/>
      </c>
      <c r="X97" s="29" t="str">
        <f t="shared" si="1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7"/>
        <v/>
      </c>
      <c r="M98" s="19" t="str">
        <f t="shared" si="17"/>
        <v/>
      </c>
      <c r="N98" s="19" t="str">
        <f t="shared" si="17"/>
        <v/>
      </c>
      <c r="O98" s="19" t="str">
        <f t="shared" si="16"/>
        <v/>
      </c>
      <c r="P98" s="19" t="str">
        <f t="shared" si="16"/>
        <v/>
      </c>
      <c r="Q98" s="19" t="str">
        <f t="shared" si="16"/>
        <v/>
      </c>
      <c r="R98" s="19" t="str">
        <f t="shared" si="16"/>
        <v/>
      </c>
      <c r="S98" s="27" t="str">
        <f t="shared" si="19"/>
        <v/>
      </c>
      <c r="T98" s="28" t="str">
        <f t="shared" si="19"/>
        <v/>
      </c>
      <c r="U98" s="28" t="str">
        <f t="shared" si="19"/>
        <v/>
      </c>
      <c r="V98" s="28" t="str">
        <f t="shared" si="19"/>
        <v/>
      </c>
      <c r="W98" s="28" t="str">
        <f t="shared" si="19"/>
        <v/>
      </c>
      <c r="X98" s="29" t="str">
        <f t="shared" si="1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7"/>
        <v/>
      </c>
      <c r="M99" s="19" t="str">
        <f t="shared" si="17"/>
        <v/>
      </c>
      <c r="N99" s="19" t="str">
        <f t="shared" si="17"/>
        <v/>
      </c>
      <c r="O99" s="19" t="str">
        <f t="shared" si="16"/>
        <v/>
      </c>
      <c r="P99" s="19" t="str">
        <f t="shared" si="16"/>
        <v/>
      </c>
      <c r="Q99" s="19" t="str">
        <f t="shared" si="16"/>
        <v/>
      </c>
      <c r="R99" s="19" t="str">
        <f t="shared" si="16"/>
        <v/>
      </c>
      <c r="S99" s="27" t="str">
        <f t="shared" si="19"/>
        <v/>
      </c>
      <c r="T99" s="28" t="str">
        <f t="shared" si="19"/>
        <v/>
      </c>
      <c r="U99" s="28" t="str">
        <f t="shared" si="19"/>
        <v/>
      </c>
      <c r="V99" s="28" t="str">
        <f t="shared" si="19"/>
        <v/>
      </c>
      <c r="W99" s="28" t="str">
        <f t="shared" si="19"/>
        <v/>
      </c>
      <c r="X99" s="29" t="str">
        <f t="shared" si="1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7"/>
        <v/>
      </c>
      <c r="M100" s="19" t="str">
        <f t="shared" si="17"/>
        <v/>
      </c>
      <c r="N100" s="19" t="str">
        <f t="shared" si="17"/>
        <v/>
      </c>
      <c r="O100" s="19" t="str">
        <f t="shared" si="16"/>
        <v/>
      </c>
      <c r="P100" s="19" t="str">
        <f t="shared" si="16"/>
        <v/>
      </c>
      <c r="Q100" s="19" t="str">
        <f t="shared" si="16"/>
        <v/>
      </c>
      <c r="R100" s="19" t="str">
        <f t="shared" si="16"/>
        <v/>
      </c>
      <c r="S100" s="27" t="str">
        <f t="shared" si="19"/>
        <v/>
      </c>
      <c r="T100" s="28" t="str">
        <f t="shared" si="19"/>
        <v/>
      </c>
      <c r="U100" s="28" t="str">
        <f t="shared" si="19"/>
        <v/>
      </c>
      <c r="V100" s="28" t="str">
        <f t="shared" si="19"/>
        <v/>
      </c>
      <c r="W100" s="28" t="str">
        <f t="shared" si="19"/>
        <v/>
      </c>
      <c r="X100" s="29" t="str">
        <f t="shared" si="1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7"/>
        <v/>
      </c>
      <c r="M101" s="19" t="str">
        <f t="shared" si="17"/>
        <v/>
      </c>
      <c r="N101" s="19" t="str">
        <f t="shared" si="17"/>
        <v/>
      </c>
      <c r="O101" s="19" t="str">
        <f t="shared" si="16"/>
        <v/>
      </c>
      <c r="P101" s="19" t="str">
        <f t="shared" si="16"/>
        <v/>
      </c>
      <c r="Q101" s="19" t="str">
        <f t="shared" si="16"/>
        <v/>
      </c>
      <c r="R101" s="19" t="str">
        <f t="shared" si="16"/>
        <v/>
      </c>
      <c r="S101" s="27" t="str">
        <f t="shared" si="19"/>
        <v/>
      </c>
      <c r="T101" s="28" t="str">
        <f t="shared" si="19"/>
        <v/>
      </c>
      <c r="U101" s="28" t="str">
        <f t="shared" si="19"/>
        <v/>
      </c>
      <c r="V101" s="28" t="str">
        <f t="shared" si="19"/>
        <v/>
      </c>
      <c r="W101" s="28" t="str">
        <f t="shared" si="19"/>
        <v/>
      </c>
      <c r="X101" s="29" t="str">
        <f t="shared" si="1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7"/>
        <v/>
      </c>
      <c r="M102" s="19" t="str">
        <f t="shared" si="17"/>
        <v/>
      </c>
      <c r="N102" s="19" t="str">
        <f t="shared" si="17"/>
        <v/>
      </c>
      <c r="O102" s="19" t="str">
        <f t="shared" si="16"/>
        <v/>
      </c>
      <c r="P102" s="19" t="str">
        <f t="shared" si="16"/>
        <v/>
      </c>
      <c r="Q102" s="19" t="str">
        <f t="shared" si="16"/>
        <v/>
      </c>
      <c r="R102" s="19" t="str">
        <f t="shared" si="16"/>
        <v/>
      </c>
      <c r="S102" s="27" t="str">
        <f t="shared" si="19"/>
        <v/>
      </c>
      <c r="T102" s="28" t="str">
        <f t="shared" si="19"/>
        <v/>
      </c>
      <c r="U102" s="28" t="str">
        <f t="shared" si="19"/>
        <v/>
      </c>
      <c r="V102" s="28" t="str">
        <f t="shared" si="19"/>
        <v/>
      </c>
      <c r="W102" s="28" t="str">
        <f t="shared" si="19"/>
        <v/>
      </c>
      <c r="X102" s="29" t="str">
        <f t="shared" si="1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7"/>
        <v/>
      </c>
      <c r="M103" s="19" t="str">
        <f t="shared" si="17"/>
        <v/>
      </c>
      <c r="N103" s="19" t="str">
        <f t="shared" si="17"/>
        <v/>
      </c>
      <c r="O103" s="19" t="str">
        <f t="shared" si="16"/>
        <v/>
      </c>
      <c r="P103" s="19" t="str">
        <f t="shared" si="16"/>
        <v/>
      </c>
      <c r="Q103" s="19" t="str">
        <f t="shared" si="16"/>
        <v/>
      </c>
      <c r="R103" s="19" t="str">
        <f t="shared" si="16"/>
        <v/>
      </c>
      <c r="S103" s="27" t="str">
        <f t="shared" si="19"/>
        <v/>
      </c>
      <c r="T103" s="28" t="str">
        <f t="shared" si="19"/>
        <v/>
      </c>
      <c r="U103" s="28" t="str">
        <f t="shared" si="19"/>
        <v/>
      </c>
      <c r="V103" s="28" t="str">
        <f t="shared" si="19"/>
        <v/>
      </c>
      <c r="W103" s="28" t="str">
        <f t="shared" si="19"/>
        <v/>
      </c>
      <c r="X103" s="29" t="str">
        <f t="shared" si="1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7"/>
        <v/>
      </c>
      <c r="M104" s="19" t="str">
        <f t="shared" si="17"/>
        <v/>
      </c>
      <c r="N104" s="19" t="str">
        <f t="shared" si="17"/>
        <v/>
      </c>
      <c r="O104" s="19" t="str">
        <f t="shared" si="16"/>
        <v/>
      </c>
      <c r="P104" s="19" t="str">
        <f t="shared" si="16"/>
        <v/>
      </c>
      <c r="Q104" s="19" t="str">
        <f t="shared" si="16"/>
        <v/>
      </c>
      <c r="R104" s="19" t="str">
        <f t="shared" si="16"/>
        <v/>
      </c>
      <c r="S104" s="27" t="str">
        <f t="shared" si="19"/>
        <v/>
      </c>
      <c r="T104" s="28" t="str">
        <f t="shared" si="19"/>
        <v/>
      </c>
      <c r="U104" s="28" t="str">
        <f t="shared" si="19"/>
        <v/>
      </c>
      <c r="V104" s="28" t="str">
        <f t="shared" si="19"/>
        <v/>
      </c>
      <c r="W104" s="28" t="str">
        <f t="shared" si="19"/>
        <v/>
      </c>
      <c r="X104" s="29" t="str">
        <f t="shared" si="1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7"/>
        <v/>
      </c>
      <c r="M105" s="19" t="str">
        <f t="shared" si="17"/>
        <v/>
      </c>
      <c r="N105" s="19" t="str">
        <f t="shared" si="17"/>
        <v/>
      </c>
      <c r="O105" s="19" t="str">
        <f t="shared" si="16"/>
        <v/>
      </c>
      <c r="P105" s="19" t="str">
        <f t="shared" si="16"/>
        <v/>
      </c>
      <c r="Q105" s="19" t="str">
        <f t="shared" si="16"/>
        <v/>
      </c>
      <c r="R105" s="19" t="str">
        <f t="shared" si="16"/>
        <v/>
      </c>
      <c r="S105" s="27" t="str">
        <f t="shared" si="19"/>
        <v/>
      </c>
      <c r="T105" s="28" t="str">
        <f t="shared" si="19"/>
        <v/>
      </c>
      <c r="U105" s="28" t="str">
        <f t="shared" si="19"/>
        <v/>
      </c>
      <c r="V105" s="28" t="str">
        <f t="shared" si="19"/>
        <v/>
      </c>
      <c r="W105" s="28" t="str">
        <f t="shared" si="19"/>
        <v/>
      </c>
      <c r="X105" s="29" t="str">
        <f t="shared" si="1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7"/>
        <v/>
      </c>
      <c r="M106" s="19" t="str">
        <f t="shared" si="17"/>
        <v/>
      </c>
      <c r="N106" s="19" t="str">
        <f t="shared" si="17"/>
        <v/>
      </c>
      <c r="O106" s="19" t="str">
        <f t="shared" si="16"/>
        <v/>
      </c>
      <c r="P106" s="19" t="str">
        <f t="shared" si="16"/>
        <v/>
      </c>
      <c r="Q106" s="19" t="str">
        <f t="shared" si="16"/>
        <v/>
      </c>
      <c r="R106" s="19" t="str">
        <f t="shared" si="16"/>
        <v/>
      </c>
      <c r="S106" s="27" t="str">
        <f t="shared" si="19"/>
        <v/>
      </c>
      <c r="T106" s="28" t="str">
        <f t="shared" si="19"/>
        <v/>
      </c>
      <c r="U106" s="28" t="str">
        <f t="shared" si="19"/>
        <v/>
      </c>
      <c r="V106" s="28" t="str">
        <f t="shared" si="19"/>
        <v/>
      </c>
      <c r="W106" s="28" t="str">
        <f t="shared" si="19"/>
        <v/>
      </c>
      <c r="X106" s="29" t="str">
        <f t="shared" si="1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7"/>
        <v/>
      </c>
      <c r="M107" s="19" t="str">
        <f t="shared" si="17"/>
        <v/>
      </c>
      <c r="N107" s="19" t="str">
        <f t="shared" si="17"/>
        <v/>
      </c>
      <c r="O107" s="19" t="str">
        <f t="shared" si="16"/>
        <v/>
      </c>
      <c r="P107" s="19" t="str">
        <f t="shared" si="16"/>
        <v/>
      </c>
      <c r="Q107" s="19" t="str">
        <f t="shared" si="16"/>
        <v/>
      </c>
      <c r="R107" s="19" t="str">
        <f t="shared" si="16"/>
        <v/>
      </c>
      <c r="S107" s="27" t="str">
        <f t="shared" si="19"/>
        <v/>
      </c>
      <c r="T107" s="28" t="str">
        <f t="shared" si="19"/>
        <v/>
      </c>
      <c r="U107" s="28" t="str">
        <f t="shared" si="19"/>
        <v/>
      </c>
      <c r="V107" s="28" t="str">
        <f t="shared" si="19"/>
        <v/>
      </c>
      <c r="W107" s="28" t="str">
        <f t="shared" si="19"/>
        <v/>
      </c>
      <c r="X107" s="29" t="str">
        <f t="shared" si="1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7"/>
        <v/>
      </c>
      <c r="M108" s="19" t="str">
        <f t="shared" si="17"/>
        <v/>
      </c>
      <c r="N108" s="19" t="str">
        <f t="shared" si="17"/>
        <v/>
      </c>
      <c r="O108" s="19" t="str">
        <f t="shared" si="16"/>
        <v/>
      </c>
      <c r="P108" s="19" t="str">
        <f t="shared" si="16"/>
        <v/>
      </c>
      <c r="Q108" s="19" t="str">
        <f t="shared" si="16"/>
        <v/>
      </c>
      <c r="R108" s="19" t="str">
        <f t="shared" si="16"/>
        <v/>
      </c>
      <c r="S108" s="27" t="str">
        <f t="shared" si="19"/>
        <v/>
      </c>
      <c r="T108" s="28" t="str">
        <f t="shared" si="19"/>
        <v/>
      </c>
      <c r="U108" s="28" t="str">
        <f t="shared" si="19"/>
        <v/>
      </c>
      <c r="V108" s="28" t="str">
        <f t="shared" si="19"/>
        <v/>
      </c>
      <c r="W108" s="28" t="str">
        <f t="shared" si="19"/>
        <v/>
      </c>
      <c r="X108" s="29" t="str">
        <f t="shared" si="1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7"/>
        <v/>
      </c>
      <c r="M109" s="19" t="str">
        <f t="shared" si="17"/>
        <v/>
      </c>
      <c r="N109" s="19" t="str">
        <f t="shared" si="17"/>
        <v/>
      </c>
      <c r="O109" s="19" t="str">
        <f t="shared" si="16"/>
        <v/>
      </c>
      <c r="P109" s="19" t="str">
        <f t="shared" si="16"/>
        <v/>
      </c>
      <c r="Q109" s="19" t="str">
        <f t="shared" si="16"/>
        <v/>
      </c>
      <c r="R109" s="19" t="str">
        <f t="shared" si="16"/>
        <v/>
      </c>
      <c r="S109" s="27" t="str">
        <f t="shared" si="19"/>
        <v/>
      </c>
      <c r="T109" s="28" t="str">
        <f t="shared" si="19"/>
        <v/>
      </c>
      <c r="U109" s="28" t="str">
        <f t="shared" si="19"/>
        <v/>
      </c>
      <c r="V109" s="28" t="str">
        <f t="shared" si="19"/>
        <v/>
      </c>
      <c r="W109" s="28" t="str">
        <f t="shared" si="19"/>
        <v/>
      </c>
      <c r="X109" s="29" t="str">
        <f t="shared" si="1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7"/>
        <v/>
      </c>
      <c r="M110" s="19" t="str">
        <f t="shared" si="17"/>
        <v/>
      </c>
      <c r="N110" s="19" t="str">
        <f t="shared" si="17"/>
        <v/>
      </c>
      <c r="O110" s="19" t="str">
        <f t="shared" si="16"/>
        <v/>
      </c>
      <c r="P110" s="19" t="str">
        <f t="shared" si="16"/>
        <v/>
      </c>
      <c r="Q110" s="19" t="str">
        <f t="shared" si="16"/>
        <v/>
      </c>
      <c r="R110" s="19" t="str">
        <f t="shared" si="16"/>
        <v/>
      </c>
      <c r="S110" s="27" t="str">
        <f t="shared" si="19"/>
        <v/>
      </c>
      <c r="T110" s="28" t="str">
        <f t="shared" si="19"/>
        <v/>
      </c>
      <c r="U110" s="28" t="str">
        <f t="shared" si="19"/>
        <v/>
      </c>
      <c r="V110" s="28" t="str">
        <f t="shared" si="19"/>
        <v/>
      </c>
      <c r="W110" s="28" t="str">
        <f t="shared" si="19"/>
        <v/>
      </c>
      <c r="X110" s="29" t="str">
        <f t="shared" si="1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7"/>
        <v/>
      </c>
      <c r="M111" s="19" t="str">
        <f t="shared" si="17"/>
        <v/>
      </c>
      <c r="N111" s="19" t="str">
        <f t="shared" si="17"/>
        <v/>
      </c>
      <c r="O111" s="19" t="str">
        <f t="shared" si="16"/>
        <v/>
      </c>
      <c r="P111" s="19" t="str">
        <f t="shared" si="16"/>
        <v/>
      </c>
      <c r="Q111" s="19" t="str">
        <f t="shared" si="16"/>
        <v/>
      </c>
      <c r="R111" s="19" t="str">
        <f t="shared" si="16"/>
        <v/>
      </c>
      <c r="S111" s="27" t="str">
        <f t="shared" si="19"/>
        <v/>
      </c>
      <c r="T111" s="28" t="str">
        <f t="shared" si="19"/>
        <v/>
      </c>
      <c r="U111" s="28" t="str">
        <f t="shared" si="19"/>
        <v/>
      </c>
      <c r="V111" s="28" t="str">
        <f t="shared" si="19"/>
        <v/>
      </c>
      <c r="W111" s="28" t="str">
        <f t="shared" si="19"/>
        <v/>
      </c>
      <c r="X111" s="29" t="str">
        <f t="shared" si="1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7"/>
        <v/>
      </c>
      <c r="M112" s="19" t="str">
        <f t="shared" si="17"/>
        <v/>
      </c>
      <c r="N112" s="19" t="str">
        <f t="shared" si="17"/>
        <v/>
      </c>
      <c r="O112" s="19" t="str">
        <f t="shared" si="16"/>
        <v/>
      </c>
      <c r="P112" s="19" t="str">
        <f t="shared" si="16"/>
        <v/>
      </c>
      <c r="Q112" s="19" t="str">
        <f t="shared" si="16"/>
        <v/>
      </c>
      <c r="R112" s="19" t="str">
        <f t="shared" si="16"/>
        <v/>
      </c>
      <c r="S112" s="27" t="str">
        <f t="shared" si="19"/>
        <v/>
      </c>
      <c r="T112" s="28" t="str">
        <f t="shared" si="19"/>
        <v/>
      </c>
      <c r="U112" s="28" t="str">
        <f t="shared" si="19"/>
        <v/>
      </c>
      <c r="V112" s="28" t="str">
        <f t="shared" si="19"/>
        <v/>
      </c>
      <c r="W112" s="28" t="str">
        <f t="shared" si="19"/>
        <v/>
      </c>
      <c r="X112" s="29" t="str">
        <f t="shared" si="1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7"/>
        <v/>
      </c>
      <c r="M113" s="19" t="str">
        <f t="shared" si="17"/>
        <v/>
      </c>
      <c r="N113" s="19" t="str">
        <f t="shared" si="17"/>
        <v/>
      </c>
      <c r="O113" s="19" t="str">
        <f t="shared" si="16"/>
        <v/>
      </c>
      <c r="P113" s="19" t="str">
        <f t="shared" si="16"/>
        <v/>
      </c>
      <c r="Q113" s="19" t="str">
        <f t="shared" si="16"/>
        <v/>
      </c>
      <c r="R113" s="19" t="str">
        <f t="shared" si="16"/>
        <v/>
      </c>
      <c r="S113" s="27" t="str">
        <f t="shared" ref="S113:X128" si="20">IF(C113="","",((C113-C112)*1000)/($B113-$B112))</f>
        <v/>
      </c>
      <c r="T113" s="28" t="str">
        <f t="shared" si="20"/>
        <v/>
      </c>
      <c r="U113" s="28" t="str">
        <f t="shared" si="20"/>
        <v/>
      </c>
      <c r="V113" s="28" t="str">
        <f t="shared" si="20"/>
        <v/>
      </c>
      <c r="W113" s="28" t="str">
        <f t="shared" si="20"/>
        <v/>
      </c>
      <c r="X113" s="29" t="str">
        <f t="shared" si="20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7"/>
        <v/>
      </c>
      <c r="M114" s="19" t="str">
        <f t="shared" si="17"/>
        <v/>
      </c>
      <c r="N114" s="19" t="str">
        <f t="shared" si="17"/>
        <v/>
      </c>
      <c r="O114" s="19" t="str">
        <f t="shared" si="16"/>
        <v/>
      </c>
      <c r="P114" s="19" t="str">
        <f t="shared" si="16"/>
        <v/>
      </c>
      <c r="Q114" s="19" t="str">
        <f t="shared" si="16"/>
        <v/>
      </c>
      <c r="R114" s="19" t="str">
        <f t="shared" si="16"/>
        <v/>
      </c>
      <c r="S114" s="27" t="str">
        <f t="shared" si="20"/>
        <v/>
      </c>
      <c r="T114" s="28" t="str">
        <f t="shared" si="20"/>
        <v/>
      </c>
      <c r="U114" s="28" t="str">
        <f t="shared" si="20"/>
        <v/>
      </c>
      <c r="V114" s="28" t="str">
        <f t="shared" si="20"/>
        <v/>
      </c>
      <c r="W114" s="28" t="str">
        <f t="shared" si="20"/>
        <v/>
      </c>
      <c r="X114" s="29" t="str">
        <f t="shared" si="20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7"/>
        <v/>
      </c>
      <c r="M115" s="19" t="str">
        <f t="shared" si="17"/>
        <v/>
      </c>
      <c r="N115" s="19" t="str">
        <f t="shared" si="17"/>
        <v/>
      </c>
      <c r="O115" s="19" t="str">
        <f t="shared" si="16"/>
        <v/>
      </c>
      <c r="P115" s="19" t="str">
        <f t="shared" si="16"/>
        <v/>
      </c>
      <c r="Q115" s="19" t="str">
        <f t="shared" si="16"/>
        <v/>
      </c>
      <c r="R115" s="19" t="str">
        <f t="shared" si="16"/>
        <v/>
      </c>
      <c r="S115" s="27" t="str">
        <f t="shared" si="20"/>
        <v/>
      </c>
      <c r="T115" s="28" t="str">
        <f t="shared" si="20"/>
        <v/>
      </c>
      <c r="U115" s="28" t="str">
        <f t="shared" si="20"/>
        <v/>
      </c>
      <c r="V115" s="28" t="str">
        <f t="shared" si="20"/>
        <v/>
      </c>
      <c r="W115" s="28" t="str">
        <f t="shared" si="20"/>
        <v/>
      </c>
      <c r="X115" s="29" t="str">
        <f t="shared" si="20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7"/>
        <v/>
      </c>
      <c r="M116" s="19" t="str">
        <f t="shared" si="17"/>
        <v/>
      </c>
      <c r="N116" s="19" t="str">
        <f t="shared" si="17"/>
        <v/>
      </c>
      <c r="O116" s="19" t="str">
        <f t="shared" si="16"/>
        <v/>
      </c>
      <c r="P116" s="19" t="str">
        <f t="shared" si="16"/>
        <v/>
      </c>
      <c r="Q116" s="19" t="str">
        <f t="shared" si="16"/>
        <v/>
      </c>
      <c r="R116" s="19" t="str">
        <f t="shared" si="16"/>
        <v/>
      </c>
      <c r="S116" s="27" t="str">
        <f t="shared" si="20"/>
        <v/>
      </c>
      <c r="T116" s="28" t="str">
        <f t="shared" si="20"/>
        <v/>
      </c>
      <c r="U116" s="28" t="str">
        <f t="shared" si="20"/>
        <v/>
      </c>
      <c r="V116" s="28" t="str">
        <f t="shared" si="20"/>
        <v/>
      </c>
      <c r="W116" s="28" t="str">
        <f t="shared" si="20"/>
        <v/>
      </c>
      <c r="X116" s="29" t="str">
        <f t="shared" si="20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7"/>
        <v/>
      </c>
      <c r="M117" s="19" t="str">
        <f t="shared" si="17"/>
        <v/>
      </c>
      <c r="N117" s="19" t="str">
        <f t="shared" si="17"/>
        <v/>
      </c>
      <c r="O117" s="19" t="str">
        <f t="shared" si="16"/>
        <v/>
      </c>
      <c r="P117" s="19" t="str">
        <f t="shared" si="16"/>
        <v/>
      </c>
      <c r="Q117" s="19" t="str">
        <f t="shared" si="16"/>
        <v/>
      </c>
      <c r="R117" s="19" t="str">
        <f t="shared" si="16"/>
        <v/>
      </c>
      <c r="S117" s="27" t="str">
        <f t="shared" si="20"/>
        <v/>
      </c>
      <c r="T117" s="28" t="str">
        <f t="shared" si="20"/>
        <v/>
      </c>
      <c r="U117" s="28" t="str">
        <f t="shared" si="20"/>
        <v/>
      </c>
      <c r="V117" s="28" t="str">
        <f t="shared" si="20"/>
        <v/>
      </c>
      <c r="W117" s="28" t="str">
        <f t="shared" si="20"/>
        <v/>
      </c>
      <c r="X117" s="29" t="str">
        <f t="shared" si="20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7"/>
        <v/>
      </c>
      <c r="M118" s="19" t="str">
        <f t="shared" si="17"/>
        <v/>
      </c>
      <c r="N118" s="19" t="str">
        <f t="shared" si="17"/>
        <v/>
      </c>
      <c r="O118" s="19" t="str">
        <f t="shared" si="16"/>
        <v/>
      </c>
      <c r="P118" s="19" t="str">
        <f t="shared" si="16"/>
        <v/>
      </c>
      <c r="Q118" s="19" t="str">
        <f t="shared" si="16"/>
        <v/>
      </c>
      <c r="R118" s="19" t="str">
        <f t="shared" si="16"/>
        <v/>
      </c>
      <c r="S118" s="27" t="str">
        <f t="shared" si="20"/>
        <v/>
      </c>
      <c r="T118" s="28" t="str">
        <f t="shared" si="20"/>
        <v/>
      </c>
      <c r="U118" s="28" t="str">
        <f t="shared" si="20"/>
        <v/>
      </c>
      <c r="V118" s="28" t="str">
        <f t="shared" si="20"/>
        <v/>
      </c>
      <c r="W118" s="28" t="str">
        <f t="shared" si="20"/>
        <v/>
      </c>
      <c r="X118" s="29" t="str">
        <f t="shared" si="20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7"/>
        <v/>
      </c>
      <c r="M119" s="19" t="str">
        <f t="shared" si="17"/>
        <v/>
      </c>
      <c r="N119" s="19" t="str">
        <f t="shared" si="17"/>
        <v/>
      </c>
      <c r="O119" s="19" t="str">
        <f t="shared" si="16"/>
        <v/>
      </c>
      <c r="P119" s="19" t="str">
        <f t="shared" si="16"/>
        <v/>
      </c>
      <c r="Q119" s="19" t="str">
        <f t="shared" si="16"/>
        <v/>
      </c>
      <c r="R119" s="19" t="str">
        <f t="shared" si="16"/>
        <v/>
      </c>
      <c r="S119" s="27" t="str">
        <f t="shared" si="20"/>
        <v/>
      </c>
      <c r="T119" s="28" t="str">
        <f t="shared" si="20"/>
        <v/>
      </c>
      <c r="U119" s="28" t="str">
        <f t="shared" si="20"/>
        <v/>
      </c>
      <c r="V119" s="28" t="str">
        <f t="shared" si="20"/>
        <v/>
      </c>
      <c r="W119" s="28" t="str">
        <f t="shared" si="20"/>
        <v/>
      </c>
      <c r="X119" s="29" t="str">
        <f t="shared" si="20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7"/>
        <v/>
      </c>
      <c r="M120" s="19" t="str">
        <f t="shared" si="17"/>
        <v/>
      </c>
      <c r="N120" s="19" t="str">
        <f t="shared" si="17"/>
        <v/>
      </c>
      <c r="O120" s="19" t="str">
        <f t="shared" si="16"/>
        <v/>
      </c>
      <c r="P120" s="19" t="str">
        <f t="shared" si="16"/>
        <v/>
      </c>
      <c r="Q120" s="19" t="str">
        <f t="shared" si="16"/>
        <v/>
      </c>
      <c r="R120" s="19" t="str">
        <f t="shared" si="16"/>
        <v/>
      </c>
      <c r="S120" s="27" t="str">
        <f t="shared" si="20"/>
        <v/>
      </c>
      <c r="T120" s="28" t="str">
        <f t="shared" si="20"/>
        <v/>
      </c>
      <c r="U120" s="28" t="str">
        <f t="shared" si="20"/>
        <v/>
      </c>
      <c r="V120" s="28" t="str">
        <f t="shared" si="20"/>
        <v/>
      </c>
      <c r="W120" s="28" t="str">
        <f t="shared" si="20"/>
        <v/>
      </c>
      <c r="X120" s="29" t="str">
        <f t="shared" si="20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7"/>
        <v/>
      </c>
      <c r="M121" s="19" t="str">
        <f t="shared" si="17"/>
        <v/>
      </c>
      <c r="N121" s="19" t="str">
        <f t="shared" si="17"/>
        <v/>
      </c>
      <c r="O121" s="19" t="str">
        <f t="shared" si="16"/>
        <v/>
      </c>
      <c r="P121" s="19" t="str">
        <f t="shared" si="16"/>
        <v/>
      </c>
      <c r="Q121" s="19" t="str">
        <f t="shared" si="16"/>
        <v/>
      </c>
      <c r="R121" s="19" t="str">
        <f t="shared" si="16"/>
        <v/>
      </c>
      <c r="S121" s="27" t="str">
        <f t="shared" si="20"/>
        <v/>
      </c>
      <c r="T121" s="28" t="str">
        <f t="shared" si="20"/>
        <v/>
      </c>
      <c r="U121" s="28" t="str">
        <f t="shared" si="20"/>
        <v/>
      </c>
      <c r="V121" s="28" t="str">
        <f t="shared" si="20"/>
        <v/>
      </c>
      <c r="W121" s="28" t="str">
        <f t="shared" si="20"/>
        <v/>
      </c>
      <c r="X121" s="29" t="str">
        <f t="shared" si="20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7"/>
        <v/>
      </c>
      <c r="M122" s="19" t="str">
        <f t="shared" si="17"/>
        <v/>
      </c>
      <c r="N122" s="19" t="str">
        <f t="shared" si="17"/>
        <v/>
      </c>
      <c r="O122" s="19" t="str">
        <f t="shared" si="16"/>
        <v/>
      </c>
      <c r="P122" s="19" t="str">
        <f t="shared" si="16"/>
        <v/>
      </c>
      <c r="Q122" s="19" t="str">
        <f t="shared" si="16"/>
        <v/>
      </c>
      <c r="R122" s="19" t="str">
        <f t="shared" si="16"/>
        <v/>
      </c>
      <c r="S122" s="27" t="str">
        <f t="shared" si="20"/>
        <v/>
      </c>
      <c r="T122" s="28" t="str">
        <f t="shared" si="20"/>
        <v/>
      </c>
      <c r="U122" s="28" t="str">
        <f t="shared" si="20"/>
        <v/>
      </c>
      <c r="V122" s="28" t="str">
        <f t="shared" si="20"/>
        <v/>
      </c>
      <c r="W122" s="28" t="str">
        <f t="shared" si="20"/>
        <v/>
      </c>
      <c r="X122" s="29" t="str">
        <f t="shared" si="20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7"/>
        <v/>
      </c>
      <c r="M123" s="19" t="str">
        <f t="shared" si="17"/>
        <v/>
      </c>
      <c r="N123" s="19" t="str">
        <f t="shared" si="17"/>
        <v/>
      </c>
      <c r="O123" s="19" t="str">
        <f t="shared" si="16"/>
        <v/>
      </c>
      <c r="P123" s="19" t="str">
        <f t="shared" si="16"/>
        <v/>
      </c>
      <c r="Q123" s="19" t="str">
        <f t="shared" si="16"/>
        <v/>
      </c>
      <c r="R123" s="19" t="str">
        <f t="shared" si="16"/>
        <v/>
      </c>
      <c r="S123" s="27" t="str">
        <f t="shared" si="20"/>
        <v/>
      </c>
      <c r="T123" s="28" t="str">
        <f t="shared" si="20"/>
        <v/>
      </c>
      <c r="U123" s="28" t="str">
        <f t="shared" si="20"/>
        <v/>
      </c>
      <c r="V123" s="28" t="str">
        <f t="shared" si="20"/>
        <v/>
      </c>
      <c r="W123" s="28" t="str">
        <f t="shared" si="20"/>
        <v/>
      </c>
      <c r="X123" s="29" t="str">
        <f t="shared" si="20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7"/>
        <v/>
      </c>
      <c r="M124" s="19" t="str">
        <f t="shared" si="17"/>
        <v/>
      </c>
      <c r="N124" s="19" t="str">
        <f t="shared" si="17"/>
        <v/>
      </c>
      <c r="O124" s="19" t="str">
        <f t="shared" si="16"/>
        <v/>
      </c>
      <c r="P124" s="19" t="str">
        <f t="shared" si="16"/>
        <v/>
      </c>
      <c r="Q124" s="19" t="str">
        <f t="shared" si="16"/>
        <v/>
      </c>
      <c r="R124" s="19" t="str">
        <f t="shared" si="16"/>
        <v/>
      </c>
      <c r="S124" s="27" t="str">
        <f t="shared" si="20"/>
        <v/>
      </c>
      <c r="T124" s="28" t="str">
        <f t="shared" si="20"/>
        <v/>
      </c>
      <c r="U124" s="28" t="str">
        <f t="shared" si="20"/>
        <v/>
      </c>
      <c r="V124" s="28" t="str">
        <f t="shared" si="20"/>
        <v/>
      </c>
      <c r="W124" s="28" t="str">
        <f t="shared" si="20"/>
        <v/>
      </c>
      <c r="X124" s="29" t="str">
        <f t="shared" si="20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7"/>
        <v/>
      </c>
      <c r="M125" s="19" t="str">
        <f t="shared" si="17"/>
        <v/>
      </c>
      <c r="N125" s="19" t="str">
        <f t="shared" si="17"/>
        <v/>
      </c>
      <c r="O125" s="19" t="str">
        <f t="shared" si="16"/>
        <v/>
      </c>
      <c r="P125" s="19" t="str">
        <f t="shared" si="16"/>
        <v/>
      </c>
      <c r="Q125" s="19" t="str">
        <f t="shared" si="16"/>
        <v/>
      </c>
      <c r="R125" s="19" t="str">
        <f t="shared" si="16"/>
        <v/>
      </c>
      <c r="S125" s="27" t="str">
        <f t="shared" si="20"/>
        <v/>
      </c>
      <c r="T125" s="28" t="str">
        <f t="shared" si="20"/>
        <v/>
      </c>
      <c r="U125" s="28" t="str">
        <f t="shared" si="20"/>
        <v/>
      </c>
      <c r="V125" s="28" t="str">
        <f t="shared" si="20"/>
        <v/>
      </c>
      <c r="W125" s="28" t="str">
        <f t="shared" si="20"/>
        <v/>
      </c>
      <c r="X125" s="29" t="str">
        <f t="shared" si="20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7"/>
        <v/>
      </c>
      <c r="M126" s="19" t="str">
        <f t="shared" si="17"/>
        <v/>
      </c>
      <c r="N126" s="19" t="str">
        <f t="shared" si="17"/>
        <v/>
      </c>
      <c r="O126" s="19" t="str">
        <f t="shared" si="16"/>
        <v/>
      </c>
      <c r="P126" s="19" t="str">
        <f t="shared" si="16"/>
        <v/>
      </c>
      <c r="Q126" s="19" t="str">
        <f t="shared" si="16"/>
        <v/>
      </c>
      <c r="R126" s="19" t="str">
        <f t="shared" si="16"/>
        <v/>
      </c>
      <c r="S126" s="27" t="str">
        <f t="shared" si="20"/>
        <v/>
      </c>
      <c r="T126" s="28" t="str">
        <f t="shared" si="20"/>
        <v/>
      </c>
      <c r="U126" s="28" t="str">
        <f t="shared" si="20"/>
        <v/>
      </c>
      <c r="V126" s="28" t="str">
        <f t="shared" si="20"/>
        <v/>
      </c>
      <c r="W126" s="28" t="str">
        <f t="shared" si="20"/>
        <v/>
      </c>
      <c r="X126" s="29" t="str">
        <f t="shared" si="20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7"/>
        <v/>
      </c>
      <c r="M127" s="19" t="str">
        <f t="shared" si="17"/>
        <v/>
      </c>
      <c r="N127" s="19" t="str">
        <f t="shared" si="17"/>
        <v/>
      </c>
      <c r="O127" s="19" t="str">
        <f t="shared" si="16"/>
        <v/>
      </c>
      <c r="P127" s="19" t="str">
        <f t="shared" si="16"/>
        <v/>
      </c>
      <c r="Q127" s="19" t="str">
        <f t="shared" si="16"/>
        <v/>
      </c>
      <c r="R127" s="19" t="str">
        <f t="shared" si="16"/>
        <v/>
      </c>
      <c r="S127" s="27" t="str">
        <f t="shared" si="20"/>
        <v/>
      </c>
      <c r="T127" s="28" t="str">
        <f t="shared" si="20"/>
        <v/>
      </c>
      <c r="U127" s="28" t="str">
        <f t="shared" si="20"/>
        <v/>
      </c>
      <c r="V127" s="28" t="str">
        <f t="shared" si="20"/>
        <v/>
      </c>
      <c r="W127" s="28" t="str">
        <f t="shared" si="20"/>
        <v/>
      </c>
      <c r="X127" s="29" t="str">
        <f t="shared" si="20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7"/>
        <v/>
      </c>
      <c r="M128" s="19" t="str">
        <f t="shared" si="17"/>
        <v/>
      </c>
      <c r="N128" s="19" t="str">
        <f t="shared" si="17"/>
        <v/>
      </c>
      <c r="O128" s="19" t="str">
        <f t="shared" si="16"/>
        <v/>
      </c>
      <c r="P128" s="19" t="str">
        <f t="shared" si="16"/>
        <v/>
      </c>
      <c r="Q128" s="19" t="str">
        <f t="shared" si="16"/>
        <v/>
      </c>
      <c r="R128" s="19" t="str">
        <f t="shared" si="16"/>
        <v/>
      </c>
      <c r="S128" s="27" t="str">
        <f t="shared" si="20"/>
        <v/>
      </c>
      <c r="T128" s="28" t="str">
        <f t="shared" si="20"/>
        <v/>
      </c>
      <c r="U128" s="28" t="str">
        <f t="shared" si="20"/>
        <v/>
      </c>
      <c r="V128" s="28" t="str">
        <f t="shared" si="20"/>
        <v/>
      </c>
      <c r="W128" s="28" t="str">
        <f t="shared" si="20"/>
        <v/>
      </c>
      <c r="X128" s="29" t="str">
        <f t="shared" si="20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7"/>
        <v/>
      </c>
      <c r="M129" s="19" t="str">
        <f t="shared" si="17"/>
        <v/>
      </c>
      <c r="N129" s="19" t="str">
        <f t="shared" si="17"/>
        <v/>
      </c>
      <c r="O129" s="19" t="str">
        <f t="shared" si="16"/>
        <v/>
      </c>
      <c r="P129" s="19" t="str">
        <f t="shared" si="16"/>
        <v/>
      </c>
      <c r="Q129" s="19" t="str">
        <f t="shared" si="16"/>
        <v/>
      </c>
      <c r="R129" s="19" t="str">
        <f t="shared" si="16"/>
        <v/>
      </c>
      <c r="S129" s="27" t="str">
        <f t="shared" ref="S129:X144" si="21">IF(C129="","",((C129-C128)*1000)/($B129-$B128))</f>
        <v/>
      </c>
      <c r="T129" s="28" t="str">
        <f t="shared" si="21"/>
        <v/>
      </c>
      <c r="U129" s="28" t="str">
        <f t="shared" si="21"/>
        <v/>
      </c>
      <c r="V129" s="28" t="str">
        <f t="shared" si="21"/>
        <v/>
      </c>
      <c r="W129" s="28" t="str">
        <f t="shared" si="21"/>
        <v/>
      </c>
      <c r="X129" s="29" t="str">
        <f t="shared" si="21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7"/>
        <v/>
      </c>
      <c r="M130" s="19" t="str">
        <f t="shared" si="17"/>
        <v/>
      </c>
      <c r="N130" s="19" t="str">
        <f t="shared" si="17"/>
        <v/>
      </c>
      <c r="O130" s="19" t="str">
        <f t="shared" si="16"/>
        <v/>
      </c>
      <c r="P130" s="19" t="str">
        <f t="shared" si="16"/>
        <v/>
      </c>
      <c r="Q130" s="19" t="str">
        <f t="shared" si="16"/>
        <v/>
      </c>
      <c r="R130" s="19" t="str">
        <f t="shared" si="16"/>
        <v/>
      </c>
      <c r="S130" s="27" t="str">
        <f t="shared" si="21"/>
        <v/>
      </c>
      <c r="T130" s="28" t="str">
        <f t="shared" si="21"/>
        <v/>
      </c>
      <c r="U130" s="28" t="str">
        <f t="shared" si="21"/>
        <v/>
      </c>
      <c r="V130" s="28" t="str">
        <f t="shared" si="21"/>
        <v/>
      </c>
      <c r="W130" s="28" t="str">
        <f t="shared" si="21"/>
        <v/>
      </c>
      <c r="X130" s="29" t="str">
        <f t="shared" si="21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7"/>
        <v/>
      </c>
      <c r="M131" s="19" t="str">
        <f t="shared" si="17"/>
        <v/>
      </c>
      <c r="N131" s="19" t="str">
        <f t="shared" si="17"/>
        <v/>
      </c>
      <c r="O131" s="19" t="str">
        <f t="shared" si="16"/>
        <v/>
      </c>
      <c r="P131" s="19" t="str">
        <f t="shared" si="16"/>
        <v/>
      </c>
      <c r="Q131" s="19" t="str">
        <f t="shared" si="16"/>
        <v/>
      </c>
      <c r="R131" s="19" t="str">
        <f t="shared" ref="R131:R152" si="22">IF(ISBLANK(I131),"",(I131-I$16)*1000)</f>
        <v/>
      </c>
      <c r="S131" s="27" t="str">
        <f t="shared" si="21"/>
        <v/>
      </c>
      <c r="T131" s="28" t="str">
        <f t="shared" si="21"/>
        <v/>
      </c>
      <c r="U131" s="28" t="str">
        <f t="shared" si="21"/>
        <v/>
      </c>
      <c r="V131" s="28" t="str">
        <f t="shared" si="21"/>
        <v/>
      </c>
      <c r="W131" s="28" t="str">
        <f t="shared" si="21"/>
        <v/>
      </c>
      <c r="X131" s="29" t="str">
        <f t="shared" si="21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7"/>
        <v/>
      </c>
      <c r="M132" s="19" t="str">
        <f t="shared" si="17"/>
        <v/>
      </c>
      <c r="N132" s="19" t="str">
        <f t="shared" si="17"/>
        <v/>
      </c>
      <c r="O132" s="19" t="str">
        <f t="shared" si="17"/>
        <v/>
      </c>
      <c r="P132" s="19" t="str">
        <f t="shared" si="17"/>
        <v/>
      </c>
      <c r="Q132" s="19" t="str">
        <f t="shared" si="17"/>
        <v/>
      </c>
      <c r="R132" s="19" t="str">
        <f t="shared" si="22"/>
        <v/>
      </c>
      <c r="S132" s="27" t="str">
        <f t="shared" si="21"/>
        <v/>
      </c>
      <c r="T132" s="28" t="str">
        <f t="shared" si="21"/>
        <v/>
      </c>
      <c r="U132" s="28" t="str">
        <f t="shared" si="21"/>
        <v/>
      </c>
      <c r="V132" s="28" t="str">
        <f t="shared" si="21"/>
        <v/>
      </c>
      <c r="W132" s="28" t="str">
        <f t="shared" si="21"/>
        <v/>
      </c>
      <c r="X132" s="29" t="str">
        <f t="shared" si="21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ref="L133:Q153" si="23">IF(ISBLANK(C133),"",(C133-C$16)*1000)</f>
        <v/>
      </c>
      <c r="M133" s="19" t="str">
        <f t="shared" si="23"/>
        <v/>
      </c>
      <c r="N133" s="19" t="str">
        <f t="shared" si="23"/>
        <v/>
      </c>
      <c r="O133" s="19" t="str">
        <f t="shared" si="23"/>
        <v/>
      </c>
      <c r="P133" s="19" t="str">
        <f t="shared" si="23"/>
        <v/>
      </c>
      <c r="Q133" s="19" t="str">
        <f t="shared" si="23"/>
        <v/>
      </c>
      <c r="R133" s="19" t="str">
        <f t="shared" si="22"/>
        <v/>
      </c>
      <c r="S133" s="27" t="str">
        <f t="shared" si="21"/>
        <v/>
      </c>
      <c r="T133" s="28" t="str">
        <f t="shared" si="21"/>
        <v/>
      </c>
      <c r="U133" s="28" t="str">
        <f t="shared" si="21"/>
        <v/>
      </c>
      <c r="V133" s="28" t="str">
        <f t="shared" si="21"/>
        <v/>
      </c>
      <c r="W133" s="28" t="str">
        <f t="shared" si="21"/>
        <v/>
      </c>
      <c r="X133" s="29" t="str">
        <f t="shared" si="21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3"/>
        <v/>
      </c>
      <c r="M134" s="19" t="str">
        <f t="shared" si="23"/>
        <v/>
      </c>
      <c r="N134" s="19" t="str">
        <f t="shared" si="23"/>
        <v/>
      </c>
      <c r="O134" s="19" t="str">
        <f t="shared" si="23"/>
        <v/>
      </c>
      <c r="P134" s="19" t="str">
        <f t="shared" si="23"/>
        <v/>
      </c>
      <c r="Q134" s="19" t="str">
        <f t="shared" si="23"/>
        <v/>
      </c>
      <c r="R134" s="19" t="str">
        <f t="shared" si="22"/>
        <v/>
      </c>
      <c r="S134" s="27" t="str">
        <f t="shared" si="21"/>
        <v/>
      </c>
      <c r="T134" s="28" t="str">
        <f t="shared" si="21"/>
        <v/>
      </c>
      <c r="U134" s="28" t="str">
        <f t="shared" si="21"/>
        <v/>
      </c>
      <c r="V134" s="28" t="str">
        <f t="shared" si="21"/>
        <v/>
      </c>
      <c r="W134" s="28" t="str">
        <f t="shared" si="21"/>
        <v/>
      </c>
      <c r="X134" s="29" t="str">
        <f t="shared" si="21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3"/>
        <v/>
      </c>
      <c r="M135" s="19" t="str">
        <f t="shared" si="23"/>
        <v/>
      </c>
      <c r="N135" s="19" t="str">
        <f t="shared" si="23"/>
        <v/>
      </c>
      <c r="O135" s="19" t="str">
        <f t="shared" si="23"/>
        <v/>
      </c>
      <c r="P135" s="19" t="str">
        <f t="shared" si="23"/>
        <v/>
      </c>
      <c r="Q135" s="19" t="str">
        <f t="shared" si="23"/>
        <v/>
      </c>
      <c r="R135" s="19" t="str">
        <f t="shared" si="22"/>
        <v/>
      </c>
      <c r="S135" s="27" t="str">
        <f t="shared" si="21"/>
        <v/>
      </c>
      <c r="T135" s="28" t="str">
        <f t="shared" si="21"/>
        <v/>
      </c>
      <c r="U135" s="28" t="str">
        <f t="shared" si="21"/>
        <v/>
      </c>
      <c r="V135" s="28" t="str">
        <f t="shared" si="21"/>
        <v/>
      </c>
      <c r="W135" s="28" t="str">
        <f t="shared" si="21"/>
        <v/>
      </c>
      <c r="X135" s="29" t="str">
        <f t="shared" si="21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3"/>
        <v/>
      </c>
      <c r="M136" s="19" t="str">
        <f t="shared" si="23"/>
        <v/>
      </c>
      <c r="N136" s="19" t="str">
        <f t="shared" si="23"/>
        <v/>
      </c>
      <c r="O136" s="19" t="str">
        <f t="shared" si="23"/>
        <v/>
      </c>
      <c r="P136" s="19" t="str">
        <f t="shared" si="23"/>
        <v/>
      </c>
      <c r="Q136" s="19" t="str">
        <f t="shared" si="23"/>
        <v/>
      </c>
      <c r="R136" s="19" t="str">
        <f t="shared" si="22"/>
        <v/>
      </c>
      <c r="S136" s="27" t="str">
        <f t="shared" si="21"/>
        <v/>
      </c>
      <c r="T136" s="28" t="str">
        <f t="shared" si="21"/>
        <v/>
      </c>
      <c r="U136" s="28" t="str">
        <f t="shared" si="21"/>
        <v/>
      </c>
      <c r="V136" s="28" t="str">
        <f t="shared" si="21"/>
        <v/>
      </c>
      <c r="W136" s="28" t="str">
        <f t="shared" si="21"/>
        <v/>
      </c>
      <c r="X136" s="29" t="str">
        <f t="shared" si="21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3"/>
        <v/>
      </c>
      <c r="M137" s="19" t="str">
        <f t="shared" si="23"/>
        <v/>
      </c>
      <c r="N137" s="19" t="str">
        <f t="shared" si="23"/>
        <v/>
      </c>
      <c r="O137" s="19" t="str">
        <f t="shared" si="23"/>
        <v/>
      </c>
      <c r="P137" s="19" t="str">
        <f t="shared" si="23"/>
        <v/>
      </c>
      <c r="Q137" s="19" t="str">
        <f t="shared" si="23"/>
        <v/>
      </c>
      <c r="R137" s="19" t="str">
        <f t="shared" si="22"/>
        <v/>
      </c>
      <c r="S137" s="27" t="str">
        <f t="shared" si="21"/>
        <v/>
      </c>
      <c r="T137" s="28" t="str">
        <f t="shared" si="21"/>
        <v/>
      </c>
      <c r="U137" s="28" t="str">
        <f t="shared" si="21"/>
        <v/>
      </c>
      <c r="V137" s="28" t="str">
        <f t="shared" si="21"/>
        <v/>
      </c>
      <c r="W137" s="28" t="str">
        <f t="shared" si="21"/>
        <v/>
      </c>
      <c r="X137" s="29" t="str">
        <f t="shared" si="21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3"/>
        <v/>
      </c>
      <c r="M138" s="19" t="str">
        <f t="shared" si="23"/>
        <v/>
      </c>
      <c r="N138" s="19" t="str">
        <f t="shared" si="23"/>
        <v/>
      </c>
      <c r="O138" s="19" t="str">
        <f t="shared" si="23"/>
        <v/>
      </c>
      <c r="P138" s="19" t="str">
        <f t="shared" si="23"/>
        <v/>
      </c>
      <c r="Q138" s="19" t="str">
        <f t="shared" si="23"/>
        <v/>
      </c>
      <c r="R138" s="19" t="str">
        <f t="shared" si="22"/>
        <v/>
      </c>
      <c r="S138" s="27" t="str">
        <f t="shared" si="21"/>
        <v/>
      </c>
      <c r="T138" s="28" t="str">
        <f t="shared" si="21"/>
        <v/>
      </c>
      <c r="U138" s="28" t="str">
        <f t="shared" si="21"/>
        <v/>
      </c>
      <c r="V138" s="28" t="str">
        <f t="shared" si="21"/>
        <v/>
      </c>
      <c r="W138" s="28" t="str">
        <f t="shared" si="21"/>
        <v/>
      </c>
      <c r="X138" s="29" t="str">
        <f t="shared" si="21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3"/>
        <v/>
      </c>
      <c r="M139" s="19" t="str">
        <f t="shared" si="23"/>
        <v/>
      </c>
      <c r="N139" s="19" t="str">
        <f t="shared" si="23"/>
        <v/>
      </c>
      <c r="O139" s="19" t="str">
        <f t="shared" si="23"/>
        <v/>
      </c>
      <c r="P139" s="19" t="str">
        <f t="shared" si="23"/>
        <v/>
      </c>
      <c r="Q139" s="19" t="str">
        <f t="shared" si="23"/>
        <v/>
      </c>
      <c r="R139" s="19" t="str">
        <f t="shared" si="22"/>
        <v/>
      </c>
      <c r="S139" s="27" t="str">
        <f t="shared" si="21"/>
        <v/>
      </c>
      <c r="T139" s="28" t="str">
        <f t="shared" si="21"/>
        <v/>
      </c>
      <c r="U139" s="28" t="str">
        <f t="shared" si="21"/>
        <v/>
      </c>
      <c r="V139" s="28" t="str">
        <f t="shared" si="21"/>
        <v/>
      </c>
      <c r="W139" s="28" t="str">
        <f t="shared" si="21"/>
        <v/>
      </c>
      <c r="X139" s="29" t="str">
        <f t="shared" si="21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3"/>
        <v/>
      </c>
      <c r="M140" s="19" t="str">
        <f t="shared" si="23"/>
        <v/>
      </c>
      <c r="N140" s="19" t="str">
        <f t="shared" si="23"/>
        <v/>
      </c>
      <c r="O140" s="19" t="str">
        <f t="shared" si="23"/>
        <v/>
      </c>
      <c r="P140" s="19" t="str">
        <f t="shared" si="23"/>
        <v/>
      </c>
      <c r="Q140" s="19" t="str">
        <f t="shared" si="23"/>
        <v/>
      </c>
      <c r="R140" s="19" t="str">
        <f t="shared" si="22"/>
        <v/>
      </c>
      <c r="S140" s="27" t="str">
        <f t="shared" si="21"/>
        <v/>
      </c>
      <c r="T140" s="28" t="str">
        <f t="shared" si="21"/>
        <v/>
      </c>
      <c r="U140" s="28" t="str">
        <f t="shared" si="21"/>
        <v/>
      </c>
      <c r="V140" s="28" t="str">
        <f t="shared" si="21"/>
        <v/>
      </c>
      <c r="W140" s="28" t="str">
        <f t="shared" si="21"/>
        <v/>
      </c>
      <c r="X140" s="29" t="str">
        <f t="shared" si="21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3"/>
        <v/>
      </c>
      <c r="M141" s="19" t="str">
        <f t="shared" si="23"/>
        <v/>
      </c>
      <c r="N141" s="19" t="str">
        <f t="shared" si="23"/>
        <v/>
      </c>
      <c r="O141" s="19" t="str">
        <f t="shared" si="23"/>
        <v/>
      </c>
      <c r="P141" s="19" t="str">
        <f t="shared" si="23"/>
        <v/>
      </c>
      <c r="Q141" s="19" t="str">
        <f t="shared" si="23"/>
        <v/>
      </c>
      <c r="R141" s="19" t="str">
        <f t="shared" si="22"/>
        <v/>
      </c>
      <c r="S141" s="27" t="str">
        <f t="shared" si="21"/>
        <v/>
      </c>
      <c r="T141" s="28" t="str">
        <f t="shared" si="21"/>
        <v/>
      </c>
      <c r="U141" s="28" t="str">
        <f t="shared" si="21"/>
        <v/>
      </c>
      <c r="V141" s="28" t="str">
        <f t="shared" si="21"/>
        <v/>
      </c>
      <c r="W141" s="28" t="str">
        <f t="shared" si="21"/>
        <v/>
      </c>
      <c r="X141" s="29" t="str">
        <f t="shared" si="21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3"/>
        <v/>
      </c>
      <c r="M142" s="19" t="str">
        <f t="shared" si="23"/>
        <v/>
      </c>
      <c r="N142" s="19" t="str">
        <f t="shared" si="23"/>
        <v/>
      </c>
      <c r="O142" s="19" t="str">
        <f t="shared" si="23"/>
        <v/>
      </c>
      <c r="P142" s="19" t="str">
        <f t="shared" si="23"/>
        <v/>
      </c>
      <c r="Q142" s="19" t="str">
        <f t="shared" si="23"/>
        <v/>
      </c>
      <c r="R142" s="19" t="str">
        <f t="shared" si="22"/>
        <v/>
      </c>
      <c r="S142" s="27" t="str">
        <f t="shared" si="21"/>
        <v/>
      </c>
      <c r="T142" s="28" t="str">
        <f t="shared" si="21"/>
        <v/>
      </c>
      <c r="U142" s="28" t="str">
        <f t="shared" si="21"/>
        <v/>
      </c>
      <c r="V142" s="28" t="str">
        <f t="shared" si="21"/>
        <v/>
      </c>
      <c r="W142" s="28" t="str">
        <f t="shared" si="21"/>
        <v/>
      </c>
      <c r="X142" s="29" t="str">
        <f t="shared" si="21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3"/>
        <v/>
      </c>
      <c r="M143" s="19" t="str">
        <f t="shared" si="23"/>
        <v/>
      </c>
      <c r="N143" s="19" t="str">
        <f t="shared" si="23"/>
        <v/>
      </c>
      <c r="O143" s="19" t="str">
        <f t="shared" si="23"/>
        <v/>
      </c>
      <c r="P143" s="19" t="str">
        <f t="shared" si="23"/>
        <v/>
      </c>
      <c r="Q143" s="19" t="str">
        <f t="shared" si="23"/>
        <v/>
      </c>
      <c r="R143" s="19" t="str">
        <f t="shared" si="22"/>
        <v/>
      </c>
      <c r="S143" s="27" t="str">
        <f t="shared" si="21"/>
        <v/>
      </c>
      <c r="T143" s="28" t="str">
        <f t="shared" si="21"/>
        <v/>
      </c>
      <c r="U143" s="28" t="str">
        <f t="shared" si="21"/>
        <v/>
      </c>
      <c r="V143" s="28" t="str">
        <f t="shared" si="21"/>
        <v/>
      </c>
      <c r="W143" s="28" t="str">
        <f t="shared" si="21"/>
        <v/>
      </c>
      <c r="X143" s="29" t="str">
        <f t="shared" si="21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3"/>
        <v/>
      </c>
      <c r="M144" s="19" t="str">
        <f t="shared" si="23"/>
        <v/>
      </c>
      <c r="N144" s="19" t="str">
        <f t="shared" si="23"/>
        <v/>
      </c>
      <c r="O144" s="19" t="str">
        <f t="shared" si="23"/>
        <v/>
      </c>
      <c r="P144" s="19" t="str">
        <f t="shared" si="23"/>
        <v/>
      </c>
      <c r="Q144" s="19" t="str">
        <f t="shared" si="23"/>
        <v/>
      </c>
      <c r="R144" s="19" t="str">
        <f t="shared" si="22"/>
        <v/>
      </c>
      <c r="S144" s="27" t="str">
        <f t="shared" si="21"/>
        <v/>
      </c>
      <c r="T144" s="28" t="str">
        <f t="shared" si="21"/>
        <v/>
      </c>
      <c r="U144" s="28" t="str">
        <f t="shared" si="21"/>
        <v/>
      </c>
      <c r="V144" s="28" t="str">
        <f t="shared" si="21"/>
        <v/>
      </c>
      <c r="W144" s="28" t="str">
        <f t="shared" si="21"/>
        <v/>
      </c>
      <c r="X144" s="29" t="str">
        <f t="shared" si="21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3"/>
        <v/>
      </c>
      <c r="M145" s="19" t="str">
        <f t="shared" si="23"/>
        <v/>
      </c>
      <c r="N145" s="19" t="str">
        <f t="shared" si="23"/>
        <v/>
      </c>
      <c r="O145" s="19" t="str">
        <f t="shared" si="23"/>
        <v/>
      </c>
      <c r="P145" s="19" t="str">
        <f t="shared" si="23"/>
        <v/>
      </c>
      <c r="Q145" s="19" t="str">
        <f t="shared" si="23"/>
        <v/>
      </c>
      <c r="R145" s="19" t="str">
        <f t="shared" si="22"/>
        <v/>
      </c>
      <c r="S145" s="27" t="str">
        <f t="shared" ref="S145:X153" si="24">IF(C145="","",((C145-C144)*1000)/($B145-$B144))</f>
        <v/>
      </c>
      <c r="T145" s="28" t="str">
        <f t="shared" si="24"/>
        <v/>
      </c>
      <c r="U145" s="28" t="str">
        <f t="shared" si="24"/>
        <v/>
      </c>
      <c r="V145" s="28" t="str">
        <f t="shared" si="24"/>
        <v/>
      </c>
      <c r="W145" s="28" t="str">
        <f t="shared" si="24"/>
        <v/>
      </c>
      <c r="X145" s="29" t="str">
        <f t="shared" si="2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3"/>
        <v/>
      </c>
      <c r="M146" s="19" t="str">
        <f t="shared" si="23"/>
        <v/>
      </c>
      <c r="N146" s="19" t="str">
        <f t="shared" si="23"/>
        <v/>
      </c>
      <c r="O146" s="19" t="str">
        <f t="shared" si="23"/>
        <v/>
      </c>
      <c r="P146" s="19" t="str">
        <f t="shared" si="23"/>
        <v/>
      </c>
      <c r="Q146" s="19" t="str">
        <f t="shared" si="23"/>
        <v/>
      </c>
      <c r="R146" s="19" t="str">
        <f t="shared" si="22"/>
        <v/>
      </c>
      <c r="S146" s="27" t="str">
        <f t="shared" si="24"/>
        <v/>
      </c>
      <c r="T146" s="28" t="str">
        <f t="shared" si="24"/>
        <v/>
      </c>
      <c r="U146" s="28" t="str">
        <f t="shared" si="24"/>
        <v/>
      </c>
      <c r="V146" s="28" t="str">
        <f t="shared" si="24"/>
        <v/>
      </c>
      <c r="W146" s="28" t="str">
        <f t="shared" si="24"/>
        <v/>
      </c>
      <c r="X146" s="29" t="str">
        <f t="shared" si="2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3"/>
        <v/>
      </c>
      <c r="M147" s="19" t="str">
        <f t="shared" si="23"/>
        <v/>
      </c>
      <c r="N147" s="19" t="str">
        <f t="shared" si="23"/>
        <v/>
      </c>
      <c r="O147" s="19" t="str">
        <f t="shared" si="23"/>
        <v/>
      </c>
      <c r="P147" s="19" t="str">
        <f t="shared" si="23"/>
        <v/>
      </c>
      <c r="Q147" s="19" t="str">
        <f t="shared" si="23"/>
        <v/>
      </c>
      <c r="R147" s="19" t="str">
        <f t="shared" si="22"/>
        <v/>
      </c>
      <c r="S147" s="27" t="str">
        <f t="shared" si="24"/>
        <v/>
      </c>
      <c r="T147" s="28" t="str">
        <f t="shared" si="24"/>
        <v/>
      </c>
      <c r="U147" s="28" t="str">
        <f t="shared" si="24"/>
        <v/>
      </c>
      <c r="V147" s="28" t="str">
        <f t="shared" si="24"/>
        <v/>
      </c>
      <c r="W147" s="28" t="str">
        <f t="shared" si="24"/>
        <v/>
      </c>
      <c r="X147" s="29" t="str">
        <f t="shared" si="2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3"/>
        <v/>
      </c>
      <c r="M148" s="19" t="str">
        <f t="shared" si="23"/>
        <v/>
      </c>
      <c r="N148" s="19" t="str">
        <f t="shared" si="23"/>
        <v/>
      </c>
      <c r="O148" s="19" t="str">
        <f t="shared" si="23"/>
        <v/>
      </c>
      <c r="P148" s="19" t="str">
        <f t="shared" si="23"/>
        <v/>
      </c>
      <c r="Q148" s="19" t="str">
        <f t="shared" si="23"/>
        <v/>
      </c>
      <c r="R148" s="19" t="str">
        <f t="shared" si="22"/>
        <v/>
      </c>
      <c r="S148" s="27" t="str">
        <f t="shared" si="24"/>
        <v/>
      </c>
      <c r="T148" s="28" t="str">
        <f t="shared" si="24"/>
        <v/>
      </c>
      <c r="U148" s="28" t="str">
        <f t="shared" si="24"/>
        <v/>
      </c>
      <c r="V148" s="28" t="str">
        <f t="shared" si="24"/>
        <v/>
      </c>
      <c r="W148" s="28" t="str">
        <f t="shared" si="24"/>
        <v/>
      </c>
      <c r="X148" s="29" t="str">
        <f t="shared" si="2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3"/>
        <v/>
      </c>
      <c r="M149" s="19" t="str">
        <f t="shared" si="23"/>
        <v/>
      </c>
      <c r="N149" s="19" t="str">
        <f t="shared" si="23"/>
        <v/>
      </c>
      <c r="O149" s="19" t="str">
        <f t="shared" si="23"/>
        <v/>
      </c>
      <c r="P149" s="19" t="str">
        <f t="shared" si="23"/>
        <v/>
      </c>
      <c r="Q149" s="19" t="str">
        <f t="shared" si="23"/>
        <v/>
      </c>
      <c r="R149" s="19" t="str">
        <f t="shared" si="22"/>
        <v/>
      </c>
      <c r="S149" s="27" t="str">
        <f t="shared" si="24"/>
        <v/>
      </c>
      <c r="T149" s="28" t="str">
        <f t="shared" si="24"/>
        <v/>
      </c>
      <c r="U149" s="28" t="str">
        <f t="shared" si="24"/>
        <v/>
      </c>
      <c r="V149" s="28" t="str">
        <f t="shared" si="24"/>
        <v/>
      </c>
      <c r="W149" s="28" t="str">
        <f t="shared" si="24"/>
        <v/>
      </c>
      <c r="X149" s="29" t="str">
        <f t="shared" si="2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3"/>
        <v/>
      </c>
      <c r="M150" s="19" t="str">
        <f t="shared" si="23"/>
        <v/>
      </c>
      <c r="N150" s="19" t="str">
        <f t="shared" si="23"/>
        <v/>
      </c>
      <c r="O150" s="19" t="str">
        <f t="shared" si="23"/>
        <v/>
      </c>
      <c r="P150" s="19" t="str">
        <f t="shared" si="23"/>
        <v/>
      </c>
      <c r="Q150" s="19" t="str">
        <f t="shared" si="23"/>
        <v/>
      </c>
      <c r="R150" s="19" t="str">
        <f t="shared" si="22"/>
        <v/>
      </c>
      <c r="S150" s="27" t="str">
        <f t="shared" si="24"/>
        <v/>
      </c>
      <c r="T150" s="28" t="str">
        <f t="shared" si="24"/>
        <v/>
      </c>
      <c r="U150" s="28" t="str">
        <f t="shared" si="24"/>
        <v/>
      </c>
      <c r="V150" s="28" t="str">
        <f t="shared" si="24"/>
        <v/>
      </c>
      <c r="W150" s="28" t="str">
        <f t="shared" si="24"/>
        <v/>
      </c>
      <c r="X150" s="29" t="str">
        <f t="shared" si="2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3"/>
        <v/>
      </c>
      <c r="M151" s="19" t="str">
        <f t="shared" si="23"/>
        <v/>
      </c>
      <c r="N151" s="19" t="str">
        <f t="shared" si="23"/>
        <v/>
      </c>
      <c r="O151" s="19" t="str">
        <f t="shared" si="23"/>
        <v/>
      </c>
      <c r="P151" s="19" t="str">
        <f t="shared" si="23"/>
        <v/>
      </c>
      <c r="Q151" s="19" t="str">
        <f t="shared" si="23"/>
        <v/>
      </c>
      <c r="R151" s="19" t="str">
        <f t="shared" si="22"/>
        <v/>
      </c>
      <c r="S151" s="27" t="str">
        <f t="shared" si="24"/>
        <v/>
      </c>
      <c r="T151" s="28" t="str">
        <f t="shared" si="24"/>
        <v/>
      </c>
      <c r="U151" s="28" t="str">
        <f t="shared" si="24"/>
        <v/>
      </c>
      <c r="V151" s="28" t="str">
        <f t="shared" si="24"/>
        <v/>
      </c>
      <c r="W151" s="28" t="str">
        <f t="shared" si="24"/>
        <v/>
      </c>
      <c r="X151" s="29" t="str">
        <f t="shared" si="2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3"/>
        <v/>
      </c>
      <c r="M152" s="19" t="str">
        <f t="shared" si="23"/>
        <v/>
      </c>
      <c r="N152" s="19" t="str">
        <f t="shared" si="23"/>
        <v/>
      </c>
      <c r="O152" s="19" t="str">
        <f t="shared" si="23"/>
        <v/>
      </c>
      <c r="P152" s="19" t="str">
        <f t="shared" si="23"/>
        <v/>
      </c>
      <c r="Q152" s="19" t="str">
        <f t="shared" si="23"/>
        <v/>
      </c>
      <c r="R152" s="19" t="str">
        <f t="shared" si="22"/>
        <v/>
      </c>
      <c r="S152" s="27" t="str">
        <f t="shared" si="24"/>
        <v/>
      </c>
      <c r="T152" s="28" t="str">
        <f t="shared" si="24"/>
        <v/>
      </c>
      <c r="U152" s="28" t="str">
        <f t="shared" si="24"/>
        <v/>
      </c>
      <c r="V152" s="28" t="str">
        <f t="shared" si="24"/>
        <v/>
      </c>
      <c r="W152" s="28" t="str">
        <f t="shared" si="24"/>
        <v/>
      </c>
      <c r="X152" s="29" t="str">
        <f t="shared" si="2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3"/>
        <v/>
      </c>
      <c r="M153" s="19" t="str">
        <f>IF(ISBLANK(D153),"",(D153-D$16)*1000)</f>
        <v/>
      </c>
      <c r="N153" s="19" t="str">
        <f>IF(ISBLANK(E153),"",(E153-E$16)*1000)</f>
        <v/>
      </c>
      <c r="O153" s="19" t="str">
        <f t="shared" si="23"/>
        <v/>
      </c>
      <c r="P153" s="19" t="str">
        <f t="shared" si="23"/>
        <v/>
      </c>
      <c r="Q153" s="19" t="str">
        <f t="shared" si="23"/>
        <v/>
      </c>
      <c r="R153" s="19" t="str">
        <f>IF(ISBLANK(I153),"",(I153-I$16)*1000)</f>
        <v/>
      </c>
      <c r="S153" s="27" t="str">
        <f t="shared" si="24"/>
        <v/>
      </c>
      <c r="T153" s="28" t="str">
        <f t="shared" si="24"/>
        <v/>
      </c>
      <c r="U153" s="28" t="str">
        <f t="shared" si="24"/>
        <v/>
      </c>
      <c r="V153" s="28" t="str">
        <f t="shared" si="24"/>
        <v/>
      </c>
      <c r="W153" s="28" t="str">
        <f t="shared" si="24"/>
        <v/>
      </c>
      <c r="X153" s="29" t="str">
        <f t="shared" si="24"/>
        <v/>
      </c>
      <c r="Y153" s="24"/>
    </row>
  </sheetData>
  <sheetProtection selectLockedCells="1"/>
  <mergeCells count="38"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J6:Q6"/>
    <mergeCell ref="R6:V6"/>
    <mergeCell ref="W6:Y6"/>
    <mergeCell ref="E7:I7"/>
    <mergeCell ref="J7:Q7"/>
    <mergeCell ref="R7:V7"/>
    <mergeCell ref="W7:Y7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1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2" activePane="bottomLeft" state="frozen"/>
      <selection activeCell="G40" sqref="G40"/>
      <selection pane="bottomLeft" activeCell="G40" sqref="G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TZ-116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24" t="s">
        <v>3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19"/>
      <c r="S4" s="120"/>
      <c r="T4" s="120"/>
      <c r="U4" s="120"/>
      <c r="V4" s="120"/>
      <c r="W4" s="120"/>
      <c r="X4" s="121"/>
      <c r="Y4" s="123"/>
    </row>
    <row r="5" spans="1:35" ht="27" customHeight="1" x14ac:dyDescent="0.2">
      <c r="B5" s="130"/>
      <c r="C5" s="131"/>
      <c r="D5" s="131"/>
      <c r="E5" s="133" t="s">
        <v>4</v>
      </c>
      <c r="F5" s="134"/>
      <c r="G5" s="134"/>
      <c r="H5" s="134"/>
      <c r="I5" s="134"/>
      <c r="J5" s="189" t="s">
        <v>58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42395</v>
      </c>
      <c r="X5" s="136"/>
      <c r="Y5" s="137"/>
    </row>
    <row r="6" spans="1:35" ht="27" customHeight="1" x14ac:dyDescent="0.2">
      <c r="B6" s="132"/>
      <c r="C6" s="112"/>
      <c r="D6" s="112"/>
      <c r="E6" s="150" t="s">
        <v>7</v>
      </c>
      <c r="F6" s="138"/>
      <c r="G6" s="138"/>
      <c r="H6" s="138"/>
      <c r="I6" s="138"/>
      <c r="J6" s="188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42401</v>
      </c>
      <c r="X6" s="148"/>
      <c r="Y6" s="149"/>
    </row>
    <row r="7" spans="1:35" ht="27" customHeight="1" x14ac:dyDescent="0.2">
      <c r="B7" s="132"/>
      <c r="C7" s="112"/>
      <c r="D7" s="112"/>
      <c r="E7" s="150" t="s">
        <v>9</v>
      </c>
      <c r="F7" s="138"/>
      <c r="G7" s="138"/>
      <c r="H7" s="138"/>
      <c r="I7" s="138"/>
      <c r="J7" s="140" t="s">
        <v>64</v>
      </c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2198</v>
      </c>
      <c r="X7" s="140"/>
      <c r="Y7" s="141"/>
    </row>
    <row r="8" spans="1:35" ht="27" customHeight="1" thickBot="1" x14ac:dyDescent="0.25">
      <c r="B8" s="132"/>
      <c r="C8" s="112"/>
      <c r="D8" s="112"/>
      <c r="E8" s="142" t="s">
        <v>11</v>
      </c>
      <c r="F8" s="143"/>
      <c r="G8" s="143"/>
      <c r="H8" s="143"/>
      <c r="I8" s="143"/>
      <c r="J8" s="144">
        <v>2456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60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82"/>
      <c r="C10" s="183"/>
      <c r="D10" s="183"/>
      <c r="E10" s="183"/>
      <c r="F10" s="183"/>
      <c r="G10" s="183"/>
      <c r="H10" s="183"/>
      <c r="I10" s="183"/>
      <c r="J10" s="184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82"/>
      <c r="C11" s="183"/>
      <c r="D11" s="183"/>
      <c r="E11" s="183"/>
      <c r="F11" s="183"/>
      <c r="G11" s="183"/>
      <c r="H11" s="183"/>
      <c r="I11" s="183"/>
      <c r="J11" s="184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85"/>
      <c r="C12" s="186"/>
      <c r="D12" s="186"/>
      <c r="E12" s="186"/>
      <c r="F12" s="186"/>
      <c r="G12" s="186"/>
      <c r="H12" s="186"/>
      <c r="I12" s="186"/>
      <c r="J12" s="187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152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80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1">
        <v>42401</v>
      </c>
      <c r="C16" s="25">
        <v>12.45</v>
      </c>
      <c r="D16" s="26"/>
      <c r="E16" s="26"/>
      <c r="F16" s="16"/>
      <c r="G16" s="16"/>
      <c r="H16" s="16"/>
      <c r="I16" s="17"/>
      <c r="J16" s="58">
        <v>2471</v>
      </c>
      <c r="K16" s="18">
        <f t="shared" ref="K16:K18" si="0">IF(ISBLANK(J16),"",(J16-$J$8))</f>
        <v>15</v>
      </c>
      <c r="L16" s="19">
        <f t="shared" ref="L16:Q31" si="1">IF(ISBLANK(C16),"",(C16-C$16)*1000)</f>
        <v>0</v>
      </c>
      <c r="M16" s="19" t="str">
        <f t="shared" si="1"/>
        <v/>
      </c>
      <c r="N16" s="19" t="str">
        <f t="shared" si="1"/>
        <v/>
      </c>
      <c r="O16" s="20"/>
      <c r="P16" s="20"/>
      <c r="Q16" s="20"/>
      <c r="R16" s="21" t="str">
        <f t="shared" ref="R16" si="2">IF(ISBLANK(I16),"",(I16-I$16)*1000)</f>
        <v/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42402</v>
      </c>
      <c r="C17" s="25">
        <v>12.45</v>
      </c>
      <c r="D17" s="26"/>
      <c r="E17" s="26"/>
      <c r="F17" s="16"/>
      <c r="G17" s="16"/>
      <c r="H17" s="16"/>
      <c r="I17" s="17"/>
      <c r="J17" s="58">
        <v>2474</v>
      </c>
      <c r="K17" s="18">
        <f t="shared" si="0"/>
        <v>18</v>
      </c>
      <c r="L17" s="19">
        <f t="shared" si="1"/>
        <v>0</v>
      </c>
      <c r="M17" s="19" t="str">
        <f>IF(ISBLANK(D17),"",(D17-D$16)*1000)</f>
        <v/>
      </c>
      <c r="N17" s="19" t="str">
        <f>IF(ISBLANK(E17),"",(E17-E$16)*1000)</f>
        <v/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 t="str">
        <f>IF(ISBLANK(I17),"",(I17-I$16)*1000)</f>
        <v/>
      </c>
      <c r="S17" s="27">
        <f t="shared" ref="S17:X32" si="3">IF(C17="","",((C17-C16)*1000)/($B17-$B16))</f>
        <v>0</v>
      </c>
      <c r="T17" s="28"/>
      <c r="U17" s="28"/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42403</v>
      </c>
      <c r="C18" s="25">
        <v>12.45</v>
      </c>
      <c r="D18" s="26">
        <v>7.93</v>
      </c>
      <c r="E18" s="26">
        <v>7.3970000000000002</v>
      </c>
      <c r="F18" s="16"/>
      <c r="G18" s="16"/>
      <c r="H18" s="16"/>
      <c r="I18" s="17">
        <v>115.776</v>
      </c>
      <c r="J18" s="58">
        <v>2479</v>
      </c>
      <c r="K18" s="18">
        <f t="shared" si="0"/>
        <v>23</v>
      </c>
      <c r="L18" s="19">
        <f t="shared" si="1"/>
        <v>0</v>
      </c>
      <c r="M18" s="19">
        <f>IF(ISBLANK(D18),"",(D18-D$18)*1000)</f>
        <v>0</v>
      </c>
      <c r="N18" s="19">
        <f>IF(ISBLANK(E18),"",(E18-E$18)*1000)</f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>IF(ISBLANK(I18),"",(I18-I$18)*1000)</f>
        <v>0</v>
      </c>
      <c r="S18" s="27">
        <f t="shared" si="3"/>
        <v>0</v>
      </c>
      <c r="T18" s="28"/>
      <c r="U18" s="28"/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42404</v>
      </c>
      <c r="C19" s="25">
        <v>12.448</v>
      </c>
      <c r="D19" s="26">
        <v>7.9290000000000003</v>
      </c>
      <c r="E19" s="26">
        <v>7.3970000000000002</v>
      </c>
      <c r="F19" s="16"/>
      <c r="G19" s="16"/>
      <c r="H19" s="16"/>
      <c r="I19" s="17">
        <v>115.777</v>
      </c>
      <c r="J19" s="58">
        <v>2484</v>
      </c>
      <c r="K19" s="18">
        <f t="shared" ref="K19" si="4">IF(ISBLANK(J19),"",(J19-$J$8))</f>
        <v>28</v>
      </c>
      <c r="L19" s="19">
        <f t="shared" si="1"/>
        <v>-1.9999999999988916</v>
      </c>
      <c r="M19" s="19">
        <f t="shared" ref="M19:M82" si="5">IF(ISBLANK(D19),"",(D19-D$18)*1000)</f>
        <v>-0.99999999999944578</v>
      </c>
      <c r="N19" s="19">
        <f t="shared" ref="N19:N82" si="6">IF(ISBLANK(E19),"",(E19-E$18)*1000)</f>
        <v>0</v>
      </c>
      <c r="O19" s="19" t="str">
        <f t="shared" ref="O19:O33" si="7">IF(ISBLANK(F19),"",(F19-F$16)*1000)</f>
        <v/>
      </c>
      <c r="P19" s="19" t="str">
        <f t="shared" ref="P19:P33" si="8">IF(ISBLANK(G19),"",(G19-G$16)*1000)</f>
        <v/>
      </c>
      <c r="Q19" s="19" t="str">
        <f t="shared" ref="Q19:Q33" si="9">IF(ISBLANK(H19),"",(H19-H$16)*1000)</f>
        <v/>
      </c>
      <c r="R19" s="19">
        <f t="shared" ref="R19:R82" si="10">IF(ISBLANK(I19),"",(I19-I$18)*1000)</f>
        <v>1.0000000000047748</v>
      </c>
      <c r="S19" s="27">
        <f t="shared" si="3"/>
        <v>-1.9999999999988916</v>
      </c>
      <c r="T19" s="28">
        <f t="shared" si="3"/>
        <v>-0.99999999999944578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42405</v>
      </c>
      <c r="C20" s="25">
        <v>12.448</v>
      </c>
      <c r="D20" s="26">
        <v>7.9290000000000003</v>
      </c>
      <c r="E20" s="26">
        <v>7.3979999999999997</v>
      </c>
      <c r="F20" s="16"/>
      <c r="G20" s="16"/>
      <c r="H20" s="16"/>
      <c r="I20" s="17">
        <v>115.777</v>
      </c>
      <c r="J20" s="58">
        <v>2488</v>
      </c>
      <c r="K20" s="18">
        <f t="shared" ref="K20" si="11">IF(ISBLANK(J20),"",(J20-$J$8))</f>
        <v>32</v>
      </c>
      <c r="L20" s="19">
        <f t="shared" si="1"/>
        <v>-1.9999999999988916</v>
      </c>
      <c r="M20" s="19">
        <f t="shared" si="5"/>
        <v>-0.99999999999944578</v>
      </c>
      <c r="N20" s="19">
        <f t="shared" si="6"/>
        <v>0.99999999999944578</v>
      </c>
      <c r="O20" s="19" t="str">
        <f t="shared" si="7"/>
        <v/>
      </c>
      <c r="P20" s="19" t="str">
        <f t="shared" si="8"/>
        <v/>
      </c>
      <c r="Q20" s="19" t="str">
        <f t="shared" si="9"/>
        <v/>
      </c>
      <c r="R20" s="19">
        <f t="shared" si="10"/>
        <v>1.0000000000047748</v>
      </c>
      <c r="S20" s="27">
        <f t="shared" si="3"/>
        <v>0</v>
      </c>
      <c r="T20" s="28">
        <f t="shared" si="3"/>
        <v>0</v>
      </c>
      <c r="U20" s="28">
        <f t="shared" si="3"/>
        <v>0.99999999999944578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42408</v>
      </c>
      <c r="C21" s="25">
        <v>12.449</v>
      </c>
      <c r="D21" s="26">
        <v>7.9269999999999996</v>
      </c>
      <c r="E21" s="26">
        <v>7.3979999999999997</v>
      </c>
      <c r="F21" s="16"/>
      <c r="G21" s="16"/>
      <c r="H21" s="16"/>
      <c r="I21" s="17">
        <v>115.777</v>
      </c>
      <c r="J21" s="58">
        <v>2493</v>
      </c>
      <c r="K21" s="18">
        <f t="shared" ref="K21" si="12">IF(ISBLANK(J21),"",(J21-$J$8))</f>
        <v>37</v>
      </c>
      <c r="L21" s="19">
        <f t="shared" si="1"/>
        <v>-0.99999999999944578</v>
      </c>
      <c r="M21" s="19">
        <f t="shared" si="5"/>
        <v>-3.0000000000001137</v>
      </c>
      <c r="N21" s="19">
        <f t="shared" si="6"/>
        <v>0.99999999999944578</v>
      </c>
      <c r="O21" s="19" t="str">
        <f t="shared" si="7"/>
        <v/>
      </c>
      <c r="P21" s="19" t="str">
        <f t="shared" si="8"/>
        <v/>
      </c>
      <c r="Q21" s="19" t="str">
        <f t="shared" si="9"/>
        <v/>
      </c>
      <c r="R21" s="19">
        <f t="shared" si="10"/>
        <v>1.0000000000047748</v>
      </c>
      <c r="S21" s="27">
        <f t="shared" si="3"/>
        <v>0.33333333333314857</v>
      </c>
      <c r="T21" s="28">
        <f t="shared" si="3"/>
        <v>-0.66666666666688934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42409</v>
      </c>
      <c r="C22" s="25">
        <v>12.448</v>
      </c>
      <c r="D22" s="26">
        <v>7.93</v>
      </c>
      <c r="E22" s="26">
        <v>7.3959999999999999</v>
      </c>
      <c r="F22" s="16"/>
      <c r="G22" s="16"/>
      <c r="H22" s="16"/>
      <c r="I22" s="17">
        <v>115.77800000000001</v>
      </c>
      <c r="J22" s="58">
        <v>2496</v>
      </c>
      <c r="K22" s="18">
        <f t="shared" ref="K22" si="13">IF(ISBLANK(J22),"",(J22-$J$8))</f>
        <v>40</v>
      </c>
      <c r="L22" s="19">
        <f t="shared" si="1"/>
        <v>-1.9999999999988916</v>
      </c>
      <c r="M22" s="19">
        <f t="shared" si="5"/>
        <v>0</v>
      </c>
      <c r="N22" s="19">
        <f t="shared" si="6"/>
        <v>-1.000000000000334</v>
      </c>
      <c r="O22" s="19" t="str">
        <f t="shared" si="7"/>
        <v/>
      </c>
      <c r="P22" s="19" t="str">
        <f t="shared" si="8"/>
        <v/>
      </c>
      <c r="Q22" s="19" t="str">
        <f t="shared" si="9"/>
        <v/>
      </c>
      <c r="R22" s="19">
        <f t="shared" si="10"/>
        <v>2.0000000000095497</v>
      </c>
      <c r="S22" s="27">
        <f t="shared" si="3"/>
        <v>-0.99999999999944578</v>
      </c>
      <c r="T22" s="28">
        <f t="shared" si="3"/>
        <v>3.0000000000001137</v>
      </c>
      <c r="U22" s="28">
        <f t="shared" si="3"/>
        <v>-1.9999999999997797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42410</v>
      </c>
      <c r="C23" s="25">
        <v>12.446999999999999</v>
      </c>
      <c r="D23" s="26">
        <v>7.9269999999999996</v>
      </c>
      <c r="E23" s="26">
        <v>7.3970000000000002</v>
      </c>
      <c r="F23" s="16"/>
      <c r="G23" s="16"/>
      <c r="H23" s="16"/>
      <c r="I23" s="17">
        <v>115.77800000000001</v>
      </c>
      <c r="J23" s="58">
        <v>2500</v>
      </c>
      <c r="K23" s="18">
        <f t="shared" ref="K23" si="14">IF(ISBLANK(J23),"",(J23-$J$8))</f>
        <v>44</v>
      </c>
      <c r="L23" s="19">
        <f t="shared" si="1"/>
        <v>-3.0000000000001137</v>
      </c>
      <c r="M23" s="19">
        <f t="shared" si="5"/>
        <v>-3.0000000000001137</v>
      </c>
      <c r="N23" s="19">
        <f t="shared" si="6"/>
        <v>0</v>
      </c>
      <c r="O23" s="19" t="str">
        <f t="shared" si="7"/>
        <v/>
      </c>
      <c r="P23" s="19" t="str">
        <f t="shared" si="8"/>
        <v/>
      </c>
      <c r="Q23" s="19" t="str">
        <f t="shared" si="9"/>
        <v/>
      </c>
      <c r="R23" s="19">
        <f t="shared" si="10"/>
        <v>2.0000000000095497</v>
      </c>
      <c r="S23" s="27">
        <f t="shared" si="3"/>
        <v>-1.0000000000012221</v>
      </c>
      <c r="T23" s="28">
        <f t="shared" si="3"/>
        <v>-3.0000000000001137</v>
      </c>
      <c r="U23" s="28">
        <f t="shared" si="3"/>
        <v>1.000000000000334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42411</v>
      </c>
      <c r="C24" s="25">
        <v>12.446999999999999</v>
      </c>
      <c r="D24" s="26">
        <v>7.9269999999999996</v>
      </c>
      <c r="E24" s="26">
        <v>7.3970000000000002</v>
      </c>
      <c r="F24" s="16"/>
      <c r="G24" s="16"/>
      <c r="H24" s="16"/>
      <c r="I24" s="17">
        <v>115.777</v>
      </c>
      <c r="J24" s="58">
        <v>2504</v>
      </c>
      <c r="K24" s="18">
        <f t="shared" ref="K24:K29" si="15">IF(ISBLANK(J24),"",(J24-$J$8))</f>
        <v>48</v>
      </c>
      <c r="L24" s="19">
        <f t="shared" si="1"/>
        <v>-3.0000000000001137</v>
      </c>
      <c r="M24" s="19">
        <f t="shared" si="5"/>
        <v>-3.0000000000001137</v>
      </c>
      <c r="N24" s="19">
        <f t="shared" si="6"/>
        <v>0</v>
      </c>
      <c r="O24" s="19" t="str">
        <f t="shared" si="7"/>
        <v/>
      </c>
      <c r="P24" s="19" t="str">
        <f t="shared" si="8"/>
        <v/>
      </c>
      <c r="Q24" s="19" t="str">
        <f t="shared" si="9"/>
        <v/>
      </c>
      <c r="R24" s="19">
        <f t="shared" si="10"/>
        <v>1.0000000000047748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42417</v>
      </c>
      <c r="C25" s="25">
        <v>12.448</v>
      </c>
      <c r="D25" s="26">
        <v>7.9279999999999999</v>
      </c>
      <c r="E25" s="26">
        <v>7.3959999999999999</v>
      </c>
      <c r="F25" s="16"/>
      <c r="G25" s="16"/>
      <c r="H25" s="16"/>
      <c r="I25" s="17">
        <v>115.777</v>
      </c>
      <c r="J25" s="58">
        <v>2521</v>
      </c>
      <c r="K25" s="18">
        <f t="shared" si="15"/>
        <v>65</v>
      </c>
      <c r="L25" s="19">
        <f t="shared" si="1"/>
        <v>-1.9999999999988916</v>
      </c>
      <c r="M25" s="19">
        <f t="shared" si="5"/>
        <v>-1.9999999999997797</v>
      </c>
      <c r="N25" s="19">
        <f t="shared" si="6"/>
        <v>-1.000000000000334</v>
      </c>
      <c r="O25" s="19" t="str">
        <f t="shared" si="7"/>
        <v/>
      </c>
      <c r="P25" s="19" t="str">
        <f t="shared" si="8"/>
        <v/>
      </c>
      <c r="Q25" s="19" t="str">
        <f t="shared" si="9"/>
        <v/>
      </c>
      <c r="R25" s="19">
        <f t="shared" si="10"/>
        <v>1.0000000000047748</v>
      </c>
      <c r="S25" s="27">
        <f t="shared" si="3"/>
        <v>0.16666666666687036</v>
      </c>
      <c r="T25" s="28">
        <f t="shared" si="3"/>
        <v>0.16666666666672234</v>
      </c>
      <c r="U25" s="28">
        <f t="shared" si="3"/>
        <v>-0.16666666666672234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42424</v>
      </c>
      <c r="C26" s="25">
        <v>12.448</v>
      </c>
      <c r="D26" s="26">
        <v>7.9290000000000003</v>
      </c>
      <c r="E26" s="26">
        <v>7.3970000000000002</v>
      </c>
      <c r="F26" s="16"/>
      <c r="G26" s="16"/>
      <c r="H26" s="16"/>
      <c r="I26" s="17">
        <v>115.777</v>
      </c>
      <c r="J26" s="58">
        <v>2540.5</v>
      </c>
      <c r="K26" s="18">
        <f t="shared" si="15"/>
        <v>84.5</v>
      </c>
      <c r="L26" s="19">
        <f t="shared" si="1"/>
        <v>-1.9999999999988916</v>
      </c>
      <c r="M26" s="19">
        <f t="shared" si="5"/>
        <v>-0.99999999999944578</v>
      </c>
      <c r="N26" s="19">
        <f t="shared" si="6"/>
        <v>0</v>
      </c>
      <c r="O26" s="19" t="str">
        <f t="shared" si="7"/>
        <v/>
      </c>
      <c r="P26" s="19" t="str">
        <f t="shared" si="8"/>
        <v/>
      </c>
      <c r="Q26" s="19" t="str">
        <f t="shared" si="9"/>
        <v/>
      </c>
      <c r="R26" s="19">
        <f t="shared" si="10"/>
        <v>1.0000000000047748</v>
      </c>
      <c r="S26" s="27">
        <f t="shared" si="3"/>
        <v>0</v>
      </c>
      <c r="T26" s="28">
        <f t="shared" si="3"/>
        <v>0.14285714285719056</v>
      </c>
      <c r="U26" s="28">
        <f t="shared" si="3"/>
        <v>0.14285714285719056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42430</v>
      </c>
      <c r="C27" s="25">
        <v>12.448</v>
      </c>
      <c r="D27" s="26">
        <v>7.9290000000000003</v>
      </c>
      <c r="E27" s="26">
        <v>7.3979999999999997</v>
      </c>
      <c r="F27" s="16"/>
      <c r="G27" s="16"/>
      <c r="H27" s="16"/>
      <c r="I27" s="17">
        <v>115.777</v>
      </c>
      <c r="J27" s="58">
        <v>2540.5</v>
      </c>
      <c r="K27" s="18">
        <f t="shared" si="15"/>
        <v>84.5</v>
      </c>
      <c r="L27" s="19">
        <f t="shared" si="1"/>
        <v>-1.9999999999988916</v>
      </c>
      <c r="M27" s="19">
        <f t="shared" si="5"/>
        <v>-0.99999999999944578</v>
      </c>
      <c r="N27" s="19">
        <f t="shared" si="6"/>
        <v>0.99999999999944578</v>
      </c>
      <c r="O27" s="19" t="str">
        <f t="shared" si="7"/>
        <v/>
      </c>
      <c r="P27" s="19" t="str">
        <f t="shared" si="8"/>
        <v/>
      </c>
      <c r="Q27" s="19" t="str">
        <f t="shared" si="9"/>
        <v/>
      </c>
      <c r="R27" s="19">
        <f t="shared" si="10"/>
        <v>1.0000000000047748</v>
      </c>
      <c r="S27" s="27">
        <f t="shared" si="3"/>
        <v>0</v>
      </c>
      <c r="T27" s="28">
        <f t="shared" si="3"/>
        <v>0</v>
      </c>
      <c r="U27" s="28">
        <f t="shared" si="3"/>
        <v>0.16666666666657429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42458</v>
      </c>
      <c r="C28" s="25">
        <v>12.445</v>
      </c>
      <c r="D28" s="26">
        <v>7.9279999999999999</v>
      </c>
      <c r="E28" s="26">
        <v>7.3959999999999999</v>
      </c>
      <c r="F28" s="16"/>
      <c r="G28" s="16"/>
      <c r="H28" s="16"/>
      <c r="I28" s="17">
        <v>115.776</v>
      </c>
      <c r="J28" s="58">
        <v>2571</v>
      </c>
      <c r="K28" s="18">
        <f t="shared" si="15"/>
        <v>115</v>
      </c>
      <c r="L28" s="19">
        <f t="shared" si="1"/>
        <v>-4.9999999999990052</v>
      </c>
      <c r="M28" s="19">
        <f t="shared" si="5"/>
        <v>-1.9999999999997797</v>
      </c>
      <c r="N28" s="19">
        <f t="shared" si="6"/>
        <v>-1.000000000000334</v>
      </c>
      <c r="O28" s="19" t="str">
        <f t="shared" si="7"/>
        <v/>
      </c>
      <c r="P28" s="19" t="str">
        <f t="shared" si="8"/>
        <v/>
      </c>
      <c r="Q28" s="19" t="str">
        <f t="shared" si="9"/>
        <v/>
      </c>
      <c r="R28" s="19">
        <f t="shared" si="10"/>
        <v>0</v>
      </c>
      <c r="S28" s="27">
        <f t="shared" si="3"/>
        <v>-0.1071428571428612</v>
      </c>
      <c r="T28" s="28">
        <f t="shared" si="3"/>
        <v>-3.571428571429764E-2</v>
      </c>
      <c r="U28" s="28">
        <f t="shared" si="3"/>
        <v>-7.1428571428563556E-2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42506</v>
      </c>
      <c r="C29" s="73">
        <v>12.445</v>
      </c>
      <c r="D29" s="71">
        <v>7.9279999999999999</v>
      </c>
      <c r="E29" s="71">
        <v>7.3959999999999999</v>
      </c>
      <c r="F29" s="16"/>
      <c r="G29" s="16"/>
      <c r="H29" s="16"/>
      <c r="I29" s="17">
        <v>115.771</v>
      </c>
      <c r="J29" s="58">
        <v>2450</v>
      </c>
      <c r="K29" s="18">
        <f t="shared" si="15"/>
        <v>-6</v>
      </c>
      <c r="L29" s="19">
        <f t="shared" si="1"/>
        <v>-4.9999999999990052</v>
      </c>
      <c r="M29" s="19">
        <f t="shared" si="5"/>
        <v>-1.9999999999997797</v>
      </c>
      <c r="N29" s="19">
        <f t="shared" si="6"/>
        <v>-1.000000000000334</v>
      </c>
      <c r="O29" s="19" t="str">
        <f t="shared" si="7"/>
        <v/>
      </c>
      <c r="P29" s="19" t="str">
        <f t="shared" si="8"/>
        <v/>
      </c>
      <c r="Q29" s="19" t="str">
        <f t="shared" si="9"/>
        <v/>
      </c>
      <c r="R29" s="19">
        <f t="shared" si="10"/>
        <v>-4.9999999999954525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42507</v>
      </c>
      <c r="C30" s="73">
        <v>12.445</v>
      </c>
      <c r="D30" s="71">
        <v>7.9279999999999999</v>
      </c>
      <c r="E30" s="26">
        <v>7.3970000000000002</v>
      </c>
      <c r="F30" s="16"/>
      <c r="G30" s="16"/>
      <c r="H30" s="16"/>
      <c r="I30" s="17">
        <v>115.771</v>
      </c>
      <c r="J30" s="58">
        <v>2459</v>
      </c>
      <c r="K30" s="18">
        <f t="shared" ref="K30" si="16">IF(ISBLANK(J30),"",(J30-$J$8))</f>
        <v>3</v>
      </c>
      <c r="L30" s="19">
        <f t="shared" si="1"/>
        <v>-4.9999999999990052</v>
      </c>
      <c r="M30" s="19">
        <f t="shared" si="5"/>
        <v>-1.9999999999997797</v>
      </c>
      <c r="N30" s="19">
        <f t="shared" si="6"/>
        <v>0</v>
      </c>
      <c r="O30" s="19" t="str">
        <f t="shared" si="7"/>
        <v/>
      </c>
      <c r="P30" s="19" t="str">
        <f t="shared" si="8"/>
        <v/>
      </c>
      <c r="Q30" s="19" t="str">
        <f t="shared" si="9"/>
        <v/>
      </c>
      <c r="R30" s="19">
        <f t="shared" si="10"/>
        <v>-4.9999999999954525</v>
      </c>
      <c r="S30" s="27">
        <f t="shared" si="3"/>
        <v>0</v>
      </c>
      <c r="T30" s="28">
        <f t="shared" si="3"/>
        <v>0</v>
      </c>
      <c r="U30" s="28">
        <f t="shared" si="3"/>
        <v>1.000000000000334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42508</v>
      </c>
      <c r="C31" s="73">
        <v>12.445</v>
      </c>
      <c r="D31" s="71">
        <v>7.9279999999999999</v>
      </c>
      <c r="E31" s="71">
        <v>7.3970000000000002</v>
      </c>
      <c r="F31" s="16"/>
      <c r="G31" s="16"/>
      <c r="H31" s="16"/>
      <c r="I31" s="17">
        <v>115.77</v>
      </c>
      <c r="J31" s="58">
        <v>2467</v>
      </c>
      <c r="K31" s="18">
        <f t="shared" ref="K31" si="17">IF(ISBLANK(J31),"",(J31-$J$8))</f>
        <v>11</v>
      </c>
      <c r="L31" s="19">
        <f t="shared" si="1"/>
        <v>-4.9999999999990052</v>
      </c>
      <c r="M31" s="19">
        <f t="shared" si="5"/>
        <v>-1.9999999999997797</v>
      </c>
      <c r="N31" s="19">
        <f t="shared" si="6"/>
        <v>0</v>
      </c>
      <c r="O31" s="19" t="str">
        <f t="shared" si="7"/>
        <v/>
      </c>
      <c r="P31" s="19" t="str">
        <f t="shared" si="8"/>
        <v/>
      </c>
      <c r="Q31" s="19" t="str">
        <f t="shared" si="9"/>
        <v/>
      </c>
      <c r="R31" s="19">
        <f t="shared" si="10"/>
        <v>-6.0000000000002274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42509</v>
      </c>
      <c r="C32" s="25">
        <v>12.44</v>
      </c>
      <c r="D32" s="71">
        <v>7.9279999999999999</v>
      </c>
      <c r="E32" s="71">
        <v>7.3970000000000002</v>
      </c>
      <c r="F32" s="16"/>
      <c r="G32" s="16"/>
      <c r="H32" s="16"/>
      <c r="I32" s="72">
        <v>115.77</v>
      </c>
      <c r="J32" s="58">
        <v>2479</v>
      </c>
      <c r="K32" s="18">
        <f t="shared" ref="K32:K36" si="18">IF(ISBLANK(J32),"",(J32-$J$8))</f>
        <v>23</v>
      </c>
      <c r="L32" s="19">
        <f t="shared" ref="L32:L68" si="19">IF(ISBLANK(C32),"",(C32-C$16)*1000)</f>
        <v>-9.9999999999997868</v>
      </c>
      <c r="M32" s="19">
        <f t="shared" si="5"/>
        <v>-1.9999999999997797</v>
      </c>
      <c r="N32" s="19">
        <f t="shared" si="6"/>
        <v>0</v>
      </c>
      <c r="O32" s="19" t="str">
        <f t="shared" si="7"/>
        <v/>
      </c>
      <c r="P32" s="19" t="str">
        <f t="shared" si="8"/>
        <v/>
      </c>
      <c r="Q32" s="19" t="str">
        <f t="shared" si="9"/>
        <v/>
      </c>
      <c r="R32" s="19">
        <f t="shared" si="10"/>
        <v>-6.0000000000002274</v>
      </c>
      <c r="S32" s="27">
        <f t="shared" si="3"/>
        <v>-5.0000000000007816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42510</v>
      </c>
      <c r="C33" s="25">
        <v>12.435</v>
      </c>
      <c r="D33" s="71">
        <v>7.9279999999999999</v>
      </c>
      <c r="E33" s="71">
        <v>7.3970000000000002</v>
      </c>
      <c r="F33" s="16"/>
      <c r="G33" s="16"/>
      <c r="H33" s="16"/>
      <c r="I33" s="72">
        <v>115.77</v>
      </c>
      <c r="J33" s="58">
        <v>2490</v>
      </c>
      <c r="K33" s="18">
        <f t="shared" si="18"/>
        <v>34</v>
      </c>
      <c r="L33" s="19">
        <f t="shared" si="19"/>
        <v>-14.999999999998792</v>
      </c>
      <c r="M33" s="19">
        <f t="shared" si="5"/>
        <v>-1.9999999999997797</v>
      </c>
      <c r="N33" s="19">
        <f t="shared" si="6"/>
        <v>0</v>
      </c>
      <c r="O33" s="19" t="str">
        <f t="shared" si="7"/>
        <v/>
      </c>
      <c r="P33" s="19" t="str">
        <f t="shared" si="8"/>
        <v/>
      </c>
      <c r="Q33" s="19" t="str">
        <f t="shared" si="9"/>
        <v/>
      </c>
      <c r="R33" s="19">
        <f t="shared" si="10"/>
        <v>-6.0000000000002274</v>
      </c>
      <c r="S33" s="27">
        <f t="shared" ref="S33:X48" si="20">IF(C33="","",((C33-C32)*1000)/($B33-$B32))</f>
        <v>-4.9999999999990052</v>
      </c>
      <c r="T33" s="28">
        <f t="shared" si="20"/>
        <v>0</v>
      </c>
      <c r="U33" s="28">
        <f t="shared" si="20"/>
        <v>0</v>
      </c>
      <c r="V33" s="28" t="str">
        <f t="shared" si="20"/>
        <v/>
      </c>
      <c r="W33" s="28" t="str">
        <f t="shared" si="20"/>
        <v/>
      </c>
      <c r="X33" s="29" t="str">
        <f t="shared" si="20"/>
        <v/>
      </c>
      <c r="Y33" s="24"/>
    </row>
    <row r="34" spans="2:25" ht="15" customHeight="1" x14ac:dyDescent="0.2">
      <c r="B34" s="31">
        <v>42513</v>
      </c>
      <c r="C34" s="25">
        <v>12.438000000000001</v>
      </c>
      <c r="D34" s="26">
        <v>7.9269999999999996</v>
      </c>
      <c r="E34" s="26">
        <v>7.3949999999999996</v>
      </c>
      <c r="F34" s="47">
        <v>12.944000000000001</v>
      </c>
      <c r="G34" s="47">
        <v>10.542</v>
      </c>
      <c r="H34" s="47">
        <v>10.362</v>
      </c>
      <c r="I34" s="57">
        <v>115.773</v>
      </c>
      <c r="J34" s="58">
        <v>2500</v>
      </c>
      <c r="K34" s="18">
        <f t="shared" si="18"/>
        <v>44</v>
      </c>
      <c r="L34" s="19">
        <f t="shared" si="19"/>
        <v>-11.999999999998678</v>
      </c>
      <c r="M34" s="19">
        <f t="shared" si="5"/>
        <v>-3.0000000000001137</v>
      </c>
      <c r="N34" s="19">
        <f t="shared" si="6"/>
        <v>-2.0000000000006679</v>
      </c>
      <c r="O34" s="19">
        <f>IF(ISBLANK(F34),"",((F34-F$34)*1000+L$34))</f>
        <v>-11.999999999998678</v>
      </c>
      <c r="P34" s="19">
        <f>IF(ISBLANK(G34),"",(G34-G$34)*1000)</f>
        <v>0</v>
      </c>
      <c r="Q34" s="19">
        <f>IF(ISBLANK(H34),"",(H34-H$34)*1000)</f>
        <v>0</v>
      </c>
      <c r="R34" s="19">
        <f t="shared" si="10"/>
        <v>-3.0000000000001137</v>
      </c>
      <c r="S34" s="27">
        <f t="shared" si="20"/>
        <v>1.000000000000038</v>
      </c>
      <c r="T34" s="28">
        <f t="shared" si="20"/>
        <v>-0.33333333333344467</v>
      </c>
      <c r="U34" s="28">
        <f t="shared" si="20"/>
        <v>-0.66666666666688934</v>
      </c>
      <c r="V34" s="28"/>
      <c r="W34" s="28"/>
      <c r="X34" s="29"/>
      <c r="Y34" s="24"/>
    </row>
    <row r="35" spans="2:25" ht="15" customHeight="1" x14ac:dyDescent="0.2">
      <c r="B35" s="31">
        <v>42514</v>
      </c>
      <c r="C35" s="25">
        <v>12.438000000000001</v>
      </c>
      <c r="D35" s="26">
        <v>7.9260000000000002</v>
      </c>
      <c r="E35" s="26">
        <v>7.3949999999999996</v>
      </c>
      <c r="F35" s="47">
        <v>12.945</v>
      </c>
      <c r="G35" s="47">
        <v>10.542999999999999</v>
      </c>
      <c r="H35" s="47">
        <v>10.362</v>
      </c>
      <c r="I35" s="57">
        <v>115.77200000000001</v>
      </c>
      <c r="J35" s="58">
        <v>2515</v>
      </c>
      <c r="K35" s="18">
        <f t="shared" si="18"/>
        <v>59</v>
      </c>
      <c r="L35" s="19">
        <f t="shared" si="19"/>
        <v>-11.999999999998678</v>
      </c>
      <c r="M35" s="19">
        <f t="shared" si="5"/>
        <v>-3.9999999999995595</v>
      </c>
      <c r="N35" s="19">
        <f t="shared" si="6"/>
        <v>-2.0000000000006679</v>
      </c>
      <c r="O35" s="19">
        <f t="shared" ref="O35:O98" si="21">IF(ISBLANK(F35),"",((F35-F$34)*1000+L$34))</f>
        <v>-10.999999999999233</v>
      </c>
      <c r="P35" s="19">
        <f t="shared" ref="P35:P98" si="22">IF(ISBLANK(G35),"",(G35-G$34)*1000)</f>
        <v>0.99999999999944578</v>
      </c>
      <c r="Q35" s="19">
        <f t="shared" ref="Q35:Q98" si="23">IF(ISBLANK(H35),"",(H35-H$34)*1000)</f>
        <v>0</v>
      </c>
      <c r="R35" s="19">
        <f t="shared" si="10"/>
        <v>-3.9999999999906777</v>
      </c>
      <c r="S35" s="27">
        <f t="shared" si="20"/>
        <v>0</v>
      </c>
      <c r="T35" s="28">
        <f t="shared" si="20"/>
        <v>-0.99999999999944578</v>
      </c>
      <c r="U35" s="28">
        <f t="shared" si="20"/>
        <v>0</v>
      </c>
      <c r="V35" s="28">
        <f t="shared" si="20"/>
        <v>0.99999999999944578</v>
      </c>
      <c r="W35" s="28">
        <f t="shared" si="20"/>
        <v>0.99999999999944578</v>
      </c>
      <c r="X35" s="29">
        <f t="shared" si="20"/>
        <v>0</v>
      </c>
      <c r="Y35" s="24"/>
    </row>
    <row r="36" spans="2:25" ht="15" customHeight="1" x14ac:dyDescent="0.2">
      <c r="B36" s="31">
        <v>42515</v>
      </c>
      <c r="C36" s="25">
        <v>12.438000000000001</v>
      </c>
      <c r="D36" s="26">
        <v>7.9249999999999998</v>
      </c>
      <c r="E36" s="26">
        <v>7.3949999999999996</v>
      </c>
      <c r="F36" s="47">
        <v>12.945</v>
      </c>
      <c r="G36" s="47">
        <v>10.542999999999999</v>
      </c>
      <c r="H36" s="47">
        <v>10.362</v>
      </c>
      <c r="I36" s="57">
        <v>115.771</v>
      </c>
      <c r="J36" s="58">
        <v>2524</v>
      </c>
      <c r="K36" s="18">
        <f t="shared" si="18"/>
        <v>68</v>
      </c>
      <c r="L36" s="19">
        <f t="shared" si="19"/>
        <v>-11.999999999998678</v>
      </c>
      <c r="M36" s="19">
        <f t="shared" si="5"/>
        <v>-4.9999999999998934</v>
      </c>
      <c r="N36" s="19">
        <f t="shared" si="6"/>
        <v>-2.0000000000006679</v>
      </c>
      <c r="O36" s="19">
        <f t="shared" si="21"/>
        <v>-10.999999999999233</v>
      </c>
      <c r="P36" s="19">
        <f t="shared" si="22"/>
        <v>0.99999999999944578</v>
      </c>
      <c r="Q36" s="19">
        <f t="shared" si="23"/>
        <v>0</v>
      </c>
      <c r="R36" s="19">
        <f t="shared" si="10"/>
        <v>-4.9999999999954525</v>
      </c>
      <c r="S36" s="27">
        <f t="shared" si="20"/>
        <v>0</v>
      </c>
      <c r="T36" s="28">
        <f t="shared" si="20"/>
        <v>-1.000000000000334</v>
      </c>
      <c r="U36" s="28">
        <f t="shared" si="20"/>
        <v>0</v>
      </c>
      <c r="V36" s="28">
        <f t="shared" si="20"/>
        <v>0</v>
      </c>
      <c r="W36" s="28">
        <f t="shared" si="20"/>
        <v>0</v>
      </c>
      <c r="X36" s="29">
        <f t="shared" si="20"/>
        <v>0</v>
      </c>
      <c r="Y36" s="24"/>
    </row>
    <row r="37" spans="2:25" ht="15" customHeight="1" x14ac:dyDescent="0.2">
      <c r="B37" s="31">
        <v>42516</v>
      </c>
      <c r="C37" s="25">
        <v>12.438000000000001</v>
      </c>
      <c r="D37" s="26">
        <v>7.9269999999999996</v>
      </c>
      <c r="E37" s="26">
        <v>7.3940000000000001</v>
      </c>
      <c r="F37" s="47">
        <v>12.945</v>
      </c>
      <c r="G37" s="47">
        <v>10.542999999999999</v>
      </c>
      <c r="H37" s="47">
        <v>10.362</v>
      </c>
      <c r="I37" s="57">
        <v>115.771</v>
      </c>
      <c r="J37" s="58">
        <v>2524</v>
      </c>
      <c r="K37" s="18">
        <f t="shared" ref="K37" si="24">IF(ISBLANK(J37),"",(J37-$J$8))</f>
        <v>68</v>
      </c>
      <c r="L37" s="19">
        <f t="shared" si="19"/>
        <v>-11.999999999998678</v>
      </c>
      <c r="M37" s="19">
        <f t="shared" si="5"/>
        <v>-3.0000000000001137</v>
      </c>
      <c r="N37" s="19">
        <f t="shared" si="6"/>
        <v>-3.0000000000001137</v>
      </c>
      <c r="O37" s="19">
        <f t="shared" si="21"/>
        <v>-10.999999999999233</v>
      </c>
      <c r="P37" s="19">
        <f t="shared" si="22"/>
        <v>0.99999999999944578</v>
      </c>
      <c r="Q37" s="19">
        <f t="shared" si="23"/>
        <v>0</v>
      </c>
      <c r="R37" s="19">
        <f t="shared" si="10"/>
        <v>-4.9999999999954525</v>
      </c>
      <c r="S37" s="27">
        <f t="shared" si="20"/>
        <v>0</v>
      </c>
      <c r="T37" s="28">
        <f t="shared" si="20"/>
        <v>1.9999999999997797</v>
      </c>
      <c r="U37" s="28">
        <f t="shared" si="20"/>
        <v>-0.99999999999944578</v>
      </c>
      <c r="V37" s="28">
        <f t="shared" si="20"/>
        <v>0</v>
      </c>
      <c r="W37" s="28">
        <f t="shared" si="20"/>
        <v>0</v>
      </c>
      <c r="X37" s="29">
        <f t="shared" si="20"/>
        <v>0</v>
      </c>
      <c r="Y37" s="24"/>
    </row>
    <row r="38" spans="2:25" ht="15" customHeight="1" x14ac:dyDescent="0.2">
      <c r="B38" s="31">
        <v>42522</v>
      </c>
      <c r="C38" s="73">
        <v>12.438000000000001</v>
      </c>
      <c r="D38" s="26">
        <v>7.9240000000000004</v>
      </c>
      <c r="E38" s="71">
        <v>7.3940000000000001</v>
      </c>
      <c r="F38" s="78">
        <v>12.945</v>
      </c>
      <c r="G38" s="47">
        <v>10.542999999999999</v>
      </c>
      <c r="H38" s="78">
        <v>10.362</v>
      </c>
      <c r="I38" s="57">
        <v>115.77</v>
      </c>
      <c r="J38" s="58">
        <v>2543</v>
      </c>
      <c r="K38" s="18">
        <f t="shared" ref="K38:K40" si="25">IF(ISBLANK(J38),"",(J38-$J$8))</f>
        <v>87</v>
      </c>
      <c r="L38" s="19">
        <f t="shared" si="19"/>
        <v>-11.999999999998678</v>
      </c>
      <c r="M38" s="19">
        <f t="shared" si="5"/>
        <v>-5.9999999999993392</v>
      </c>
      <c r="N38" s="19">
        <f t="shared" si="6"/>
        <v>-3.0000000000001137</v>
      </c>
      <c r="O38" s="19">
        <f t="shared" si="21"/>
        <v>-10.999999999999233</v>
      </c>
      <c r="P38" s="19">
        <f t="shared" si="22"/>
        <v>0.99999999999944578</v>
      </c>
      <c r="Q38" s="19">
        <f t="shared" si="23"/>
        <v>0</v>
      </c>
      <c r="R38" s="19">
        <f t="shared" si="10"/>
        <v>-6.0000000000002274</v>
      </c>
      <c r="S38" s="27">
        <f t="shared" si="20"/>
        <v>0</v>
      </c>
      <c r="T38" s="28">
        <f t="shared" si="20"/>
        <v>-0.49999999999987094</v>
      </c>
      <c r="U38" s="28">
        <f t="shared" si="20"/>
        <v>0</v>
      </c>
      <c r="V38" s="28">
        <f t="shared" si="20"/>
        <v>0</v>
      </c>
      <c r="W38" s="28">
        <f t="shared" si="20"/>
        <v>0</v>
      </c>
      <c r="X38" s="29">
        <f t="shared" si="20"/>
        <v>0</v>
      </c>
      <c r="Y38" s="24"/>
    </row>
    <row r="39" spans="2:25" ht="15" customHeight="1" x14ac:dyDescent="0.2">
      <c r="B39" s="31">
        <v>42529</v>
      </c>
      <c r="C39" s="73">
        <v>12.438000000000001</v>
      </c>
      <c r="D39" s="26">
        <v>7.9249999999999998</v>
      </c>
      <c r="E39" s="71">
        <v>7.3940000000000001</v>
      </c>
      <c r="F39" s="78">
        <v>12.945</v>
      </c>
      <c r="G39" s="47">
        <v>10.544</v>
      </c>
      <c r="H39" s="78">
        <v>10.362</v>
      </c>
      <c r="I39" s="57">
        <v>115.77</v>
      </c>
      <c r="J39" s="58">
        <v>2603</v>
      </c>
      <c r="K39" s="18">
        <f t="shared" si="25"/>
        <v>147</v>
      </c>
      <c r="L39" s="19">
        <f t="shared" si="19"/>
        <v>-11.999999999998678</v>
      </c>
      <c r="M39" s="19">
        <f t="shared" si="5"/>
        <v>-4.9999999999998934</v>
      </c>
      <c r="N39" s="19">
        <f t="shared" si="6"/>
        <v>-3.0000000000001137</v>
      </c>
      <c r="O39" s="19">
        <f t="shared" si="21"/>
        <v>-10.999999999999233</v>
      </c>
      <c r="P39" s="19">
        <f t="shared" si="22"/>
        <v>2.0000000000006679</v>
      </c>
      <c r="Q39" s="19">
        <f t="shared" si="23"/>
        <v>0</v>
      </c>
      <c r="R39" s="19">
        <f t="shared" si="10"/>
        <v>-6.0000000000002274</v>
      </c>
      <c r="S39" s="27">
        <f t="shared" si="20"/>
        <v>0</v>
      </c>
      <c r="T39" s="28">
        <f t="shared" si="20"/>
        <v>0.14285714285706369</v>
      </c>
      <c r="U39" s="28">
        <f t="shared" si="20"/>
        <v>0</v>
      </c>
      <c r="V39" s="28">
        <f t="shared" si="20"/>
        <v>0</v>
      </c>
      <c r="W39" s="28">
        <f t="shared" si="20"/>
        <v>0.14285714285731746</v>
      </c>
      <c r="X39" s="29">
        <f t="shared" si="20"/>
        <v>0</v>
      </c>
      <c r="Y39" s="24"/>
    </row>
    <row r="40" spans="2:25" ht="15" customHeight="1" x14ac:dyDescent="0.2">
      <c r="B40" s="31">
        <v>42558</v>
      </c>
      <c r="C40" s="73">
        <v>12.438000000000001</v>
      </c>
      <c r="D40" s="26">
        <v>7.9240000000000004</v>
      </c>
      <c r="E40" s="71">
        <v>7.3940000000000001</v>
      </c>
      <c r="F40" s="78">
        <v>12.945</v>
      </c>
      <c r="G40" s="47">
        <v>10.544</v>
      </c>
      <c r="H40" s="78">
        <v>10.362</v>
      </c>
      <c r="I40" s="57">
        <v>115.771</v>
      </c>
      <c r="J40" s="58">
        <v>2689</v>
      </c>
      <c r="K40" s="18">
        <f t="shared" si="25"/>
        <v>233</v>
      </c>
      <c r="L40" s="19">
        <f t="shared" si="19"/>
        <v>-11.999999999998678</v>
      </c>
      <c r="M40" s="19">
        <f t="shared" si="5"/>
        <v>-5.9999999999993392</v>
      </c>
      <c r="N40" s="19">
        <f t="shared" si="6"/>
        <v>-3.0000000000001137</v>
      </c>
      <c r="O40" s="19">
        <f t="shared" si="21"/>
        <v>-10.999999999999233</v>
      </c>
      <c r="P40" s="19">
        <f t="shared" si="22"/>
        <v>2.0000000000006679</v>
      </c>
      <c r="Q40" s="19">
        <f t="shared" si="23"/>
        <v>0</v>
      </c>
      <c r="R40" s="19">
        <f t="shared" si="10"/>
        <v>-4.9999999999954525</v>
      </c>
      <c r="S40" s="27">
        <f t="shared" si="20"/>
        <v>0</v>
      </c>
      <c r="T40" s="28">
        <f t="shared" si="20"/>
        <v>-3.4482758620670545E-2</v>
      </c>
      <c r="U40" s="28">
        <f t="shared" si="20"/>
        <v>0</v>
      </c>
      <c r="V40" s="28">
        <f t="shared" si="20"/>
        <v>0</v>
      </c>
      <c r="W40" s="28">
        <f t="shared" si="20"/>
        <v>0</v>
      </c>
      <c r="X40" s="29">
        <f t="shared" si="20"/>
        <v>0</v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/>
      <c r="L41" s="19" t="str">
        <f t="shared" si="19"/>
        <v/>
      </c>
      <c r="M41" s="19" t="str">
        <f t="shared" si="5"/>
        <v/>
      </c>
      <c r="N41" s="19" t="str">
        <f t="shared" si="6"/>
        <v/>
      </c>
      <c r="O41" s="19" t="str">
        <f t="shared" si="21"/>
        <v/>
      </c>
      <c r="P41" s="19" t="str">
        <f t="shared" si="22"/>
        <v/>
      </c>
      <c r="Q41" s="19" t="str">
        <f t="shared" si="23"/>
        <v/>
      </c>
      <c r="R41" s="19" t="str">
        <f t="shared" si="10"/>
        <v/>
      </c>
      <c r="S41" s="27" t="str">
        <f t="shared" si="20"/>
        <v/>
      </c>
      <c r="T41" s="28" t="str">
        <f t="shared" si="20"/>
        <v/>
      </c>
      <c r="U41" s="28" t="str">
        <f t="shared" si="20"/>
        <v/>
      </c>
      <c r="V41" s="28" t="str">
        <f t="shared" si="20"/>
        <v/>
      </c>
      <c r="W41" s="28" t="str">
        <f t="shared" si="20"/>
        <v/>
      </c>
      <c r="X41" s="29" t="str">
        <f t="shared" si="20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/>
      <c r="L42" s="19" t="str">
        <f t="shared" si="19"/>
        <v/>
      </c>
      <c r="M42" s="19" t="str">
        <f t="shared" si="5"/>
        <v/>
      </c>
      <c r="N42" s="19" t="str">
        <f t="shared" si="6"/>
        <v/>
      </c>
      <c r="O42" s="19" t="str">
        <f t="shared" si="21"/>
        <v/>
      </c>
      <c r="P42" s="19" t="str">
        <f t="shared" si="22"/>
        <v/>
      </c>
      <c r="Q42" s="19" t="str">
        <f t="shared" si="23"/>
        <v/>
      </c>
      <c r="R42" s="19" t="str">
        <f t="shared" si="10"/>
        <v/>
      </c>
      <c r="S42" s="27" t="str">
        <f t="shared" si="20"/>
        <v/>
      </c>
      <c r="T42" s="28" t="str">
        <f t="shared" si="20"/>
        <v/>
      </c>
      <c r="U42" s="28" t="str">
        <f t="shared" si="20"/>
        <v/>
      </c>
      <c r="V42" s="28" t="str">
        <f t="shared" si="20"/>
        <v/>
      </c>
      <c r="W42" s="28" t="str">
        <f t="shared" si="20"/>
        <v/>
      </c>
      <c r="X42" s="29" t="str">
        <f t="shared" si="20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/>
      <c r="L43" s="19" t="str">
        <f t="shared" si="19"/>
        <v/>
      </c>
      <c r="M43" s="19" t="str">
        <f t="shared" si="5"/>
        <v/>
      </c>
      <c r="N43" s="19" t="str">
        <f t="shared" si="6"/>
        <v/>
      </c>
      <c r="O43" s="19" t="str">
        <f t="shared" si="21"/>
        <v/>
      </c>
      <c r="P43" s="19" t="str">
        <f t="shared" si="22"/>
        <v/>
      </c>
      <c r="Q43" s="19" t="str">
        <f t="shared" si="23"/>
        <v/>
      </c>
      <c r="R43" s="19" t="str">
        <f t="shared" si="10"/>
        <v/>
      </c>
      <c r="S43" s="27" t="str">
        <f t="shared" si="20"/>
        <v/>
      </c>
      <c r="T43" s="28" t="str">
        <f t="shared" si="20"/>
        <v/>
      </c>
      <c r="U43" s="28" t="str">
        <f t="shared" si="20"/>
        <v/>
      </c>
      <c r="V43" s="28" t="str">
        <f t="shared" si="20"/>
        <v/>
      </c>
      <c r="W43" s="28" t="str">
        <f t="shared" si="20"/>
        <v/>
      </c>
      <c r="X43" s="29" t="str">
        <f t="shared" si="20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9"/>
        <v/>
      </c>
      <c r="M44" s="19" t="str">
        <f t="shared" si="5"/>
        <v/>
      </c>
      <c r="N44" s="19" t="str">
        <f t="shared" si="6"/>
        <v/>
      </c>
      <c r="O44" s="19" t="str">
        <f t="shared" si="21"/>
        <v/>
      </c>
      <c r="P44" s="19" t="str">
        <f t="shared" si="22"/>
        <v/>
      </c>
      <c r="Q44" s="19" t="str">
        <f t="shared" si="23"/>
        <v/>
      </c>
      <c r="R44" s="19" t="str">
        <f t="shared" si="10"/>
        <v/>
      </c>
      <c r="S44" s="27" t="str">
        <f t="shared" si="20"/>
        <v/>
      </c>
      <c r="T44" s="28" t="str">
        <f t="shared" si="20"/>
        <v/>
      </c>
      <c r="U44" s="28" t="str">
        <f t="shared" si="20"/>
        <v/>
      </c>
      <c r="V44" s="28" t="str">
        <f t="shared" si="20"/>
        <v/>
      </c>
      <c r="W44" s="28" t="str">
        <f t="shared" si="20"/>
        <v/>
      </c>
      <c r="X44" s="29" t="str">
        <f t="shared" si="20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9"/>
        <v/>
      </c>
      <c r="M45" s="19" t="str">
        <f t="shared" si="5"/>
        <v/>
      </c>
      <c r="N45" s="19" t="str">
        <f t="shared" si="6"/>
        <v/>
      </c>
      <c r="O45" s="19" t="str">
        <f t="shared" si="21"/>
        <v/>
      </c>
      <c r="P45" s="19" t="str">
        <f t="shared" si="22"/>
        <v/>
      </c>
      <c r="Q45" s="19" t="str">
        <f t="shared" si="23"/>
        <v/>
      </c>
      <c r="R45" s="19" t="str">
        <f t="shared" si="10"/>
        <v/>
      </c>
      <c r="S45" s="27" t="str">
        <f t="shared" si="20"/>
        <v/>
      </c>
      <c r="T45" s="28" t="str">
        <f t="shared" si="20"/>
        <v/>
      </c>
      <c r="U45" s="28" t="str">
        <f t="shared" si="20"/>
        <v/>
      </c>
      <c r="V45" s="28" t="str">
        <f t="shared" si="20"/>
        <v/>
      </c>
      <c r="W45" s="28" t="str">
        <f t="shared" si="20"/>
        <v/>
      </c>
      <c r="X45" s="29" t="str">
        <f t="shared" si="20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9"/>
        <v/>
      </c>
      <c r="M46" s="19" t="str">
        <f t="shared" si="5"/>
        <v/>
      </c>
      <c r="N46" s="19" t="str">
        <f t="shared" si="6"/>
        <v/>
      </c>
      <c r="O46" s="19" t="str">
        <f t="shared" si="21"/>
        <v/>
      </c>
      <c r="P46" s="19" t="str">
        <f t="shared" si="22"/>
        <v/>
      </c>
      <c r="Q46" s="19" t="str">
        <f t="shared" si="23"/>
        <v/>
      </c>
      <c r="R46" s="19" t="str">
        <f t="shared" si="10"/>
        <v/>
      </c>
      <c r="S46" s="27" t="str">
        <f t="shared" si="20"/>
        <v/>
      </c>
      <c r="T46" s="28" t="str">
        <f t="shared" si="20"/>
        <v/>
      </c>
      <c r="U46" s="28" t="str">
        <f t="shared" si="20"/>
        <v/>
      </c>
      <c r="V46" s="28" t="str">
        <f t="shared" si="20"/>
        <v/>
      </c>
      <c r="W46" s="28" t="str">
        <f t="shared" si="20"/>
        <v/>
      </c>
      <c r="X46" s="29" t="str">
        <f t="shared" si="20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9"/>
        <v/>
      </c>
      <c r="M47" s="19" t="str">
        <f t="shared" si="5"/>
        <v/>
      </c>
      <c r="N47" s="19" t="str">
        <f t="shared" si="6"/>
        <v/>
      </c>
      <c r="O47" s="19" t="str">
        <f t="shared" si="21"/>
        <v/>
      </c>
      <c r="P47" s="19" t="str">
        <f t="shared" si="22"/>
        <v/>
      </c>
      <c r="Q47" s="19" t="str">
        <f t="shared" si="23"/>
        <v/>
      </c>
      <c r="R47" s="19" t="str">
        <f t="shared" si="10"/>
        <v/>
      </c>
      <c r="S47" s="27" t="str">
        <f t="shared" si="20"/>
        <v/>
      </c>
      <c r="T47" s="28" t="str">
        <f t="shared" si="20"/>
        <v/>
      </c>
      <c r="U47" s="28" t="str">
        <f t="shared" si="20"/>
        <v/>
      </c>
      <c r="V47" s="28" t="str">
        <f t="shared" si="20"/>
        <v/>
      </c>
      <c r="W47" s="28" t="str">
        <f t="shared" si="20"/>
        <v/>
      </c>
      <c r="X47" s="29" t="str">
        <f t="shared" si="20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9"/>
        <v/>
      </c>
      <c r="M48" s="19" t="str">
        <f t="shared" si="5"/>
        <v/>
      </c>
      <c r="N48" s="19" t="str">
        <f t="shared" si="6"/>
        <v/>
      </c>
      <c r="O48" s="19" t="str">
        <f t="shared" si="21"/>
        <v/>
      </c>
      <c r="P48" s="19" t="str">
        <f t="shared" si="22"/>
        <v/>
      </c>
      <c r="Q48" s="19" t="str">
        <f t="shared" si="23"/>
        <v/>
      </c>
      <c r="R48" s="19" t="str">
        <f t="shared" si="10"/>
        <v/>
      </c>
      <c r="S48" s="27" t="str">
        <f t="shared" si="20"/>
        <v/>
      </c>
      <c r="T48" s="28" t="str">
        <f t="shared" si="20"/>
        <v/>
      </c>
      <c r="U48" s="28" t="str">
        <f t="shared" si="20"/>
        <v/>
      </c>
      <c r="V48" s="28" t="str">
        <f t="shared" si="20"/>
        <v/>
      </c>
      <c r="W48" s="28" t="str">
        <f t="shared" si="20"/>
        <v/>
      </c>
      <c r="X48" s="29" t="str">
        <f t="shared" si="20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9"/>
        <v/>
      </c>
      <c r="M49" s="19" t="str">
        <f t="shared" si="5"/>
        <v/>
      </c>
      <c r="N49" s="19" t="str">
        <f t="shared" si="6"/>
        <v/>
      </c>
      <c r="O49" s="19" t="str">
        <f t="shared" si="21"/>
        <v/>
      </c>
      <c r="P49" s="19" t="str">
        <f t="shared" si="22"/>
        <v/>
      </c>
      <c r="Q49" s="19" t="str">
        <f t="shared" si="23"/>
        <v/>
      </c>
      <c r="R49" s="19" t="str">
        <f t="shared" si="10"/>
        <v/>
      </c>
      <c r="S49" s="27" t="str">
        <f t="shared" ref="S49:X64" si="26">IF(C49="","",((C49-C48)*1000)/($B49-$B48))</f>
        <v/>
      </c>
      <c r="T49" s="28" t="str">
        <f t="shared" si="26"/>
        <v/>
      </c>
      <c r="U49" s="28" t="str">
        <f t="shared" si="26"/>
        <v/>
      </c>
      <c r="V49" s="28" t="str">
        <f t="shared" si="26"/>
        <v/>
      </c>
      <c r="W49" s="28" t="str">
        <f t="shared" si="26"/>
        <v/>
      </c>
      <c r="X49" s="29" t="str">
        <f t="shared" si="26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9"/>
        <v/>
      </c>
      <c r="M50" s="19" t="str">
        <f t="shared" si="5"/>
        <v/>
      </c>
      <c r="N50" s="19" t="str">
        <f t="shared" si="6"/>
        <v/>
      </c>
      <c r="O50" s="19" t="str">
        <f t="shared" si="21"/>
        <v/>
      </c>
      <c r="P50" s="19" t="str">
        <f t="shared" si="22"/>
        <v/>
      </c>
      <c r="Q50" s="19" t="str">
        <f t="shared" si="23"/>
        <v/>
      </c>
      <c r="R50" s="19" t="str">
        <f t="shared" si="10"/>
        <v/>
      </c>
      <c r="S50" s="27" t="str">
        <f t="shared" si="26"/>
        <v/>
      </c>
      <c r="T50" s="28" t="str">
        <f t="shared" si="26"/>
        <v/>
      </c>
      <c r="U50" s="28" t="str">
        <f t="shared" si="26"/>
        <v/>
      </c>
      <c r="V50" s="28" t="str">
        <f t="shared" si="26"/>
        <v/>
      </c>
      <c r="W50" s="28" t="str">
        <f t="shared" si="26"/>
        <v/>
      </c>
      <c r="X50" s="29" t="str">
        <f t="shared" si="2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9"/>
        <v/>
      </c>
      <c r="M51" s="19" t="str">
        <f t="shared" si="5"/>
        <v/>
      </c>
      <c r="N51" s="19" t="str">
        <f t="shared" si="6"/>
        <v/>
      </c>
      <c r="O51" s="19" t="str">
        <f t="shared" si="21"/>
        <v/>
      </c>
      <c r="P51" s="19" t="str">
        <f t="shared" si="22"/>
        <v/>
      </c>
      <c r="Q51" s="19" t="str">
        <f t="shared" si="23"/>
        <v/>
      </c>
      <c r="R51" s="19" t="str">
        <f t="shared" si="10"/>
        <v/>
      </c>
      <c r="S51" s="27" t="str">
        <f t="shared" si="26"/>
        <v/>
      </c>
      <c r="T51" s="28" t="str">
        <f t="shared" si="26"/>
        <v/>
      </c>
      <c r="U51" s="28" t="str">
        <f t="shared" si="26"/>
        <v/>
      </c>
      <c r="V51" s="28" t="str">
        <f t="shared" si="26"/>
        <v/>
      </c>
      <c r="W51" s="28" t="str">
        <f t="shared" si="26"/>
        <v/>
      </c>
      <c r="X51" s="29" t="str">
        <f t="shared" si="2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9"/>
        <v/>
      </c>
      <c r="M52" s="19" t="str">
        <f t="shared" si="5"/>
        <v/>
      </c>
      <c r="N52" s="19" t="str">
        <f t="shared" si="6"/>
        <v/>
      </c>
      <c r="O52" s="19" t="str">
        <f t="shared" si="21"/>
        <v/>
      </c>
      <c r="P52" s="19" t="str">
        <f t="shared" si="22"/>
        <v/>
      </c>
      <c r="Q52" s="19" t="str">
        <f t="shared" si="23"/>
        <v/>
      </c>
      <c r="R52" s="19" t="str">
        <f t="shared" si="10"/>
        <v/>
      </c>
      <c r="S52" s="27" t="str">
        <f t="shared" si="26"/>
        <v/>
      </c>
      <c r="T52" s="28" t="str">
        <f t="shared" si="26"/>
        <v/>
      </c>
      <c r="U52" s="28" t="str">
        <f t="shared" si="26"/>
        <v/>
      </c>
      <c r="V52" s="28" t="str">
        <f t="shared" si="26"/>
        <v/>
      </c>
      <c r="W52" s="28" t="str">
        <f t="shared" si="26"/>
        <v/>
      </c>
      <c r="X52" s="29" t="str">
        <f t="shared" si="2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9"/>
        <v/>
      </c>
      <c r="M53" s="19" t="str">
        <f t="shared" si="5"/>
        <v/>
      </c>
      <c r="N53" s="19" t="str">
        <f t="shared" si="6"/>
        <v/>
      </c>
      <c r="O53" s="19" t="str">
        <f t="shared" si="21"/>
        <v/>
      </c>
      <c r="P53" s="19" t="str">
        <f t="shared" si="22"/>
        <v/>
      </c>
      <c r="Q53" s="19" t="str">
        <f t="shared" si="23"/>
        <v/>
      </c>
      <c r="R53" s="19" t="str">
        <f t="shared" si="10"/>
        <v/>
      </c>
      <c r="S53" s="27" t="str">
        <f t="shared" si="26"/>
        <v/>
      </c>
      <c r="T53" s="28" t="str">
        <f t="shared" si="26"/>
        <v/>
      </c>
      <c r="U53" s="28" t="str">
        <f t="shared" si="26"/>
        <v/>
      </c>
      <c r="V53" s="28" t="str">
        <f t="shared" si="26"/>
        <v/>
      </c>
      <c r="W53" s="28" t="str">
        <f t="shared" si="26"/>
        <v/>
      </c>
      <c r="X53" s="29" t="str">
        <f t="shared" si="2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9"/>
        <v/>
      </c>
      <c r="M54" s="19" t="str">
        <f t="shared" si="5"/>
        <v/>
      </c>
      <c r="N54" s="19" t="str">
        <f t="shared" si="6"/>
        <v/>
      </c>
      <c r="O54" s="19" t="str">
        <f t="shared" si="21"/>
        <v/>
      </c>
      <c r="P54" s="19" t="str">
        <f t="shared" si="22"/>
        <v/>
      </c>
      <c r="Q54" s="19" t="str">
        <f t="shared" si="23"/>
        <v/>
      </c>
      <c r="R54" s="19" t="str">
        <f t="shared" si="10"/>
        <v/>
      </c>
      <c r="S54" s="27" t="str">
        <f t="shared" si="26"/>
        <v/>
      </c>
      <c r="T54" s="28" t="str">
        <f t="shared" si="26"/>
        <v/>
      </c>
      <c r="U54" s="28" t="str">
        <f t="shared" si="26"/>
        <v/>
      </c>
      <c r="V54" s="28" t="str">
        <f t="shared" si="26"/>
        <v/>
      </c>
      <c r="W54" s="28" t="str">
        <f t="shared" si="26"/>
        <v/>
      </c>
      <c r="X54" s="29" t="str">
        <f t="shared" si="2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9"/>
        <v/>
      </c>
      <c r="M55" s="19" t="str">
        <f t="shared" si="5"/>
        <v/>
      </c>
      <c r="N55" s="19" t="str">
        <f t="shared" si="6"/>
        <v/>
      </c>
      <c r="O55" s="19" t="str">
        <f t="shared" si="21"/>
        <v/>
      </c>
      <c r="P55" s="19" t="str">
        <f t="shared" si="22"/>
        <v/>
      </c>
      <c r="Q55" s="19" t="str">
        <f t="shared" si="23"/>
        <v/>
      </c>
      <c r="R55" s="19" t="str">
        <f t="shared" si="10"/>
        <v/>
      </c>
      <c r="S55" s="27" t="str">
        <f t="shared" si="26"/>
        <v/>
      </c>
      <c r="T55" s="28" t="str">
        <f t="shared" si="26"/>
        <v/>
      </c>
      <c r="U55" s="28" t="str">
        <f t="shared" si="26"/>
        <v/>
      </c>
      <c r="V55" s="28" t="str">
        <f t="shared" si="26"/>
        <v/>
      </c>
      <c r="W55" s="28" t="str">
        <f t="shared" si="26"/>
        <v/>
      </c>
      <c r="X55" s="29" t="str">
        <f t="shared" si="2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9"/>
        <v/>
      </c>
      <c r="M56" s="19" t="str">
        <f t="shared" si="5"/>
        <v/>
      </c>
      <c r="N56" s="19" t="str">
        <f t="shared" si="6"/>
        <v/>
      </c>
      <c r="O56" s="19" t="str">
        <f t="shared" si="21"/>
        <v/>
      </c>
      <c r="P56" s="19" t="str">
        <f t="shared" si="22"/>
        <v/>
      </c>
      <c r="Q56" s="19" t="str">
        <f t="shared" si="23"/>
        <v/>
      </c>
      <c r="R56" s="19" t="str">
        <f t="shared" si="10"/>
        <v/>
      </c>
      <c r="S56" s="27" t="str">
        <f t="shared" si="26"/>
        <v/>
      </c>
      <c r="T56" s="28" t="str">
        <f t="shared" si="26"/>
        <v/>
      </c>
      <c r="U56" s="28" t="str">
        <f t="shared" si="26"/>
        <v/>
      </c>
      <c r="V56" s="28" t="str">
        <f t="shared" si="26"/>
        <v/>
      </c>
      <c r="W56" s="28" t="str">
        <f t="shared" si="26"/>
        <v/>
      </c>
      <c r="X56" s="29" t="str">
        <f t="shared" si="2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9"/>
        <v/>
      </c>
      <c r="M57" s="19" t="str">
        <f t="shared" si="5"/>
        <v/>
      </c>
      <c r="N57" s="19" t="str">
        <f t="shared" si="6"/>
        <v/>
      </c>
      <c r="O57" s="19" t="str">
        <f t="shared" si="21"/>
        <v/>
      </c>
      <c r="P57" s="19" t="str">
        <f t="shared" si="22"/>
        <v/>
      </c>
      <c r="Q57" s="19" t="str">
        <f t="shared" si="23"/>
        <v/>
      </c>
      <c r="R57" s="19" t="str">
        <f t="shared" si="10"/>
        <v/>
      </c>
      <c r="S57" s="27" t="str">
        <f t="shared" si="26"/>
        <v/>
      </c>
      <c r="T57" s="28" t="str">
        <f t="shared" si="26"/>
        <v/>
      </c>
      <c r="U57" s="28" t="str">
        <f t="shared" si="26"/>
        <v/>
      </c>
      <c r="V57" s="28" t="str">
        <f t="shared" si="26"/>
        <v/>
      </c>
      <c r="W57" s="28" t="str">
        <f t="shared" si="26"/>
        <v/>
      </c>
      <c r="X57" s="29" t="str">
        <f t="shared" si="2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9"/>
        <v/>
      </c>
      <c r="M58" s="19" t="str">
        <f t="shared" si="5"/>
        <v/>
      </c>
      <c r="N58" s="19" t="str">
        <f t="shared" si="6"/>
        <v/>
      </c>
      <c r="O58" s="19" t="str">
        <f t="shared" si="21"/>
        <v/>
      </c>
      <c r="P58" s="19" t="str">
        <f t="shared" si="22"/>
        <v/>
      </c>
      <c r="Q58" s="19" t="str">
        <f t="shared" si="23"/>
        <v/>
      </c>
      <c r="R58" s="19" t="str">
        <f t="shared" si="10"/>
        <v/>
      </c>
      <c r="S58" s="27" t="str">
        <f t="shared" si="26"/>
        <v/>
      </c>
      <c r="T58" s="28" t="str">
        <f t="shared" si="26"/>
        <v/>
      </c>
      <c r="U58" s="28" t="str">
        <f t="shared" si="26"/>
        <v/>
      </c>
      <c r="V58" s="28" t="str">
        <f t="shared" si="26"/>
        <v/>
      </c>
      <c r="W58" s="28" t="str">
        <f t="shared" si="26"/>
        <v/>
      </c>
      <c r="X58" s="29" t="str">
        <f t="shared" si="2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9"/>
        <v/>
      </c>
      <c r="M59" s="19" t="str">
        <f t="shared" si="5"/>
        <v/>
      </c>
      <c r="N59" s="19" t="str">
        <f t="shared" si="6"/>
        <v/>
      </c>
      <c r="O59" s="19" t="str">
        <f t="shared" si="21"/>
        <v/>
      </c>
      <c r="P59" s="19" t="str">
        <f t="shared" si="22"/>
        <v/>
      </c>
      <c r="Q59" s="19" t="str">
        <f t="shared" si="23"/>
        <v/>
      </c>
      <c r="R59" s="19" t="str">
        <f t="shared" si="10"/>
        <v/>
      </c>
      <c r="S59" s="27" t="str">
        <f t="shared" si="26"/>
        <v/>
      </c>
      <c r="T59" s="28" t="str">
        <f t="shared" si="26"/>
        <v/>
      </c>
      <c r="U59" s="28" t="str">
        <f t="shared" si="26"/>
        <v/>
      </c>
      <c r="V59" s="28" t="str">
        <f t="shared" si="26"/>
        <v/>
      </c>
      <c r="W59" s="28" t="str">
        <f t="shared" si="26"/>
        <v/>
      </c>
      <c r="X59" s="29" t="str">
        <f t="shared" si="2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9"/>
        <v/>
      </c>
      <c r="M60" s="19" t="str">
        <f t="shared" si="5"/>
        <v/>
      </c>
      <c r="N60" s="19" t="str">
        <f t="shared" si="6"/>
        <v/>
      </c>
      <c r="O60" s="19" t="str">
        <f t="shared" si="21"/>
        <v/>
      </c>
      <c r="P60" s="19" t="str">
        <f t="shared" si="22"/>
        <v/>
      </c>
      <c r="Q60" s="19" t="str">
        <f t="shared" si="23"/>
        <v/>
      </c>
      <c r="R60" s="19" t="str">
        <f t="shared" si="10"/>
        <v/>
      </c>
      <c r="S60" s="27" t="str">
        <f t="shared" si="26"/>
        <v/>
      </c>
      <c r="T60" s="28" t="str">
        <f t="shared" si="26"/>
        <v/>
      </c>
      <c r="U60" s="28" t="str">
        <f t="shared" si="26"/>
        <v/>
      </c>
      <c r="V60" s="28" t="str">
        <f t="shared" si="26"/>
        <v/>
      </c>
      <c r="W60" s="28" t="str">
        <f t="shared" si="26"/>
        <v/>
      </c>
      <c r="X60" s="29" t="str">
        <f t="shared" si="2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9"/>
        <v/>
      </c>
      <c r="M61" s="19" t="str">
        <f t="shared" si="5"/>
        <v/>
      </c>
      <c r="N61" s="19" t="str">
        <f t="shared" si="6"/>
        <v/>
      </c>
      <c r="O61" s="19" t="str">
        <f t="shared" si="21"/>
        <v/>
      </c>
      <c r="P61" s="19" t="str">
        <f t="shared" si="22"/>
        <v/>
      </c>
      <c r="Q61" s="19" t="str">
        <f t="shared" si="23"/>
        <v/>
      </c>
      <c r="R61" s="19" t="str">
        <f t="shared" si="10"/>
        <v/>
      </c>
      <c r="S61" s="27" t="str">
        <f t="shared" si="26"/>
        <v/>
      </c>
      <c r="T61" s="28" t="str">
        <f t="shared" si="26"/>
        <v/>
      </c>
      <c r="U61" s="28" t="str">
        <f t="shared" si="26"/>
        <v/>
      </c>
      <c r="V61" s="28" t="str">
        <f t="shared" si="26"/>
        <v/>
      </c>
      <c r="W61" s="28" t="str">
        <f t="shared" si="26"/>
        <v/>
      </c>
      <c r="X61" s="29" t="str">
        <f t="shared" si="2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9"/>
        <v/>
      </c>
      <c r="M62" s="19" t="str">
        <f t="shared" si="5"/>
        <v/>
      </c>
      <c r="N62" s="19" t="str">
        <f t="shared" si="6"/>
        <v/>
      </c>
      <c r="O62" s="19" t="str">
        <f t="shared" si="21"/>
        <v/>
      </c>
      <c r="P62" s="19" t="str">
        <f t="shared" si="22"/>
        <v/>
      </c>
      <c r="Q62" s="19" t="str">
        <f t="shared" si="23"/>
        <v/>
      </c>
      <c r="R62" s="19" t="str">
        <f t="shared" si="10"/>
        <v/>
      </c>
      <c r="S62" s="27" t="str">
        <f t="shared" si="26"/>
        <v/>
      </c>
      <c r="T62" s="28" t="str">
        <f t="shared" si="26"/>
        <v/>
      </c>
      <c r="U62" s="28" t="str">
        <f t="shared" si="26"/>
        <v/>
      </c>
      <c r="V62" s="28" t="str">
        <f t="shared" si="26"/>
        <v/>
      </c>
      <c r="W62" s="28" t="str">
        <f t="shared" si="26"/>
        <v/>
      </c>
      <c r="X62" s="29" t="str">
        <f t="shared" si="2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9"/>
        <v/>
      </c>
      <c r="M63" s="19" t="str">
        <f t="shared" si="5"/>
        <v/>
      </c>
      <c r="N63" s="19" t="str">
        <f t="shared" si="6"/>
        <v/>
      </c>
      <c r="O63" s="19" t="str">
        <f t="shared" si="21"/>
        <v/>
      </c>
      <c r="P63" s="19" t="str">
        <f t="shared" si="22"/>
        <v/>
      </c>
      <c r="Q63" s="19" t="str">
        <f t="shared" si="23"/>
        <v/>
      </c>
      <c r="R63" s="19" t="str">
        <f t="shared" si="10"/>
        <v/>
      </c>
      <c r="S63" s="27" t="str">
        <f t="shared" si="26"/>
        <v/>
      </c>
      <c r="T63" s="28" t="str">
        <f t="shared" si="26"/>
        <v/>
      </c>
      <c r="U63" s="28" t="str">
        <f t="shared" si="26"/>
        <v/>
      </c>
      <c r="V63" s="28" t="str">
        <f t="shared" si="26"/>
        <v/>
      </c>
      <c r="W63" s="28" t="str">
        <f t="shared" si="26"/>
        <v/>
      </c>
      <c r="X63" s="29" t="str">
        <f t="shared" si="2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9"/>
        <v/>
      </c>
      <c r="M64" s="19" t="str">
        <f t="shared" si="5"/>
        <v/>
      </c>
      <c r="N64" s="19" t="str">
        <f t="shared" si="6"/>
        <v/>
      </c>
      <c r="O64" s="19" t="str">
        <f t="shared" si="21"/>
        <v/>
      </c>
      <c r="P64" s="19" t="str">
        <f t="shared" si="22"/>
        <v/>
      </c>
      <c r="Q64" s="19" t="str">
        <f t="shared" si="23"/>
        <v/>
      </c>
      <c r="R64" s="19" t="str">
        <f t="shared" si="10"/>
        <v/>
      </c>
      <c r="S64" s="27" t="str">
        <f t="shared" si="26"/>
        <v/>
      </c>
      <c r="T64" s="28" t="str">
        <f t="shared" si="26"/>
        <v/>
      </c>
      <c r="U64" s="28" t="str">
        <f t="shared" si="26"/>
        <v/>
      </c>
      <c r="V64" s="28" t="str">
        <f t="shared" si="26"/>
        <v/>
      </c>
      <c r="W64" s="28" t="str">
        <f t="shared" si="26"/>
        <v/>
      </c>
      <c r="X64" s="29" t="str">
        <f t="shared" si="2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9"/>
        <v/>
      </c>
      <c r="M65" s="19" t="str">
        <f t="shared" si="5"/>
        <v/>
      </c>
      <c r="N65" s="19" t="str">
        <f t="shared" si="6"/>
        <v/>
      </c>
      <c r="O65" s="19" t="str">
        <f t="shared" si="21"/>
        <v/>
      </c>
      <c r="P65" s="19" t="str">
        <f t="shared" si="22"/>
        <v/>
      </c>
      <c r="Q65" s="19" t="str">
        <f t="shared" si="23"/>
        <v/>
      </c>
      <c r="R65" s="19" t="str">
        <f t="shared" si="10"/>
        <v/>
      </c>
      <c r="S65" s="27" t="str">
        <f t="shared" ref="S65:X80" si="27">IF(C65="","",((C65-C64)*1000)/($B65-$B64))</f>
        <v/>
      </c>
      <c r="T65" s="28" t="str">
        <f t="shared" si="27"/>
        <v/>
      </c>
      <c r="U65" s="28" t="str">
        <f t="shared" si="27"/>
        <v/>
      </c>
      <c r="V65" s="28" t="str">
        <f t="shared" si="27"/>
        <v/>
      </c>
      <c r="W65" s="28" t="str">
        <f t="shared" si="27"/>
        <v/>
      </c>
      <c r="X65" s="29" t="str">
        <f t="shared" si="27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9"/>
        <v/>
      </c>
      <c r="M66" s="19" t="str">
        <f t="shared" si="5"/>
        <v/>
      </c>
      <c r="N66" s="19" t="str">
        <f t="shared" si="6"/>
        <v/>
      </c>
      <c r="O66" s="19" t="str">
        <f t="shared" si="21"/>
        <v/>
      </c>
      <c r="P66" s="19" t="str">
        <f t="shared" si="22"/>
        <v/>
      </c>
      <c r="Q66" s="19" t="str">
        <f t="shared" si="23"/>
        <v/>
      </c>
      <c r="R66" s="19" t="str">
        <f t="shared" si="10"/>
        <v/>
      </c>
      <c r="S66" s="27" t="str">
        <f t="shared" si="27"/>
        <v/>
      </c>
      <c r="T66" s="28" t="str">
        <f t="shared" si="27"/>
        <v/>
      </c>
      <c r="U66" s="28" t="str">
        <f t="shared" si="27"/>
        <v/>
      </c>
      <c r="V66" s="28" t="str">
        <f t="shared" si="27"/>
        <v/>
      </c>
      <c r="W66" s="28" t="str">
        <f t="shared" si="27"/>
        <v/>
      </c>
      <c r="X66" s="29" t="str">
        <f t="shared" si="27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9"/>
        <v/>
      </c>
      <c r="M67" s="19" t="str">
        <f t="shared" si="5"/>
        <v/>
      </c>
      <c r="N67" s="19" t="str">
        <f t="shared" si="6"/>
        <v/>
      </c>
      <c r="O67" s="19" t="str">
        <f t="shared" si="21"/>
        <v/>
      </c>
      <c r="P67" s="19" t="str">
        <f t="shared" si="22"/>
        <v/>
      </c>
      <c r="Q67" s="19" t="str">
        <f t="shared" si="23"/>
        <v/>
      </c>
      <c r="R67" s="19" t="str">
        <f t="shared" si="10"/>
        <v/>
      </c>
      <c r="S67" s="27" t="str">
        <f t="shared" si="27"/>
        <v/>
      </c>
      <c r="T67" s="28" t="str">
        <f t="shared" si="27"/>
        <v/>
      </c>
      <c r="U67" s="28" t="str">
        <f t="shared" si="27"/>
        <v/>
      </c>
      <c r="V67" s="28" t="str">
        <f t="shared" si="27"/>
        <v/>
      </c>
      <c r="W67" s="28" t="str">
        <f t="shared" si="27"/>
        <v/>
      </c>
      <c r="X67" s="29" t="str">
        <f t="shared" si="27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9"/>
        <v/>
      </c>
      <c r="M68" s="19" t="str">
        <f t="shared" si="5"/>
        <v/>
      </c>
      <c r="N68" s="19" t="str">
        <f t="shared" si="6"/>
        <v/>
      </c>
      <c r="O68" s="19" t="str">
        <f t="shared" si="21"/>
        <v/>
      </c>
      <c r="P68" s="19" t="str">
        <f t="shared" si="22"/>
        <v/>
      </c>
      <c r="Q68" s="19" t="str">
        <f t="shared" si="23"/>
        <v/>
      </c>
      <c r="R68" s="19" t="str">
        <f t="shared" si="10"/>
        <v/>
      </c>
      <c r="S68" s="27" t="str">
        <f t="shared" si="27"/>
        <v/>
      </c>
      <c r="T68" s="28" t="str">
        <f t="shared" si="27"/>
        <v/>
      </c>
      <c r="U68" s="28" t="str">
        <f t="shared" si="27"/>
        <v/>
      </c>
      <c r="V68" s="28" t="str">
        <f t="shared" si="27"/>
        <v/>
      </c>
      <c r="W68" s="28" t="str">
        <f t="shared" si="27"/>
        <v/>
      </c>
      <c r="X68" s="29" t="str">
        <f t="shared" si="27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L132" si="28">IF(ISBLANK(C69),"",(C69-C$16)*1000)</f>
        <v/>
      </c>
      <c r="M69" s="19" t="str">
        <f t="shared" si="5"/>
        <v/>
      </c>
      <c r="N69" s="19" t="str">
        <f t="shared" si="6"/>
        <v/>
      </c>
      <c r="O69" s="19" t="str">
        <f t="shared" si="21"/>
        <v/>
      </c>
      <c r="P69" s="19" t="str">
        <f t="shared" si="22"/>
        <v/>
      </c>
      <c r="Q69" s="19" t="str">
        <f t="shared" si="23"/>
        <v/>
      </c>
      <c r="R69" s="19" t="str">
        <f t="shared" si="10"/>
        <v/>
      </c>
      <c r="S69" s="27" t="str">
        <f t="shared" si="27"/>
        <v/>
      </c>
      <c r="T69" s="28" t="str">
        <f t="shared" si="27"/>
        <v/>
      </c>
      <c r="U69" s="28" t="str">
        <f t="shared" si="27"/>
        <v/>
      </c>
      <c r="V69" s="28" t="str">
        <f t="shared" si="27"/>
        <v/>
      </c>
      <c r="W69" s="28" t="str">
        <f t="shared" si="27"/>
        <v/>
      </c>
      <c r="X69" s="29" t="str">
        <f t="shared" si="27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8"/>
        <v/>
      </c>
      <c r="M70" s="19" t="str">
        <f t="shared" si="5"/>
        <v/>
      </c>
      <c r="N70" s="19" t="str">
        <f t="shared" si="6"/>
        <v/>
      </c>
      <c r="O70" s="19" t="str">
        <f t="shared" si="21"/>
        <v/>
      </c>
      <c r="P70" s="19" t="str">
        <f t="shared" si="22"/>
        <v/>
      </c>
      <c r="Q70" s="19" t="str">
        <f t="shared" si="23"/>
        <v/>
      </c>
      <c r="R70" s="19" t="str">
        <f t="shared" si="10"/>
        <v/>
      </c>
      <c r="S70" s="27" t="str">
        <f t="shared" si="27"/>
        <v/>
      </c>
      <c r="T70" s="28" t="str">
        <f t="shared" si="27"/>
        <v/>
      </c>
      <c r="U70" s="28" t="str">
        <f t="shared" si="27"/>
        <v/>
      </c>
      <c r="V70" s="28" t="str">
        <f t="shared" si="27"/>
        <v/>
      </c>
      <c r="W70" s="28" t="str">
        <f t="shared" si="27"/>
        <v/>
      </c>
      <c r="X70" s="29" t="str">
        <f t="shared" si="27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8"/>
        <v/>
      </c>
      <c r="M71" s="19" t="str">
        <f t="shared" si="5"/>
        <v/>
      </c>
      <c r="N71" s="19" t="str">
        <f t="shared" si="6"/>
        <v/>
      </c>
      <c r="O71" s="19" t="str">
        <f t="shared" si="21"/>
        <v/>
      </c>
      <c r="P71" s="19" t="str">
        <f t="shared" si="22"/>
        <v/>
      </c>
      <c r="Q71" s="19" t="str">
        <f t="shared" si="23"/>
        <v/>
      </c>
      <c r="R71" s="19" t="str">
        <f t="shared" si="10"/>
        <v/>
      </c>
      <c r="S71" s="27" t="str">
        <f t="shared" si="27"/>
        <v/>
      </c>
      <c r="T71" s="28" t="str">
        <f t="shared" si="27"/>
        <v/>
      </c>
      <c r="U71" s="28" t="str">
        <f t="shared" si="27"/>
        <v/>
      </c>
      <c r="V71" s="28" t="str">
        <f t="shared" si="27"/>
        <v/>
      </c>
      <c r="W71" s="28" t="str">
        <f t="shared" si="27"/>
        <v/>
      </c>
      <c r="X71" s="29" t="str">
        <f t="shared" si="27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8"/>
        <v/>
      </c>
      <c r="M72" s="19" t="str">
        <f t="shared" si="5"/>
        <v/>
      </c>
      <c r="N72" s="19" t="str">
        <f t="shared" si="6"/>
        <v/>
      </c>
      <c r="O72" s="19" t="str">
        <f t="shared" si="21"/>
        <v/>
      </c>
      <c r="P72" s="19" t="str">
        <f t="shared" si="22"/>
        <v/>
      </c>
      <c r="Q72" s="19" t="str">
        <f t="shared" si="23"/>
        <v/>
      </c>
      <c r="R72" s="19" t="str">
        <f t="shared" si="10"/>
        <v/>
      </c>
      <c r="S72" s="27" t="str">
        <f t="shared" si="27"/>
        <v/>
      </c>
      <c r="T72" s="28" t="str">
        <f t="shared" si="27"/>
        <v/>
      </c>
      <c r="U72" s="28" t="str">
        <f t="shared" si="27"/>
        <v/>
      </c>
      <c r="V72" s="28" t="str">
        <f t="shared" si="27"/>
        <v/>
      </c>
      <c r="W72" s="28" t="str">
        <f t="shared" si="27"/>
        <v/>
      </c>
      <c r="X72" s="29" t="str">
        <f t="shared" si="27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8"/>
        <v/>
      </c>
      <c r="M73" s="19" t="str">
        <f t="shared" si="5"/>
        <v/>
      </c>
      <c r="N73" s="19" t="str">
        <f t="shared" si="6"/>
        <v/>
      </c>
      <c r="O73" s="19" t="str">
        <f t="shared" si="21"/>
        <v/>
      </c>
      <c r="P73" s="19" t="str">
        <f t="shared" si="22"/>
        <v/>
      </c>
      <c r="Q73" s="19" t="str">
        <f t="shared" si="23"/>
        <v/>
      </c>
      <c r="R73" s="19" t="str">
        <f t="shared" si="10"/>
        <v/>
      </c>
      <c r="S73" s="27" t="str">
        <f t="shared" si="27"/>
        <v/>
      </c>
      <c r="T73" s="28" t="str">
        <f t="shared" si="27"/>
        <v/>
      </c>
      <c r="U73" s="28" t="str">
        <f t="shared" si="27"/>
        <v/>
      </c>
      <c r="V73" s="28" t="str">
        <f t="shared" si="27"/>
        <v/>
      </c>
      <c r="W73" s="28" t="str">
        <f t="shared" si="27"/>
        <v/>
      </c>
      <c r="X73" s="29" t="str">
        <f t="shared" si="27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8"/>
        <v/>
      </c>
      <c r="M74" s="19" t="str">
        <f t="shared" si="5"/>
        <v/>
      </c>
      <c r="N74" s="19" t="str">
        <f t="shared" si="6"/>
        <v/>
      </c>
      <c r="O74" s="19" t="str">
        <f t="shared" si="21"/>
        <v/>
      </c>
      <c r="P74" s="19" t="str">
        <f t="shared" si="22"/>
        <v/>
      </c>
      <c r="Q74" s="19" t="str">
        <f t="shared" si="23"/>
        <v/>
      </c>
      <c r="R74" s="19" t="str">
        <f t="shared" si="10"/>
        <v/>
      </c>
      <c r="S74" s="27" t="str">
        <f t="shared" si="27"/>
        <v/>
      </c>
      <c r="T74" s="28" t="str">
        <f t="shared" si="27"/>
        <v/>
      </c>
      <c r="U74" s="28" t="str">
        <f t="shared" si="27"/>
        <v/>
      </c>
      <c r="V74" s="28" t="str">
        <f t="shared" si="27"/>
        <v/>
      </c>
      <c r="W74" s="28" t="str">
        <f t="shared" si="27"/>
        <v/>
      </c>
      <c r="X74" s="29" t="str">
        <f t="shared" si="27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8"/>
        <v/>
      </c>
      <c r="M75" s="19" t="str">
        <f t="shared" si="5"/>
        <v/>
      </c>
      <c r="N75" s="19" t="str">
        <f t="shared" si="6"/>
        <v/>
      </c>
      <c r="O75" s="19" t="str">
        <f t="shared" si="21"/>
        <v/>
      </c>
      <c r="P75" s="19" t="str">
        <f t="shared" si="22"/>
        <v/>
      </c>
      <c r="Q75" s="19" t="str">
        <f t="shared" si="23"/>
        <v/>
      </c>
      <c r="R75" s="19" t="str">
        <f t="shared" si="10"/>
        <v/>
      </c>
      <c r="S75" s="27" t="str">
        <f t="shared" si="27"/>
        <v/>
      </c>
      <c r="T75" s="28" t="str">
        <f t="shared" si="27"/>
        <v/>
      </c>
      <c r="U75" s="28" t="str">
        <f t="shared" si="27"/>
        <v/>
      </c>
      <c r="V75" s="28" t="str">
        <f t="shared" si="27"/>
        <v/>
      </c>
      <c r="W75" s="28" t="str">
        <f t="shared" si="27"/>
        <v/>
      </c>
      <c r="X75" s="29" t="str">
        <f t="shared" si="27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8"/>
        <v/>
      </c>
      <c r="M76" s="19" t="str">
        <f t="shared" si="5"/>
        <v/>
      </c>
      <c r="N76" s="19" t="str">
        <f t="shared" si="6"/>
        <v/>
      </c>
      <c r="O76" s="19" t="str">
        <f t="shared" si="21"/>
        <v/>
      </c>
      <c r="P76" s="19" t="str">
        <f t="shared" si="22"/>
        <v/>
      </c>
      <c r="Q76" s="19" t="str">
        <f t="shared" si="23"/>
        <v/>
      </c>
      <c r="R76" s="19" t="str">
        <f t="shared" si="10"/>
        <v/>
      </c>
      <c r="S76" s="27" t="str">
        <f t="shared" si="27"/>
        <v/>
      </c>
      <c r="T76" s="28" t="str">
        <f t="shared" si="27"/>
        <v/>
      </c>
      <c r="U76" s="28" t="str">
        <f t="shared" si="27"/>
        <v/>
      </c>
      <c r="V76" s="28" t="str">
        <f t="shared" si="27"/>
        <v/>
      </c>
      <c r="W76" s="28" t="str">
        <f t="shared" si="27"/>
        <v/>
      </c>
      <c r="X76" s="29" t="str">
        <f t="shared" si="27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8"/>
        <v/>
      </c>
      <c r="M77" s="19" t="str">
        <f t="shared" si="5"/>
        <v/>
      </c>
      <c r="N77" s="19" t="str">
        <f t="shared" si="6"/>
        <v/>
      </c>
      <c r="O77" s="19" t="str">
        <f t="shared" si="21"/>
        <v/>
      </c>
      <c r="P77" s="19" t="str">
        <f t="shared" si="22"/>
        <v/>
      </c>
      <c r="Q77" s="19" t="str">
        <f t="shared" si="23"/>
        <v/>
      </c>
      <c r="R77" s="19" t="str">
        <f t="shared" si="10"/>
        <v/>
      </c>
      <c r="S77" s="27" t="str">
        <f t="shared" si="27"/>
        <v/>
      </c>
      <c r="T77" s="28" t="str">
        <f t="shared" si="27"/>
        <v/>
      </c>
      <c r="U77" s="28" t="str">
        <f t="shared" si="27"/>
        <v/>
      </c>
      <c r="V77" s="28" t="str">
        <f t="shared" si="27"/>
        <v/>
      </c>
      <c r="W77" s="28" t="str">
        <f t="shared" si="27"/>
        <v/>
      </c>
      <c r="X77" s="29" t="str">
        <f t="shared" si="27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8"/>
        <v/>
      </c>
      <c r="M78" s="19" t="str">
        <f t="shared" si="5"/>
        <v/>
      </c>
      <c r="N78" s="19" t="str">
        <f t="shared" si="6"/>
        <v/>
      </c>
      <c r="O78" s="19" t="str">
        <f t="shared" si="21"/>
        <v/>
      </c>
      <c r="P78" s="19" t="str">
        <f t="shared" si="22"/>
        <v/>
      </c>
      <c r="Q78" s="19" t="str">
        <f t="shared" si="23"/>
        <v/>
      </c>
      <c r="R78" s="19" t="str">
        <f t="shared" si="10"/>
        <v/>
      </c>
      <c r="S78" s="27" t="str">
        <f t="shared" si="27"/>
        <v/>
      </c>
      <c r="T78" s="28" t="str">
        <f t="shared" si="27"/>
        <v/>
      </c>
      <c r="U78" s="28" t="str">
        <f t="shared" si="27"/>
        <v/>
      </c>
      <c r="V78" s="28" t="str">
        <f t="shared" si="27"/>
        <v/>
      </c>
      <c r="W78" s="28" t="str">
        <f t="shared" si="27"/>
        <v/>
      </c>
      <c r="X78" s="29" t="str">
        <f t="shared" si="27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8"/>
        <v/>
      </c>
      <c r="M79" s="19" t="str">
        <f t="shared" si="5"/>
        <v/>
      </c>
      <c r="N79" s="19" t="str">
        <f t="shared" si="6"/>
        <v/>
      </c>
      <c r="O79" s="19" t="str">
        <f t="shared" si="21"/>
        <v/>
      </c>
      <c r="P79" s="19" t="str">
        <f t="shared" si="22"/>
        <v/>
      </c>
      <c r="Q79" s="19" t="str">
        <f t="shared" si="23"/>
        <v/>
      </c>
      <c r="R79" s="19" t="str">
        <f t="shared" si="10"/>
        <v/>
      </c>
      <c r="S79" s="27" t="str">
        <f t="shared" si="27"/>
        <v/>
      </c>
      <c r="T79" s="28" t="str">
        <f t="shared" si="27"/>
        <v/>
      </c>
      <c r="U79" s="28" t="str">
        <f t="shared" si="27"/>
        <v/>
      </c>
      <c r="V79" s="28" t="str">
        <f t="shared" si="27"/>
        <v/>
      </c>
      <c r="W79" s="28" t="str">
        <f t="shared" si="27"/>
        <v/>
      </c>
      <c r="X79" s="29" t="str">
        <f t="shared" si="27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28"/>
        <v/>
      </c>
      <c r="M80" s="19" t="str">
        <f t="shared" si="5"/>
        <v/>
      </c>
      <c r="N80" s="19" t="str">
        <f t="shared" si="6"/>
        <v/>
      </c>
      <c r="O80" s="19" t="str">
        <f t="shared" si="21"/>
        <v/>
      </c>
      <c r="P80" s="19" t="str">
        <f t="shared" si="22"/>
        <v/>
      </c>
      <c r="Q80" s="19" t="str">
        <f t="shared" si="23"/>
        <v/>
      </c>
      <c r="R80" s="19" t="str">
        <f t="shared" si="10"/>
        <v/>
      </c>
      <c r="S80" s="27" t="str">
        <f t="shared" si="27"/>
        <v/>
      </c>
      <c r="T80" s="28" t="str">
        <f t="shared" si="27"/>
        <v/>
      </c>
      <c r="U80" s="28" t="str">
        <f t="shared" si="27"/>
        <v/>
      </c>
      <c r="V80" s="28" t="str">
        <f t="shared" si="27"/>
        <v/>
      </c>
      <c r="W80" s="28" t="str">
        <f t="shared" si="27"/>
        <v/>
      </c>
      <c r="X80" s="29" t="str">
        <f t="shared" si="27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28"/>
        <v/>
      </c>
      <c r="M81" s="19" t="str">
        <f t="shared" si="5"/>
        <v/>
      </c>
      <c r="N81" s="19" t="str">
        <f t="shared" si="6"/>
        <v/>
      </c>
      <c r="O81" s="19" t="str">
        <f t="shared" si="21"/>
        <v/>
      </c>
      <c r="P81" s="19" t="str">
        <f t="shared" si="22"/>
        <v/>
      </c>
      <c r="Q81" s="19" t="str">
        <f t="shared" si="23"/>
        <v/>
      </c>
      <c r="R81" s="19" t="str">
        <f t="shared" si="10"/>
        <v/>
      </c>
      <c r="S81" s="27" t="str">
        <f t="shared" ref="S81:X96" si="29">IF(C81="","",((C81-C80)*1000)/($B81-$B80))</f>
        <v/>
      </c>
      <c r="T81" s="28" t="str">
        <f t="shared" si="29"/>
        <v/>
      </c>
      <c r="U81" s="28" t="str">
        <f t="shared" si="29"/>
        <v/>
      </c>
      <c r="V81" s="28" t="str">
        <f t="shared" si="29"/>
        <v/>
      </c>
      <c r="W81" s="28" t="str">
        <f t="shared" si="29"/>
        <v/>
      </c>
      <c r="X81" s="29" t="str">
        <f t="shared" si="29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28"/>
        <v/>
      </c>
      <c r="M82" s="19" t="str">
        <f t="shared" si="5"/>
        <v/>
      </c>
      <c r="N82" s="19" t="str">
        <f t="shared" si="6"/>
        <v/>
      </c>
      <c r="O82" s="19" t="str">
        <f t="shared" si="21"/>
        <v/>
      </c>
      <c r="P82" s="19" t="str">
        <f t="shared" si="22"/>
        <v/>
      </c>
      <c r="Q82" s="19" t="str">
        <f t="shared" si="23"/>
        <v/>
      </c>
      <c r="R82" s="19" t="str">
        <f t="shared" si="10"/>
        <v/>
      </c>
      <c r="S82" s="27" t="str">
        <f t="shared" si="29"/>
        <v/>
      </c>
      <c r="T82" s="28" t="str">
        <f t="shared" si="29"/>
        <v/>
      </c>
      <c r="U82" s="28" t="str">
        <f t="shared" si="29"/>
        <v/>
      </c>
      <c r="V82" s="28" t="str">
        <f t="shared" si="29"/>
        <v/>
      </c>
      <c r="W82" s="28" t="str">
        <f t="shared" si="29"/>
        <v/>
      </c>
      <c r="X82" s="29" t="str">
        <f t="shared" si="2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28"/>
        <v/>
      </c>
      <c r="M83" s="19" t="str">
        <f t="shared" ref="M83:M146" si="30">IF(ISBLANK(D83),"",(D83-D$18)*1000)</f>
        <v/>
      </c>
      <c r="N83" s="19" t="str">
        <f t="shared" ref="N83:N146" si="31">IF(ISBLANK(E83),"",(E83-E$18)*1000)</f>
        <v/>
      </c>
      <c r="O83" s="19" t="str">
        <f t="shared" si="21"/>
        <v/>
      </c>
      <c r="P83" s="19" t="str">
        <f t="shared" si="22"/>
        <v/>
      </c>
      <c r="Q83" s="19" t="str">
        <f t="shared" si="23"/>
        <v/>
      </c>
      <c r="R83" s="19" t="str">
        <f t="shared" ref="R83:R146" si="32">IF(ISBLANK(I83),"",(I83-I$18)*1000)</f>
        <v/>
      </c>
      <c r="S83" s="27" t="str">
        <f t="shared" si="29"/>
        <v/>
      </c>
      <c r="T83" s="28" t="str">
        <f t="shared" si="29"/>
        <v/>
      </c>
      <c r="U83" s="28" t="str">
        <f t="shared" si="29"/>
        <v/>
      </c>
      <c r="V83" s="28" t="str">
        <f t="shared" si="29"/>
        <v/>
      </c>
      <c r="W83" s="28" t="str">
        <f t="shared" si="29"/>
        <v/>
      </c>
      <c r="X83" s="29" t="str">
        <f t="shared" si="2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28"/>
        <v/>
      </c>
      <c r="M84" s="19" t="str">
        <f t="shared" si="30"/>
        <v/>
      </c>
      <c r="N84" s="19" t="str">
        <f t="shared" si="31"/>
        <v/>
      </c>
      <c r="O84" s="19" t="str">
        <f t="shared" si="21"/>
        <v/>
      </c>
      <c r="P84" s="19" t="str">
        <f t="shared" si="22"/>
        <v/>
      </c>
      <c r="Q84" s="19" t="str">
        <f t="shared" si="23"/>
        <v/>
      </c>
      <c r="R84" s="19" t="str">
        <f t="shared" si="32"/>
        <v/>
      </c>
      <c r="S84" s="27" t="str">
        <f t="shared" si="29"/>
        <v/>
      </c>
      <c r="T84" s="28" t="str">
        <f t="shared" si="29"/>
        <v/>
      </c>
      <c r="U84" s="28" t="str">
        <f t="shared" si="29"/>
        <v/>
      </c>
      <c r="V84" s="28" t="str">
        <f t="shared" si="29"/>
        <v/>
      </c>
      <c r="W84" s="28" t="str">
        <f t="shared" si="29"/>
        <v/>
      </c>
      <c r="X84" s="29" t="str">
        <f t="shared" si="2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28"/>
        <v/>
      </c>
      <c r="M85" s="19" t="str">
        <f t="shared" si="30"/>
        <v/>
      </c>
      <c r="N85" s="19" t="str">
        <f t="shared" si="31"/>
        <v/>
      </c>
      <c r="O85" s="19" t="str">
        <f t="shared" si="21"/>
        <v/>
      </c>
      <c r="P85" s="19" t="str">
        <f t="shared" si="22"/>
        <v/>
      </c>
      <c r="Q85" s="19" t="str">
        <f t="shared" si="23"/>
        <v/>
      </c>
      <c r="R85" s="19" t="str">
        <f t="shared" si="32"/>
        <v/>
      </c>
      <c r="S85" s="27" t="str">
        <f t="shared" si="29"/>
        <v/>
      </c>
      <c r="T85" s="28" t="str">
        <f t="shared" si="29"/>
        <v/>
      </c>
      <c r="U85" s="28" t="str">
        <f t="shared" si="29"/>
        <v/>
      </c>
      <c r="V85" s="28" t="str">
        <f t="shared" si="29"/>
        <v/>
      </c>
      <c r="W85" s="28" t="str">
        <f t="shared" si="29"/>
        <v/>
      </c>
      <c r="X85" s="29" t="str">
        <f t="shared" si="2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28"/>
        <v/>
      </c>
      <c r="M86" s="19" t="str">
        <f t="shared" si="30"/>
        <v/>
      </c>
      <c r="N86" s="19" t="str">
        <f t="shared" si="31"/>
        <v/>
      </c>
      <c r="O86" s="19" t="str">
        <f t="shared" si="21"/>
        <v/>
      </c>
      <c r="P86" s="19" t="str">
        <f t="shared" si="22"/>
        <v/>
      </c>
      <c r="Q86" s="19" t="str">
        <f t="shared" si="23"/>
        <v/>
      </c>
      <c r="R86" s="19" t="str">
        <f t="shared" si="32"/>
        <v/>
      </c>
      <c r="S86" s="27" t="str">
        <f t="shared" si="29"/>
        <v/>
      </c>
      <c r="T86" s="28" t="str">
        <f t="shared" si="29"/>
        <v/>
      </c>
      <c r="U86" s="28" t="str">
        <f t="shared" si="29"/>
        <v/>
      </c>
      <c r="V86" s="28" t="str">
        <f t="shared" si="29"/>
        <v/>
      </c>
      <c r="W86" s="28" t="str">
        <f t="shared" si="29"/>
        <v/>
      </c>
      <c r="X86" s="29" t="str">
        <f t="shared" si="2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28"/>
        <v/>
      </c>
      <c r="M87" s="19" t="str">
        <f t="shared" si="30"/>
        <v/>
      </c>
      <c r="N87" s="19" t="str">
        <f t="shared" si="31"/>
        <v/>
      </c>
      <c r="O87" s="19" t="str">
        <f t="shared" si="21"/>
        <v/>
      </c>
      <c r="P87" s="19" t="str">
        <f t="shared" si="22"/>
        <v/>
      </c>
      <c r="Q87" s="19" t="str">
        <f t="shared" si="23"/>
        <v/>
      </c>
      <c r="R87" s="19" t="str">
        <f t="shared" si="32"/>
        <v/>
      </c>
      <c r="S87" s="27" t="str">
        <f t="shared" si="29"/>
        <v/>
      </c>
      <c r="T87" s="28" t="str">
        <f t="shared" si="29"/>
        <v/>
      </c>
      <c r="U87" s="28" t="str">
        <f t="shared" si="29"/>
        <v/>
      </c>
      <c r="V87" s="28" t="str">
        <f t="shared" si="29"/>
        <v/>
      </c>
      <c r="W87" s="28" t="str">
        <f t="shared" si="29"/>
        <v/>
      </c>
      <c r="X87" s="29" t="str">
        <f t="shared" si="2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28"/>
        <v/>
      </c>
      <c r="M88" s="19" t="str">
        <f t="shared" si="30"/>
        <v/>
      </c>
      <c r="N88" s="19" t="str">
        <f t="shared" si="31"/>
        <v/>
      </c>
      <c r="O88" s="19" t="str">
        <f t="shared" si="21"/>
        <v/>
      </c>
      <c r="P88" s="19" t="str">
        <f t="shared" si="22"/>
        <v/>
      </c>
      <c r="Q88" s="19" t="str">
        <f t="shared" si="23"/>
        <v/>
      </c>
      <c r="R88" s="19" t="str">
        <f t="shared" si="32"/>
        <v/>
      </c>
      <c r="S88" s="27" t="str">
        <f t="shared" si="29"/>
        <v/>
      </c>
      <c r="T88" s="28" t="str">
        <f t="shared" si="29"/>
        <v/>
      </c>
      <c r="U88" s="28" t="str">
        <f t="shared" si="29"/>
        <v/>
      </c>
      <c r="V88" s="28" t="str">
        <f t="shared" si="29"/>
        <v/>
      </c>
      <c r="W88" s="28" t="str">
        <f t="shared" si="29"/>
        <v/>
      </c>
      <c r="X88" s="29" t="str">
        <f t="shared" si="2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28"/>
        <v/>
      </c>
      <c r="M89" s="19" t="str">
        <f t="shared" si="30"/>
        <v/>
      </c>
      <c r="N89" s="19" t="str">
        <f t="shared" si="31"/>
        <v/>
      </c>
      <c r="O89" s="19" t="str">
        <f t="shared" si="21"/>
        <v/>
      </c>
      <c r="P89" s="19" t="str">
        <f t="shared" si="22"/>
        <v/>
      </c>
      <c r="Q89" s="19" t="str">
        <f t="shared" si="23"/>
        <v/>
      </c>
      <c r="R89" s="19" t="str">
        <f t="shared" si="32"/>
        <v/>
      </c>
      <c r="S89" s="27" t="str">
        <f t="shared" si="29"/>
        <v/>
      </c>
      <c r="T89" s="28" t="str">
        <f t="shared" si="29"/>
        <v/>
      </c>
      <c r="U89" s="28" t="str">
        <f t="shared" si="29"/>
        <v/>
      </c>
      <c r="V89" s="28" t="str">
        <f t="shared" si="29"/>
        <v/>
      </c>
      <c r="W89" s="28" t="str">
        <f t="shared" si="29"/>
        <v/>
      </c>
      <c r="X89" s="29" t="str">
        <f t="shared" si="2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28"/>
        <v/>
      </c>
      <c r="M90" s="19" t="str">
        <f t="shared" si="30"/>
        <v/>
      </c>
      <c r="N90" s="19" t="str">
        <f t="shared" si="31"/>
        <v/>
      </c>
      <c r="O90" s="19" t="str">
        <f t="shared" si="21"/>
        <v/>
      </c>
      <c r="P90" s="19" t="str">
        <f t="shared" si="22"/>
        <v/>
      </c>
      <c r="Q90" s="19" t="str">
        <f t="shared" si="23"/>
        <v/>
      </c>
      <c r="R90" s="19" t="str">
        <f t="shared" si="32"/>
        <v/>
      </c>
      <c r="S90" s="27" t="str">
        <f t="shared" si="29"/>
        <v/>
      </c>
      <c r="T90" s="28" t="str">
        <f t="shared" si="29"/>
        <v/>
      </c>
      <c r="U90" s="28" t="str">
        <f t="shared" si="29"/>
        <v/>
      </c>
      <c r="V90" s="28" t="str">
        <f t="shared" si="29"/>
        <v/>
      </c>
      <c r="W90" s="28" t="str">
        <f t="shared" si="29"/>
        <v/>
      </c>
      <c r="X90" s="29" t="str">
        <f t="shared" si="2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28"/>
        <v/>
      </c>
      <c r="M91" s="19" t="str">
        <f t="shared" si="30"/>
        <v/>
      </c>
      <c r="N91" s="19" t="str">
        <f t="shared" si="31"/>
        <v/>
      </c>
      <c r="O91" s="19" t="str">
        <f t="shared" si="21"/>
        <v/>
      </c>
      <c r="P91" s="19" t="str">
        <f t="shared" si="22"/>
        <v/>
      </c>
      <c r="Q91" s="19" t="str">
        <f t="shared" si="23"/>
        <v/>
      </c>
      <c r="R91" s="19" t="str">
        <f t="shared" si="32"/>
        <v/>
      </c>
      <c r="S91" s="27" t="str">
        <f t="shared" si="29"/>
        <v/>
      </c>
      <c r="T91" s="28" t="str">
        <f t="shared" si="29"/>
        <v/>
      </c>
      <c r="U91" s="28" t="str">
        <f t="shared" si="29"/>
        <v/>
      </c>
      <c r="V91" s="28" t="str">
        <f t="shared" si="29"/>
        <v/>
      </c>
      <c r="W91" s="28" t="str">
        <f t="shared" si="29"/>
        <v/>
      </c>
      <c r="X91" s="29" t="str">
        <f t="shared" si="2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28"/>
        <v/>
      </c>
      <c r="M92" s="19" t="str">
        <f t="shared" si="30"/>
        <v/>
      </c>
      <c r="N92" s="19" t="str">
        <f t="shared" si="31"/>
        <v/>
      </c>
      <c r="O92" s="19" t="str">
        <f t="shared" si="21"/>
        <v/>
      </c>
      <c r="P92" s="19" t="str">
        <f t="shared" si="22"/>
        <v/>
      </c>
      <c r="Q92" s="19" t="str">
        <f t="shared" si="23"/>
        <v/>
      </c>
      <c r="R92" s="19" t="str">
        <f t="shared" si="32"/>
        <v/>
      </c>
      <c r="S92" s="27" t="str">
        <f t="shared" si="29"/>
        <v/>
      </c>
      <c r="T92" s="28" t="str">
        <f t="shared" si="29"/>
        <v/>
      </c>
      <c r="U92" s="28" t="str">
        <f t="shared" si="29"/>
        <v/>
      </c>
      <c r="V92" s="28" t="str">
        <f t="shared" si="29"/>
        <v/>
      </c>
      <c r="W92" s="28" t="str">
        <f t="shared" si="29"/>
        <v/>
      </c>
      <c r="X92" s="29" t="str">
        <f t="shared" si="2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28"/>
        <v/>
      </c>
      <c r="M93" s="19" t="str">
        <f t="shared" si="30"/>
        <v/>
      </c>
      <c r="N93" s="19" t="str">
        <f t="shared" si="31"/>
        <v/>
      </c>
      <c r="O93" s="19" t="str">
        <f t="shared" si="21"/>
        <v/>
      </c>
      <c r="P93" s="19" t="str">
        <f t="shared" si="22"/>
        <v/>
      </c>
      <c r="Q93" s="19" t="str">
        <f t="shared" si="23"/>
        <v/>
      </c>
      <c r="R93" s="19" t="str">
        <f t="shared" si="32"/>
        <v/>
      </c>
      <c r="S93" s="27" t="str">
        <f t="shared" si="29"/>
        <v/>
      </c>
      <c r="T93" s="28" t="str">
        <f t="shared" si="29"/>
        <v/>
      </c>
      <c r="U93" s="28" t="str">
        <f t="shared" si="29"/>
        <v/>
      </c>
      <c r="V93" s="28" t="str">
        <f t="shared" si="29"/>
        <v/>
      </c>
      <c r="W93" s="28" t="str">
        <f t="shared" si="29"/>
        <v/>
      </c>
      <c r="X93" s="29" t="str">
        <f t="shared" si="2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28"/>
        <v/>
      </c>
      <c r="M94" s="19" t="str">
        <f t="shared" si="30"/>
        <v/>
      </c>
      <c r="N94" s="19" t="str">
        <f t="shared" si="31"/>
        <v/>
      </c>
      <c r="O94" s="19" t="str">
        <f t="shared" si="21"/>
        <v/>
      </c>
      <c r="P94" s="19" t="str">
        <f t="shared" si="22"/>
        <v/>
      </c>
      <c r="Q94" s="19" t="str">
        <f t="shared" si="23"/>
        <v/>
      </c>
      <c r="R94" s="19" t="str">
        <f t="shared" si="32"/>
        <v/>
      </c>
      <c r="S94" s="27" t="str">
        <f t="shared" si="29"/>
        <v/>
      </c>
      <c r="T94" s="28" t="str">
        <f t="shared" si="29"/>
        <v/>
      </c>
      <c r="U94" s="28" t="str">
        <f t="shared" si="29"/>
        <v/>
      </c>
      <c r="V94" s="28" t="str">
        <f t="shared" si="29"/>
        <v/>
      </c>
      <c r="W94" s="28" t="str">
        <f t="shared" si="29"/>
        <v/>
      </c>
      <c r="X94" s="29" t="str">
        <f t="shared" si="2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28"/>
        <v/>
      </c>
      <c r="M95" s="19" t="str">
        <f t="shared" si="30"/>
        <v/>
      </c>
      <c r="N95" s="19" t="str">
        <f t="shared" si="31"/>
        <v/>
      </c>
      <c r="O95" s="19" t="str">
        <f t="shared" si="21"/>
        <v/>
      </c>
      <c r="P95" s="19" t="str">
        <f t="shared" si="22"/>
        <v/>
      </c>
      <c r="Q95" s="19" t="str">
        <f t="shared" si="23"/>
        <v/>
      </c>
      <c r="R95" s="19" t="str">
        <f t="shared" si="32"/>
        <v/>
      </c>
      <c r="S95" s="27" t="str">
        <f t="shared" si="29"/>
        <v/>
      </c>
      <c r="T95" s="28" t="str">
        <f t="shared" si="29"/>
        <v/>
      </c>
      <c r="U95" s="28" t="str">
        <f t="shared" si="29"/>
        <v/>
      </c>
      <c r="V95" s="28" t="str">
        <f t="shared" si="29"/>
        <v/>
      </c>
      <c r="W95" s="28" t="str">
        <f t="shared" si="29"/>
        <v/>
      </c>
      <c r="X95" s="29" t="str">
        <f t="shared" si="2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8"/>
        <v/>
      </c>
      <c r="M96" s="19" t="str">
        <f t="shared" si="30"/>
        <v/>
      </c>
      <c r="N96" s="19" t="str">
        <f t="shared" si="31"/>
        <v/>
      </c>
      <c r="O96" s="19" t="str">
        <f t="shared" si="21"/>
        <v/>
      </c>
      <c r="P96" s="19" t="str">
        <f t="shared" si="22"/>
        <v/>
      </c>
      <c r="Q96" s="19" t="str">
        <f t="shared" si="23"/>
        <v/>
      </c>
      <c r="R96" s="19" t="str">
        <f t="shared" si="32"/>
        <v/>
      </c>
      <c r="S96" s="27" t="str">
        <f t="shared" si="29"/>
        <v/>
      </c>
      <c r="T96" s="28" t="str">
        <f t="shared" si="29"/>
        <v/>
      </c>
      <c r="U96" s="28" t="str">
        <f t="shared" si="29"/>
        <v/>
      </c>
      <c r="V96" s="28" t="str">
        <f t="shared" si="29"/>
        <v/>
      </c>
      <c r="W96" s="28" t="str">
        <f t="shared" si="29"/>
        <v/>
      </c>
      <c r="X96" s="29" t="str">
        <f t="shared" si="2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8"/>
        <v/>
      </c>
      <c r="M97" s="19" t="str">
        <f t="shared" si="30"/>
        <v/>
      </c>
      <c r="N97" s="19" t="str">
        <f t="shared" si="31"/>
        <v/>
      </c>
      <c r="O97" s="19" t="str">
        <f t="shared" si="21"/>
        <v/>
      </c>
      <c r="P97" s="19" t="str">
        <f t="shared" si="22"/>
        <v/>
      </c>
      <c r="Q97" s="19" t="str">
        <f t="shared" si="23"/>
        <v/>
      </c>
      <c r="R97" s="19" t="str">
        <f t="shared" si="32"/>
        <v/>
      </c>
      <c r="S97" s="27" t="str">
        <f t="shared" ref="S97:X112" si="33">IF(C97="","",((C97-C96)*1000)/($B97-$B96))</f>
        <v/>
      </c>
      <c r="T97" s="28" t="str">
        <f t="shared" si="33"/>
        <v/>
      </c>
      <c r="U97" s="28" t="str">
        <f t="shared" si="33"/>
        <v/>
      </c>
      <c r="V97" s="28" t="str">
        <f t="shared" si="33"/>
        <v/>
      </c>
      <c r="W97" s="28" t="str">
        <f t="shared" si="33"/>
        <v/>
      </c>
      <c r="X97" s="29" t="str">
        <f t="shared" si="3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8"/>
        <v/>
      </c>
      <c r="M98" s="19" t="str">
        <f t="shared" si="30"/>
        <v/>
      </c>
      <c r="N98" s="19" t="str">
        <f t="shared" si="31"/>
        <v/>
      </c>
      <c r="O98" s="19" t="str">
        <f t="shared" si="21"/>
        <v/>
      </c>
      <c r="P98" s="19" t="str">
        <f t="shared" si="22"/>
        <v/>
      </c>
      <c r="Q98" s="19" t="str">
        <f t="shared" si="23"/>
        <v/>
      </c>
      <c r="R98" s="19" t="str">
        <f t="shared" si="32"/>
        <v/>
      </c>
      <c r="S98" s="27" t="str">
        <f t="shared" si="33"/>
        <v/>
      </c>
      <c r="T98" s="28" t="str">
        <f t="shared" si="33"/>
        <v/>
      </c>
      <c r="U98" s="28" t="str">
        <f t="shared" si="33"/>
        <v/>
      </c>
      <c r="V98" s="28" t="str">
        <f t="shared" si="33"/>
        <v/>
      </c>
      <c r="W98" s="28" t="str">
        <f t="shared" si="33"/>
        <v/>
      </c>
      <c r="X98" s="29" t="str">
        <f t="shared" si="3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8"/>
        <v/>
      </c>
      <c r="M99" s="19" t="str">
        <f t="shared" si="30"/>
        <v/>
      </c>
      <c r="N99" s="19" t="str">
        <f t="shared" si="31"/>
        <v/>
      </c>
      <c r="O99" s="19" t="str">
        <f t="shared" ref="O99:O153" si="34">IF(ISBLANK(F99),"",((F99-F$34)*1000+L$34))</f>
        <v/>
      </c>
      <c r="P99" s="19" t="str">
        <f t="shared" ref="P99:P153" si="35">IF(ISBLANK(G99),"",(G99-G$34)*1000)</f>
        <v/>
      </c>
      <c r="Q99" s="19" t="str">
        <f t="shared" ref="Q99:Q153" si="36">IF(ISBLANK(H99),"",(H99-H$34)*1000)</f>
        <v/>
      </c>
      <c r="R99" s="19" t="str">
        <f t="shared" si="32"/>
        <v/>
      </c>
      <c r="S99" s="27" t="str">
        <f t="shared" si="33"/>
        <v/>
      </c>
      <c r="T99" s="28" t="str">
        <f t="shared" si="33"/>
        <v/>
      </c>
      <c r="U99" s="28" t="str">
        <f t="shared" si="33"/>
        <v/>
      </c>
      <c r="V99" s="28" t="str">
        <f t="shared" si="33"/>
        <v/>
      </c>
      <c r="W99" s="28" t="str">
        <f t="shared" si="33"/>
        <v/>
      </c>
      <c r="X99" s="29" t="str">
        <f t="shared" si="3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8"/>
        <v/>
      </c>
      <c r="M100" s="19" t="str">
        <f t="shared" si="30"/>
        <v/>
      </c>
      <c r="N100" s="19" t="str">
        <f t="shared" si="31"/>
        <v/>
      </c>
      <c r="O100" s="19" t="str">
        <f t="shared" si="34"/>
        <v/>
      </c>
      <c r="P100" s="19" t="str">
        <f t="shared" si="35"/>
        <v/>
      </c>
      <c r="Q100" s="19" t="str">
        <f t="shared" si="36"/>
        <v/>
      </c>
      <c r="R100" s="19" t="str">
        <f t="shared" si="32"/>
        <v/>
      </c>
      <c r="S100" s="27" t="str">
        <f t="shared" si="33"/>
        <v/>
      </c>
      <c r="T100" s="28" t="str">
        <f t="shared" si="33"/>
        <v/>
      </c>
      <c r="U100" s="28" t="str">
        <f t="shared" si="33"/>
        <v/>
      </c>
      <c r="V100" s="28" t="str">
        <f t="shared" si="33"/>
        <v/>
      </c>
      <c r="W100" s="28" t="str">
        <f t="shared" si="33"/>
        <v/>
      </c>
      <c r="X100" s="29" t="str">
        <f t="shared" si="3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8"/>
        <v/>
      </c>
      <c r="M101" s="19" t="str">
        <f t="shared" si="30"/>
        <v/>
      </c>
      <c r="N101" s="19" t="str">
        <f t="shared" si="31"/>
        <v/>
      </c>
      <c r="O101" s="19" t="str">
        <f t="shared" si="34"/>
        <v/>
      </c>
      <c r="P101" s="19" t="str">
        <f t="shared" si="35"/>
        <v/>
      </c>
      <c r="Q101" s="19" t="str">
        <f t="shared" si="36"/>
        <v/>
      </c>
      <c r="R101" s="19" t="str">
        <f t="shared" si="32"/>
        <v/>
      </c>
      <c r="S101" s="27" t="str">
        <f t="shared" si="33"/>
        <v/>
      </c>
      <c r="T101" s="28" t="str">
        <f t="shared" si="33"/>
        <v/>
      </c>
      <c r="U101" s="28" t="str">
        <f t="shared" si="33"/>
        <v/>
      </c>
      <c r="V101" s="28" t="str">
        <f t="shared" si="33"/>
        <v/>
      </c>
      <c r="W101" s="28" t="str">
        <f t="shared" si="33"/>
        <v/>
      </c>
      <c r="X101" s="29" t="str">
        <f t="shared" si="3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8"/>
        <v/>
      </c>
      <c r="M102" s="19" t="str">
        <f t="shared" si="30"/>
        <v/>
      </c>
      <c r="N102" s="19" t="str">
        <f t="shared" si="31"/>
        <v/>
      </c>
      <c r="O102" s="19" t="str">
        <f t="shared" si="34"/>
        <v/>
      </c>
      <c r="P102" s="19" t="str">
        <f t="shared" si="35"/>
        <v/>
      </c>
      <c r="Q102" s="19" t="str">
        <f t="shared" si="36"/>
        <v/>
      </c>
      <c r="R102" s="19" t="str">
        <f t="shared" si="32"/>
        <v/>
      </c>
      <c r="S102" s="27" t="str">
        <f t="shared" si="33"/>
        <v/>
      </c>
      <c r="T102" s="28" t="str">
        <f t="shared" si="33"/>
        <v/>
      </c>
      <c r="U102" s="28" t="str">
        <f t="shared" si="33"/>
        <v/>
      </c>
      <c r="V102" s="28" t="str">
        <f t="shared" si="33"/>
        <v/>
      </c>
      <c r="W102" s="28" t="str">
        <f t="shared" si="33"/>
        <v/>
      </c>
      <c r="X102" s="29" t="str">
        <f t="shared" si="3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8"/>
        <v/>
      </c>
      <c r="M103" s="19" t="str">
        <f t="shared" si="30"/>
        <v/>
      </c>
      <c r="N103" s="19" t="str">
        <f t="shared" si="31"/>
        <v/>
      </c>
      <c r="O103" s="19" t="str">
        <f t="shared" si="34"/>
        <v/>
      </c>
      <c r="P103" s="19" t="str">
        <f t="shared" si="35"/>
        <v/>
      </c>
      <c r="Q103" s="19" t="str">
        <f t="shared" si="36"/>
        <v/>
      </c>
      <c r="R103" s="19" t="str">
        <f t="shared" si="32"/>
        <v/>
      </c>
      <c r="S103" s="27" t="str">
        <f t="shared" si="33"/>
        <v/>
      </c>
      <c r="T103" s="28" t="str">
        <f t="shared" si="33"/>
        <v/>
      </c>
      <c r="U103" s="28" t="str">
        <f t="shared" si="33"/>
        <v/>
      </c>
      <c r="V103" s="28" t="str">
        <f t="shared" si="33"/>
        <v/>
      </c>
      <c r="W103" s="28" t="str">
        <f t="shared" si="33"/>
        <v/>
      </c>
      <c r="X103" s="29" t="str">
        <f t="shared" si="3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8"/>
        <v/>
      </c>
      <c r="M104" s="19" t="str">
        <f t="shared" si="30"/>
        <v/>
      </c>
      <c r="N104" s="19" t="str">
        <f t="shared" si="31"/>
        <v/>
      </c>
      <c r="O104" s="19" t="str">
        <f t="shared" si="34"/>
        <v/>
      </c>
      <c r="P104" s="19" t="str">
        <f t="shared" si="35"/>
        <v/>
      </c>
      <c r="Q104" s="19" t="str">
        <f t="shared" si="36"/>
        <v/>
      </c>
      <c r="R104" s="19" t="str">
        <f t="shared" si="32"/>
        <v/>
      </c>
      <c r="S104" s="27" t="str">
        <f t="shared" si="33"/>
        <v/>
      </c>
      <c r="T104" s="28" t="str">
        <f t="shared" si="33"/>
        <v/>
      </c>
      <c r="U104" s="28" t="str">
        <f t="shared" si="33"/>
        <v/>
      </c>
      <c r="V104" s="28" t="str">
        <f t="shared" si="33"/>
        <v/>
      </c>
      <c r="W104" s="28" t="str">
        <f t="shared" si="33"/>
        <v/>
      </c>
      <c r="X104" s="29" t="str">
        <f t="shared" si="3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8"/>
        <v/>
      </c>
      <c r="M105" s="19" t="str">
        <f t="shared" si="30"/>
        <v/>
      </c>
      <c r="N105" s="19" t="str">
        <f t="shared" si="31"/>
        <v/>
      </c>
      <c r="O105" s="19" t="str">
        <f t="shared" si="34"/>
        <v/>
      </c>
      <c r="P105" s="19" t="str">
        <f t="shared" si="35"/>
        <v/>
      </c>
      <c r="Q105" s="19" t="str">
        <f t="shared" si="36"/>
        <v/>
      </c>
      <c r="R105" s="19" t="str">
        <f t="shared" si="32"/>
        <v/>
      </c>
      <c r="S105" s="27" t="str">
        <f t="shared" si="33"/>
        <v/>
      </c>
      <c r="T105" s="28" t="str">
        <f t="shared" si="33"/>
        <v/>
      </c>
      <c r="U105" s="28" t="str">
        <f t="shared" si="33"/>
        <v/>
      </c>
      <c r="V105" s="28" t="str">
        <f t="shared" si="33"/>
        <v/>
      </c>
      <c r="W105" s="28" t="str">
        <f t="shared" si="33"/>
        <v/>
      </c>
      <c r="X105" s="29" t="str">
        <f t="shared" si="3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8"/>
        <v/>
      </c>
      <c r="M106" s="19" t="str">
        <f t="shared" si="30"/>
        <v/>
      </c>
      <c r="N106" s="19" t="str">
        <f t="shared" si="31"/>
        <v/>
      </c>
      <c r="O106" s="19" t="str">
        <f t="shared" si="34"/>
        <v/>
      </c>
      <c r="P106" s="19" t="str">
        <f t="shared" si="35"/>
        <v/>
      </c>
      <c r="Q106" s="19" t="str">
        <f t="shared" si="36"/>
        <v/>
      </c>
      <c r="R106" s="19" t="str">
        <f t="shared" si="32"/>
        <v/>
      </c>
      <c r="S106" s="27" t="str">
        <f t="shared" si="33"/>
        <v/>
      </c>
      <c r="T106" s="28" t="str">
        <f t="shared" si="33"/>
        <v/>
      </c>
      <c r="U106" s="28" t="str">
        <f t="shared" si="33"/>
        <v/>
      </c>
      <c r="V106" s="28" t="str">
        <f t="shared" si="33"/>
        <v/>
      </c>
      <c r="W106" s="28" t="str">
        <f t="shared" si="33"/>
        <v/>
      </c>
      <c r="X106" s="29" t="str">
        <f t="shared" si="3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8"/>
        <v/>
      </c>
      <c r="M107" s="19" t="str">
        <f t="shared" si="30"/>
        <v/>
      </c>
      <c r="N107" s="19" t="str">
        <f t="shared" si="31"/>
        <v/>
      </c>
      <c r="O107" s="19" t="str">
        <f t="shared" si="34"/>
        <v/>
      </c>
      <c r="P107" s="19" t="str">
        <f t="shared" si="35"/>
        <v/>
      </c>
      <c r="Q107" s="19" t="str">
        <f t="shared" si="36"/>
        <v/>
      </c>
      <c r="R107" s="19" t="str">
        <f t="shared" si="32"/>
        <v/>
      </c>
      <c r="S107" s="27" t="str">
        <f t="shared" si="33"/>
        <v/>
      </c>
      <c r="T107" s="28" t="str">
        <f t="shared" si="33"/>
        <v/>
      </c>
      <c r="U107" s="28" t="str">
        <f t="shared" si="33"/>
        <v/>
      </c>
      <c r="V107" s="28" t="str">
        <f t="shared" si="33"/>
        <v/>
      </c>
      <c r="W107" s="28" t="str">
        <f t="shared" si="33"/>
        <v/>
      </c>
      <c r="X107" s="29" t="str">
        <f t="shared" si="3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8"/>
        <v/>
      </c>
      <c r="M108" s="19" t="str">
        <f t="shared" si="30"/>
        <v/>
      </c>
      <c r="N108" s="19" t="str">
        <f t="shared" si="31"/>
        <v/>
      </c>
      <c r="O108" s="19" t="str">
        <f t="shared" si="34"/>
        <v/>
      </c>
      <c r="P108" s="19" t="str">
        <f t="shared" si="35"/>
        <v/>
      </c>
      <c r="Q108" s="19" t="str">
        <f t="shared" si="36"/>
        <v/>
      </c>
      <c r="R108" s="19" t="str">
        <f t="shared" si="32"/>
        <v/>
      </c>
      <c r="S108" s="27" t="str">
        <f t="shared" si="33"/>
        <v/>
      </c>
      <c r="T108" s="28" t="str">
        <f t="shared" si="33"/>
        <v/>
      </c>
      <c r="U108" s="28" t="str">
        <f t="shared" si="33"/>
        <v/>
      </c>
      <c r="V108" s="28" t="str">
        <f t="shared" si="33"/>
        <v/>
      </c>
      <c r="W108" s="28" t="str">
        <f t="shared" si="33"/>
        <v/>
      </c>
      <c r="X108" s="29" t="str">
        <f t="shared" si="3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8"/>
        <v/>
      </c>
      <c r="M109" s="19" t="str">
        <f t="shared" si="30"/>
        <v/>
      </c>
      <c r="N109" s="19" t="str">
        <f t="shared" si="31"/>
        <v/>
      </c>
      <c r="O109" s="19" t="str">
        <f t="shared" si="34"/>
        <v/>
      </c>
      <c r="P109" s="19" t="str">
        <f t="shared" si="35"/>
        <v/>
      </c>
      <c r="Q109" s="19" t="str">
        <f t="shared" si="36"/>
        <v/>
      </c>
      <c r="R109" s="19" t="str">
        <f t="shared" si="32"/>
        <v/>
      </c>
      <c r="S109" s="27" t="str">
        <f t="shared" si="33"/>
        <v/>
      </c>
      <c r="T109" s="28" t="str">
        <f t="shared" si="33"/>
        <v/>
      </c>
      <c r="U109" s="28" t="str">
        <f t="shared" si="33"/>
        <v/>
      </c>
      <c r="V109" s="28" t="str">
        <f t="shared" si="33"/>
        <v/>
      </c>
      <c r="W109" s="28" t="str">
        <f t="shared" si="33"/>
        <v/>
      </c>
      <c r="X109" s="29" t="str">
        <f t="shared" si="3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8"/>
        <v/>
      </c>
      <c r="M110" s="19" t="str">
        <f t="shared" si="30"/>
        <v/>
      </c>
      <c r="N110" s="19" t="str">
        <f t="shared" si="31"/>
        <v/>
      </c>
      <c r="O110" s="19" t="str">
        <f t="shared" si="34"/>
        <v/>
      </c>
      <c r="P110" s="19" t="str">
        <f t="shared" si="35"/>
        <v/>
      </c>
      <c r="Q110" s="19" t="str">
        <f t="shared" si="36"/>
        <v/>
      </c>
      <c r="R110" s="19" t="str">
        <f t="shared" si="32"/>
        <v/>
      </c>
      <c r="S110" s="27" t="str">
        <f t="shared" si="33"/>
        <v/>
      </c>
      <c r="T110" s="28" t="str">
        <f t="shared" si="33"/>
        <v/>
      </c>
      <c r="U110" s="28" t="str">
        <f t="shared" si="33"/>
        <v/>
      </c>
      <c r="V110" s="28" t="str">
        <f t="shared" si="33"/>
        <v/>
      </c>
      <c r="W110" s="28" t="str">
        <f t="shared" si="33"/>
        <v/>
      </c>
      <c r="X110" s="29" t="str">
        <f t="shared" si="3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8"/>
        <v/>
      </c>
      <c r="M111" s="19" t="str">
        <f t="shared" si="30"/>
        <v/>
      </c>
      <c r="N111" s="19" t="str">
        <f t="shared" si="31"/>
        <v/>
      </c>
      <c r="O111" s="19" t="str">
        <f t="shared" si="34"/>
        <v/>
      </c>
      <c r="P111" s="19" t="str">
        <f t="shared" si="35"/>
        <v/>
      </c>
      <c r="Q111" s="19" t="str">
        <f t="shared" si="36"/>
        <v/>
      </c>
      <c r="R111" s="19" t="str">
        <f t="shared" si="32"/>
        <v/>
      </c>
      <c r="S111" s="27" t="str">
        <f t="shared" si="33"/>
        <v/>
      </c>
      <c r="T111" s="28" t="str">
        <f t="shared" si="33"/>
        <v/>
      </c>
      <c r="U111" s="28" t="str">
        <f t="shared" si="33"/>
        <v/>
      </c>
      <c r="V111" s="28" t="str">
        <f t="shared" si="33"/>
        <v/>
      </c>
      <c r="W111" s="28" t="str">
        <f t="shared" si="33"/>
        <v/>
      </c>
      <c r="X111" s="29" t="str">
        <f t="shared" si="3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8"/>
        <v/>
      </c>
      <c r="M112" s="19" t="str">
        <f t="shared" si="30"/>
        <v/>
      </c>
      <c r="N112" s="19" t="str">
        <f t="shared" si="31"/>
        <v/>
      </c>
      <c r="O112" s="19" t="str">
        <f t="shared" si="34"/>
        <v/>
      </c>
      <c r="P112" s="19" t="str">
        <f t="shared" si="35"/>
        <v/>
      </c>
      <c r="Q112" s="19" t="str">
        <f t="shared" si="36"/>
        <v/>
      </c>
      <c r="R112" s="19" t="str">
        <f t="shared" si="32"/>
        <v/>
      </c>
      <c r="S112" s="27" t="str">
        <f t="shared" si="33"/>
        <v/>
      </c>
      <c r="T112" s="28" t="str">
        <f t="shared" si="33"/>
        <v/>
      </c>
      <c r="U112" s="28" t="str">
        <f t="shared" si="33"/>
        <v/>
      </c>
      <c r="V112" s="28" t="str">
        <f t="shared" si="33"/>
        <v/>
      </c>
      <c r="W112" s="28" t="str">
        <f t="shared" si="33"/>
        <v/>
      </c>
      <c r="X112" s="29" t="str">
        <f t="shared" si="3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8"/>
        <v/>
      </c>
      <c r="M113" s="19" t="str">
        <f t="shared" si="30"/>
        <v/>
      </c>
      <c r="N113" s="19" t="str">
        <f t="shared" si="31"/>
        <v/>
      </c>
      <c r="O113" s="19" t="str">
        <f t="shared" si="34"/>
        <v/>
      </c>
      <c r="P113" s="19" t="str">
        <f t="shared" si="35"/>
        <v/>
      </c>
      <c r="Q113" s="19" t="str">
        <f t="shared" si="36"/>
        <v/>
      </c>
      <c r="R113" s="19" t="str">
        <f t="shared" si="32"/>
        <v/>
      </c>
      <c r="S113" s="27" t="str">
        <f t="shared" ref="S113:X128" si="37">IF(C113="","",((C113-C112)*1000)/($B113-$B112))</f>
        <v/>
      </c>
      <c r="T113" s="28" t="str">
        <f t="shared" si="37"/>
        <v/>
      </c>
      <c r="U113" s="28" t="str">
        <f t="shared" si="37"/>
        <v/>
      </c>
      <c r="V113" s="28" t="str">
        <f t="shared" si="37"/>
        <v/>
      </c>
      <c r="W113" s="28" t="str">
        <f t="shared" si="37"/>
        <v/>
      </c>
      <c r="X113" s="29" t="str">
        <f t="shared" si="3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8"/>
        <v/>
      </c>
      <c r="M114" s="19" t="str">
        <f t="shared" si="30"/>
        <v/>
      </c>
      <c r="N114" s="19" t="str">
        <f t="shared" si="31"/>
        <v/>
      </c>
      <c r="O114" s="19" t="str">
        <f t="shared" si="34"/>
        <v/>
      </c>
      <c r="P114" s="19" t="str">
        <f t="shared" si="35"/>
        <v/>
      </c>
      <c r="Q114" s="19" t="str">
        <f t="shared" si="36"/>
        <v/>
      </c>
      <c r="R114" s="19" t="str">
        <f t="shared" si="32"/>
        <v/>
      </c>
      <c r="S114" s="27" t="str">
        <f t="shared" si="37"/>
        <v/>
      </c>
      <c r="T114" s="28" t="str">
        <f t="shared" si="37"/>
        <v/>
      </c>
      <c r="U114" s="28" t="str">
        <f t="shared" si="37"/>
        <v/>
      </c>
      <c r="V114" s="28" t="str">
        <f t="shared" si="37"/>
        <v/>
      </c>
      <c r="W114" s="28" t="str">
        <f t="shared" si="37"/>
        <v/>
      </c>
      <c r="X114" s="29" t="str">
        <f t="shared" si="3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8"/>
        <v/>
      </c>
      <c r="M115" s="19" t="str">
        <f t="shared" si="30"/>
        <v/>
      </c>
      <c r="N115" s="19" t="str">
        <f t="shared" si="31"/>
        <v/>
      </c>
      <c r="O115" s="19" t="str">
        <f t="shared" si="34"/>
        <v/>
      </c>
      <c r="P115" s="19" t="str">
        <f t="shared" si="35"/>
        <v/>
      </c>
      <c r="Q115" s="19" t="str">
        <f t="shared" si="36"/>
        <v/>
      </c>
      <c r="R115" s="19" t="str">
        <f t="shared" si="32"/>
        <v/>
      </c>
      <c r="S115" s="27" t="str">
        <f t="shared" si="37"/>
        <v/>
      </c>
      <c r="T115" s="28" t="str">
        <f t="shared" si="37"/>
        <v/>
      </c>
      <c r="U115" s="28" t="str">
        <f t="shared" si="37"/>
        <v/>
      </c>
      <c r="V115" s="28" t="str">
        <f t="shared" si="37"/>
        <v/>
      </c>
      <c r="W115" s="28" t="str">
        <f t="shared" si="37"/>
        <v/>
      </c>
      <c r="X115" s="29" t="str">
        <f t="shared" si="3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8"/>
        <v/>
      </c>
      <c r="M116" s="19" t="str">
        <f t="shared" si="30"/>
        <v/>
      </c>
      <c r="N116" s="19" t="str">
        <f t="shared" si="31"/>
        <v/>
      </c>
      <c r="O116" s="19" t="str">
        <f t="shared" si="34"/>
        <v/>
      </c>
      <c r="P116" s="19" t="str">
        <f t="shared" si="35"/>
        <v/>
      </c>
      <c r="Q116" s="19" t="str">
        <f t="shared" si="36"/>
        <v/>
      </c>
      <c r="R116" s="19" t="str">
        <f t="shared" si="32"/>
        <v/>
      </c>
      <c r="S116" s="27" t="str">
        <f t="shared" si="37"/>
        <v/>
      </c>
      <c r="T116" s="28" t="str">
        <f t="shared" si="37"/>
        <v/>
      </c>
      <c r="U116" s="28" t="str">
        <f t="shared" si="37"/>
        <v/>
      </c>
      <c r="V116" s="28" t="str">
        <f t="shared" si="37"/>
        <v/>
      </c>
      <c r="W116" s="28" t="str">
        <f t="shared" si="37"/>
        <v/>
      </c>
      <c r="X116" s="29" t="str">
        <f t="shared" si="3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8"/>
        <v/>
      </c>
      <c r="M117" s="19" t="str">
        <f t="shared" si="30"/>
        <v/>
      </c>
      <c r="N117" s="19" t="str">
        <f t="shared" si="31"/>
        <v/>
      </c>
      <c r="O117" s="19" t="str">
        <f t="shared" si="34"/>
        <v/>
      </c>
      <c r="P117" s="19" t="str">
        <f t="shared" si="35"/>
        <v/>
      </c>
      <c r="Q117" s="19" t="str">
        <f t="shared" si="36"/>
        <v/>
      </c>
      <c r="R117" s="19" t="str">
        <f t="shared" si="32"/>
        <v/>
      </c>
      <c r="S117" s="27" t="str">
        <f t="shared" si="37"/>
        <v/>
      </c>
      <c r="T117" s="28" t="str">
        <f t="shared" si="37"/>
        <v/>
      </c>
      <c r="U117" s="28" t="str">
        <f t="shared" si="37"/>
        <v/>
      </c>
      <c r="V117" s="28" t="str">
        <f t="shared" si="37"/>
        <v/>
      </c>
      <c r="W117" s="28" t="str">
        <f t="shared" si="37"/>
        <v/>
      </c>
      <c r="X117" s="29" t="str">
        <f t="shared" si="3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28"/>
        <v/>
      </c>
      <c r="M118" s="19" t="str">
        <f t="shared" si="30"/>
        <v/>
      </c>
      <c r="N118" s="19" t="str">
        <f t="shared" si="31"/>
        <v/>
      </c>
      <c r="O118" s="19" t="str">
        <f t="shared" si="34"/>
        <v/>
      </c>
      <c r="P118" s="19" t="str">
        <f t="shared" si="35"/>
        <v/>
      </c>
      <c r="Q118" s="19" t="str">
        <f t="shared" si="36"/>
        <v/>
      </c>
      <c r="R118" s="19" t="str">
        <f t="shared" si="32"/>
        <v/>
      </c>
      <c r="S118" s="27" t="str">
        <f t="shared" si="37"/>
        <v/>
      </c>
      <c r="T118" s="28" t="str">
        <f t="shared" si="37"/>
        <v/>
      </c>
      <c r="U118" s="28" t="str">
        <f t="shared" si="37"/>
        <v/>
      </c>
      <c r="V118" s="28" t="str">
        <f t="shared" si="37"/>
        <v/>
      </c>
      <c r="W118" s="28" t="str">
        <f t="shared" si="37"/>
        <v/>
      </c>
      <c r="X118" s="29" t="str">
        <f t="shared" si="3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30"/>
        <v/>
      </c>
      <c r="N119" s="19" t="str">
        <f t="shared" si="31"/>
        <v/>
      </c>
      <c r="O119" s="19" t="str">
        <f t="shared" si="34"/>
        <v/>
      </c>
      <c r="P119" s="19" t="str">
        <f t="shared" si="35"/>
        <v/>
      </c>
      <c r="Q119" s="19" t="str">
        <f t="shared" si="36"/>
        <v/>
      </c>
      <c r="R119" s="19" t="str">
        <f t="shared" si="32"/>
        <v/>
      </c>
      <c r="S119" s="27" t="str">
        <f t="shared" si="37"/>
        <v/>
      </c>
      <c r="T119" s="28" t="str">
        <f t="shared" si="37"/>
        <v/>
      </c>
      <c r="U119" s="28" t="str">
        <f t="shared" si="37"/>
        <v/>
      </c>
      <c r="V119" s="28" t="str">
        <f t="shared" si="37"/>
        <v/>
      </c>
      <c r="W119" s="28" t="str">
        <f t="shared" si="37"/>
        <v/>
      </c>
      <c r="X119" s="29" t="str">
        <f t="shared" si="3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30"/>
        <v/>
      </c>
      <c r="N120" s="19" t="str">
        <f t="shared" si="31"/>
        <v/>
      </c>
      <c r="O120" s="19" t="str">
        <f t="shared" si="34"/>
        <v/>
      </c>
      <c r="P120" s="19" t="str">
        <f t="shared" si="35"/>
        <v/>
      </c>
      <c r="Q120" s="19" t="str">
        <f t="shared" si="36"/>
        <v/>
      </c>
      <c r="R120" s="19" t="str">
        <f t="shared" si="32"/>
        <v/>
      </c>
      <c r="S120" s="27" t="str">
        <f t="shared" si="37"/>
        <v/>
      </c>
      <c r="T120" s="28" t="str">
        <f t="shared" si="37"/>
        <v/>
      </c>
      <c r="U120" s="28" t="str">
        <f t="shared" si="37"/>
        <v/>
      </c>
      <c r="V120" s="28" t="str">
        <f t="shared" si="37"/>
        <v/>
      </c>
      <c r="W120" s="28" t="str">
        <f t="shared" si="37"/>
        <v/>
      </c>
      <c r="X120" s="29" t="str">
        <f t="shared" si="3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30"/>
        <v/>
      </c>
      <c r="N121" s="19" t="str">
        <f t="shared" si="31"/>
        <v/>
      </c>
      <c r="O121" s="19" t="str">
        <f t="shared" si="34"/>
        <v/>
      </c>
      <c r="P121" s="19" t="str">
        <f t="shared" si="35"/>
        <v/>
      </c>
      <c r="Q121" s="19" t="str">
        <f t="shared" si="36"/>
        <v/>
      </c>
      <c r="R121" s="19" t="str">
        <f t="shared" si="32"/>
        <v/>
      </c>
      <c r="S121" s="27" t="str">
        <f t="shared" si="37"/>
        <v/>
      </c>
      <c r="T121" s="28" t="str">
        <f t="shared" si="37"/>
        <v/>
      </c>
      <c r="U121" s="28" t="str">
        <f t="shared" si="37"/>
        <v/>
      </c>
      <c r="V121" s="28" t="str">
        <f t="shared" si="37"/>
        <v/>
      </c>
      <c r="W121" s="28" t="str">
        <f t="shared" si="37"/>
        <v/>
      </c>
      <c r="X121" s="29" t="str">
        <f t="shared" si="3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30"/>
        <v/>
      </c>
      <c r="N122" s="19" t="str">
        <f t="shared" si="31"/>
        <v/>
      </c>
      <c r="O122" s="19" t="str">
        <f t="shared" si="34"/>
        <v/>
      </c>
      <c r="P122" s="19" t="str">
        <f t="shared" si="35"/>
        <v/>
      </c>
      <c r="Q122" s="19" t="str">
        <f t="shared" si="36"/>
        <v/>
      </c>
      <c r="R122" s="19" t="str">
        <f t="shared" si="32"/>
        <v/>
      </c>
      <c r="S122" s="27" t="str">
        <f t="shared" si="37"/>
        <v/>
      </c>
      <c r="T122" s="28" t="str">
        <f t="shared" si="37"/>
        <v/>
      </c>
      <c r="U122" s="28" t="str">
        <f t="shared" si="37"/>
        <v/>
      </c>
      <c r="V122" s="28" t="str">
        <f t="shared" si="37"/>
        <v/>
      </c>
      <c r="W122" s="28" t="str">
        <f t="shared" si="37"/>
        <v/>
      </c>
      <c r="X122" s="29" t="str">
        <f t="shared" si="3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30"/>
        <v/>
      </c>
      <c r="N123" s="19" t="str">
        <f t="shared" si="31"/>
        <v/>
      </c>
      <c r="O123" s="19" t="str">
        <f t="shared" si="34"/>
        <v/>
      </c>
      <c r="P123" s="19" t="str">
        <f t="shared" si="35"/>
        <v/>
      </c>
      <c r="Q123" s="19" t="str">
        <f t="shared" si="36"/>
        <v/>
      </c>
      <c r="R123" s="19" t="str">
        <f t="shared" si="32"/>
        <v/>
      </c>
      <c r="S123" s="27" t="str">
        <f t="shared" si="37"/>
        <v/>
      </c>
      <c r="T123" s="28" t="str">
        <f t="shared" si="37"/>
        <v/>
      </c>
      <c r="U123" s="28" t="str">
        <f t="shared" si="37"/>
        <v/>
      </c>
      <c r="V123" s="28" t="str">
        <f t="shared" si="37"/>
        <v/>
      </c>
      <c r="W123" s="28" t="str">
        <f t="shared" si="37"/>
        <v/>
      </c>
      <c r="X123" s="29" t="str">
        <f t="shared" si="3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30"/>
        <v/>
      </c>
      <c r="N124" s="19" t="str">
        <f t="shared" si="31"/>
        <v/>
      </c>
      <c r="O124" s="19" t="str">
        <f t="shared" si="34"/>
        <v/>
      </c>
      <c r="P124" s="19" t="str">
        <f t="shared" si="35"/>
        <v/>
      </c>
      <c r="Q124" s="19" t="str">
        <f t="shared" si="36"/>
        <v/>
      </c>
      <c r="R124" s="19" t="str">
        <f t="shared" si="32"/>
        <v/>
      </c>
      <c r="S124" s="27" t="str">
        <f t="shared" si="37"/>
        <v/>
      </c>
      <c r="T124" s="28" t="str">
        <f t="shared" si="37"/>
        <v/>
      </c>
      <c r="U124" s="28" t="str">
        <f t="shared" si="37"/>
        <v/>
      </c>
      <c r="V124" s="28" t="str">
        <f t="shared" si="37"/>
        <v/>
      </c>
      <c r="W124" s="28" t="str">
        <f t="shared" si="37"/>
        <v/>
      </c>
      <c r="X124" s="29" t="str">
        <f t="shared" si="3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30"/>
        <v/>
      </c>
      <c r="N125" s="19" t="str">
        <f t="shared" si="31"/>
        <v/>
      </c>
      <c r="O125" s="19" t="str">
        <f t="shared" si="34"/>
        <v/>
      </c>
      <c r="P125" s="19" t="str">
        <f t="shared" si="35"/>
        <v/>
      </c>
      <c r="Q125" s="19" t="str">
        <f t="shared" si="36"/>
        <v/>
      </c>
      <c r="R125" s="19" t="str">
        <f t="shared" si="32"/>
        <v/>
      </c>
      <c r="S125" s="27" t="str">
        <f t="shared" si="37"/>
        <v/>
      </c>
      <c r="T125" s="28" t="str">
        <f t="shared" si="37"/>
        <v/>
      </c>
      <c r="U125" s="28" t="str">
        <f t="shared" si="37"/>
        <v/>
      </c>
      <c r="V125" s="28" t="str">
        <f t="shared" si="37"/>
        <v/>
      </c>
      <c r="W125" s="28" t="str">
        <f t="shared" si="37"/>
        <v/>
      </c>
      <c r="X125" s="29" t="str">
        <f t="shared" si="3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30"/>
        <v/>
      </c>
      <c r="N126" s="19" t="str">
        <f t="shared" si="31"/>
        <v/>
      </c>
      <c r="O126" s="19" t="str">
        <f t="shared" si="34"/>
        <v/>
      </c>
      <c r="P126" s="19" t="str">
        <f t="shared" si="35"/>
        <v/>
      </c>
      <c r="Q126" s="19" t="str">
        <f t="shared" si="36"/>
        <v/>
      </c>
      <c r="R126" s="19" t="str">
        <f t="shared" si="32"/>
        <v/>
      </c>
      <c r="S126" s="27" t="str">
        <f t="shared" si="37"/>
        <v/>
      </c>
      <c r="T126" s="28" t="str">
        <f t="shared" si="37"/>
        <v/>
      </c>
      <c r="U126" s="28" t="str">
        <f t="shared" si="37"/>
        <v/>
      </c>
      <c r="V126" s="28" t="str">
        <f t="shared" si="37"/>
        <v/>
      </c>
      <c r="W126" s="28" t="str">
        <f t="shared" si="37"/>
        <v/>
      </c>
      <c r="X126" s="29" t="str">
        <f t="shared" si="3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30"/>
        <v/>
      </c>
      <c r="N127" s="19" t="str">
        <f t="shared" si="31"/>
        <v/>
      </c>
      <c r="O127" s="19" t="str">
        <f t="shared" si="34"/>
        <v/>
      </c>
      <c r="P127" s="19" t="str">
        <f t="shared" si="35"/>
        <v/>
      </c>
      <c r="Q127" s="19" t="str">
        <f t="shared" si="36"/>
        <v/>
      </c>
      <c r="R127" s="19" t="str">
        <f t="shared" si="32"/>
        <v/>
      </c>
      <c r="S127" s="27" t="str">
        <f t="shared" si="37"/>
        <v/>
      </c>
      <c r="T127" s="28" t="str">
        <f t="shared" si="37"/>
        <v/>
      </c>
      <c r="U127" s="28" t="str">
        <f t="shared" si="37"/>
        <v/>
      </c>
      <c r="V127" s="28" t="str">
        <f t="shared" si="37"/>
        <v/>
      </c>
      <c r="W127" s="28" t="str">
        <f t="shared" si="37"/>
        <v/>
      </c>
      <c r="X127" s="29" t="str">
        <f t="shared" si="3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30"/>
        <v/>
      </c>
      <c r="N128" s="19" t="str">
        <f t="shared" si="31"/>
        <v/>
      </c>
      <c r="O128" s="19" t="str">
        <f t="shared" si="34"/>
        <v/>
      </c>
      <c r="P128" s="19" t="str">
        <f t="shared" si="35"/>
        <v/>
      </c>
      <c r="Q128" s="19" t="str">
        <f t="shared" si="36"/>
        <v/>
      </c>
      <c r="R128" s="19" t="str">
        <f t="shared" si="32"/>
        <v/>
      </c>
      <c r="S128" s="27" t="str">
        <f t="shared" si="37"/>
        <v/>
      </c>
      <c r="T128" s="28" t="str">
        <f t="shared" si="37"/>
        <v/>
      </c>
      <c r="U128" s="28" t="str">
        <f t="shared" si="37"/>
        <v/>
      </c>
      <c r="V128" s="28" t="str">
        <f t="shared" si="37"/>
        <v/>
      </c>
      <c r="W128" s="28" t="str">
        <f t="shared" si="37"/>
        <v/>
      </c>
      <c r="X128" s="29" t="str">
        <f t="shared" si="3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30"/>
        <v/>
      </c>
      <c r="N129" s="19" t="str">
        <f t="shared" si="31"/>
        <v/>
      </c>
      <c r="O129" s="19" t="str">
        <f t="shared" si="34"/>
        <v/>
      </c>
      <c r="P129" s="19" t="str">
        <f t="shared" si="35"/>
        <v/>
      </c>
      <c r="Q129" s="19" t="str">
        <f t="shared" si="36"/>
        <v/>
      </c>
      <c r="R129" s="19" t="str">
        <f t="shared" si="32"/>
        <v/>
      </c>
      <c r="S129" s="27" t="str">
        <f t="shared" ref="S129:X144" si="38">IF(C129="","",((C129-C128)*1000)/($B129-$B128))</f>
        <v/>
      </c>
      <c r="T129" s="28" t="str">
        <f t="shared" si="38"/>
        <v/>
      </c>
      <c r="U129" s="28" t="str">
        <f t="shared" si="38"/>
        <v/>
      </c>
      <c r="V129" s="28" t="str">
        <f t="shared" si="38"/>
        <v/>
      </c>
      <c r="W129" s="28" t="str">
        <f t="shared" si="38"/>
        <v/>
      </c>
      <c r="X129" s="29" t="str">
        <f t="shared" si="3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30"/>
        <v/>
      </c>
      <c r="N130" s="19" t="str">
        <f t="shared" si="31"/>
        <v/>
      </c>
      <c r="O130" s="19" t="str">
        <f t="shared" si="34"/>
        <v/>
      </c>
      <c r="P130" s="19" t="str">
        <f t="shared" si="35"/>
        <v/>
      </c>
      <c r="Q130" s="19" t="str">
        <f t="shared" si="36"/>
        <v/>
      </c>
      <c r="R130" s="19" t="str">
        <f t="shared" si="32"/>
        <v/>
      </c>
      <c r="S130" s="27" t="str">
        <f t="shared" si="38"/>
        <v/>
      </c>
      <c r="T130" s="28" t="str">
        <f t="shared" si="38"/>
        <v/>
      </c>
      <c r="U130" s="28" t="str">
        <f t="shared" si="38"/>
        <v/>
      </c>
      <c r="V130" s="28" t="str">
        <f t="shared" si="38"/>
        <v/>
      </c>
      <c r="W130" s="28" t="str">
        <f t="shared" si="38"/>
        <v/>
      </c>
      <c r="X130" s="29" t="str">
        <f t="shared" si="3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30"/>
        <v/>
      </c>
      <c r="N131" s="19" t="str">
        <f t="shared" si="31"/>
        <v/>
      </c>
      <c r="O131" s="19" t="str">
        <f t="shared" si="34"/>
        <v/>
      </c>
      <c r="P131" s="19" t="str">
        <f t="shared" si="35"/>
        <v/>
      </c>
      <c r="Q131" s="19" t="str">
        <f t="shared" si="36"/>
        <v/>
      </c>
      <c r="R131" s="19" t="str">
        <f t="shared" si="32"/>
        <v/>
      </c>
      <c r="S131" s="27" t="str">
        <f t="shared" si="38"/>
        <v/>
      </c>
      <c r="T131" s="28" t="str">
        <f t="shared" si="38"/>
        <v/>
      </c>
      <c r="U131" s="28" t="str">
        <f t="shared" si="38"/>
        <v/>
      </c>
      <c r="V131" s="28" t="str">
        <f t="shared" si="38"/>
        <v/>
      </c>
      <c r="W131" s="28" t="str">
        <f t="shared" si="38"/>
        <v/>
      </c>
      <c r="X131" s="29" t="str">
        <f t="shared" si="3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30"/>
        <v/>
      </c>
      <c r="N132" s="19" t="str">
        <f t="shared" si="31"/>
        <v/>
      </c>
      <c r="O132" s="19" t="str">
        <f t="shared" si="34"/>
        <v/>
      </c>
      <c r="P132" s="19" t="str">
        <f t="shared" si="35"/>
        <v/>
      </c>
      <c r="Q132" s="19" t="str">
        <f t="shared" si="36"/>
        <v/>
      </c>
      <c r="R132" s="19" t="str">
        <f t="shared" si="32"/>
        <v/>
      </c>
      <c r="S132" s="27" t="str">
        <f t="shared" si="38"/>
        <v/>
      </c>
      <c r="T132" s="28" t="str">
        <f t="shared" si="38"/>
        <v/>
      </c>
      <c r="U132" s="28" t="str">
        <f t="shared" si="38"/>
        <v/>
      </c>
      <c r="V132" s="28" t="str">
        <f t="shared" si="38"/>
        <v/>
      </c>
      <c r="W132" s="28" t="str">
        <f t="shared" si="38"/>
        <v/>
      </c>
      <c r="X132" s="29" t="str">
        <f t="shared" si="3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ref="L133:L153" si="39">IF(ISBLANK(C133),"",(C133-C$16)*1000)</f>
        <v/>
      </c>
      <c r="M133" s="19" t="str">
        <f t="shared" si="30"/>
        <v/>
      </c>
      <c r="N133" s="19" t="str">
        <f t="shared" si="31"/>
        <v/>
      </c>
      <c r="O133" s="19" t="str">
        <f t="shared" si="34"/>
        <v/>
      </c>
      <c r="P133" s="19" t="str">
        <f t="shared" si="35"/>
        <v/>
      </c>
      <c r="Q133" s="19" t="str">
        <f t="shared" si="36"/>
        <v/>
      </c>
      <c r="R133" s="19" t="str">
        <f t="shared" si="32"/>
        <v/>
      </c>
      <c r="S133" s="27" t="str">
        <f t="shared" si="38"/>
        <v/>
      </c>
      <c r="T133" s="28" t="str">
        <f t="shared" si="38"/>
        <v/>
      </c>
      <c r="U133" s="28" t="str">
        <f t="shared" si="38"/>
        <v/>
      </c>
      <c r="V133" s="28" t="str">
        <f t="shared" si="38"/>
        <v/>
      </c>
      <c r="W133" s="28" t="str">
        <f t="shared" si="38"/>
        <v/>
      </c>
      <c r="X133" s="29" t="str">
        <f t="shared" si="3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9"/>
        <v/>
      </c>
      <c r="M134" s="19" t="str">
        <f t="shared" si="30"/>
        <v/>
      </c>
      <c r="N134" s="19" t="str">
        <f t="shared" si="31"/>
        <v/>
      </c>
      <c r="O134" s="19" t="str">
        <f t="shared" si="34"/>
        <v/>
      </c>
      <c r="P134" s="19" t="str">
        <f t="shared" si="35"/>
        <v/>
      </c>
      <c r="Q134" s="19" t="str">
        <f t="shared" si="36"/>
        <v/>
      </c>
      <c r="R134" s="19" t="str">
        <f t="shared" si="32"/>
        <v/>
      </c>
      <c r="S134" s="27" t="str">
        <f t="shared" si="38"/>
        <v/>
      </c>
      <c r="T134" s="28" t="str">
        <f t="shared" si="38"/>
        <v/>
      </c>
      <c r="U134" s="28" t="str">
        <f t="shared" si="38"/>
        <v/>
      </c>
      <c r="V134" s="28" t="str">
        <f t="shared" si="38"/>
        <v/>
      </c>
      <c r="W134" s="28" t="str">
        <f t="shared" si="38"/>
        <v/>
      </c>
      <c r="X134" s="29" t="str">
        <f t="shared" si="3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9"/>
        <v/>
      </c>
      <c r="M135" s="19" t="str">
        <f t="shared" si="30"/>
        <v/>
      </c>
      <c r="N135" s="19" t="str">
        <f t="shared" si="31"/>
        <v/>
      </c>
      <c r="O135" s="19" t="str">
        <f t="shared" si="34"/>
        <v/>
      </c>
      <c r="P135" s="19" t="str">
        <f t="shared" si="35"/>
        <v/>
      </c>
      <c r="Q135" s="19" t="str">
        <f t="shared" si="36"/>
        <v/>
      </c>
      <c r="R135" s="19" t="str">
        <f t="shared" si="32"/>
        <v/>
      </c>
      <c r="S135" s="27" t="str">
        <f t="shared" si="38"/>
        <v/>
      </c>
      <c r="T135" s="28" t="str">
        <f t="shared" si="38"/>
        <v/>
      </c>
      <c r="U135" s="28" t="str">
        <f t="shared" si="38"/>
        <v/>
      </c>
      <c r="V135" s="28" t="str">
        <f t="shared" si="38"/>
        <v/>
      </c>
      <c r="W135" s="28" t="str">
        <f t="shared" si="38"/>
        <v/>
      </c>
      <c r="X135" s="29" t="str">
        <f t="shared" si="3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9"/>
        <v/>
      </c>
      <c r="M136" s="19" t="str">
        <f t="shared" si="30"/>
        <v/>
      </c>
      <c r="N136" s="19" t="str">
        <f t="shared" si="31"/>
        <v/>
      </c>
      <c r="O136" s="19" t="str">
        <f t="shared" si="34"/>
        <v/>
      </c>
      <c r="P136" s="19" t="str">
        <f t="shared" si="35"/>
        <v/>
      </c>
      <c r="Q136" s="19" t="str">
        <f t="shared" si="36"/>
        <v/>
      </c>
      <c r="R136" s="19" t="str">
        <f t="shared" si="32"/>
        <v/>
      </c>
      <c r="S136" s="27" t="str">
        <f t="shared" si="38"/>
        <v/>
      </c>
      <c r="T136" s="28" t="str">
        <f t="shared" si="38"/>
        <v/>
      </c>
      <c r="U136" s="28" t="str">
        <f t="shared" si="38"/>
        <v/>
      </c>
      <c r="V136" s="28" t="str">
        <f t="shared" si="38"/>
        <v/>
      </c>
      <c r="W136" s="28" t="str">
        <f t="shared" si="38"/>
        <v/>
      </c>
      <c r="X136" s="29" t="str">
        <f t="shared" si="3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9"/>
        <v/>
      </c>
      <c r="M137" s="19" t="str">
        <f t="shared" si="30"/>
        <v/>
      </c>
      <c r="N137" s="19" t="str">
        <f t="shared" si="31"/>
        <v/>
      </c>
      <c r="O137" s="19" t="str">
        <f t="shared" si="34"/>
        <v/>
      </c>
      <c r="P137" s="19" t="str">
        <f t="shared" si="35"/>
        <v/>
      </c>
      <c r="Q137" s="19" t="str">
        <f t="shared" si="36"/>
        <v/>
      </c>
      <c r="R137" s="19" t="str">
        <f t="shared" si="32"/>
        <v/>
      </c>
      <c r="S137" s="27" t="str">
        <f t="shared" si="38"/>
        <v/>
      </c>
      <c r="T137" s="28" t="str">
        <f t="shared" si="38"/>
        <v/>
      </c>
      <c r="U137" s="28" t="str">
        <f t="shared" si="38"/>
        <v/>
      </c>
      <c r="V137" s="28" t="str">
        <f t="shared" si="38"/>
        <v/>
      </c>
      <c r="W137" s="28" t="str">
        <f t="shared" si="38"/>
        <v/>
      </c>
      <c r="X137" s="29" t="str">
        <f t="shared" si="3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9"/>
        <v/>
      </c>
      <c r="M138" s="19" t="str">
        <f t="shared" si="30"/>
        <v/>
      </c>
      <c r="N138" s="19" t="str">
        <f t="shared" si="31"/>
        <v/>
      </c>
      <c r="O138" s="19" t="str">
        <f t="shared" si="34"/>
        <v/>
      </c>
      <c r="P138" s="19" t="str">
        <f t="shared" si="35"/>
        <v/>
      </c>
      <c r="Q138" s="19" t="str">
        <f t="shared" si="36"/>
        <v/>
      </c>
      <c r="R138" s="19" t="str">
        <f t="shared" si="32"/>
        <v/>
      </c>
      <c r="S138" s="27" t="str">
        <f t="shared" si="38"/>
        <v/>
      </c>
      <c r="T138" s="28" t="str">
        <f t="shared" si="38"/>
        <v/>
      </c>
      <c r="U138" s="28" t="str">
        <f t="shared" si="38"/>
        <v/>
      </c>
      <c r="V138" s="28" t="str">
        <f t="shared" si="38"/>
        <v/>
      </c>
      <c r="W138" s="28" t="str">
        <f t="shared" si="38"/>
        <v/>
      </c>
      <c r="X138" s="29" t="str">
        <f t="shared" si="3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9"/>
        <v/>
      </c>
      <c r="M139" s="19" t="str">
        <f t="shared" si="30"/>
        <v/>
      </c>
      <c r="N139" s="19" t="str">
        <f t="shared" si="31"/>
        <v/>
      </c>
      <c r="O139" s="19" t="str">
        <f t="shared" si="34"/>
        <v/>
      </c>
      <c r="P139" s="19" t="str">
        <f t="shared" si="35"/>
        <v/>
      </c>
      <c r="Q139" s="19" t="str">
        <f t="shared" si="36"/>
        <v/>
      </c>
      <c r="R139" s="19" t="str">
        <f t="shared" si="32"/>
        <v/>
      </c>
      <c r="S139" s="27" t="str">
        <f t="shared" si="38"/>
        <v/>
      </c>
      <c r="T139" s="28" t="str">
        <f t="shared" si="38"/>
        <v/>
      </c>
      <c r="U139" s="28" t="str">
        <f t="shared" si="38"/>
        <v/>
      </c>
      <c r="V139" s="28" t="str">
        <f t="shared" si="38"/>
        <v/>
      </c>
      <c r="W139" s="28" t="str">
        <f t="shared" si="38"/>
        <v/>
      </c>
      <c r="X139" s="29" t="str">
        <f t="shared" si="3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9"/>
        <v/>
      </c>
      <c r="M140" s="19" t="str">
        <f t="shared" si="30"/>
        <v/>
      </c>
      <c r="N140" s="19" t="str">
        <f t="shared" si="31"/>
        <v/>
      </c>
      <c r="O140" s="19" t="str">
        <f t="shared" si="34"/>
        <v/>
      </c>
      <c r="P140" s="19" t="str">
        <f t="shared" si="35"/>
        <v/>
      </c>
      <c r="Q140" s="19" t="str">
        <f t="shared" si="36"/>
        <v/>
      </c>
      <c r="R140" s="19" t="str">
        <f t="shared" si="32"/>
        <v/>
      </c>
      <c r="S140" s="27" t="str">
        <f t="shared" si="38"/>
        <v/>
      </c>
      <c r="T140" s="28" t="str">
        <f t="shared" si="38"/>
        <v/>
      </c>
      <c r="U140" s="28" t="str">
        <f t="shared" si="38"/>
        <v/>
      </c>
      <c r="V140" s="28" t="str">
        <f t="shared" si="38"/>
        <v/>
      </c>
      <c r="W140" s="28" t="str">
        <f t="shared" si="38"/>
        <v/>
      </c>
      <c r="X140" s="29" t="str">
        <f t="shared" si="3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9"/>
        <v/>
      </c>
      <c r="M141" s="19" t="str">
        <f t="shared" si="30"/>
        <v/>
      </c>
      <c r="N141" s="19" t="str">
        <f t="shared" si="31"/>
        <v/>
      </c>
      <c r="O141" s="19" t="str">
        <f t="shared" si="34"/>
        <v/>
      </c>
      <c r="P141" s="19" t="str">
        <f t="shared" si="35"/>
        <v/>
      </c>
      <c r="Q141" s="19" t="str">
        <f t="shared" si="36"/>
        <v/>
      </c>
      <c r="R141" s="19" t="str">
        <f t="shared" si="32"/>
        <v/>
      </c>
      <c r="S141" s="27" t="str">
        <f t="shared" si="38"/>
        <v/>
      </c>
      <c r="T141" s="28" t="str">
        <f t="shared" si="38"/>
        <v/>
      </c>
      <c r="U141" s="28" t="str">
        <f t="shared" si="38"/>
        <v/>
      </c>
      <c r="V141" s="28" t="str">
        <f t="shared" si="38"/>
        <v/>
      </c>
      <c r="W141" s="28" t="str">
        <f t="shared" si="38"/>
        <v/>
      </c>
      <c r="X141" s="29" t="str">
        <f t="shared" si="3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9"/>
        <v/>
      </c>
      <c r="M142" s="19" t="str">
        <f t="shared" si="30"/>
        <v/>
      </c>
      <c r="N142" s="19" t="str">
        <f t="shared" si="31"/>
        <v/>
      </c>
      <c r="O142" s="19" t="str">
        <f t="shared" si="34"/>
        <v/>
      </c>
      <c r="P142" s="19" t="str">
        <f t="shared" si="35"/>
        <v/>
      </c>
      <c r="Q142" s="19" t="str">
        <f t="shared" si="36"/>
        <v/>
      </c>
      <c r="R142" s="19" t="str">
        <f t="shared" si="32"/>
        <v/>
      </c>
      <c r="S142" s="27" t="str">
        <f t="shared" si="38"/>
        <v/>
      </c>
      <c r="T142" s="28" t="str">
        <f t="shared" si="38"/>
        <v/>
      </c>
      <c r="U142" s="28" t="str">
        <f t="shared" si="38"/>
        <v/>
      </c>
      <c r="V142" s="28" t="str">
        <f t="shared" si="38"/>
        <v/>
      </c>
      <c r="W142" s="28" t="str">
        <f t="shared" si="38"/>
        <v/>
      </c>
      <c r="X142" s="29" t="str">
        <f t="shared" si="3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9"/>
        <v/>
      </c>
      <c r="M143" s="19" t="str">
        <f t="shared" si="30"/>
        <v/>
      </c>
      <c r="N143" s="19" t="str">
        <f t="shared" si="31"/>
        <v/>
      </c>
      <c r="O143" s="19" t="str">
        <f t="shared" si="34"/>
        <v/>
      </c>
      <c r="P143" s="19" t="str">
        <f t="shared" si="35"/>
        <v/>
      </c>
      <c r="Q143" s="19" t="str">
        <f t="shared" si="36"/>
        <v/>
      </c>
      <c r="R143" s="19" t="str">
        <f t="shared" si="32"/>
        <v/>
      </c>
      <c r="S143" s="27" t="str">
        <f t="shared" si="38"/>
        <v/>
      </c>
      <c r="T143" s="28" t="str">
        <f t="shared" si="38"/>
        <v/>
      </c>
      <c r="U143" s="28" t="str">
        <f t="shared" si="38"/>
        <v/>
      </c>
      <c r="V143" s="28" t="str">
        <f t="shared" si="38"/>
        <v/>
      </c>
      <c r="W143" s="28" t="str">
        <f t="shared" si="38"/>
        <v/>
      </c>
      <c r="X143" s="29" t="str">
        <f t="shared" si="3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9"/>
        <v/>
      </c>
      <c r="M144" s="19" t="str">
        <f t="shared" si="30"/>
        <v/>
      </c>
      <c r="N144" s="19" t="str">
        <f t="shared" si="31"/>
        <v/>
      </c>
      <c r="O144" s="19" t="str">
        <f t="shared" si="34"/>
        <v/>
      </c>
      <c r="P144" s="19" t="str">
        <f t="shared" si="35"/>
        <v/>
      </c>
      <c r="Q144" s="19" t="str">
        <f t="shared" si="36"/>
        <v/>
      </c>
      <c r="R144" s="19" t="str">
        <f t="shared" si="32"/>
        <v/>
      </c>
      <c r="S144" s="27" t="str">
        <f t="shared" si="38"/>
        <v/>
      </c>
      <c r="T144" s="28" t="str">
        <f t="shared" si="38"/>
        <v/>
      </c>
      <c r="U144" s="28" t="str">
        <f t="shared" si="38"/>
        <v/>
      </c>
      <c r="V144" s="28" t="str">
        <f t="shared" si="38"/>
        <v/>
      </c>
      <c r="W144" s="28" t="str">
        <f t="shared" si="38"/>
        <v/>
      </c>
      <c r="X144" s="29" t="str">
        <f t="shared" si="3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9"/>
        <v/>
      </c>
      <c r="M145" s="19" t="str">
        <f t="shared" si="30"/>
        <v/>
      </c>
      <c r="N145" s="19" t="str">
        <f t="shared" si="31"/>
        <v/>
      </c>
      <c r="O145" s="19" t="str">
        <f t="shared" si="34"/>
        <v/>
      </c>
      <c r="P145" s="19" t="str">
        <f t="shared" si="35"/>
        <v/>
      </c>
      <c r="Q145" s="19" t="str">
        <f t="shared" si="36"/>
        <v/>
      </c>
      <c r="R145" s="19" t="str">
        <f t="shared" si="32"/>
        <v/>
      </c>
      <c r="S145" s="27" t="str">
        <f t="shared" ref="S145:X153" si="40">IF(C145="","",((C145-C144)*1000)/($B145-$B144))</f>
        <v/>
      </c>
      <c r="T145" s="28" t="str">
        <f t="shared" si="40"/>
        <v/>
      </c>
      <c r="U145" s="28" t="str">
        <f t="shared" si="40"/>
        <v/>
      </c>
      <c r="V145" s="28" t="str">
        <f t="shared" si="40"/>
        <v/>
      </c>
      <c r="W145" s="28" t="str">
        <f t="shared" si="40"/>
        <v/>
      </c>
      <c r="X145" s="29" t="str">
        <f t="shared" si="4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9"/>
        <v/>
      </c>
      <c r="M146" s="19" t="str">
        <f t="shared" si="30"/>
        <v/>
      </c>
      <c r="N146" s="19" t="str">
        <f t="shared" si="31"/>
        <v/>
      </c>
      <c r="O146" s="19" t="str">
        <f t="shared" si="34"/>
        <v/>
      </c>
      <c r="P146" s="19" t="str">
        <f t="shared" si="35"/>
        <v/>
      </c>
      <c r="Q146" s="19" t="str">
        <f t="shared" si="36"/>
        <v/>
      </c>
      <c r="R146" s="19" t="str">
        <f t="shared" si="32"/>
        <v/>
      </c>
      <c r="S146" s="27" t="str">
        <f t="shared" si="40"/>
        <v/>
      </c>
      <c r="T146" s="28" t="str">
        <f t="shared" si="40"/>
        <v/>
      </c>
      <c r="U146" s="28" t="str">
        <f t="shared" si="40"/>
        <v/>
      </c>
      <c r="V146" s="28" t="str">
        <f t="shared" si="40"/>
        <v/>
      </c>
      <c r="W146" s="28" t="str">
        <f t="shared" si="40"/>
        <v/>
      </c>
      <c r="X146" s="29" t="str">
        <f t="shared" si="4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9"/>
        <v/>
      </c>
      <c r="M147" s="19" t="str">
        <f t="shared" ref="M147:M153" si="41">IF(ISBLANK(D147),"",(D147-D$18)*1000)</f>
        <v/>
      </c>
      <c r="N147" s="19" t="str">
        <f t="shared" ref="N147:N153" si="42">IF(ISBLANK(E147),"",(E147-E$18)*1000)</f>
        <v/>
      </c>
      <c r="O147" s="19" t="str">
        <f t="shared" si="34"/>
        <v/>
      </c>
      <c r="P147" s="19" t="str">
        <f t="shared" si="35"/>
        <v/>
      </c>
      <c r="Q147" s="19" t="str">
        <f t="shared" si="36"/>
        <v/>
      </c>
      <c r="R147" s="19" t="str">
        <f t="shared" ref="R147:R153" si="43">IF(ISBLANK(I147),"",(I147-I$18)*1000)</f>
        <v/>
      </c>
      <c r="S147" s="27" t="str">
        <f t="shared" si="40"/>
        <v/>
      </c>
      <c r="T147" s="28" t="str">
        <f t="shared" si="40"/>
        <v/>
      </c>
      <c r="U147" s="28" t="str">
        <f t="shared" si="40"/>
        <v/>
      </c>
      <c r="V147" s="28" t="str">
        <f t="shared" si="40"/>
        <v/>
      </c>
      <c r="W147" s="28" t="str">
        <f t="shared" si="40"/>
        <v/>
      </c>
      <c r="X147" s="29" t="str">
        <f t="shared" si="4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9"/>
        <v/>
      </c>
      <c r="M148" s="19" t="str">
        <f t="shared" si="41"/>
        <v/>
      </c>
      <c r="N148" s="19" t="str">
        <f t="shared" si="42"/>
        <v/>
      </c>
      <c r="O148" s="19" t="str">
        <f t="shared" si="34"/>
        <v/>
      </c>
      <c r="P148" s="19" t="str">
        <f t="shared" si="35"/>
        <v/>
      </c>
      <c r="Q148" s="19" t="str">
        <f t="shared" si="36"/>
        <v/>
      </c>
      <c r="R148" s="19" t="str">
        <f t="shared" si="43"/>
        <v/>
      </c>
      <c r="S148" s="27" t="str">
        <f t="shared" si="40"/>
        <v/>
      </c>
      <c r="T148" s="28" t="str">
        <f t="shared" si="40"/>
        <v/>
      </c>
      <c r="U148" s="28" t="str">
        <f t="shared" si="40"/>
        <v/>
      </c>
      <c r="V148" s="28" t="str">
        <f t="shared" si="40"/>
        <v/>
      </c>
      <c r="W148" s="28" t="str">
        <f t="shared" si="40"/>
        <v/>
      </c>
      <c r="X148" s="29" t="str">
        <f t="shared" si="4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9"/>
        <v/>
      </c>
      <c r="M149" s="19" t="str">
        <f t="shared" si="41"/>
        <v/>
      </c>
      <c r="N149" s="19" t="str">
        <f t="shared" si="42"/>
        <v/>
      </c>
      <c r="O149" s="19" t="str">
        <f t="shared" si="34"/>
        <v/>
      </c>
      <c r="P149" s="19" t="str">
        <f t="shared" si="35"/>
        <v/>
      </c>
      <c r="Q149" s="19" t="str">
        <f t="shared" si="36"/>
        <v/>
      </c>
      <c r="R149" s="19" t="str">
        <f t="shared" si="43"/>
        <v/>
      </c>
      <c r="S149" s="27" t="str">
        <f t="shared" si="40"/>
        <v/>
      </c>
      <c r="T149" s="28" t="str">
        <f t="shared" si="40"/>
        <v/>
      </c>
      <c r="U149" s="28" t="str">
        <f t="shared" si="40"/>
        <v/>
      </c>
      <c r="V149" s="28" t="str">
        <f t="shared" si="40"/>
        <v/>
      </c>
      <c r="W149" s="28" t="str">
        <f t="shared" si="40"/>
        <v/>
      </c>
      <c r="X149" s="29" t="str">
        <f t="shared" si="4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9"/>
        <v/>
      </c>
      <c r="M150" s="19" t="str">
        <f t="shared" si="41"/>
        <v/>
      </c>
      <c r="N150" s="19" t="str">
        <f t="shared" si="42"/>
        <v/>
      </c>
      <c r="O150" s="19" t="str">
        <f t="shared" si="34"/>
        <v/>
      </c>
      <c r="P150" s="19" t="str">
        <f t="shared" si="35"/>
        <v/>
      </c>
      <c r="Q150" s="19" t="str">
        <f t="shared" si="36"/>
        <v/>
      </c>
      <c r="R150" s="19" t="str">
        <f t="shared" si="43"/>
        <v/>
      </c>
      <c r="S150" s="27" t="str">
        <f t="shared" si="40"/>
        <v/>
      </c>
      <c r="T150" s="28" t="str">
        <f t="shared" si="40"/>
        <v/>
      </c>
      <c r="U150" s="28" t="str">
        <f t="shared" si="40"/>
        <v/>
      </c>
      <c r="V150" s="28" t="str">
        <f t="shared" si="40"/>
        <v/>
      </c>
      <c r="W150" s="28" t="str">
        <f t="shared" si="40"/>
        <v/>
      </c>
      <c r="X150" s="29" t="str">
        <f t="shared" si="4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9"/>
        <v/>
      </c>
      <c r="M151" s="19" t="str">
        <f t="shared" si="41"/>
        <v/>
      </c>
      <c r="N151" s="19" t="str">
        <f t="shared" si="42"/>
        <v/>
      </c>
      <c r="O151" s="19" t="str">
        <f t="shared" si="34"/>
        <v/>
      </c>
      <c r="P151" s="19" t="str">
        <f t="shared" si="35"/>
        <v/>
      </c>
      <c r="Q151" s="19" t="str">
        <f t="shared" si="36"/>
        <v/>
      </c>
      <c r="R151" s="19" t="str">
        <f t="shared" si="43"/>
        <v/>
      </c>
      <c r="S151" s="27" t="str">
        <f t="shared" si="40"/>
        <v/>
      </c>
      <c r="T151" s="28" t="str">
        <f t="shared" si="40"/>
        <v/>
      </c>
      <c r="U151" s="28" t="str">
        <f t="shared" si="40"/>
        <v/>
      </c>
      <c r="V151" s="28" t="str">
        <f t="shared" si="40"/>
        <v/>
      </c>
      <c r="W151" s="28" t="str">
        <f t="shared" si="40"/>
        <v/>
      </c>
      <c r="X151" s="29" t="str">
        <f t="shared" si="4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39"/>
        <v/>
      </c>
      <c r="M152" s="19" t="str">
        <f t="shared" si="41"/>
        <v/>
      </c>
      <c r="N152" s="19" t="str">
        <f t="shared" si="42"/>
        <v/>
      </c>
      <c r="O152" s="19" t="str">
        <f t="shared" si="34"/>
        <v/>
      </c>
      <c r="P152" s="19" t="str">
        <f t="shared" si="35"/>
        <v/>
      </c>
      <c r="Q152" s="19" t="str">
        <f t="shared" si="36"/>
        <v/>
      </c>
      <c r="R152" s="19" t="str">
        <f t="shared" si="43"/>
        <v/>
      </c>
      <c r="S152" s="27" t="str">
        <f t="shared" si="40"/>
        <v/>
      </c>
      <c r="T152" s="28" t="str">
        <f t="shared" si="40"/>
        <v/>
      </c>
      <c r="U152" s="28" t="str">
        <f t="shared" si="40"/>
        <v/>
      </c>
      <c r="V152" s="28" t="str">
        <f t="shared" si="40"/>
        <v/>
      </c>
      <c r="W152" s="28" t="str">
        <f t="shared" si="40"/>
        <v/>
      </c>
      <c r="X152" s="29" t="str">
        <f t="shared" si="4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39"/>
        <v/>
      </c>
      <c r="M153" s="19" t="str">
        <f t="shared" si="41"/>
        <v/>
      </c>
      <c r="N153" s="19" t="str">
        <f t="shared" si="42"/>
        <v/>
      </c>
      <c r="O153" s="19" t="str">
        <f t="shared" si="34"/>
        <v/>
      </c>
      <c r="P153" s="19" t="str">
        <f t="shared" si="35"/>
        <v/>
      </c>
      <c r="Q153" s="19" t="str">
        <f t="shared" si="36"/>
        <v/>
      </c>
      <c r="R153" s="19" t="str">
        <f t="shared" si="43"/>
        <v/>
      </c>
      <c r="S153" s="27" t="str">
        <f t="shared" si="40"/>
        <v/>
      </c>
      <c r="T153" s="28" t="str">
        <f t="shared" si="40"/>
        <v/>
      </c>
      <c r="U153" s="28" t="str">
        <f t="shared" si="40"/>
        <v/>
      </c>
      <c r="V153" s="28" t="str">
        <f t="shared" si="40"/>
        <v/>
      </c>
      <c r="W153" s="28" t="str">
        <f t="shared" si="40"/>
        <v/>
      </c>
      <c r="X153" s="29" t="str">
        <f t="shared" si="40"/>
        <v/>
      </c>
      <c r="Y153" s="24"/>
    </row>
  </sheetData>
  <sheetProtection selectLockedCells="1"/>
  <mergeCells count="38"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J6:Q6"/>
    <mergeCell ref="R6:V6"/>
    <mergeCell ref="W6:Y6"/>
    <mergeCell ref="E7:I7"/>
    <mergeCell ref="J7:Q7"/>
    <mergeCell ref="R7:V7"/>
    <mergeCell ref="W7:Y7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59999389629810485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39" activePane="bottomLeft" state="frozen"/>
      <selection activeCell="B36" sqref="B36"/>
      <selection pane="bottomLeft" activeCell="B36" sqref="B36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</row>
    <row r="2" spans="1:35" ht="37.5" customHeight="1" x14ac:dyDescent="0.4">
      <c r="B2" s="2"/>
      <c r="C2" s="3"/>
      <c r="D2" s="3"/>
      <c r="E2" s="113" t="s">
        <v>0</v>
      </c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1"/>
      <c r="R2" s="116" t="s">
        <v>1</v>
      </c>
      <c r="S2" s="117"/>
      <c r="T2" s="117"/>
      <c r="U2" s="117"/>
      <c r="V2" s="117"/>
      <c r="W2" s="117"/>
      <c r="X2" s="118"/>
      <c r="Y2" s="122" t="str">
        <f ca="1">MID(CELL("nombrearchivo",A1),FIND("]",CELL("nombrearchivo",A1))+1,32)</f>
        <v>TZ-130</v>
      </c>
    </row>
    <row r="3" spans="1:35" ht="20.100000000000001" customHeight="1" x14ac:dyDescent="0.4">
      <c r="B3" s="4"/>
      <c r="C3" s="5"/>
      <c r="D3" s="5"/>
      <c r="E3" s="124" t="s">
        <v>2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6"/>
      <c r="R3" s="119"/>
      <c r="S3" s="120"/>
      <c r="T3" s="120"/>
      <c r="U3" s="120"/>
      <c r="V3" s="120"/>
      <c r="W3" s="120"/>
      <c r="X3" s="121"/>
      <c r="Y3" s="123"/>
    </row>
    <row r="4" spans="1:35" ht="24" customHeight="1" thickBot="1" x14ac:dyDescent="0.45">
      <c r="B4" s="6"/>
      <c r="C4" s="7"/>
      <c r="D4" s="7"/>
      <c r="E4" s="196" t="s">
        <v>3</v>
      </c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8"/>
      <c r="R4" s="192"/>
      <c r="S4" s="193"/>
      <c r="T4" s="193"/>
      <c r="U4" s="193"/>
      <c r="V4" s="193"/>
      <c r="W4" s="193"/>
      <c r="X4" s="194"/>
      <c r="Y4" s="195"/>
    </row>
    <row r="5" spans="1:35" ht="27" customHeight="1" x14ac:dyDescent="0.2">
      <c r="B5" s="130"/>
      <c r="C5" s="131"/>
      <c r="D5" s="199"/>
      <c r="E5" s="133" t="s">
        <v>4</v>
      </c>
      <c r="F5" s="134"/>
      <c r="G5" s="134"/>
      <c r="H5" s="134"/>
      <c r="I5" s="134"/>
      <c r="J5" s="189" t="s">
        <v>65</v>
      </c>
      <c r="K5" s="135"/>
      <c r="L5" s="135"/>
      <c r="M5" s="135"/>
      <c r="N5" s="135"/>
      <c r="O5" s="135"/>
      <c r="P5" s="135"/>
      <c r="Q5" s="135"/>
      <c r="R5" s="134" t="s">
        <v>6</v>
      </c>
      <c r="S5" s="134"/>
      <c r="T5" s="134"/>
      <c r="U5" s="134"/>
      <c r="V5" s="134"/>
      <c r="W5" s="136">
        <v>42535</v>
      </c>
      <c r="X5" s="136"/>
      <c r="Y5" s="137"/>
    </row>
    <row r="6" spans="1:35" ht="27" customHeight="1" x14ac:dyDescent="0.2">
      <c r="B6" s="132"/>
      <c r="C6" s="112"/>
      <c r="D6" s="200"/>
      <c r="E6" s="150" t="s">
        <v>7</v>
      </c>
      <c r="F6" s="138"/>
      <c r="G6" s="138"/>
      <c r="H6" s="138"/>
      <c r="I6" s="138"/>
      <c r="J6" s="188"/>
      <c r="K6" s="155"/>
      <c r="L6" s="155"/>
      <c r="M6" s="155"/>
      <c r="N6" s="155"/>
      <c r="O6" s="155"/>
      <c r="P6" s="155"/>
      <c r="Q6" s="155"/>
      <c r="R6" s="138" t="s">
        <v>8</v>
      </c>
      <c r="S6" s="138"/>
      <c r="T6" s="138"/>
      <c r="U6" s="138"/>
      <c r="V6" s="138"/>
      <c r="W6" s="148">
        <v>42537</v>
      </c>
      <c r="X6" s="148"/>
      <c r="Y6" s="149"/>
    </row>
    <row r="7" spans="1:35" ht="27" customHeight="1" x14ac:dyDescent="0.2">
      <c r="B7" s="132"/>
      <c r="C7" s="112"/>
      <c r="D7" s="200"/>
      <c r="E7" s="150" t="s">
        <v>9</v>
      </c>
      <c r="F7" s="138"/>
      <c r="G7" s="138"/>
      <c r="H7" s="138"/>
      <c r="I7" s="138"/>
      <c r="J7" s="140"/>
      <c r="K7" s="140"/>
      <c r="L7" s="140"/>
      <c r="M7" s="140"/>
      <c r="N7" s="140"/>
      <c r="O7" s="140"/>
      <c r="P7" s="140"/>
      <c r="Q7" s="140"/>
      <c r="R7" s="138" t="s">
        <v>10</v>
      </c>
      <c r="S7" s="138"/>
      <c r="T7" s="138"/>
      <c r="U7" s="138"/>
      <c r="V7" s="138"/>
      <c r="W7" s="181">
        <f>J8-258</f>
        <v>2363</v>
      </c>
      <c r="X7" s="140"/>
      <c r="Y7" s="141"/>
    </row>
    <row r="8" spans="1:35" ht="27" customHeight="1" thickBot="1" x14ac:dyDescent="0.25">
      <c r="B8" s="201"/>
      <c r="C8" s="202"/>
      <c r="D8" s="203"/>
      <c r="E8" s="142" t="s">
        <v>11</v>
      </c>
      <c r="F8" s="143"/>
      <c r="G8" s="143"/>
      <c r="H8" s="143"/>
      <c r="I8" s="143"/>
      <c r="J8" s="144">
        <v>2621</v>
      </c>
      <c r="K8" s="144"/>
      <c r="L8" s="144"/>
      <c r="M8" s="144"/>
      <c r="N8" s="144"/>
      <c r="O8" s="144"/>
      <c r="P8" s="144"/>
      <c r="Q8" s="144"/>
      <c r="R8" s="143" t="s">
        <v>12</v>
      </c>
      <c r="S8" s="143"/>
      <c r="T8" s="143"/>
      <c r="U8" s="143"/>
      <c r="V8" s="143"/>
      <c r="W8" s="153" t="s">
        <v>66</v>
      </c>
      <c r="X8" s="153"/>
      <c r="Y8" s="154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7" t="s">
        <v>16</v>
      </c>
      <c r="AB9" s="128"/>
      <c r="AC9" s="128"/>
      <c r="AD9" s="128"/>
      <c r="AE9" s="128"/>
      <c r="AF9" s="128"/>
      <c r="AG9" s="128"/>
      <c r="AH9" s="128"/>
      <c r="AI9" s="129"/>
    </row>
    <row r="10" spans="1:35" ht="201" customHeight="1" x14ac:dyDescent="0.2">
      <c r="B10" s="167"/>
      <c r="C10" s="168"/>
      <c r="D10" s="168"/>
      <c r="E10" s="168"/>
      <c r="F10" s="168"/>
      <c r="G10" s="168"/>
      <c r="H10" s="168"/>
      <c r="I10" s="168"/>
      <c r="J10" s="169"/>
      <c r="K10" s="167"/>
      <c r="L10" s="168"/>
      <c r="M10" s="168"/>
      <c r="N10" s="168"/>
      <c r="O10" s="168"/>
      <c r="P10" s="168"/>
      <c r="Q10" s="168"/>
      <c r="R10" s="168"/>
      <c r="S10" s="169"/>
      <c r="T10" s="167"/>
      <c r="U10" s="168"/>
      <c r="V10" s="168"/>
      <c r="W10" s="168"/>
      <c r="X10" s="168"/>
      <c r="Y10" s="169"/>
    </row>
    <row r="11" spans="1:35" ht="21.75" customHeight="1" x14ac:dyDescent="0.2">
      <c r="B11" s="167"/>
      <c r="C11" s="168"/>
      <c r="D11" s="168"/>
      <c r="E11" s="168"/>
      <c r="F11" s="168"/>
      <c r="G11" s="168"/>
      <c r="H11" s="168"/>
      <c r="I11" s="168"/>
      <c r="J11" s="169"/>
      <c r="K11" s="167"/>
      <c r="L11" s="168"/>
      <c r="M11" s="168"/>
      <c r="N11" s="168"/>
      <c r="O11" s="168"/>
      <c r="P11" s="168"/>
      <c r="Q11" s="168"/>
      <c r="R11" s="168"/>
      <c r="S11" s="169"/>
      <c r="T11" s="167"/>
      <c r="U11" s="168"/>
      <c r="V11" s="168"/>
      <c r="W11" s="168"/>
      <c r="X11" s="168"/>
      <c r="Y11" s="169"/>
    </row>
    <row r="12" spans="1:35" ht="201.75" customHeight="1" thickBot="1" x14ac:dyDescent="0.25">
      <c r="B12" s="170"/>
      <c r="C12" s="171"/>
      <c r="D12" s="171"/>
      <c r="E12" s="171"/>
      <c r="F12" s="171"/>
      <c r="G12" s="171"/>
      <c r="H12" s="171"/>
      <c r="I12" s="171"/>
      <c r="J12" s="172"/>
      <c r="K12" s="170"/>
      <c r="L12" s="171"/>
      <c r="M12" s="171"/>
      <c r="N12" s="171"/>
      <c r="O12" s="171"/>
      <c r="P12" s="171"/>
      <c r="Q12" s="171"/>
      <c r="R12" s="171"/>
      <c r="S12" s="172"/>
      <c r="T12" s="170"/>
      <c r="U12" s="171"/>
      <c r="V12" s="171"/>
      <c r="W12" s="171"/>
      <c r="X12" s="171"/>
      <c r="Y12" s="172"/>
    </row>
    <row r="13" spans="1:35" ht="15" customHeight="1" x14ac:dyDescent="0.2">
      <c r="B13" s="151" t="s">
        <v>17</v>
      </c>
      <c r="C13" s="158" t="s">
        <v>18</v>
      </c>
      <c r="D13" s="159"/>
      <c r="E13" s="159"/>
      <c r="F13" s="159"/>
      <c r="G13" s="159"/>
      <c r="H13" s="159"/>
      <c r="I13" s="159"/>
      <c r="J13" s="159"/>
      <c r="K13" s="160"/>
      <c r="L13" s="161" t="s">
        <v>19</v>
      </c>
      <c r="M13" s="162"/>
      <c r="N13" s="162"/>
      <c r="O13" s="162"/>
      <c r="P13" s="162"/>
      <c r="Q13" s="162"/>
      <c r="R13" s="163"/>
      <c r="S13" s="161" t="s">
        <v>20</v>
      </c>
      <c r="T13" s="162"/>
      <c r="U13" s="162"/>
      <c r="V13" s="162"/>
      <c r="W13" s="162"/>
      <c r="X13" s="163"/>
      <c r="Y13" s="173" t="s">
        <v>21</v>
      </c>
    </row>
    <row r="14" spans="1:35" ht="15" customHeight="1" x14ac:dyDescent="0.2">
      <c r="B14" s="152"/>
      <c r="C14" s="176" t="s">
        <v>22</v>
      </c>
      <c r="D14" s="177"/>
      <c r="E14" s="178"/>
      <c r="F14" s="156" t="s">
        <v>23</v>
      </c>
      <c r="G14" s="177"/>
      <c r="H14" s="178"/>
      <c r="I14" s="179" t="s">
        <v>24</v>
      </c>
      <c r="J14" s="156" t="s">
        <v>25</v>
      </c>
      <c r="K14" s="157"/>
      <c r="L14" s="164"/>
      <c r="M14" s="165"/>
      <c r="N14" s="165"/>
      <c r="O14" s="165"/>
      <c r="P14" s="165"/>
      <c r="Q14" s="165"/>
      <c r="R14" s="166"/>
      <c r="S14" s="164"/>
      <c r="T14" s="165"/>
      <c r="U14" s="165"/>
      <c r="V14" s="165"/>
      <c r="W14" s="165"/>
      <c r="X14" s="166"/>
      <c r="Y14" s="174"/>
    </row>
    <row r="15" spans="1:35" ht="15" customHeight="1" thickBot="1" x14ac:dyDescent="0.25">
      <c r="B15" s="204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205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75"/>
    </row>
    <row r="16" spans="1:35" ht="15" customHeight="1" x14ac:dyDescent="0.2">
      <c r="B16" s="31">
        <v>42538</v>
      </c>
      <c r="C16" s="25">
        <v>12.673</v>
      </c>
      <c r="D16" s="26">
        <v>7.7750000000000004</v>
      </c>
      <c r="E16" s="26">
        <v>7.6580000000000004</v>
      </c>
      <c r="F16" s="16"/>
      <c r="G16" s="16"/>
      <c r="H16" s="16"/>
      <c r="I16" s="17">
        <v>114.303</v>
      </c>
      <c r="J16" s="58">
        <v>2631</v>
      </c>
      <c r="K16" s="18">
        <f>IF(ISBLANK(J16),"",(J16-$J$8))</f>
        <v>10</v>
      </c>
      <c r="L16" s="19">
        <f t="shared" ref="L16:R31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42541</v>
      </c>
      <c r="C17" s="25">
        <v>12.669</v>
      </c>
      <c r="D17" s="26">
        <v>7.7759999999999998</v>
      </c>
      <c r="E17" s="26">
        <v>7.6509999999999998</v>
      </c>
      <c r="F17" s="16"/>
      <c r="G17" s="16"/>
      <c r="H17" s="16"/>
      <c r="I17" s="17">
        <v>114.3</v>
      </c>
      <c r="J17" s="58">
        <v>2636</v>
      </c>
      <c r="K17" s="18">
        <f>IF(ISBLANK(J17),"",(J17-$J$8))</f>
        <v>15</v>
      </c>
      <c r="L17" s="19">
        <f t="shared" si="0"/>
        <v>-3.9999999999995595</v>
      </c>
      <c r="M17" s="19">
        <f>IF(ISBLANK(D17),"",(D17-D$16)*1000)</f>
        <v>0.99999999999944578</v>
      </c>
      <c r="N17" s="19">
        <f>IF(ISBLANK(E17),"",(E17-E$16)*1000)</f>
        <v>-7.0000000000005613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>IF(ISBLANK(I17),"",(I17-I$16)*1000)</f>
        <v>-3.0000000000001137</v>
      </c>
      <c r="S17" s="27">
        <f t="shared" ref="S17:X32" si="2">IF(C17="","",((C17-C16)*1000)/($B17-$B16))</f>
        <v>-1.3333333333331865</v>
      </c>
      <c r="T17" s="28"/>
      <c r="U17" s="28"/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30"/>
    </row>
    <row r="18" spans="2:25" ht="15" customHeight="1" x14ac:dyDescent="0.2">
      <c r="B18" s="31">
        <v>42542</v>
      </c>
      <c r="C18" s="25">
        <v>12.669</v>
      </c>
      <c r="D18" s="26">
        <v>7.774</v>
      </c>
      <c r="E18" s="26">
        <v>7.6529999999999996</v>
      </c>
      <c r="F18" s="16"/>
      <c r="G18" s="16"/>
      <c r="H18" s="16"/>
      <c r="I18" s="17">
        <v>114.301</v>
      </c>
      <c r="J18" s="58">
        <v>2642</v>
      </c>
      <c r="K18" s="18">
        <f>IF(ISBLANK(J18),"",(J18-$J$8))</f>
        <v>21</v>
      </c>
      <c r="L18" s="19">
        <f t="shared" si="0"/>
        <v>-3.9999999999995595</v>
      </c>
      <c r="M18" s="19">
        <f t="shared" si="0"/>
        <v>-1.000000000000334</v>
      </c>
      <c r="N18" s="19">
        <f t="shared" si="0"/>
        <v>-5.0000000000007816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0"/>
        <v>-1.9999999999953388</v>
      </c>
      <c r="S18" s="27">
        <f t="shared" si="2"/>
        <v>0</v>
      </c>
      <c r="T18" s="28">
        <f t="shared" si="2"/>
        <v>-1.9999999999997797</v>
      </c>
      <c r="U18" s="28">
        <f t="shared" si="2"/>
        <v>1.9999999999997797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42543</v>
      </c>
      <c r="C19" s="25">
        <v>12.669</v>
      </c>
      <c r="D19" s="26">
        <v>7.774</v>
      </c>
      <c r="E19" s="26">
        <v>7.6529999999999996</v>
      </c>
      <c r="F19" s="16"/>
      <c r="G19" s="16"/>
      <c r="H19" s="16"/>
      <c r="I19" s="17">
        <v>114.301</v>
      </c>
      <c r="J19" s="58">
        <v>2645</v>
      </c>
      <c r="K19" s="18">
        <f t="shared" ref="K19:K32" si="3">IF(ISBLANK(J19),"",(J19-$J$8))</f>
        <v>24</v>
      </c>
      <c r="L19" s="19">
        <f t="shared" si="0"/>
        <v>-3.9999999999995595</v>
      </c>
      <c r="M19" s="19">
        <f t="shared" si="0"/>
        <v>-1.000000000000334</v>
      </c>
      <c r="N19" s="19">
        <f t="shared" si="0"/>
        <v>-5.0000000000007816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0"/>
        <v>-1.9999999999953388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42544</v>
      </c>
      <c r="C20" s="25">
        <v>12.67</v>
      </c>
      <c r="D20" s="26">
        <v>7.7750000000000004</v>
      </c>
      <c r="E20" s="26">
        <v>7.6520000000000001</v>
      </c>
      <c r="F20" s="16"/>
      <c r="G20" s="16"/>
      <c r="H20" s="16"/>
      <c r="I20" s="17">
        <v>114.3</v>
      </c>
      <c r="J20" s="58">
        <v>2650</v>
      </c>
      <c r="K20" s="18">
        <f t="shared" si="3"/>
        <v>29</v>
      </c>
      <c r="L20" s="19">
        <f t="shared" si="0"/>
        <v>-3.0000000000001137</v>
      </c>
      <c r="M20" s="19">
        <f t="shared" si="0"/>
        <v>0</v>
      </c>
      <c r="N20" s="19">
        <f t="shared" si="0"/>
        <v>-6.0000000000002274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0"/>
        <v>-3.0000000000001137</v>
      </c>
      <c r="S20" s="27">
        <f t="shared" si="2"/>
        <v>0.99999999999944578</v>
      </c>
      <c r="T20" s="28">
        <f t="shared" si="2"/>
        <v>1.000000000000334</v>
      </c>
      <c r="U20" s="28">
        <f t="shared" si="2"/>
        <v>-0.99999999999944578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42545</v>
      </c>
      <c r="C21" s="25">
        <v>12.667999999999999</v>
      </c>
      <c r="D21" s="26">
        <v>7.7759999999999998</v>
      </c>
      <c r="E21" s="26">
        <v>7.65</v>
      </c>
      <c r="F21" s="16"/>
      <c r="G21" s="16"/>
      <c r="H21" s="16"/>
      <c r="I21" s="17">
        <v>114.29900000000001</v>
      </c>
      <c r="J21" s="58">
        <v>2656</v>
      </c>
      <c r="K21" s="18">
        <f t="shared" si="3"/>
        <v>35</v>
      </c>
      <c r="L21" s="19">
        <f t="shared" si="0"/>
        <v>-5.0000000000007816</v>
      </c>
      <c r="M21" s="19">
        <f t="shared" si="0"/>
        <v>0.99999999999944578</v>
      </c>
      <c r="N21" s="19">
        <f t="shared" si="0"/>
        <v>-8.0000000000000071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0"/>
        <v>-3.9999999999906777</v>
      </c>
      <c r="S21" s="27">
        <f t="shared" si="2"/>
        <v>-2.0000000000006679</v>
      </c>
      <c r="T21" s="28">
        <f t="shared" si="2"/>
        <v>0.99999999999944578</v>
      </c>
      <c r="U21" s="28">
        <f t="shared" si="2"/>
        <v>-1.9999999999997797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42548</v>
      </c>
      <c r="C22" s="25">
        <v>12.67</v>
      </c>
      <c r="D22" s="26">
        <v>7.7750000000000004</v>
      </c>
      <c r="E22" s="26">
        <v>7.6520000000000001</v>
      </c>
      <c r="F22" s="16"/>
      <c r="G22" s="16"/>
      <c r="H22" s="16"/>
      <c r="I22" s="17">
        <v>114.29900000000001</v>
      </c>
      <c r="J22" s="58">
        <v>2661</v>
      </c>
      <c r="K22" s="18">
        <f t="shared" si="3"/>
        <v>40</v>
      </c>
      <c r="L22" s="19">
        <f t="shared" si="0"/>
        <v>-3.0000000000001137</v>
      </c>
      <c r="M22" s="19">
        <f t="shared" si="0"/>
        <v>0</v>
      </c>
      <c r="N22" s="19">
        <f t="shared" si="0"/>
        <v>-6.0000000000002274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0"/>
        <v>-3.9999999999906777</v>
      </c>
      <c r="S22" s="27">
        <f t="shared" si="2"/>
        <v>0.66666666666688934</v>
      </c>
      <c r="T22" s="28">
        <f t="shared" si="2"/>
        <v>-0.33333333333314857</v>
      </c>
      <c r="U22" s="28">
        <f t="shared" si="2"/>
        <v>0.66666666666659324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42549</v>
      </c>
      <c r="C23" s="25">
        <v>12.670999999999999</v>
      </c>
      <c r="D23" s="26">
        <v>7.7759999999999998</v>
      </c>
      <c r="E23" s="26">
        <v>7.6509999999999998</v>
      </c>
      <c r="F23" s="16"/>
      <c r="G23" s="16"/>
      <c r="H23" s="16"/>
      <c r="I23" s="17">
        <v>114.298</v>
      </c>
      <c r="J23" s="58">
        <v>2665</v>
      </c>
      <c r="K23" s="18">
        <f t="shared" si="3"/>
        <v>44</v>
      </c>
      <c r="L23" s="19">
        <f t="shared" si="0"/>
        <v>-2.0000000000006679</v>
      </c>
      <c r="M23" s="19">
        <f t="shared" si="0"/>
        <v>0.99999999999944578</v>
      </c>
      <c r="N23" s="19">
        <f t="shared" si="0"/>
        <v>-7.0000000000005613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0"/>
        <v>-4.9999999999954525</v>
      </c>
      <c r="S23" s="27">
        <f t="shared" si="2"/>
        <v>0.99999999999944578</v>
      </c>
      <c r="T23" s="28">
        <f t="shared" si="2"/>
        <v>0.99999999999944578</v>
      </c>
      <c r="U23" s="28">
        <f t="shared" si="2"/>
        <v>-1.000000000000334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42550</v>
      </c>
      <c r="C24" s="25">
        <v>12.670999999999999</v>
      </c>
      <c r="D24" s="26">
        <v>7.7750000000000004</v>
      </c>
      <c r="E24" s="26">
        <v>7.6520000000000001</v>
      </c>
      <c r="F24" s="16"/>
      <c r="G24" s="16"/>
      <c r="H24" s="16"/>
      <c r="I24" s="17">
        <v>114.298</v>
      </c>
      <c r="J24" s="58">
        <v>2673</v>
      </c>
      <c r="K24" s="18">
        <f t="shared" si="3"/>
        <v>52</v>
      </c>
      <c r="L24" s="19">
        <f t="shared" si="0"/>
        <v>-2.0000000000006679</v>
      </c>
      <c r="M24" s="19">
        <f t="shared" si="0"/>
        <v>0</v>
      </c>
      <c r="N24" s="19">
        <f t="shared" si="0"/>
        <v>-6.0000000000002274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0"/>
        <v>-4.9999999999954525</v>
      </c>
      <c r="S24" s="27">
        <f t="shared" si="2"/>
        <v>0</v>
      </c>
      <c r="T24" s="28">
        <f t="shared" si="2"/>
        <v>-0.99999999999944578</v>
      </c>
      <c r="U24" s="28">
        <f t="shared" si="2"/>
        <v>1.000000000000334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42551</v>
      </c>
      <c r="C25" s="25">
        <v>12.670999999999999</v>
      </c>
      <c r="D25" s="26">
        <v>7.774</v>
      </c>
      <c r="E25" s="26">
        <v>7.6520000000000001</v>
      </c>
      <c r="F25" s="16"/>
      <c r="G25" s="16"/>
      <c r="H25" s="16"/>
      <c r="I25" s="17">
        <v>114.298</v>
      </c>
      <c r="J25" s="58">
        <v>2678</v>
      </c>
      <c r="K25" s="18">
        <f t="shared" si="3"/>
        <v>57</v>
      </c>
      <c r="L25" s="19">
        <f t="shared" si="0"/>
        <v>-2.0000000000006679</v>
      </c>
      <c r="M25" s="19">
        <f t="shared" si="0"/>
        <v>-1.000000000000334</v>
      </c>
      <c r="N25" s="19">
        <f t="shared" si="0"/>
        <v>-6.0000000000002274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0"/>
        <v>-4.9999999999954525</v>
      </c>
      <c r="S25" s="27">
        <f t="shared" si="2"/>
        <v>0</v>
      </c>
      <c r="T25" s="28">
        <f t="shared" si="2"/>
        <v>-1.000000000000334</v>
      </c>
      <c r="U25" s="28">
        <f t="shared" si="2"/>
        <v>0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42552</v>
      </c>
      <c r="C26" s="25">
        <v>12.67</v>
      </c>
      <c r="D26" s="26">
        <v>7.7750000000000004</v>
      </c>
      <c r="E26" s="26">
        <v>7.6520000000000001</v>
      </c>
      <c r="F26" s="16"/>
      <c r="G26" s="16"/>
      <c r="H26" s="16"/>
      <c r="I26" s="17">
        <v>114.298</v>
      </c>
      <c r="J26" s="58">
        <v>2681</v>
      </c>
      <c r="K26" s="18">
        <f t="shared" si="3"/>
        <v>60</v>
      </c>
      <c r="L26" s="19">
        <f t="shared" si="0"/>
        <v>-3.0000000000001137</v>
      </c>
      <c r="M26" s="19">
        <f t="shared" si="0"/>
        <v>0</v>
      </c>
      <c r="N26" s="19">
        <f t="shared" si="0"/>
        <v>-6.0000000000002274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0"/>
        <v>-4.9999999999954525</v>
      </c>
      <c r="S26" s="27">
        <f t="shared" si="2"/>
        <v>-0.99999999999944578</v>
      </c>
      <c r="T26" s="28">
        <f t="shared" si="2"/>
        <v>1.000000000000334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42555</v>
      </c>
      <c r="C27" s="25">
        <v>12.670999999999999</v>
      </c>
      <c r="D27" s="26">
        <v>7.7759999999999998</v>
      </c>
      <c r="E27" s="26">
        <v>7.6509999999999998</v>
      </c>
      <c r="F27" s="16"/>
      <c r="G27" s="16"/>
      <c r="H27" s="16"/>
      <c r="I27" s="17">
        <v>114.298</v>
      </c>
      <c r="J27" s="58">
        <v>2685</v>
      </c>
      <c r="K27" s="18">
        <f t="shared" si="3"/>
        <v>64</v>
      </c>
      <c r="L27" s="19">
        <f t="shared" si="0"/>
        <v>-2.0000000000006679</v>
      </c>
      <c r="M27" s="19">
        <f t="shared" si="0"/>
        <v>0.99999999999944578</v>
      </c>
      <c r="N27" s="19">
        <f t="shared" si="0"/>
        <v>-7.0000000000005613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0"/>
        <v>-4.9999999999954525</v>
      </c>
      <c r="S27" s="27">
        <f t="shared" si="2"/>
        <v>0.33333333333314857</v>
      </c>
      <c r="T27" s="28">
        <f t="shared" si="2"/>
        <v>0.33333333333314857</v>
      </c>
      <c r="U27" s="28">
        <f t="shared" si="2"/>
        <v>-0.33333333333344467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42556</v>
      </c>
      <c r="C28" s="25">
        <v>12.669</v>
      </c>
      <c r="D28" s="26">
        <v>7.7729999999999997</v>
      </c>
      <c r="E28" s="26">
        <v>7.6509999999999998</v>
      </c>
      <c r="F28" s="16"/>
      <c r="G28" s="16"/>
      <c r="H28" s="16"/>
      <c r="I28" s="17">
        <v>114.297</v>
      </c>
      <c r="J28" s="58">
        <v>2689</v>
      </c>
      <c r="K28" s="18">
        <f t="shared" si="3"/>
        <v>68</v>
      </c>
      <c r="L28" s="19">
        <f t="shared" si="0"/>
        <v>-3.9999999999995595</v>
      </c>
      <c r="M28" s="19">
        <f t="shared" si="0"/>
        <v>-2.0000000000006679</v>
      </c>
      <c r="N28" s="19">
        <f t="shared" si="0"/>
        <v>-7.0000000000005613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0"/>
        <v>-6.0000000000002274</v>
      </c>
      <c r="S28" s="27">
        <f t="shared" si="2"/>
        <v>-1.9999999999988916</v>
      </c>
      <c r="T28" s="28">
        <f t="shared" si="2"/>
        <v>-3.0000000000001137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42557</v>
      </c>
      <c r="C29" s="25">
        <v>12.667999999999999</v>
      </c>
      <c r="D29" s="26">
        <v>7.7729999999999997</v>
      </c>
      <c r="E29" s="26">
        <v>7.6520000000000001</v>
      </c>
      <c r="F29" s="16"/>
      <c r="G29" s="16"/>
      <c r="H29" s="16"/>
      <c r="I29" s="17">
        <v>114.297</v>
      </c>
      <c r="J29" s="58">
        <v>2689</v>
      </c>
      <c r="K29" s="18">
        <f t="shared" si="3"/>
        <v>68</v>
      </c>
      <c r="L29" s="19">
        <f t="shared" si="0"/>
        <v>-5.0000000000007816</v>
      </c>
      <c r="M29" s="19">
        <f t="shared" si="0"/>
        <v>-2.0000000000006679</v>
      </c>
      <c r="N29" s="19">
        <f t="shared" si="0"/>
        <v>-6.0000000000002274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0"/>
        <v>-6.0000000000002274</v>
      </c>
      <c r="S29" s="27">
        <f t="shared" si="2"/>
        <v>-1.0000000000012221</v>
      </c>
      <c r="T29" s="28">
        <f t="shared" si="2"/>
        <v>0</v>
      </c>
      <c r="U29" s="28">
        <f t="shared" si="2"/>
        <v>1.000000000000334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42572</v>
      </c>
      <c r="C30" s="73">
        <v>12.667999999999999</v>
      </c>
      <c r="D30" s="71">
        <v>7.7729999999999997</v>
      </c>
      <c r="E30" s="71">
        <v>7.6520000000000001</v>
      </c>
      <c r="F30" s="16"/>
      <c r="G30" s="16"/>
      <c r="H30" s="16"/>
      <c r="I30" s="17">
        <v>114.29600000000001</v>
      </c>
      <c r="J30" s="58">
        <v>2640</v>
      </c>
      <c r="K30" s="18">
        <f t="shared" si="3"/>
        <v>19</v>
      </c>
      <c r="L30" s="19">
        <f t="shared" si="0"/>
        <v>-5.0000000000007816</v>
      </c>
      <c r="M30" s="19">
        <f t="shared" si="0"/>
        <v>-2.0000000000006679</v>
      </c>
      <c r="N30" s="19">
        <f t="shared" si="0"/>
        <v>-6.0000000000002274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0"/>
        <v>-6.9999999999907914</v>
      </c>
      <c r="S30" s="27">
        <f t="shared" si="2"/>
        <v>0</v>
      </c>
      <c r="T30" s="28">
        <f t="shared" si="2"/>
        <v>0</v>
      </c>
      <c r="U30" s="28">
        <f t="shared" si="2"/>
        <v>0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42573</v>
      </c>
      <c r="C31" s="73">
        <v>12.667999999999999</v>
      </c>
      <c r="D31" s="26">
        <v>7.7709999999999999</v>
      </c>
      <c r="E31" s="71">
        <v>7.6520000000000001</v>
      </c>
      <c r="F31" s="16">
        <v>13.263</v>
      </c>
      <c r="G31" s="16">
        <v>10.208</v>
      </c>
      <c r="H31" s="16">
        <v>10.356</v>
      </c>
      <c r="I31" s="17">
        <v>114.29300000000001</v>
      </c>
      <c r="J31" s="58">
        <v>2652</v>
      </c>
      <c r="K31" s="18">
        <f t="shared" si="3"/>
        <v>31</v>
      </c>
      <c r="L31" s="19">
        <f t="shared" si="0"/>
        <v>-5.0000000000007816</v>
      </c>
      <c r="M31" s="19">
        <f t="shared" si="0"/>
        <v>-4.0000000000004476</v>
      </c>
      <c r="N31" s="19">
        <f t="shared" si="0"/>
        <v>-6.0000000000002274</v>
      </c>
      <c r="O31" s="19">
        <f>IF(ISBLANK(F31),"",((F31-F$31)*1000)+L$31)</f>
        <v>-5.0000000000007816</v>
      </c>
      <c r="P31" s="19">
        <f>IF(ISBLANK(G31),"",((G31-G$31)*1000)+M$31)</f>
        <v>-4.0000000000004476</v>
      </c>
      <c r="Q31" s="19">
        <f>IF(ISBLANK(H31),"",((H31-H$31)*1000)+N$31)</f>
        <v>-6.0000000000002274</v>
      </c>
      <c r="R31" s="19">
        <f t="shared" si="0"/>
        <v>-9.9999999999909051</v>
      </c>
      <c r="S31" s="27">
        <f t="shared" si="2"/>
        <v>0</v>
      </c>
      <c r="T31" s="28">
        <f t="shared" si="2"/>
        <v>-1.9999999999997797</v>
      </c>
      <c r="U31" s="28">
        <f t="shared" si="2"/>
        <v>0</v>
      </c>
      <c r="V31" s="28"/>
      <c r="W31" s="28"/>
      <c r="X31" s="29"/>
      <c r="Y31" s="24" t="s">
        <v>67</v>
      </c>
    </row>
    <row r="32" spans="2:25" ht="15" customHeight="1" x14ac:dyDescent="0.2">
      <c r="B32" s="31">
        <v>42577</v>
      </c>
      <c r="C32" s="25">
        <v>12.656000000000001</v>
      </c>
      <c r="D32" s="26">
        <v>7.7690000000000001</v>
      </c>
      <c r="E32" s="26">
        <v>7.6459999999999999</v>
      </c>
      <c r="F32" s="16">
        <v>13.260999999999999</v>
      </c>
      <c r="G32" s="16">
        <v>10.208</v>
      </c>
      <c r="H32" s="16">
        <v>10.355</v>
      </c>
      <c r="I32" s="17">
        <v>114.29300000000001</v>
      </c>
      <c r="J32" s="58">
        <v>2652</v>
      </c>
      <c r="K32" s="18">
        <f t="shared" si="3"/>
        <v>31</v>
      </c>
      <c r="L32" s="19">
        <f t="shared" ref="L32:R32" si="4">IF(ISBLANK(C32),"",(C32-C$16)*1000)</f>
        <v>-16.99999999999946</v>
      </c>
      <c r="M32" s="19">
        <f t="shared" si="4"/>
        <v>-6.0000000000002274</v>
      </c>
      <c r="N32" s="19">
        <f t="shared" si="4"/>
        <v>-12.000000000000455</v>
      </c>
      <c r="O32" s="19">
        <f t="shared" ref="O32:O95" si="5">IF(ISBLANK(F32),"",((F32-F$31)*1000)+L$31)</f>
        <v>-7.0000000000014495</v>
      </c>
      <c r="P32" s="19">
        <f t="shared" ref="P32:P95" si="6">IF(ISBLANK(G32),"",((G32-G$31)*1000)+M$31)</f>
        <v>-4.0000000000004476</v>
      </c>
      <c r="Q32" s="19">
        <f t="shared" ref="Q32:Q95" si="7">IF(ISBLANK(H32),"",((H32-H$31)*1000)+N$31)</f>
        <v>-6.9999999999996732</v>
      </c>
      <c r="R32" s="19">
        <f t="shared" si="4"/>
        <v>-9.9999999999909051</v>
      </c>
      <c r="S32" s="27">
        <f>IF(C32="","",((C32-C29)*1000)/($B32-$B29))</f>
        <v>-0.59999999999993392</v>
      </c>
      <c r="T32" s="28">
        <f>IF(D32="","",((D32-D31)*1000)/($B32-$B31))</f>
        <v>-0.49999999999994493</v>
      </c>
      <c r="U32" s="28">
        <f>IF(E32="","",((E32-E29)*1000)/($B32-$B29))</f>
        <v>-0.30000000000001137</v>
      </c>
      <c r="V32" s="28">
        <f t="shared" si="2"/>
        <v>-0.50000000000016698</v>
      </c>
      <c r="W32" s="28">
        <f t="shared" si="2"/>
        <v>0</v>
      </c>
      <c r="X32" s="29">
        <f t="shared" si="2"/>
        <v>-0.24999999999986144</v>
      </c>
      <c r="Y32" s="24"/>
    </row>
    <row r="33" spans="2:25" ht="15" customHeight="1" x14ac:dyDescent="0.2">
      <c r="B33" s="31">
        <v>42578</v>
      </c>
      <c r="C33" s="25">
        <v>12.654999999999999</v>
      </c>
      <c r="D33" s="26">
        <v>7.7709999999999999</v>
      </c>
      <c r="E33" s="26">
        <v>7.6449999999999996</v>
      </c>
      <c r="F33" s="16">
        <v>13.26</v>
      </c>
      <c r="G33" s="16">
        <v>10.209</v>
      </c>
      <c r="H33" s="16">
        <v>10.353999999999999</v>
      </c>
      <c r="I33" s="17">
        <v>114.294</v>
      </c>
      <c r="J33" s="58">
        <v>2652</v>
      </c>
      <c r="K33" s="18">
        <f t="shared" ref="K33" si="8">IF(ISBLANK(J33),"",(J33-$J$8))</f>
        <v>31</v>
      </c>
      <c r="L33" s="19">
        <f t="shared" ref="L33:R62" si="9">IF(ISBLANK(C33),"",(C33-C$16)*1000)</f>
        <v>-18.000000000000682</v>
      </c>
      <c r="M33" s="19">
        <f t="shared" si="9"/>
        <v>-4.0000000000004476</v>
      </c>
      <c r="N33" s="19">
        <f t="shared" si="9"/>
        <v>-13.000000000000789</v>
      </c>
      <c r="O33" s="19">
        <f t="shared" si="5"/>
        <v>-8.0000000000008953</v>
      </c>
      <c r="P33" s="19">
        <f t="shared" si="6"/>
        <v>-3.0000000000010019</v>
      </c>
      <c r="Q33" s="19">
        <f t="shared" si="7"/>
        <v>-8.0000000000008953</v>
      </c>
      <c r="R33" s="19">
        <f t="shared" si="9"/>
        <v>-9.0000000000003411</v>
      </c>
      <c r="S33" s="27">
        <f t="shared" ref="S33:X48" si="10">IF(C33="","",((C33-C32)*1000)/($B33-$B32))</f>
        <v>-1.0000000000012221</v>
      </c>
      <c r="T33" s="28">
        <f t="shared" si="10"/>
        <v>1.9999999999997797</v>
      </c>
      <c r="U33" s="28">
        <f t="shared" si="10"/>
        <v>-1.000000000000334</v>
      </c>
      <c r="V33" s="28">
        <f t="shared" si="10"/>
        <v>-0.99999999999944578</v>
      </c>
      <c r="W33" s="28">
        <f t="shared" si="10"/>
        <v>0.99999999999944578</v>
      </c>
      <c r="X33" s="29">
        <f t="shared" si="10"/>
        <v>-1.0000000000012221</v>
      </c>
      <c r="Y33" s="24"/>
    </row>
    <row r="34" spans="2:25" ht="15" customHeight="1" x14ac:dyDescent="0.2">
      <c r="B34" s="31">
        <v>42579</v>
      </c>
      <c r="C34" s="25">
        <v>12.654</v>
      </c>
      <c r="D34" s="26">
        <v>7.7690000000000001</v>
      </c>
      <c r="E34" s="26">
        <v>7.6449999999999996</v>
      </c>
      <c r="F34" s="16">
        <v>13.259</v>
      </c>
      <c r="G34" s="16">
        <v>10.209</v>
      </c>
      <c r="H34" s="16">
        <v>10.353</v>
      </c>
      <c r="I34" s="17">
        <v>114.29300000000001</v>
      </c>
      <c r="J34" s="58">
        <v>2652</v>
      </c>
      <c r="K34" s="18">
        <f t="shared" ref="K34" si="11">IF(ISBLANK(J34),"",(J34-$J$8))</f>
        <v>31</v>
      </c>
      <c r="L34" s="19">
        <f t="shared" si="9"/>
        <v>-19.000000000000128</v>
      </c>
      <c r="M34" s="19">
        <f t="shared" si="9"/>
        <v>-6.0000000000002274</v>
      </c>
      <c r="N34" s="19">
        <f t="shared" si="9"/>
        <v>-13.000000000000789</v>
      </c>
      <c r="O34" s="19">
        <f t="shared" si="5"/>
        <v>-9.0000000000003411</v>
      </c>
      <c r="P34" s="19">
        <f t="shared" si="6"/>
        <v>-3.0000000000010019</v>
      </c>
      <c r="Q34" s="19">
        <f t="shared" si="7"/>
        <v>-9.0000000000003411</v>
      </c>
      <c r="R34" s="19">
        <f t="shared" si="9"/>
        <v>-9.9999999999909051</v>
      </c>
      <c r="S34" s="27">
        <f t="shared" si="10"/>
        <v>-0.99999999999944578</v>
      </c>
      <c r="T34" s="28">
        <f t="shared" si="10"/>
        <v>-1.9999999999997797</v>
      </c>
      <c r="U34" s="28">
        <f t="shared" si="10"/>
        <v>0</v>
      </c>
      <c r="V34" s="28">
        <f t="shared" si="10"/>
        <v>-0.99999999999944578</v>
      </c>
      <c r="W34" s="28">
        <f t="shared" si="10"/>
        <v>0</v>
      </c>
      <c r="X34" s="29">
        <f t="shared" si="10"/>
        <v>-0.99999999999944578</v>
      </c>
      <c r="Y34" s="24"/>
    </row>
    <row r="35" spans="2:25" ht="15" customHeight="1" x14ac:dyDescent="0.2">
      <c r="B35" s="31">
        <v>42580</v>
      </c>
      <c r="C35" s="25">
        <v>12.654</v>
      </c>
      <c r="D35" s="26">
        <v>7.7690000000000001</v>
      </c>
      <c r="E35" s="26">
        <v>7.6449999999999996</v>
      </c>
      <c r="F35" s="16">
        <v>13.259</v>
      </c>
      <c r="G35" s="16">
        <v>10.208</v>
      </c>
      <c r="H35" s="16">
        <v>10.353</v>
      </c>
      <c r="I35" s="17">
        <v>114.29300000000001</v>
      </c>
      <c r="J35" s="58">
        <v>2652</v>
      </c>
      <c r="K35" s="18">
        <f t="shared" ref="K35" si="12">IF(ISBLANK(J35),"",(J35-$J$8))</f>
        <v>31</v>
      </c>
      <c r="L35" s="19">
        <f t="shared" si="9"/>
        <v>-19.000000000000128</v>
      </c>
      <c r="M35" s="19">
        <f t="shared" si="9"/>
        <v>-6.0000000000002274</v>
      </c>
      <c r="N35" s="19">
        <f t="shared" si="9"/>
        <v>-13.000000000000789</v>
      </c>
      <c r="O35" s="19">
        <f t="shared" si="5"/>
        <v>-9.0000000000003411</v>
      </c>
      <c r="P35" s="19">
        <f t="shared" si="6"/>
        <v>-4.0000000000004476</v>
      </c>
      <c r="Q35" s="19">
        <f t="shared" si="7"/>
        <v>-9.0000000000003411</v>
      </c>
      <c r="R35" s="19">
        <f t="shared" si="9"/>
        <v>-9.9999999999909051</v>
      </c>
      <c r="S35" s="27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-0.99999999999944578</v>
      </c>
      <c r="X35" s="29">
        <f t="shared" si="10"/>
        <v>0</v>
      </c>
      <c r="Y35" s="24"/>
    </row>
    <row r="36" spans="2:25" ht="15" customHeight="1" x14ac:dyDescent="0.2">
      <c r="B36" s="31">
        <v>42583</v>
      </c>
      <c r="C36" s="25">
        <v>12.653</v>
      </c>
      <c r="D36" s="26">
        <v>7.7690000000000001</v>
      </c>
      <c r="E36" s="26">
        <v>7.6449999999999996</v>
      </c>
      <c r="F36" s="16">
        <v>13.259</v>
      </c>
      <c r="G36" s="16">
        <v>10.209</v>
      </c>
      <c r="H36" s="16">
        <v>10.352</v>
      </c>
      <c r="I36" s="17">
        <v>114.292</v>
      </c>
      <c r="J36" s="58">
        <v>2652</v>
      </c>
      <c r="K36" s="18">
        <f t="shared" ref="K36" si="13">IF(ISBLANK(J36),"",(J36-$J$8))</f>
        <v>31</v>
      </c>
      <c r="L36" s="19">
        <f t="shared" si="9"/>
        <v>-19.999999999999574</v>
      </c>
      <c r="M36" s="19">
        <f t="shared" si="9"/>
        <v>-6.0000000000002274</v>
      </c>
      <c r="N36" s="19">
        <f t="shared" si="9"/>
        <v>-13.000000000000789</v>
      </c>
      <c r="O36" s="19">
        <f t="shared" si="5"/>
        <v>-9.0000000000003411</v>
      </c>
      <c r="P36" s="19">
        <f t="shared" si="6"/>
        <v>-3.0000000000010019</v>
      </c>
      <c r="Q36" s="19">
        <f t="shared" si="7"/>
        <v>-9.9999999999997868</v>
      </c>
      <c r="R36" s="19">
        <f t="shared" si="9"/>
        <v>-10.99999999999568</v>
      </c>
      <c r="S36" s="27">
        <f t="shared" si="10"/>
        <v>-0.33333333333314857</v>
      </c>
      <c r="T36" s="28">
        <f t="shared" si="10"/>
        <v>0</v>
      </c>
      <c r="U36" s="28">
        <f t="shared" si="10"/>
        <v>0</v>
      </c>
      <c r="V36" s="28">
        <f t="shared" si="10"/>
        <v>0</v>
      </c>
      <c r="W36" s="28">
        <f t="shared" si="10"/>
        <v>0.33333333333314857</v>
      </c>
      <c r="X36" s="29">
        <f t="shared" si="10"/>
        <v>-0.33333333333314857</v>
      </c>
      <c r="Y36" s="24"/>
    </row>
    <row r="37" spans="2:25" ht="15" customHeight="1" x14ac:dyDescent="0.2">
      <c r="B37" s="31">
        <v>42584</v>
      </c>
      <c r="C37" s="25">
        <v>12.654</v>
      </c>
      <c r="D37" s="26">
        <v>7.7690000000000001</v>
      </c>
      <c r="E37" s="26">
        <v>7.6440000000000001</v>
      </c>
      <c r="F37" s="16">
        <v>13.259</v>
      </c>
      <c r="G37" s="16">
        <v>10.208</v>
      </c>
      <c r="H37" s="16">
        <v>10.351000000000001</v>
      </c>
      <c r="I37" s="17">
        <v>114.292</v>
      </c>
      <c r="J37" s="58">
        <v>2652</v>
      </c>
      <c r="K37" s="18">
        <f t="shared" ref="K37:K42" si="14">IF(ISBLANK(J37),"",(J37-$J$8))</f>
        <v>31</v>
      </c>
      <c r="L37" s="19">
        <f t="shared" si="9"/>
        <v>-19.000000000000128</v>
      </c>
      <c r="M37" s="19">
        <f t="shared" si="9"/>
        <v>-6.0000000000002274</v>
      </c>
      <c r="N37" s="19">
        <f t="shared" si="9"/>
        <v>-14.000000000000234</v>
      </c>
      <c r="O37" s="19">
        <f t="shared" si="5"/>
        <v>-9.0000000000003411</v>
      </c>
      <c r="P37" s="19">
        <f t="shared" si="6"/>
        <v>-4.0000000000004476</v>
      </c>
      <c r="Q37" s="19">
        <f t="shared" si="7"/>
        <v>-10.999999999999233</v>
      </c>
      <c r="R37" s="19">
        <f t="shared" si="9"/>
        <v>-10.99999999999568</v>
      </c>
      <c r="S37" s="27">
        <f t="shared" si="10"/>
        <v>0.99999999999944578</v>
      </c>
      <c r="T37" s="28">
        <f t="shared" si="10"/>
        <v>0</v>
      </c>
      <c r="U37" s="28">
        <f t="shared" si="10"/>
        <v>-0.99999999999944578</v>
      </c>
      <c r="V37" s="28">
        <f t="shared" si="10"/>
        <v>0</v>
      </c>
      <c r="W37" s="28">
        <f t="shared" si="10"/>
        <v>-0.99999999999944578</v>
      </c>
      <c r="X37" s="29">
        <f t="shared" si="10"/>
        <v>-0.99999999999944578</v>
      </c>
      <c r="Y37" s="24"/>
    </row>
    <row r="38" spans="2:25" ht="15" customHeight="1" x14ac:dyDescent="0.2">
      <c r="B38" s="31">
        <v>42585</v>
      </c>
      <c r="C38" s="25">
        <v>12.654</v>
      </c>
      <c r="D38" s="26">
        <v>7.7690000000000001</v>
      </c>
      <c r="E38" s="26">
        <v>7.6440000000000001</v>
      </c>
      <c r="F38" s="16">
        <v>13.259</v>
      </c>
      <c r="G38" s="16">
        <v>10.208</v>
      </c>
      <c r="H38" s="16">
        <v>10.351000000000001</v>
      </c>
      <c r="I38" s="17">
        <v>114.292</v>
      </c>
      <c r="J38" s="58">
        <v>2652</v>
      </c>
      <c r="K38" s="18">
        <f t="shared" si="14"/>
        <v>31</v>
      </c>
      <c r="L38" s="19">
        <f t="shared" si="9"/>
        <v>-19.000000000000128</v>
      </c>
      <c r="M38" s="19">
        <f t="shared" si="9"/>
        <v>-6.0000000000002274</v>
      </c>
      <c r="N38" s="19">
        <f t="shared" si="9"/>
        <v>-14.000000000000234</v>
      </c>
      <c r="O38" s="19">
        <f t="shared" si="5"/>
        <v>-9.0000000000003411</v>
      </c>
      <c r="P38" s="19">
        <f t="shared" si="6"/>
        <v>-4.0000000000004476</v>
      </c>
      <c r="Q38" s="19">
        <f t="shared" si="7"/>
        <v>-10.999999999999233</v>
      </c>
      <c r="R38" s="19">
        <f t="shared" si="9"/>
        <v>-10.99999999999568</v>
      </c>
      <c r="S38" s="27">
        <f t="shared" si="10"/>
        <v>0</v>
      </c>
      <c r="T38" s="28">
        <f t="shared" si="10"/>
        <v>0</v>
      </c>
      <c r="U38" s="28">
        <f t="shared" si="10"/>
        <v>0</v>
      </c>
      <c r="V38" s="28">
        <f t="shared" si="10"/>
        <v>0</v>
      </c>
      <c r="W38" s="28">
        <f t="shared" si="10"/>
        <v>0</v>
      </c>
      <c r="X38" s="29">
        <f t="shared" si="10"/>
        <v>0</v>
      </c>
      <c r="Y38" s="24"/>
    </row>
    <row r="39" spans="2:25" ht="15" customHeight="1" x14ac:dyDescent="0.2">
      <c r="B39" s="31">
        <v>42586</v>
      </c>
      <c r="C39" s="25">
        <v>12.654</v>
      </c>
      <c r="D39" s="26">
        <v>7.7690000000000001</v>
      </c>
      <c r="E39" s="26">
        <v>7.6440000000000001</v>
      </c>
      <c r="F39" s="16">
        <v>13.259</v>
      </c>
      <c r="G39" s="16">
        <v>10.208</v>
      </c>
      <c r="H39" s="16">
        <v>10.351000000000001</v>
      </c>
      <c r="I39" s="17">
        <v>114.292</v>
      </c>
      <c r="J39" s="58">
        <v>2652</v>
      </c>
      <c r="K39" s="18">
        <f t="shared" si="14"/>
        <v>31</v>
      </c>
      <c r="L39" s="19">
        <f t="shared" si="9"/>
        <v>-19.000000000000128</v>
      </c>
      <c r="M39" s="19">
        <f t="shared" si="9"/>
        <v>-6.0000000000002274</v>
      </c>
      <c r="N39" s="19">
        <f t="shared" si="9"/>
        <v>-14.000000000000234</v>
      </c>
      <c r="O39" s="19">
        <f t="shared" si="5"/>
        <v>-9.0000000000003411</v>
      </c>
      <c r="P39" s="19">
        <f t="shared" si="6"/>
        <v>-4.0000000000004476</v>
      </c>
      <c r="Q39" s="19">
        <f t="shared" si="7"/>
        <v>-10.999999999999233</v>
      </c>
      <c r="R39" s="19">
        <f t="shared" si="9"/>
        <v>-10.99999999999568</v>
      </c>
      <c r="S39" s="27">
        <f t="shared" si="10"/>
        <v>0</v>
      </c>
      <c r="T39" s="28">
        <f t="shared" si="10"/>
        <v>0</v>
      </c>
      <c r="U39" s="28">
        <f t="shared" si="10"/>
        <v>0</v>
      </c>
      <c r="V39" s="28">
        <f t="shared" si="10"/>
        <v>0</v>
      </c>
      <c r="W39" s="28">
        <f t="shared" si="10"/>
        <v>0</v>
      </c>
      <c r="X39" s="29">
        <f t="shared" si="10"/>
        <v>0</v>
      </c>
      <c r="Y39" s="24"/>
    </row>
    <row r="40" spans="2:25" ht="15" customHeight="1" x14ac:dyDescent="0.2">
      <c r="B40" s="31">
        <v>42593</v>
      </c>
      <c r="C40" s="25">
        <v>12.654</v>
      </c>
      <c r="D40" s="26">
        <v>7.7690000000000001</v>
      </c>
      <c r="E40" s="26">
        <v>7.6440000000000001</v>
      </c>
      <c r="F40" s="16">
        <v>13.259</v>
      </c>
      <c r="G40" s="16">
        <v>10.208</v>
      </c>
      <c r="H40" s="16">
        <v>10.351000000000001</v>
      </c>
      <c r="I40" s="17">
        <v>114.291</v>
      </c>
      <c r="J40" s="58">
        <v>2652</v>
      </c>
      <c r="K40" s="18">
        <f t="shared" si="14"/>
        <v>31</v>
      </c>
      <c r="L40" s="19">
        <f t="shared" si="9"/>
        <v>-19.000000000000128</v>
      </c>
      <c r="M40" s="19">
        <f t="shared" si="9"/>
        <v>-6.0000000000002274</v>
      </c>
      <c r="N40" s="19">
        <f t="shared" si="9"/>
        <v>-14.000000000000234</v>
      </c>
      <c r="O40" s="19">
        <f t="shared" si="5"/>
        <v>-9.0000000000003411</v>
      </c>
      <c r="P40" s="19">
        <f t="shared" si="6"/>
        <v>-4.0000000000004476</v>
      </c>
      <c r="Q40" s="19">
        <f t="shared" si="7"/>
        <v>-10.999999999999233</v>
      </c>
      <c r="R40" s="19">
        <f t="shared" si="9"/>
        <v>-12.000000000000455</v>
      </c>
      <c r="S40" s="27">
        <f t="shared" si="10"/>
        <v>0</v>
      </c>
      <c r="T40" s="28">
        <f t="shared" si="10"/>
        <v>0</v>
      </c>
      <c r="U40" s="28">
        <f t="shared" si="10"/>
        <v>0</v>
      </c>
      <c r="V40" s="28">
        <f t="shared" si="10"/>
        <v>0</v>
      </c>
      <c r="W40" s="28">
        <f t="shared" si="10"/>
        <v>0</v>
      </c>
      <c r="X40" s="29">
        <f t="shared" si="10"/>
        <v>0</v>
      </c>
      <c r="Y40" s="24"/>
    </row>
    <row r="41" spans="2:25" ht="15" customHeight="1" x14ac:dyDescent="0.2">
      <c r="B41" s="31">
        <v>42598</v>
      </c>
      <c r="C41" s="25">
        <v>12.654</v>
      </c>
      <c r="D41" s="26">
        <v>7.7690000000000001</v>
      </c>
      <c r="E41" s="26">
        <v>7.6440000000000001</v>
      </c>
      <c r="F41" s="16">
        <v>13.259</v>
      </c>
      <c r="G41" s="16">
        <v>10.208</v>
      </c>
      <c r="H41" s="16">
        <v>10.351000000000001</v>
      </c>
      <c r="I41" s="17">
        <v>114.291</v>
      </c>
      <c r="J41" s="58">
        <v>2652</v>
      </c>
      <c r="K41" s="18">
        <f t="shared" si="14"/>
        <v>31</v>
      </c>
      <c r="L41" s="19">
        <f t="shared" si="9"/>
        <v>-19.000000000000128</v>
      </c>
      <c r="M41" s="19">
        <f t="shared" si="9"/>
        <v>-6.0000000000002274</v>
      </c>
      <c r="N41" s="19">
        <f t="shared" si="9"/>
        <v>-14.000000000000234</v>
      </c>
      <c r="O41" s="19">
        <f t="shared" si="5"/>
        <v>-9.0000000000003411</v>
      </c>
      <c r="P41" s="19">
        <f t="shared" si="6"/>
        <v>-4.0000000000004476</v>
      </c>
      <c r="Q41" s="19">
        <f t="shared" si="7"/>
        <v>-10.999999999999233</v>
      </c>
      <c r="R41" s="19">
        <f t="shared" si="9"/>
        <v>-12.000000000000455</v>
      </c>
      <c r="S41" s="27">
        <f t="shared" si="10"/>
        <v>0</v>
      </c>
      <c r="T41" s="28">
        <f t="shared" si="10"/>
        <v>0</v>
      </c>
      <c r="U41" s="28">
        <f t="shared" si="10"/>
        <v>0</v>
      </c>
      <c r="V41" s="28">
        <f t="shared" si="10"/>
        <v>0</v>
      </c>
      <c r="W41" s="28">
        <f t="shared" si="10"/>
        <v>0</v>
      </c>
      <c r="X41" s="29">
        <f t="shared" si="10"/>
        <v>0</v>
      </c>
      <c r="Y41" s="24"/>
    </row>
    <row r="42" spans="2:25" ht="15" customHeight="1" x14ac:dyDescent="0.2">
      <c r="B42" s="31">
        <v>42605</v>
      </c>
      <c r="C42" s="25">
        <v>12.654</v>
      </c>
      <c r="D42" s="26">
        <v>7.7690000000000001</v>
      </c>
      <c r="E42" s="26">
        <v>7.6440000000000001</v>
      </c>
      <c r="F42" s="16">
        <v>13.259</v>
      </c>
      <c r="G42" s="16">
        <v>10.208</v>
      </c>
      <c r="H42" s="16">
        <v>10.351000000000001</v>
      </c>
      <c r="I42" s="17">
        <v>114.291</v>
      </c>
      <c r="J42" s="58">
        <v>2652</v>
      </c>
      <c r="K42" s="18">
        <f t="shared" si="14"/>
        <v>31</v>
      </c>
      <c r="L42" s="19">
        <f t="shared" si="9"/>
        <v>-19.000000000000128</v>
      </c>
      <c r="M42" s="19">
        <f t="shared" si="9"/>
        <v>-6.0000000000002274</v>
      </c>
      <c r="N42" s="19">
        <f t="shared" si="9"/>
        <v>-14.000000000000234</v>
      </c>
      <c r="O42" s="19">
        <f t="shared" si="5"/>
        <v>-9.0000000000003411</v>
      </c>
      <c r="P42" s="19">
        <f t="shared" si="6"/>
        <v>-4.0000000000004476</v>
      </c>
      <c r="Q42" s="19">
        <f t="shared" si="7"/>
        <v>-10.999999999999233</v>
      </c>
      <c r="R42" s="19">
        <f t="shared" si="9"/>
        <v>-12.000000000000455</v>
      </c>
      <c r="S42" s="27">
        <f t="shared" si="10"/>
        <v>0</v>
      </c>
      <c r="T42" s="28">
        <f t="shared" si="10"/>
        <v>0</v>
      </c>
      <c r="U42" s="28">
        <f t="shared" si="10"/>
        <v>0</v>
      </c>
      <c r="V42" s="28">
        <f t="shared" si="10"/>
        <v>0</v>
      </c>
      <c r="W42" s="28">
        <f t="shared" si="10"/>
        <v>0</v>
      </c>
      <c r="X42" s="29">
        <f t="shared" si="10"/>
        <v>0</v>
      </c>
      <c r="Y42" s="24"/>
    </row>
    <row r="43" spans="2:25" ht="15" customHeight="1" x14ac:dyDescent="0.2">
      <c r="B43" s="31">
        <v>42685</v>
      </c>
      <c r="C43" s="25">
        <v>12.654</v>
      </c>
      <c r="D43" s="26">
        <v>7.7690000000000001</v>
      </c>
      <c r="E43" s="26">
        <v>7.6440000000000001</v>
      </c>
      <c r="F43" s="16">
        <v>13.259</v>
      </c>
      <c r="G43" s="16">
        <v>10.208</v>
      </c>
      <c r="H43" s="16">
        <v>10.351000000000001</v>
      </c>
      <c r="I43" s="17">
        <v>114.291</v>
      </c>
      <c r="J43" s="58">
        <v>2652</v>
      </c>
      <c r="K43" s="18">
        <f t="shared" ref="K43" si="15">IF(ISBLANK(J43),"",(J43-$J$8))</f>
        <v>31</v>
      </c>
      <c r="L43" s="19">
        <f t="shared" si="9"/>
        <v>-19.000000000000128</v>
      </c>
      <c r="M43" s="19">
        <f t="shared" si="9"/>
        <v>-6.0000000000002274</v>
      </c>
      <c r="N43" s="19">
        <f t="shared" si="9"/>
        <v>-14.000000000000234</v>
      </c>
      <c r="O43" s="19">
        <f t="shared" si="5"/>
        <v>-9.0000000000003411</v>
      </c>
      <c r="P43" s="19">
        <f t="shared" si="6"/>
        <v>-4.0000000000004476</v>
      </c>
      <c r="Q43" s="19">
        <f t="shared" si="7"/>
        <v>-10.999999999999233</v>
      </c>
      <c r="R43" s="19">
        <f t="shared" si="9"/>
        <v>-12.000000000000455</v>
      </c>
      <c r="S43" s="27">
        <f t="shared" si="10"/>
        <v>0</v>
      </c>
      <c r="T43" s="28">
        <f t="shared" si="10"/>
        <v>0</v>
      </c>
      <c r="U43" s="28">
        <f t="shared" si="10"/>
        <v>0</v>
      </c>
      <c r="V43" s="28">
        <f t="shared" si="10"/>
        <v>0</v>
      </c>
      <c r="W43" s="28">
        <f t="shared" si="10"/>
        <v>0</v>
      </c>
      <c r="X43" s="29">
        <f t="shared" si="10"/>
        <v>0</v>
      </c>
      <c r="Y43" s="24"/>
    </row>
    <row r="44" spans="2:25" ht="15" customHeight="1" x14ac:dyDescent="0.2">
      <c r="B44" s="31"/>
      <c r="C44" s="33"/>
      <c r="D44" s="16"/>
      <c r="E44" s="16"/>
      <c r="F44" s="16"/>
      <c r="G44" s="16"/>
      <c r="H44" s="16"/>
      <c r="I44" s="16"/>
      <c r="J44" s="32"/>
      <c r="K44" s="18"/>
      <c r="L44" s="19" t="str">
        <f t="shared" si="9"/>
        <v/>
      </c>
      <c r="M44" s="19" t="str">
        <f t="shared" si="9"/>
        <v/>
      </c>
      <c r="N44" s="19" t="str">
        <f t="shared" si="9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9"/>
        <v/>
      </c>
      <c r="S44" s="27" t="str">
        <f t="shared" si="10"/>
        <v/>
      </c>
      <c r="T44" s="28" t="str">
        <f t="shared" si="10"/>
        <v/>
      </c>
      <c r="U44" s="28" t="str">
        <f t="shared" si="10"/>
        <v/>
      </c>
      <c r="V44" s="28" t="str">
        <f t="shared" si="10"/>
        <v/>
      </c>
      <c r="W44" s="28" t="str">
        <f t="shared" si="10"/>
        <v/>
      </c>
      <c r="X44" s="29" t="str">
        <f t="shared" si="10"/>
        <v/>
      </c>
      <c r="Y44" s="24"/>
    </row>
    <row r="45" spans="2:25" ht="15" customHeight="1" x14ac:dyDescent="0.2">
      <c r="B45" s="31"/>
      <c r="C45" s="33"/>
      <c r="D45" s="16"/>
      <c r="E45" s="16"/>
      <c r="F45" s="16"/>
      <c r="G45" s="16"/>
      <c r="H45" s="16"/>
      <c r="I45" s="16"/>
      <c r="J45" s="32"/>
      <c r="K45" s="18"/>
      <c r="L45" s="19" t="str">
        <f t="shared" si="9"/>
        <v/>
      </c>
      <c r="M45" s="19" t="str">
        <f t="shared" si="9"/>
        <v/>
      </c>
      <c r="N45" s="19" t="str">
        <f t="shared" si="9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9"/>
        <v/>
      </c>
      <c r="S45" s="27" t="str">
        <f t="shared" si="10"/>
        <v/>
      </c>
      <c r="T45" s="28" t="str">
        <f t="shared" si="10"/>
        <v/>
      </c>
      <c r="U45" s="28" t="str">
        <f t="shared" si="10"/>
        <v/>
      </c>
      <c r="V45" s="28" t="str">
        <f t="shared" si="10"/>
        <v/>
      </c>
      <c r="W45" s="28" t="str">
        <f t="shared" si="10"/>
        <v/>
      </c>
      <c r="X45" s="29" t="str">
        <f t="shared" si="10"/>
        <v/>
      </c>
      <c r="Y45" s="24"/>
    </row>
    <row r="46" spans="2:25" ht="15" customHeight="1" x14ac:dyDescent="0.2">
      <c r="B46" s="31"/>
      <c r="C46" s="33"/>
      <c r="D46" s="16"/>
      <c r="E46" s="16"/>
      <c r="F46" s="16"/>
      <c r="G46" s="16"/>
      <c r="H46" s="16"/>
      <c r="I46" s="16"/>
      <c r="J46" s="32"/>
      <c r="K46" s="18"/>
      <c r="L46" s="19" t="str">
        <f t="shared" si="9"/>
        <v/>
      </c>
      <c r="M46" s="19" t="str">
        <f t="shared" si="9"/>
        <v/>
      </c>
      <c r="N46" s="19" t="str">
        <f t="shared" si="9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9"/>
        <v/>
      </c>
      <c r="S46" s="27" t="str">
        <f t="shared" si="10"/>
        <v/>
      </c>
      <c r="T46" s="28" t="str">
        <f t="shared" si="10"/>
        <v/>
      </c>
      <c r="U46" s="28" t="str">
        <f t="shared" si="10"/>
        <v/>
      </c>
      <c r="V46" s="28" t="str">
        <f t="shared" si="10"/>
        <v/>
      </c>
      <c r="W46" s="28" t="str">
        <f t="shared" si="10"/>
        <v/>
      </c>
      <c r="X46" s="29" t="str">
        <f t="shared" si="10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9"/>
        <v/>
      </c>
      <c r="M47" s="19" t="str">
        <f t="shared" si="9"/>
        <v/>
      </c>
      <c r="N47" s="19" t="str">
        <f t="shared" si="9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9"/>
        <v/>
      </c>
      <c r="S47" s="27" t="str">
        <f t="shared" si="10"/>
        <v/>
      </c>
      <c r="T47" s="28" t="str">
        <f t="shared" si="10"/>
        <v/>
      </c>
      <c r="U47" s="28" t="str">
        <f t="shared" si="10"/>
        <v/>
      </c>
      <c r="V47" s="28" t="str">
        <f t="shared" si="10"/>
        <v/>
      </c>
      <c r="W47" s="28" t="str">
        <f t="shared" si="10"/>
        <v/>
      </c>
      <c r="X47" s="29" t="str">
        <f t="shared" si="10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9"/>
        <v/>
      </c>
      <c r="M48" s="19" t="str">
        <f t="shared" si="9"/>
        <v/>
      </c>
      <c r="N48" s="19" t="str">
        <f t="shared" si="9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9"/>
        <v/>
      </c>
      <c r="S48" s="27" t="str">
        <f t="shared" si="10"/>
        <v/>
      </c>
      <c r="T48" s="28" t="str">
        <f t="shared" si="10"/>
        <v/>
      </c>
      <c r="U48" s="28" t="str">
        <f t="shared" si="10"/>
        <v/>
      </c>
      <c r="V48" s="28" t="str">
        <f t="shared" si="10"/>
        <v/>
      </c>
      <c r="W48" s="28" t="str">
        <f t="shared" si="10"/>
        <v/>
      </c>
      <c r="X48" s="29" t="str">
        <f t="shared" si="10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9"/>
        <v/>
      </c>
      <c r="M49" s="19" t="str">
        <f t="shared" si="9"/>
        <v/>
      </c>
      <c r="N49" s="19" t="str">
        <f t="shared" si="9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9"/>
        <v/>
      </c>
      <c r="S49" s="27" t="str">
        <f t="shared" ref="S49:X64" si="16">IF(C49="","",((C49-C48)*1000)/($B49-$B48))</f>
        <v/>
      </c>
      <c r="T49" s="28" t="str">
        <f t="shared" si="16"/>
        <v/>
      </c>
      <c r="U49" s="28" t="str">
        <f t="shared" si="16"/>
        <v/>
      </c>
      <c r="V49" s="28" t="str">
        <f t="shared" si="16"/>
        <v/>
      </c>
      <c r="W49" s="28" t="str">
        <f t="shared" si="16"/>
        <v/>
      </c>
      <c r="X49" s="29" t="str">
        <f t="shared" si="16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9"/>
        <v/>
      </c>
      <c r="M50" s="19" t="str">
        <f t="shared" si="9"/>
        <v/>
      </c>
      <c r="N50" s="19" t="str">
        <f t="shared" si="9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9"/>
        <v/>
      </c>
      <c r="S50" s="27" t="str">
        <f t="shared" si="16"/>
        <v/>
      </c>
      <c r="T50" s="28" t="str">
        <f t="shared" si="16"/>
        <v/>
      </c>
      <c r="U50" s="28" t="str">
        <f t="shared" si="16"/>
        <v/>
      </c>
      <c r="V50" s="28" t="str">
        <f t="shared" si="16"/>
        <v/>
      </c>
      <c r="W50" s="28" t="str">
        <f t="shared" si="16"/>
        <v/>
      </c>
      <c r="X50" s="29" t="str">
        <f t="shared" si="1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9"/>
        <v/>
      </c>
      <c r="M51" s="19" t="str">
        <f t="shared" si="9"/>
        <v/>
      </c>
      <c r="N51" s="19" t="str">
        <f t="shared" si="9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9"/>
        <v/>
      </c>
      <c r="S51" s="27" t="str">
        <f t="shared" si="16"/>
        <v/>
      </c>
      <c r="T51" s="28" t="str">
        <f t="shared" si="16"/>
        <v/>
      </c>
      <c r="U51" s="28" t="str">
        <f t="shared" si="16"/>
        <v/>
      </c>
      <c r="V51" s="28" t="str">
        <f t="shared" si="16"/>
        <v/>
      </c>
      <c r="W51" s="28" t="str">
        <f t="shared" si="16"/>
        <v/>
      </c>
      <c r="X51" s="29" t="str">
        <f t="shared" si="1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9"/>
        <v/>
      </c>
      <c r="M52" s="19" t="str">
        <f t="shared" si="9"/>
        <v/>
      </c>
      <c r="N52" s="19" t="str">
        <f t="shared" si="9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9"/>
        <v/>
      </c>
      <c r="S52" s="27" t="str">
        <f t="shared" si="16"/>
        <v/>
      </c>
      <c r="T52" s="28" t="str">
        <f t="shared" si="16"/>
        <v/>
      </c>
      <c r="U52" s="28" t="str">
        <f t="shared" si="16"/>
        <v/>
      </c>
      <c r="V52" s="28" t="str">
        <f t="shared" si="16"/>
        <v/>
      </c>
      <c r="W52" s="28" t="str">
        <f t="shared" si="16"/>
        <v/>
      </c>
      <c r="X52" s="29" t="str">
        <f t="shared" si="1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9"/>
        <v/>
      </c>
      <c r="M53" s="19" t="str">
        <f t="shared" si="9"/>
        <v/>
      </c>
      <c r="N53" s="19" t="str">
        <f t="shared" si="9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9"/>
        <v/>
      </c>
      <c r="S53" s="27" t="str">
        <f t="shared" si="16"/>
        <v/>
      </c>
      <c r="T53" s="28" t="str">
        <f t="shared" si="16"/>
        <v/>
      </c>
      <c r="U53" s="28" t="str">
        <f t="shared" si="16"/>
        <v/>
      </c>
      <c r="V53" s="28" t="str">
        <f t="shared" si="16"/>
        <v/>
      </c>
      <c r="W53" s="28" t="str">
        <f t="shared" si="16"/>
        <v/>
      </c>
      <c r="X53" s="29" t="str">
        <f t="shared" si="1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9"/>
        <v/>
      </c>
      <c r="M54" s="19" t="str">
        <f t="shared" si="9"/>
        <v/>
      </c>
      <c r="N54" s="19" t="str">
        <f t="shared" si="9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9"/>
        <v/>
      </c>
      <c r="S54" s="27" t="str">
        <f t="shared" si="16"/>
        <v/>
      </c>
      <c r="T54" s="28" t="str">
        <f t="shared" si="16"/>
        <v/>
      </c>
      <c r="U54" s="28" t="str">
        <f t="shared" si="16"/>
        <v/>
      </c>
      <c r="V54" s="28" t="str">
        <f t="shared" si="16"/>
        <v/>
      </c>
      <c r="W54" s="28" t="str">
        <f t="shared" si="16"/>
        <v/>
      </c>
      <c r="X54" s="29" t="str">
        <f t="shared" si="1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9"/>
        <v/>
      </c>
      <c r="M55" s="19" t="str">
        <f t="shared" si="9"/>
        <v/>
      </c>
      <c r="N55" s="19" t="str">
        <f t="shared" si="9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9"/>
        <v/>
      </c>
      <c r="S55" s="27" t="str">
        <f t="shared" si="16"/>
        <v/>
      </c>
      <c r="T55" s="28" t="str">
        <f t="shared" si="16"/>
        <v/>
      </c>
      <c r="U55" s="28" t="str">
        <f t="shared" si="16"/>
        <v/>
      </c>
      <c r="V55" s="28" t="str">
        <f t="shared" si="16"/>
        <v/>
      </c>
      <c r="W55" s="28" t="str">
        <f t="shared" si="16"/>
        <v/>
      </c>
      <c r="X55" s="29" t="str">
        <f t="shared" si="1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9"/>
        <v/>
      </c>
      <c r="M56" s="19" t="str">
        <f t="shared" si="9"/>
        <v/>
      </c>
      <c r="N56" s="19" t="str">
        <f t="shared" si="9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9"/>
        <v/>
      </c>
      <c r="S56" s="27" t="str">
        <f t="shared" si="16"/>
        <v/>
      </c>
      <c r="T56" s="28" t="str">
        <f t="shared" si="16"/>
        <v/>
      </c>
      <c r="U56" s="28" t="str">
        <f t="shared" si="16"/>
        <v/>
      </c>
      <c r="V56" s="28" t="str">
        <f t="shared" si="16"/>
        <v/>
      </c>
      <c r="W56" s="28" t="str">
        <f t="shared" si="16"/>
        <v/>
      </c>
      <c r="X56" s="29" t="str">
        <f t="shared" si="1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9"/>
        <v/>
      </c>
      <c r="M57" s="19" t="str">
        <f t="shared" si="9"/>
        <v/>
      </c>
      <c r="N57" s="19" t="str">
        <f t="shared" si="9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9"/>
        <v/>
      </c>
      <c r="S57" s="27" t="str">
        <f t="shared" si="16"/>
        <v/>
      </c>
      <c r="T57" s="28" t="str">
        <f t="shared" si="16"/>
        <v/>
      </c>
      <c r="U57" s="28" t="str">
        <f t="shared" si="16"/>
        <v/>
      </c>
      <c r="V57" s="28" t="str">
        <f t="shared" si="16"/>
        <v/>
      </c>
      <c r="W57" s="28" t="str">
        <f t="shared" si="16"/>
        <v/>
      </c>
      <c r="X57" s="29" t="str">
        <f t="shared" si="1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9"/>
        <v/>
      </c>
      <c r="M58" s="19" t="str">
        <f t="shared" si="9"/>
        <v/>
      </c>
      <c r="N58" s="19" t="str">
        <f t="shared" si="9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9"/>
        <v/>
      </c>
      <c r="S58" s="27" t="str">
        <f t="shared" si="16"/>
        <v/>
      </c>
      <c r="T58" s="28" t="str">
        <f t="shared" si="16"/>
        <v/>
      </c>
      <c r="U58" s="28" t="str">
        <f t="shared" si="16"/>
        <v/>
      </c>
      <c r="V58" s="28" t="str">
        <f t="shared" si="16"/>
        <v/>
      </c>
      <c r="W58" s="28" t="str">
        <f t="shared" si="16"/>
        <v/>
      </c>
      <c r="X58" s="29" t="str">
        <f t="shared" si="1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9"/>
        <v/>
      </c>
      <c r="M59" s="19" t="str">
        <f t="shared" si="9"/>
        <v/>
      </c>
      <c r="N59" s="19" t="str">
        <f t="shared" si="9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9"/>
        <v/>
      </c>
      <c r="S59" s="27" t="str">
        <f t="shared" si="16"/>
        <v/>
      </c>
      <c r="T59" s="28" t="str">
        <f t="shared" si="16"/>
        <v/>
      </c>
      <c r="U59" s="28" t="str">
        <f t="shared" si="16"/>
        <v/>
      </c>
      <c r="V59" s="28" t="str">
        <f t="shared" si="16"/>
        <v/>
      </c>
      <c r="W59" s="28" t="str">
        <f t="shared" si="16"/>
        <v/>
      </c>
      <c r="X59" s="29" t="str">
        <f t="shared" si="1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9"/>
        <v/>
      </c>
      <c r="M60" s="19" t="str">
        <f t="shared" si="9"/>
        <v/>
      </c>
      <c r="N60" s="19" t="str">
        <f t="shared" si="9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9"/>
        <v/>
      </c>
      <c r="S60" s="27" t="str">
        <f t="shared" si="16"/>
        <v/>
      </c>
      <c r="T60" s="28" t="str">
        <f t="shared" si="16"/>
        <v/>
      </c>
      <c r="U60" s="28" t="str">
        <f t="shared" si="16"/>
        <v/>
      </c>
      <c r="V60" s="28" t="str">
        <f t="shared" si="16"/>
        <v/>
      </c>
      <c r="W60" s="28" t="str">
        <f t="shared" si="16"/>
        <v/>
      </c>
      <c r="X60" s="29" t="str">
        <f t="shared" si="1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9"/>
        <v/>
      </c>
      <c r="M61" s="19" t="str">
        <f t="shared" si="9"/>
        <v/>
      </c>
      <c r="N61" s="19" t="str">
        <f t="shared" si="9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9"/>
        <v/>
      </c>
      <c r="S61" s="27" t="str">
        <f t="shared" si="16"/>
        <v/>
      </c>
      <c r="T61" s="28" t="str">
        <f t="shared" si="16"/>
        <v/>
      </c>
      <c r="U61" s="28" t="str">
        <f t="shared" si="16"/>
        <v/>
      </c>
      <c r="V61" s="28" t="str">
        <f t="shared" si="16"/>
        <v/>
      </c>
      <c r="W61" s="28" t="str">
        <f t="shared" si="16"/>
        <v/>
      </c>
      <c r="X61" s="29" t="str">
        <f t="shared" si="1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9"/>
        <v/>
      </c>
      <c r="M62" s="19" t="str">
        <f t="shared" si="9"/>
        <v/>
      </c>
      <c r="N62" s="19" t="str">
        <f t="shared" si="9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ref="R62:R93" si="17">IF(ISBLANK(I62),"",(I62-I$16)*1000)</f>
        <v/>
      </c>
      <c r="S62" s="27" t="str">
        <f t="shared" si="16"/>
        <v/>
      </c>
      <c r="T62" s="28" t="str">
        <f t="shared" si="16"/>
        <v/>
      </c>
      <c r="U62" s="28" t="str">
        <f t="shared" si="16"/>
        <v/>
      </c>
      <c r="V62" s="28" t="str">
        <f t="shared" si="16"/>
        <v/>
      </c>
      <c r="W62" s="28" t="str">
        <f t="shared" si="16"/>
        <v/>
      </c>
      <c r="X62" s="29" t="str">
        <f t="shared" si="1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R117" si="18">IF(ISBLANK(C63),"",(C63-C$16)*1000)</f>
        <v/>
      </c>
      <c r="M63" s="19" t="str">
        <f t="shared" si="18"/>
        <v/>
      </c>
      <c r="N63" s="19" t="str">
        <f t="shared" si="18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7"/>
        <v/>
      </c>
      <c r="S63" s="27" t="str">
        <f t="shared" si="16"/>
        <v/>
      </c>
      <c r="T63" s="28" t="str">
        <f t="shared" si="16"/>
        <v/>
      </c>
      <c r="U63" s="28" t="str">
        <f t="shared" si="16"/>
        <v/>
      </c>
      <c r="V63" s="28" t="str">
        <f t="shared" si="16"/>
        <v/>
      </c>
      <c r="W63" s="28" t="str">
        <f t="shared" si="16"/>
        <v/>
      </c>
      <c r="X63" s="29" t="str">
        <f t="shared" si="1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8"/>
        <v/>
      </c>
      <c r="M64" s="19" t="str">
        <f t="shared" si="18"/>
        <v/>
      </c>
      <c r="N64" s="19" t="str">
        <f t="shared" si="18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7"/>
        <v/>
      </c>
      <c r="S64" s="27" t="str">
        <f t="shared" si="16"/>
        <v/>
      </c>
      <c r="T64" s="28" t="str">
        <f t="shared" si="16"/>
        <v/>
      </c>
      <c r="U64" s="28" t="str">
        <f t="shared" si="16"/>
        <v/>
      </c>
      <c r="V64" s="28" t="str">
        <f t="shared" si="16"/>
        <v/>
      </c>
      <c r="W64" s="28" t="str">
        <f t="shared" si="16"/>
        <v/>
      </c>
      <c r="X64" s="29" t="str">
        <f t="shared" si="1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8"/>
        <v/>
      </c>
      <c r="M65" s="19" t="str">
        <f t="shared" si="18"/>
        <v/>
      </c>
      <c r="N65" s="19" t="str">
        <f t="shared" si="18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7"/>
        <v/>
      </c>
      <c r="S65" s="27" t="str">
        <f t="shared" ref="S65:X80" si="19">IF(C65="","",((C65-C64)*1000)/($B65-$B64))</f>
        <v/>
      </c>
      <c r="T65" s="28" t="str">
        <f t="shared" si="19"/>
        <v/>
      </c>
      <c r="U65" s="28" t="str">
        <f t="shared" si="19"/>
        <v/>
      </c>
      <c r="V65" s="28" t="str">
        <f t="shared" si="19"/>
        <v/>
      </c>
      <c r="W65" s="28" t="str">
        <f t="shared" si="19"/>
        <v/>
      </c>
      <c r="X65" s="29" t="str">
        <f t="shared" si="19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8"/>
        <v/>
      </c>
      <c r="M66" s="19" t="str">
        <f t="shared" si="18"/>
        <v/>
      </c>
      <c r="N66" s="19" t="str">
        <f t="shared" si="18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7"/>
        <v/>
      </c>
      <c r="S66" s="27" t="str">
        <f t="shared" si="19"/>
        <v/>
      </c>
      <c r="T66" s="28" t="str">
        <f t="shared" si="19"/>
        <v/>
      </c>
      <c r="U66" s="28" t="str">
        <f t="shared" si="19"/>
        <v/>
      </c>
      <c r="V66" s="28" t="str">
        <f t="shared" si="19"/>
        <v/>
      </c>
      <c r="W66" s="28" t="str">
        <f t="shared" si="19"/>
        <v/>
      </c>
      <c r="X66" s="29" t="str">
        <f t="shared" si="19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8"/>
        <v/>
      </c>
      <c r="M67" s="19" t="str">
        <f t="shared" si="18"/>
        <v/>
      </c>
      <c r="N67" s="19" t="str">
        <f t="shared" si="18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7"/>
        <v/>
      </c>
      <c r="S67" s="27" t="str">
        <f t="shared" si="19"/>
        <v/>
      </c>
      <c r="T67" s="28" t="str">
        <f t="shared" si="19"/>
        <v/>
      </c>
      <c r="U67" s="28" t="str">
        <f t="shared" si="19"/>
        <v/>
      </c>
      <c r="V67" s="28" t="str">
        <f t="shared" si="19"/>
        <v/>
      </c>
      <c r="W67" s="28" t="str">
        <f t="shared" si="19"/>
        <v/>
      </c>
      <c r="X67" s="29" t="str">
        <f t="shared" si="19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8"/>
        <v/>
      </c>
      <c r="M68" s="19" t="str">
        <f t="shared" si="18"/>
        <v/>
      </c>
      <c r="N68" s="19" t="str">
        <f t="shared" si="18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7"/>
        <v/>
      </c>
      <c r="S68" s="27" t="str">
        <f t="shared" si="19"/>
        <v/>
      </c>
      <c r="T68" s="28" t="str">
        <f t="shared" si="19"/>
        <v/>
      </c>
      <c r="U68" s="28" t="str">
        <f t="shared" si="19"/>
        <v/>
      </c>
      <c r="V68" s="28" t="str">
        <f t="shared" si="19"/>
        <v/>
      </c>
      <c r="W68" s="28" t="str">
        <f t="shared" si="19"/>
        <v/>
      </c>
      <c r="X68" s="29" t="str">
        <f t="shared" si="19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8"/>
        <v/>
      </c>
      <c r="M69" s="19" t="str">
        <f t="shared" si="18"/>
        <v/>
      </c>
      <c r="N69" s="19" t="str">
        <f t="shared" si="18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7"/>
        <v/>
      </c>
      <c r="S69" s="27" t="str">
        <f t="shared" si="19"/>
        <v/>
      </c>
      <c r="T69" s="28" t="str">
        <f t="shared" si="19"/>
        <v/>
      </c>
      <c r="U69" s="28" t="str">
        <f t="shared" si="19"/>
        <v/>
      </c>
      <c r="V69" s="28" t="str">
        <f t="shared" si="19"/>
        <v/>
      </c>
      <c r="W69" s="28" t="str">
        <f t="shared" si="19"/>
        <v/>
      </c>
      <c r="X69" s="29" t="str">
        <f t="shared" si="19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8"/>
        <v/>
      </c>
      <c r="M70" s="19" t="str">
        <f t="shared" si="18"/>
        <v/>
      </c>
      <c r="N70" s="19" t="str">
        <f t="shared" si="18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7"/>
        <v/>
      </c>
      <c r="S70" s="27" t="str">
        <f t="shared" si="19"/>
        <v/>
      </c>
      <c r="T70" s="28" t="str">
        <f t="shared" si="19"/>
        <v/>
      </c>
      <c r="U70" s="28" t="str">
        <f t="shared" si="19"/>
        <v/>
      </c>
      <c r="V70" s="28" t="str">
        <f t="shared" si="19"/>
        <v/>
      </c>
      <c r="W70" s="28" t="str">
        <f t="shared" si="19"/>
        <v/>
      </c>
      <c r="X70" s="29" t="str">
        <f t="shared" si="19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8"/>
        <v/>
      </c>
      <c r="M71" s="19" t="str">
        <f t="shared" si="18"/>
        <v/>
      </c>
      <c r="N71" s="19" t="str">
        <f t="shared" si="18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7"/>
        <v/>
      </c>
      <c r="S71" s="27" t="str">
        <f t="shared" si="19"/>
        <v/>
      </c>
      <c r="T71" s="28" t="str">
        <f t="shared" si="19"/>
        <v/>
      </c>
      <c r="U71" s="28" t="str">
        <f t="shared" si="19"/>
        <v/>
      </c>
      <c r="V71" s="28" t="str">
        <f t="shared" si="19"/>
        <v/>
      </c>
      <c r="W71" s="28" t="str">
        <f t="shared" si="19"/>
        <v/>
      </c>
      <c r="X71" s="29" t="str">
        <f t="shared" si="19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8"/>
        <v/>
      </c>
      <c r="M72" s="19" t="str">
        <f t="shared" si="18"/>
        <v/>
      </c>
      <c r="N72" s="19" t="str">
        <f t="shared" si="18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7"/>
        <v/>
      </c>
      <c r="S72" s="27" t="str">
        <f t="shared" si="19"/>
        <v/>
      </c>
      <c r="T72" s="28" t="str">
        <f t="shared" si="19"/>
        <v/>
      </c>
      <c r="U72" s="28" t="str">
        <f t="shared" si="19"/>
        <v/>
      </c>
      <c r="V72" s="28" t="str">
        <f t="shared" si="19"/>
        <v/>
      </c>
      <c r="W72" s="28" t="str">
        <f t="shared" si="19"/>
        <v/>
      </c>
      <c r="X72" s="29" t="str">
        <f t="shared" si="19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8"/>
        <v/>
      </c>
      <c r="M73" s="19" t="str">
        <f t="shared" si="18"/>
        <v/>
      </c>
      <c r="N73" s="19" t="str">
        <f t="shared" si="18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7"/>
        <v/>
      </c>
      <c r="S73" s="27" t="str">
        <f t="shared" si="19"/>
        <v/>
      </c>
      <c r="T73" s="28" t="str">
        <f t="shared" si="19"/>
        <v/>
      </c>
      <c r="U73" s="28" t="str">
        <f t="shared" si="19"/>
        <v/>
      </c>
      <c r="V73" s="28" t="str">
        <f t="shared" si="19"/>
        <v/>
      </c>
      <c r="W73" s="28" t="str">
        <f t="shared" si="19"/>
        <v/>
      </c>
      <c r="X73" s="29" t="str">
        <f t="shared" si="19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8"/>
        <v/>
      </c>
      <c r="M74" s="19" t="str">
        <f t="shared" si="18"/>
        <v/>
      </c>
      <c r="N74" s="19" t="str">
        <f t="shared" si="18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7"/>
        <v/>
      </c>
      <c r="S74" s="27" t="str">
        <f t="shared" si="19"/>
        <v/>
      </c>
      <c r="T74" s="28" t="str">
        <f t="shared" si="19"/>
        <v/>
      </c>
      <c r="U74" s="28" t="str">
        <f t="shared" si="19"/>
        <v/>
      </c>
      <c r="V74" s="28" t="str">
        <f t="shared" si="19"/>
        <v/>
      </c>
      <c r="W74" s="28" t="str">
        <f t="shared" si="19"/>
        <v/>
      </c>
      <c r="X74" s="29" t="str">
        <f t="shared" si="19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8"/>
        <v/>
      </c>
      <c r="M75" s="19" t="str">
        <f t="shared" si="18"/>
        <v/>
      </c>
      <c r="N75" s="19" t="str">
        <f t="shared" si="18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7"/>
        <v/>
      </c>
      <c r="S75" s="27" t="str">
        <f t="shared" si="19"/>
        <v/>
      </c>
      <c r="T75" s="28" t="str">
        <f t="shared" si="19"/>
        <v/>
      </c>
      <c r="U75" s="28" t="str">
        <f t="shared" si="19"/>
        <v/>
      </c>
      <c r="V75" s="28" t="str">
        <f t="shared" si="19"/>
        <v/>
      </c>
      <c r="W75" s="28" t="str">
        <f t="shared" si="19"/>
        <v/>
      </c>
      <c r="X75" s="29" t="str">
        <f t="shared" si="19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8"/>
        <v/>
      </c>
      <c r="M76" s="19" t="str">
        <f t="shared" si="18"/>
        <v/>
      </c>
      <c r="N76" s="19" t="str">
        <f t="shared" si="18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7"/>
        <v/>
      </c>
      <c r="S76" s="27" t="str">
        <f t="shared" si="19"/>
        <v/>
      </c>
      <c r="T76" s="28" t="str">
        <f t="shared" si="19"/>
        <v/>
      </c>
      <c r="U76" s="28" t="str">
        <f t="shared" si="19"/>
        <v/>
      </c>
      <c r="V76" s="28" t="str">
        <f t="shared" si="19"/>
        <v/>
      </c>
      <c r="W76" s="28" t="str">
        <f t="shared" si="19"/>
        <v/>
      </c>
      <c r="X76" s="29" t="str">
        <f t="shared" si="19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8"/>
        <v/>
      </c>
      <c r="M77" s="19" t="str">
        <f t="shared" si="18"/>
        <v/>
      </c>
      <c r="N77" s="19" t="str">
        <f t="shared" si="18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7"/>
        <v/>
      </c>
      <c r="S77" s="27" t="str">
        <f t="shared" si="19"/>
        <v/>
      </c>
      <c r="T77" s="28" t="str">
        <f t="shared" si="19"/>
        <v/>
      </c>
      <c r="U77" s="28" t="str">
        <f t="shared" si="19"/>
        <v/>
      </c>
      <c r="V77" s="28" t="str">
        <f t="shared" si="19"/>
        <v/>
      </c>
      <c r="W77" s="28" t="str">
        <f t="shared" si="19"/>
        <v/>
      </c>
      <c r="X77" s="29" t="str">
        <f t="shared" si="19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8"/>
        <v/>
      </c>
      <c r="M78" s="19" t="str">
        <f t="shared" si="18"/>
        <v/>
      </c>
      <c r="N78" s="19" t="str">
        <f t="shared" si="18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7"/>
        <v/>
      </c>
      <c r="S78" s="27" t="str">
        <f t="shared" si="19"/>
        <v/>
      </c>
      <c r="T78" s="28" t="str">
        <f t="shared" si="19"/>
        <v/>
      </c>
      <c r="U78" s="28" t="str">
        <f t="shared" si="19"/>
        <v/>
      </c>
      <c r="V78" s="28" t="str">
        <f t="shared" si="19"/>
        <v/>
      </c>
      <c r="W78" s="28" t="str">
        <f t="shared" si="19"/>
        <v/>
      </c>
      <c r="X78" s="29" t="str">
        <f t="shared" si="19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8"/>
        <v/>
      </c>
      <c r="M79" s="19" t="str">
        <f t="shared" si="18"/>
        <v/>
      </c>
      <c r="N79" s="19" t="str">
        <f t="shared" si="18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7"/>
        <v/>
      </c>
      <c r="S79" s="27" t="str">
        <f t="shared" si="19"/>
        <v/>
      </c>
      <c r="T79" s="28" t="str">
        <f t="shared" si="19"/>
        <v/>
      </c>
      <c r="U79" s="28" t="str">
        <f t="shared" si="19"/>
        <v/>
      </c>
      <c r="V79" s="28" t="str">
        <f t="shared" si="19"/>
        <v/>
      </c>
      <c r="W79" s="28" t="str">
        <f t="shared" si="19"/>
        <v/>
      </c>
      <c r="X79" s="29" t="str">
        <f t="shared" si="19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8"/>
        <v/>
      </c>
      <c r="M80" s="19" t="str">
        <f t="shared" si="18"/>
        <v/>
      </c>
      <c r="N80" s="19" t="str">
        <f t="shared" si="18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si="17"/>
        <v/>
      </c>
      <c r="S80" s="27" t="str">
        <f t="shared" si="19"/>
        <v/>
      </c>
      <c r="T80" s="28" t="str">
        <f t="shared" si="19"/>
        <v/>
      </c>
      <c r="U80" s="28" t="str">
        <f t="shared" si="19"/>
        <v/>
      </c>
      <c r="V80" s="28" t="str">
        <f t="shared" si="19"/>
        <v/>
      </c>
      <c r="W80" s="28" t="str">
        <f t="shared" si="19"/>
        <v/>
      </c>
      <c r="X80" s="29" t="str">
        <f t="shared" si="19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8"/>
        <v/>
      </c>
      <c r="M81" s="19" t="str">
        <f t="shared" si="18"/>
        <v/>
      </c>
      <c r="N81" s="19" t="str">
        <f t="shared" si="18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7"/>
        <v/>
      </c>
      <c r="S81" s="27" t="str">
        <f t="shared" ref="S81:X96" si="20">IF(C81="","",((C81-C80)*1000)/($B81-$B80))</f>
        <v/>
      </c>
      <c r="T81" s="28" t="str">
        <f t="shared" si="20"/>
        <v/>
      </c>
      <c r="U81" s="28" t="str">
        <f t="shared" si="20"/>
        <v/>
      </c>
      <c r="V81" s="28" t="str">
        <f t="shared" si="20"/>
        <v/>
      </c>
      <c r="W81" s="28" t="str">
        <f t="shared" si="20"/>
        <v/>
      </c>
      <c r="X81" s="29" t="str">
        <f t="shared" si="20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8"/>
        <v/>
      </c>
      <c r="M82" s="19" t="str">
        <f t="shared" si="18"/>
        <v/>
      </c>
      <c r="N82" s="19" t="str">
        <f t="shared" si="18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7"/>
        <v/>
      </c>
      <c r="S82" s="27" t="str">
        <f t="shared" si="20"/>
        <v/>
      </c>
      <c r="T82" s="28" t="str">
        <f t="shared" si="20"/>
        <v/>
      </c>
      <c r="U82" s="28" t="str">
        <f t="shared" si="20"/>
        <v/>
      </c>
      <c r="V82" s="28" t="str">
        <f t="shared" si="20"/>
        <v/>
      </c>
      <c r="W82" s="28" t="str">
        <f t="shared" si="20"/>
        <v/>
      </c>
      <c r="X82" s="29" t="str">
        <f t="shared" si="20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8"/>
        <v/>
      </c>
      <c r="M83" s="19" t="str">
        <f t="shared" si="18"/>
        <v/>
      </c>
      <c r="N83" s="19" t="str">
        <f t="shared" si="18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7"/>
        <v/>
      </c>
      <c r="S83" s="27" t="str">
        <f t="shared" si="20"/>
        <v/>
      </c>
      <c r="T83" s="28" t="str">
        <f t="shared" si="20"/>
        <v/>
      </c>
      <c r="U83" s="28" t="str">
        <f t="shared" si="20"/>
        <v/>
      </c>
      <c r="V83" s="28" t="str">
        <f t="shared" si="20"/>
        <v/>
      </c>
      <c r="W83" s="28" t="str">
        <f t="shared" si="20"/>
        <v/>
      </c>
      <c r="X83" s="29" t="str">
        <f t="shared" si="20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8"/>
        <v/>
      </c>
      <c r="M84" s="19" t="str">
        <f t="shared" si="18"/>
        <v/>
      </c>
      <c r="N84" s="19" t="str">
        <f t="shared" si="18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7"/>
        <v/>
      </c>
      <c r="S84" s="27" t="str">
        <f t="shared" si="20"/>
        <v/>
      </c>
      <c r="T84" s="28" t="str">
        <f t="shared" si="20"/>
        <v/>
      </c>
      <c r="U84" s="28" t="str">
        <f t="shared" si="20"/>
        <v/>
      </c>
      <c r="V84" s="28" t="str">
        <f t="shared" si="20"/>
        <v/>
      </c>
      <c r="W84" s="28" t="str">
        <f t="shared" si="20"/>
        <v/>
      </c>
      <c r="X84" s="29" t="str">
        <f t="shared" si="20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8"/>
        <v/>
      </c>
      <c r="M85" s="19" t="str">
        <f t="shared" si="18"/>
        <v/>
      </c>
      <c r="N85" s="19" t="str">
        <f t="shared" si="18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7"/>
        <v/>
      </c>
      <c r="S85" s="27" t="str">
        <f t="shared" si="20"/>
        <v/>
      </c>
      <c r="T85" s="28" t="str">
        <f t="shared" si="20"/>
        <v/>
      </c>
      <c r="U85" s="28" t="str">
        <f t="shared" si="20"/>
        <v/>
      </c>
      <c r="V85" s="28" t="str">
        <f t="shared" si="20"/>
        <v/>
      </c>
      <c r="W85" s="28" t="str">
        <f t="shared" si="20"/>
        <v/>
      </c>
      <c r="X85" s="29" t="str">
        <f t="shared" si="20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8"/>
        <v/>
      </c>
      <c r="M86" s="19" t="str">
        <f t="shared" si="18"/>
        <v/>
      </c>
      <c r="N86" s="19" t="str">
        <f t="shared" si="18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7"/>
        <v/>
      </c>
      <c r="S86" s="27" t="str">
        <f t="shared" si="20"/>
        <v/>
      </c>
      <c r="T86" s="28" t="str">
        <f t="shared" si="20"/>
        <v/>
      </c>
      <c r="U86" s="28" t="str">
        <f t="shared" si="20"/>
        <v/>
      </c>
      <c r="V86" s="28" t="str">
        <f t="shared" si="20"/>
        <v/>
      </c>
      <c r="W86" s="28" t="str">
        <f t="shared" si="20"/>
        <v/>
      </c>
      <c r="X86" s="29" t="str">
        <f t="shared" si="20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8"/>
        <v/>
      </c>
      <c r="M87" s="19" t="str">
        <f t="shared" si="18"/>
        <v/>
      </c>
      <c r="N87" s="19" t="str">
        <f t="shared" si="18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7"/>
        <v/>
      </c>
      <c r="S87" s="27" t="str">
        <f t="shared" si="20"/>
        <v/>
      </c>
      <c r="T87" s="28" t="str">
        <f t="shared" si="20"/>
        <v/>
      </c>
      <c r="U87" s="28" t="str">
        <f t="shared" si="20"/>
        <v/>
      </c>
      <c r="V87" s="28" t="str">
        <f t="shared" si="20"/>
        <v/>
      </c>
      <c r="W87" s="28" t="str">
        <f t="shared" si="20"/>
        <v/>
      </c>
      <c r="X87" s="29" t="str">
        <f t="shared" si="20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8"/>
        <v/>
      </c>
      <c r="M88" s="19" t="str">
        <f t="shared" si="18"/>
        <v/>
      </c>
      <c r="N88" s="19" t="str">
        <f t="shared" si="18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7"/>
        <v/>
      </c>
      <c r="S88" s="27" t="str">
        <f t="shared" si="20"/>
        <v/>
      </c>
      <c r="T88" s="28" t="str">
        <f t="shared" si="20"/>
        <v/>
      </c>
      <c r="U88" s="28" t="str">
        <f t="shared" si="20"/>
        <v/>
      </c>
      <c r="V88" s="28" t="str">
        <f t="shared" si="20"/>
        <v/>
      </c>
      <c r="W88" s="28" t="str">
        <f t="shared" si="20"/>
        <v/>
      </c>
      <c r="X88" s="29" t="str">
        <f t="shared" si="20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8"/>
        <v/>
      </c>
      <c r="M89" s="19" t="str">
        <f t="shared" si="18"/>
        <v/>
      </c>
      <c r="N89" s="19" t="str">
        <f t="shared" si="18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7"/>
        <v/>
      </c>
      <c r="S89" s="27" t="str">
        <f t="shared" si="20"/>
        <v/>
      </c>
      <c r="T89" s="28" t="str">
        <f t="shared" si="20"/>
        <v/>
      </c>
      <c r="U89" s="28" t="str">
        <f t="shared" si="20"/>
        <v/>
      </c>
      <c r="V89" s="28" t="str">
        <f t="shared" si="20"/>
        <v/>
      </c>
      <c r="W89" s="28" t="str">
        <f t="shared" si="20"/>
        <v/>
      </c>
      <c r="X89" s="29" t="str">
        <f t="shared" si="20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8"/>
        <v/>
      </c>
      <c r="M90" s="19" t="str">
        <f t="shared" si="18"/>
        <v/>
      </c>
      <c r="N90" s="19" t="str">
        <f t="shared" si="18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7"/>
        <v/>
      </c>
      <c r="S90" s="27" t="str">
        <f t="shared" si="20"/>
        <v/>
      </c>
      <c r="T90" s="28" t="str">
        <f t="shared" si="20"/>
        <v/>
      </c>
      <c r="U90" s="28" t="str">
        <f t="shared" si="20"/>
        <v/>
      </c>
      <c r="V90" s="28" t="str">
        <f t="shared" si="20"/>
        <v/>
      </c>
      <c r="W90" s="28" t="str">
        <f t="shared" si="20"/>
        <v/>
      </c>
      <c r="X90" s="29" t="str">
        <f t="shared" si="20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8"/>
        <v/>
      </c>
      <c r="M91" s="19" t="str">
        <f t="shared" si="18"/>
        <v/>
      </c>
      <c r="N91" s="19" t="str">
        <f t="shared" si="18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7"/>
        <v/>
      </c>
      <c r="S91" s="27" t="str">
        <f t="shared" si="20"/>
        <v/>
      </c>
      <c r="T91" s="28" t="str">
        <f t="shared" si="20"/>
        <v/>
      </c>
      <c r="U91" s="28" t="str">
        <f t="shared" si="20"/>
        <v/>
      </c>
      <c r="V91" s="28" t="str">
        <f t="shared" si="20"/>
        <v/>
      </c>
      <c r="W91" s="28" t="str">
        <f t="shared" si="20"/>
        <v/>
      </c>
      <c r="X91" s="29" t="str">
        <f t="shared" si="20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8"/>
        <v/>
      </c>
      <c r="M92" s="19" t="str">
        <f t="shared" si="18"/>
        <v/>
      </c>
      <c r="N92" s="19" t="str">
        <f t="shared" si="18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7"/>
        <v/>
      </c>
      <c r="S92" s="27" t="str">
        <f t="shared" si="20"/>
        <v/>
      </c>
      <c r="T92" s="28" t="str">
        <f t="shared" si="20"/>
        <v/>
      </c>
      <c r="U92" s="28" t="str">
        <f t="shared" si="20"/>
        <v/>
      </c>
      <c r="V92" s="28" t="str">
        <f t="shared" si="20"/>
        <v/>
      </c>
      <c r="W92" s="28" t="str">
        <f t="shared" si="20"/>
        <v/>
      </c>
      <c r="X92" s="29" t="str">
        <f t="shared" si="20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8"/>
        <v/>
      </c>
      <c r="M93" s="19" t="str">
        <f t="shared" si="18"/>
        <v/>
      </c>
      <c r="N93" s="19" t="str">
        <f t="shared" si="18"/>
        <v/>
      </c>
      <c r="O93" s="19" t="str">
        <f t="shared" si="5"/>
        <v/>
      </c>
      <c r="P93" s="19" t="str">
        <f t="shared" si="6"/>
        <v/>
      </c>
      <c r="Q93" s="19" t="str">
        <f t="shared" si="7"/>
        <v/>
      </c>
      <c r="R93" s="19" t="str">
        <f t="shared" si="17"/>
        <v/>
      </c>
      <c r="S93" s="27" t="str">
        <f t="shared" si="20"/>
        <v/>
      </c>
      <c r="T93" s="28" t="str">
        <f t="shared" si="20"/>
        <v/>
      </c>
      <c r="U93" s="28" t="str">
        <f t="shared" si="20"/>
        <v/>
      </c>
      <c r="V93" s="28" t="str">
        <f t="shared" si="20"/>
        <v/>
      </c>
      <c r="W93" s="28" t="str">
        <f t="shared" si="20"/>
        <v/>
      </c>
      <c r="X93" s="29" t="str">
        <f t="shared" si="20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8"/>
        <v/>
      </c>
      <c r="M94" s="19" t="str">
        <f t="shared" si="18"/>
        <v/>
      </c>
      <c r="N94" s="19" t="str">
        <f t="shared" si="18"/>
        <v/>
      </c>
      <c r="O94" s="19" t="str">
        <f t="shared" si="5"/>
        <v/>
      </c>
      <c r="P94" s="19" t="str">
        <f t="shared" si="6"/>
        <v/>
      </c>
      <c r="Q94" s="19" t="str">
        <f t="shared" si="7"/>
        <v/>
      </c>
      <c r="R94" s="19" t="str">
        <f t="shared" si="18"/>
        <v/>
      </c>
      <c r="S94" s="27" t="str">
        <f t="shared" si="20"/>
        <v/>
      </c>
      <c r="T94" s="28" t="str">
        <f t="shared" si="20"/>
        <v/>
      </c>
      <c r="U94" s="28" t="str">
        <f t="shared" si="20"/>
        <v/>
      </c>
      <c r="V94" s="28" t="str">
        <f t="shared" si="20"/>
        <v/>
      </c>
      <c r="W94" s="28" t="str">
        <f t="shared" si="20"/>
        <v/>
      </c>
      <c r="X94" s="29" t="str">
        <f t="shared" si="20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18"/>
        <v/>
      </c>
      <c r="M95" s="19" t="str">
        <f t="shared" si="18"/>
        <v/>
      </c>
      <c r="N95" s="19" t="str">
        <f t="shared" si="18"/>
        <v/>
      </c>
      <c r="O95" s="19" t="str">
        <f t="shared" si="5"/>
        <v/>
      </c>
      <c r="P95" s="19" t="str">
        <f t="shared" si="6"/>
        <v/>
      </c>
      <c r="Q95" s="19" t="str">
        <f t="shared" si="7"/>
        <v/>
      </c>
      <c r="R95" s="19" t="str">
        <f t="shared" si="18"/>
        <v/>
      </c>
      <c r="S95" s="27" t="str">
        <f t="shared" si="20"/>
        <v/>
      </c>
      <c r="T95" s="28" t="str">
        <f t="shared" si="20"/>
        <v/>
      </c>
      <c r="U95" s="28" t="str">
        <f t="shared" si="20"/>
        <v/>
      </c>
      <c r="V95" s="28" t="str">
        <f t="shared" si="20"/>
        <v/>
      </c>
      <c r="W95" s="28" t="str">
        <f t="shared" si="20"/>
        <v/>
      </c>
      <c r="X95" s="29" t="str">
        <f t="shared" si="20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8"/>
        <v/>
      </c>
      <c r="M96" s="19" t="str">
        <f t="shared" si="18"/>
        <v/>
      </c>
      <c r="N96" s="19" t="str">
        <f t="shared" si="18"/>
        <v/>
      </c>
      <c r="O96" s="19" t="str">
        <f t="shared" ref="O96:O153" si="21">IF(ISBLANK(F96),"",((F96-F$31)*1000)+L$31)</f>
        <v/>
      </c>
      <c r="P96" s="19" t="str">
        <f t="shared" ref="P96:P153" si="22">IF(ISBLANK(G96),"",((G96-G$31)*1000)+M$31)</f>
        <v/>
      </c>
      <c r="Q96" s="19" t="str">
        <f t="shared" ref="Q96:Q153" si="23">IF(ISBLANK(H96),"",((H96-H$31)*1000)+N$31)</f>
        <v/>
      </c>
      <c r="R96" s="19" t="str">
        <f t="shared" si="18"/>
        <v/>
      </c>
      <c r="S96" s="27" t="str">
        <f t="shared" si="20"/>
        <v/>
      </c>
      <c r="T96" s="28" t="str">
        <f t="shared" si="20"/>
        <v/>
      </c>
      <c r="U96" s="28" t="str">
        <f t="shared" si="20"/>
        <v/>
      </c>
      <c r="V96" s="28" t="str">
        <f t="shared" si="20"/>
        <v/>
      </c>
      <c r="W96" s="28" t="str">
        <f t="shared" si="20"/>
        <v/>
      </c>
      <c r="X96" s="29" t="str">
        <f t="shared" si="20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8"/>
        <v/>
      </c>
      <c r="M97" s="19" t="str">
        <f t="shared" si="18"/>
        <v/>
      </c>
      <c r="N97" s="19" t="str">
        <f t="shared" si="18"/>
        <v/>
      </c>
      <c r="O97" s="19" t="str">
        <f t="shared" si="21"/>
        <v/>
      </c>
      <c r="P97" s="19" t="str">
        <f t="shared" si="22"/>
        <v/>
      </c>
      <c r="Q97" s="19" t="str">
        <f t="shared" si="23"/>
        <v/>
      </c>
      <c r="R97" s="19" t="str">
        <f t="shared" si="18"/>
        <v/>
      </c>
      <c r="S97" s="27" t="str">
        <f t="shared" ref="S97:X112" si="24">IF(C97="","",((C97-C96)*1000)/($B97-$B96))</f>
        <v/>
      </c>
      <c r="T97" s="28" t="str">
        <f t="shared" si="24"/>
        <v/>
      </c>
      <c r="U97" s="28" t="str">
        <f t="shared" si="24"/>
        <v/>
      </c>
      <c r="V97" s="28" t="str">
        <f t="shared" si="24"/>
        <v/>
      </c>
      <c r="W97" s="28" t="str">
        <f t="shared" si="24"/>
        <v/>
      </c>
      <c r="X97" s="29" t="str">
        <f t="shared" si="24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8"/>
        <v/>
      </c>
      <c r="M98" s="19" t="str">
        <f t="shared" si="18"/>
        <v/>
      </c>
      <c r="N98" s="19" t="str">
        <f t="shared" si="18"/>
        <v/>
      </c>
      <c r="O98" s="19" t="str">
        <f t="shared" si="21"/>
        <v/>
      </c>
      <c r="P98" s="19" t="str">
        <f t="shared" si="22"/>
        <v/>
      </c>
      <c r="Q98" s="19" t="str">
        <f t="shared" si="23"/>
        <v/>
      </c>
      <c r="R98" s="19" t="str">
        <f t="shared" si="18"/>
        <v/>
      </c>
      <c r="S98" s="27" t="str">
        <f t="shared" si="24"/>
        <v/>
      </c>
      <c r="T98" s="28" t="str">
        <f t="shared" si="24"/>
        <v/>
      </c>
      <c r="U98" s="28" t="str">
        <f t="shared" si="24"/>
        <v/>
      </c>
      <c r="V98" s="28" t="str">
        <f t="shared" si="24"/>
        <v/>
      </c>
      <c r="W98" s="28" t="str">
        <f t="shared" si="24"/>
        <v/>
      </c>
      <c r="X98" s="29" t="str">
        <f t="shared" si="24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8"/>
        <v/>
      </c>
      <c r="M99" s="19" t="str">
        <f t="shared" si="18"/>
        <v/>
      </c>
      <c r="N99" s="19" t="str">
        <f t="shared" si="18"/>
        <v/>
      </c>
      <c r="O99" s="19" t="str">
        <f t="shared" si="21"/>
        <v/>
      </c>
      <c r="P99" s="19" t="str">
        <f t="shared" si="22"/>
        <v/>
      </c>
      <c r="Q99" s="19" t="str">
        <f t="shared" si="23"/>
        <v/>
      </c>
      <c r="R99" s="19" t="str">
        <f t="shared" si="18"/>
        <v/>
      </c>
      <c r="S99" s="27" t="str">
        <f t="shared" si="24"/>
        <v/>
      </c>
      <c r="T99" s="28" t="str">
        <f t="shared" si="24"/>
        <v/>
      </c>
      <c r="U99" s="28" t="str">
        <f t="shared" si="24"/>
        <v/>
      </c>
      <c r="V99" s="28" t="str">
        <f t="shared" si="24"/>
        <v/>
      </c>
      <c r="W99" s="28" t="str">
        <f t="shared" si="24"/>
        <v/>
      </c>
      <c r="X99" s="29" t="str">
        <f t="shared" si="24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8"/>
        <v/>
      </c>
      <c r="M100" s="19" t="str">
        <f t="shared" si="18"/>
        <v/>
      </c>
      <c r="N100" s="19" t="str">
        <f t="shared" si="18"/>
        <v/>
      </c>
      <c r="O100" s="19" t="str">
        <f t="shared" si="21"/>
        <v/>
      </c>
      <c r="P100" s="19" t="str">
        <f t="shared" si="22"/>
        <v/>
      </c>
      <c r="Q100" s="19" t="str">
        <f t="shared" si="23"/>
        <v/>
      </c>
      <c r="R100" s="19" t="str">
        <f t="shared" si="18"/>
        <v/>
      </c>
      <c r="S100" s="27" t="str">
        <f t="shared" si="24"/>
        <v/>
      </c>
      <c r="T100" s="28" t="str">
        <f t="shared" si="24"/>
        <v/>
      </c>
      <c r="U100" s="28" t="str">
        <f t="shared" si="24"/>
        <v/>
      </c>
      <c r="V100" s="28" t="str">
        <f t="shared" si="24"/>
        <v/>
      </c>
      <c r="W100" s="28" t="str">
        <f t="shared" si="24"/>
        <v/>
      </c>
      <c r="X100" s="29" t="str">
        <f t="shared" si="24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8"/>
        <v/>
      </c>
      <c r="M101" s="19" t="str">
        <f t="shared" si="18"/>
        <v/>
      </c>
      <c r="N101" s="19" t="str">
        <f t="shared" si="18"/>
        <v/>
      </c>
      <c r="O101" s="19" t="str">
        <f t="shared" si="21"/>
        <v/>
      </c>
      <c r="P101" s="19" t="str">
        <f t="shared" si="22"/>
        <v/>
      </c>
      <c r="Q101" s="19" t="str">
        <f t="shared" si="23"/>
        <v/>
      </c>
      <c r="R101" s="19" t="str">
        <f t="shared" si="18"/>
        <v/>
      </c>
      <c r="S101" s="27" t="str">
        <f t="shared" si="24"/>
        <v/>
      </c>
      <c r="T101" s="28" t="str">
        <f t="shared" si="24"/>
        <v/>
      </c>
      <c r="U101" s="28" t="str">
        <f t="shared" si="24"/>
        <v/>
      </c>
      <c r="V101" s="28" t="str">
        <f t="shared" si="24"/>
        <v/>
      </c>
      <c r="W101" s="28" t="str">
        <f t="shared" si="24"/>
        <v/>
      </c>
      <c r="X101" s="29" t="str">
        <f t="shared" si="24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8"/>
        <v/>
      </c>
      <c r="M102" s="19" t="str">
        <f t="shared" si="18"/>
        <v/>
      </c>
      <c r="N102" s="19" t="str">
        <f t="shared" si="18"/>
        <v/>
      </c>
      <c r="O102" s="19" t="str">
        <f t="shared" si="21"/>
        <v/>
      </c>
      <c r="P102" s="19" t="str">
        <f t="shared" si="22"/>
        <v/>
      </c>
      <c r="Q102" s="19" t="str">
        <f t="shared" si="23"/>
        <v/>
      </c>
      <c r="R102" s="19" t="str">
        <f t="shared" si="18"/>
        <v/>
      </c>
      <c r="S102" s="27" t="str">
        <f t="shared" si="24"/>
        <v/>
      </c>
      <c r="T102" s="28" t="str">
        <f t="shared" si="24"/>
        <v/>
      </c>
      <c r="U102" s="28" t="str">
        <f t="shared" si="24"/>
        <v/>
      </c>
      <c r="V102" s="28" t="str">
        <f t="shared" si="24"/>
        <v/>
      </c>
      <c r="W102" s="28" t="str">
        <f t="shared" si="24"/>
        <v/>
      </c>
      <c r="X102" s="29" t="str">
        <f t="shared" si="24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8"/>
        <v/>
      </c>
      <c r="M103" s="19" t="str">
        <f t="shared" si="18"/>
        <v/>
      </c>
      <c r="N103" s="19" t="str">
        <f t="shared" si="18"/>
        <v/>
      </c>
      <c r="O103" s="19" t="str">
        <f t="shared" si="21"/>
        <v/>
      </c>
      <c r="P103" s="19" t="str">
        <f t="shared" si="22"/>
        <v/>
      </c>
      <c r="Q103" s="19" t="str">
        <f t="shared" si="23"/>
        <v/>
      </c>
      <c r="R103" s="19" t="str">
        <f t="shared" si="18"/>
        <v/>
      </c>
      <c r="S103" s="27" t="str">
        <f t="shared" si="24"/>
        <v/>
      </c>
      <c r="T103" s="28" t="str">
        <f t="shared" si="24"/>
        <v/>
      </c>
      <c r="U103" s="28" t="str">
        <f t="shared" si="24"/>
        <v/>
      </c>
      <c r="V103" s="28" t="str">
        <f t="shared" si="24"/>
        <v/>
      </c>
      <c r="W103" s="28" t="str">
        <f t="shared" si="24"/>
        <v/>
      </c>
      <c r="X103" s="29" t="str">
        <f t="shared" si="24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8"/>
        <v/>
      </c>
      <c r="M104" s="19" t="str">
        <f t="shared" si="18"/>
        <v/>
      </c>
      <c r="N104" s="19" t="str">
        <f t="shared" si="18"/>
        <v/>
      </c>
      <c r="O104" s="19" t="str">
        <f t="shared" si="21"/>
        <v/>
      </c>
      <c r="P104" s="19" t="str">
        <f t="shared" si="22"/>
        <v/>
      </c>
      <c r="Q104" s="19" t="str">
        <f t="shared" si="23"/>
        <v/>
      </c>
      <c r="R104" s="19" t="str">
        <f t="shared" si="18"/>
        <v/>
      </c>
      <c r="S104" s="27" t="str">
        <f t="shared" si="24"/>
        <v/>
      </c>
      <c r="T104" s="28" t="str">
        <f t="shared" si="24"/>
        <v/>
      </c>
      <c r="U104" s="28" t="str">
        <f t="shared" si="24"/>
        <v/>
      </c>
      <c r="V104" s="28" t="str">
        <f t="shared" si="24"/>
        <v/>
      </c>
      <c r="W104" s="28" t="str">
        <f t="shared" si="24"/>
        <v/>
      </c>
      <c r="X104" s="29" t="str">
        <f t="shared" si="24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8"/>
        <v/>
      </c>
      <c r="M105" s="19" t="str">
        <f t="shared" si="18"/>
        <v/>
      </c>
      <c r="N105" s="19" t="str">
        <f t="shared" si="18"/>
        <v/>
      </c>
      <c r="O105" s="19" t="str">
        <f t="shared" si="21"/>
        <v/>
      </c>
      <c r="P105" s="19" t="str">
        <f t="shared" si="22"/>
        <v/>
      </c>
      <c r="Q105" s="19" t="str">
        <f t="shared" si="23"/>
        <v/>
      </c>
      <c r="R105" s="19" t="str">
        <f t="shared" si="18"/>
        <v/>
      </c>
      <c r="S105" s="27" t="str">
        <f t="shared" si="24"/>
        <v/>
      </c>
      <c r="T105" s="28" t="str">
        <f t="shared" si="24"/>
        <v/>
      </c>
      <c r="U105" s="28" t="str">
        <f t="shared" si="24"/>
        <v/>
      </c>
      <c r="V105" s="28" t="str">
        <f t="shared" si="24"/>
        <v/>
      </c>
      <c r="W105" s="28" t="str">
        <f t="shared" si="24"/>
        <v/>
      </c>
      <c r="X105" s="29" t="str">
        <f t="shared" si="24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8"/>
        <v/>
      </c>
      <c r="M106" s="19" t="str">
        <f t="shared" si="18"/>
        <v/>
      </c>
      <c r="N106" s="19" t="str">
        <f t="shared" si="18"/>
        <v/>
      </c>
      <c r="O106" s="19" t="str">
        <f t="shared" si="21"/>
        <v/>
      </c>
      <c r="P106" s="19" t="str">
        <f t="shared" si="22"/>
        <v/>
      </c>
      <c r="Q106" s="19" t="str">
        <f t="shared" si="23"/>
        <v/>
      </c>
      <c r="R106" s="19" t="str">
        <f t="shared" si="18"/>
        <v/>
      </c>
      <c r="S106" s="27" t="str">
        <f t="shared" si="24"/>
        <v/>
      </c>
      <c r="T106" s="28" t="str">
        <f t="shared" si="24"/>
        <v/>
      </c>
      <c r="U106" s="28" t="str">
        <f t="shared" si="24"/>
        <v/>
      </c>
      <c r="V106" s="28" t="str">
        <f t="shared" si="24"/>
        <v/>
      </c>
      <c r="W106" s="28" t="str">
        <f t="shared" si="24"/>
        <v/>
      </c>
      <c r="X106" s="29" t="str">
        <f t="shared" si="24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8"/>
        <v/>
      </c>
      <c r="M107" s="19" t="str">
        <f t="shared" si="18"/>
        <v/>
      </c>
      <c r="N107" s="19" t="str">
        <f t="shared" si="18"/>
        <v/>
      </c>
      <c r="O107" s="19" t="str">
        <f t="shared" si="21"/>
        <v/>
      </c>
      <c r="P107" s="19" t="str">
        <f t="shared" si="22"/>
        <v/>
      </c>
      <c r="Q107" s="19" t="str">
        <f t="shared" si="23"/>
        <v/>
      </c>
      <c r="R107" s="19" t="str">
        <f t="shared" si="18"/>
        <v/>
      </c>
      <c r="S107" s="27" t="str">
        <f t="shared" si="24"/>
        <v/>
      </c>
      <c r="T107" s="28" t="str">
        <f t="shared" si="24"/>
        <v/>
      </c>
      <c r="U107" s="28" t="str">
        <f t="shared" si="24"/>
        <v/>
      </c>
      <c r="V107" s="28" t="str">
        <f t="shared" si="24"/>
        <v/>
      </c>
      <c r="W107" s="28" t="str">
        <f t="shared" si="24"/>
        <v/>
      </c>
      <c r="X107" s="29" t="str">
        <f t="shared" si="24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8"/>
        <v/>
      </c>
      <c r="M108" s="19" t="str">
        <f t="shared" si="18"/>
        <v/>
      </c>
      <c r="N108" s="19" t="str">
        <f t="shared" si="18"/>
        <v/>
      </c>
      <c r="O108" s="19" t="str">
        <f t="shared" si="21"/>
        <v/>
      </c>
      <c r="P108" s="19" t="str">
        <f t="shared" si="22"/>
        <v/>
      </c>
      <c r="Q108" s="19" t="str">
        <f t="shared" si="23"/>
        <v/>
      </c>
      <c r="R108" s="19" t="str">
        <f t="shared" si="18"/>
        <v/>
      </c>
      <c r="S108" s="27" t="str">
        <f t="shared" si="24"/>
        <v/>
      </c>
      <c r="T108" s="28" t="str">
        <f t="shared" si="24"/>
        <v/>
      </c>
      <c r="U108" s="28" t="str">
        <f t="shared" si="24"/>
        <v/>
      </c>
      <c r="V108" s="28" t="str">
        <f t="shared" si="24"/>
        <v/>
      </c>
      <c r="W108" s="28" t="str">
        <f t="shared" si="24"/>
        <v/>
      </c>
      <c r="X108" s="29" t="str">
        <f t="shared" si="24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8"/>
        <v/>
      </c>
      <c r="M109" s="19" t="str">
        <f t="shared" si="18"/>
        <v/>
      </c>
      <c r="N109" s="19" t="str">
        <f t="shared" si="18"/>
        <v/>
      </c>
      <c r="O109" s="19" t="str">
        <f t="shared" si="21"/>
        <v/>
      </c>
      <c r="P109" s="19" t="str">
        <f t="shared" si="22"/>
        <v/>
      </c>
      <c r="Q109" s="19" t="str">
        <f t="shared" si="23"/>
        <v/>
      </c>
      <c r="R109" s="19" t="str">
        <f t="shared" si="18"/>
        <v/>
      </c>
      <c r="S109" s="27" t="str">
        <f t="shared" si="24"/>
        <v/>
      </c>
      <c r="T109" s="28" t="str">
        <f t="shared" si="24"/>
        <v/>
      </c>
      <c r="U109" s="28" t="str">
        <f t="shared" si="24"/>
        <v/>
      </c>
      <c r="V109" s="28" t="str">
        <f t="shared" si="24"/>
        <v/>
      </c>
      <c r="W109" s="28" t="str">
        <f t="shared" si="24"/>
        <v/>
      </c>
      <c r="X109" s="29" t="str">
        <f t="shared" si="24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8"/>
        <v/>
      </c>
      <c r="M110" s="19" t="str">
        <f t="shared" si="18"/>
        <v/>
      </c>
      <c r="N110" s="19" t="str">
        <f t="shared" si="18"/>
        <v/>
      </c>
      <c r="O110" s="19" t="str">
        <f t="shared" si="21"/>
        <v/>
      </c>
      <c r="P110" s="19" t="str">
        <f t="shared" si="22"/>
        <v/>
      </c>
      <c r="Q110" s="19" t="str">
        <f t="shared" si="23"/>
        <v/>
      </c>
      <c r="R110" s="19" t="str">
        <f t="shared" si="18"/>
        <v/>
      </c>
      <c r="S110" s="27" t="str">
        <f t="shared" si="24"/>
        <v/>
      </c>
      <c r="T110" s="28" t="str">
        <f t="shared" si="24"/>
        <v/>
      </c>
      <c r="U110" s="28" t="str">
        <f t="shared" si="24"/>
        <v/>
      </c>
      <c r="V110" s="28" t="str">
        <f t="shared" si="24"/>
        <v/>
      </c>
      <c r="W110" s="28" t="str">
        <f t="shared" si="24"/>
        <v/>
      </c>
      <c r="X110" s="29" t="str">
        <f t="shared" si="24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8"/>
        <v/>
      </c>
      <c r="M111" s="19" t="str">
        <f t="shared" si="18"/>
        <v/>
      </c>
      <c r="N111" s="19" t="str">
        <f t="shared" si="18"/>
        <v/>
      </c>
      <c r="O111" s="19" t="str">
        <f t="shared" si="21"/>
        <v/>
      </c>
      <c r="P111" s="19" t="str">
        <f t="shared" si="22"/>
        <v/>
      </c>
      <c r="Q111" s="19" t="str">
        <f t="shared" si="23"/>
        <v/>
      </c>
      <c r="R111" s="19" t="str">
        <f t="shared" si="18"/>
        <v/>
      </c>
      <c r="S111" s="27" t="str">
        <f t="shared" si="24"/>
        <v/>
      </c>
      <c r="T111" s="28" t="str">
        <f t="shared" si="24"/>
        <v/>
      </c>
      <c r="U111" s="28" t="str">
        <f t="shared" si="24"/>
        <v/>
      </c>
      <c r="V111" s="28" t="str">
        <f t="shared" si="24"/>
        <v/>
      </c>
      <c r="W111" s="28" t="str">
        <f t="shared" si="24"/>
        <v/>
      </c>
      <c r="X111" s="29" t="str">
        <f t="shared" si="24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8"/>
        <v/>
      </c>
      <c r="M112" s="19" t="str">
        <f t="shared" si="18"/>
        <v/>
      </c>
      <c r="N112" s="19" t="str">
        <f t="shared" si="18"/>
        <v/>
      </c>
      <c r="O112" s="19" t="str">
        <f t="shared" si="21"/>
        <v/>
      </c>
      <c r="P112" s="19" t="str">
        <f t="shared" si="22"/>
        <v/>
      </c>
      <c r="Q112" s="19" t="str">
        <f t="shared" si="23"/>
        <v/>
      </c>
      <c r="R112" s="19" t="str">
        <f t="shared" si="18"/>
        <v/>
      </c>
      <c r="S112" s="27" t="str">
        <f t="shared" si="24"/>
        <v/>
      </c>
      <c r="T112" s="28" t="str">
        <f t="shared" si="24"/>
        <v/>
      </c>
      <c r="U112" s="28" t="str">
        <f t="shared" si="24"/>
        <v/>
      </c>
      <c r="V112" s="28" t="str">
        <f t="shared" si="24"/>
        <v/>
      </c>
      <c r="W112" s="28" t="str">
        <f t="shared" si="24"/>
        <v/>
      </c>
      <c r="X112" s="29" t="str">
        <f t="shared" si="24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8"/>
        <v/>
      </c>
      <c r="M113" s="19" t="str">
        <f t="shared" si="18"/>
        <v/>
      </c>
      <c r="N113" s="19" t="str">
        <f t="shared" si="18"/>
        <v/>
      </c>
      <c r="O113" s="19" t="str">
        <f t="shared" si="21"/>
        <v/>
      </c>
      <c r="P113" s="19" t="str">
        <f t="shared" si="22"/>
        <v/>
      </c>
      <c r="Q113" s="19" t="str">
        <f t="shared" si="23"/>
        <v/>
      </c>
      <c r="R113" s="19" t="str">
        <f t="shared" si="18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8"/>
        <v/>
      </c>
      <c r="M114" s="19" t="str">
        <f t="shared" si="18"/>
        <v/>
      </c>
      <c r="N114" s="19" t="str">
        <f t="shared" si="18"/>
        <v/>
      </c>
      <c r="O114" s="19" t="str">
        <f t="shared" si="21"/>
        <v/>
      </c>
      <c r="P114" s="19" t="str">
        <f t="shared" si="22"/>
        <v/>
      </c>
      <c r="Q114" s="19" t="str">
        <f t="shared" si="23"/>
        <v/>
      </c>
      <c r="R114" s="19" t="str">
        <f t="shared" si="18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8"/>
        <v/>
      </c>
      <c r="M115" s="19" t="str">
        <f t="shared" si="18"/>
        <v/>
      </c>
      <c r="N115" s="19" t="str">
        <f t="shared" si="18"/>
        <v/>
      </c>
      <c r="O115" s="19" t="str">
        <f t="shared" si="21"/>
        <v/>
      </c>
      <c r="P115" s="19" t="str">
        <f t="shared" si="22"/>
        <v/>
      </c>
      <c r="Q115" s="19" t="str">
        <f t="shared" si="23"/>
        <v/>
      </c>
      <c r="R115" s="19" t="str">
        <f t="shared" si="18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8"/>
        <v/>
      </c>
      <c r="M116" s="19" t="str">
        <f t="shared" si="18"/>
        <v/>
      </c>
      <c r="N116" s="19" t="str">
        <f t="shared" si="18"/>
        <v/>
      </c>
      <c r="O116" s="19" t="str">
        <f t="shared" si="21"/>
        <v/>
      </c>
      <c r="P116" s="19" t="str">
        <f t="shared" si="22"/>
        <v/>
      </c>
      <c r="Q116" s="19" t="str">
        <f t="shared" si="23"/>
        <v/>
      </c>
      <c r="R116" s="19" t="str">
        <f t="shared" si="18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8"/>
        <v/>
      </c>
      <c r="M117" s="19" t="str">
        <f t="shared" ref="M117:R153" si="26">IF(ISBLANK(D117),"",(D117-D$16)*1000)</f>
        <v/>
      </c>
      <c r="N117" s="19" t="str">
        <f t="shared" si="26"/>
        <v/>
      </c>
      <c r="O117" s="19" t="str">
        <f t="shared" si="21"/>
        <v/>
      </c>
      <c r="P117" s="19" t="str">
        <f t="shared" si="22"/>
        <v/>
      </c>
      <c r="Q117" s="19" t="str">
        <f t="shared" si="23"/>
        <v/>
      </c>
      <c r="R117" s="19" t="str">
        <f t="shared" si="26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7">IF(ISBLANK(C118),"",(C118-C$16)*1000)</f>
        <v/>
      </c>
      <c r="M118" s="19" t="str">
        <f t="shared" si="26"/>
        <v/>
      </c>
      <c r="N118" s="19" t="str">
        <f t="shared" si="26"/>
        <v/>
      </c>
      <c r="O118" s="19" t="str">
        <f t="shared" si="21"/>
        <v/>
      </c>
      <c r="P118" s="19" t="str">
        <f t="shared" si="22"/>
        <v/>
      </c>
      <c r="Q118" s="19" t="str">
        <f t="shared" si="23"/>
        <v/>
      </c>
      <c r="R118" s="19" t="str">
        <f t="shared" si="26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7"/>
        <v/>
      </c>
      <c r="M119" s="19" t="str">
        <f t="shared" si="26"/>
        <v/>
      </c>
      <c r="N119" s="19" t="str">
        <f t="shared" si="26"/>
        <v/>
      </c>
      <c r="O119" s="19" t="str">
        <f t="shared" si="21"/>
        <v/>
      </c>
      <c r="P119" s="19" t="str">
        <f t="shared" si="22"/>
        <v/>
      </c>
      <c r="Q119" s="19" t="str">
        <f t="shared" si="23"/>
        <v/>
      </c>
      <c r="R119" s="19" t="str">
        <f t="shared" si="26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7"/>
        <v/>
      </c>
      <c r="M120" s="19" t="str">
        <f t="shared" si="26"/>
        <v/>
      </c>
      <c r="N120" s="19" t="str">
        <f t="shared" si="26"/>
        <v/>
      </c>
      <c r="O120" s="19" t="str">
        <f t="shared" si="21"/>
        <v/>
      </c>
      <c r="P120" s="19" t="str">
        <f t="shared" si="22"/>
        <v/>
      </c>
      <c r="Q120" s="19" t="str">
        <f t="shared" si="23"/>
        <v/>
      </c>
      <c r="R120" s="19" t="str">
        <f t="shared" si="26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7"/>
        <v/>
      </c>
      <c r="M121" s="19" t="str">
        <f t="shared" si="26"/>
        <v/>
      </c>
      <c r="N121" s="19" t="str">
        <f t="shared" si="26"/>
        <v/>
      </c>
      <c r="O121" s="19" t="str">
        <f t="shared" si="21"/>
        <v/>
      </c>
      <c r="P121" s="19" t="str">
        <f t="shared" si="22"/>
        <v/>
      </c>
      <c r="Q121" s="19" t="str">
        <f t="shared" si="23"/>
        <v/>
      </c>
      <c r="R121" s="19" t="str">
        <f t="shared" si="26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7"/>
        <v/>
      </c>
      <c r="M122" s="19" t="str">
        <f t="shared" si="26"/>
        <v/>
      </c>
      <c r="N122" s="19" t="str">
        <f t="shared" si="26"/>
        <v/>
      </c>
      <c r="O122" s="19" t="str">
        <f t="shared" si="21"/>
        <v/>
      </c>
      <c r="P122" s="19" t="str">
        <f t="shared" si="22"/>
        <v/>
      </c>
      <c r="Q122" s="19" t="str">
        <f t="shared" si="23"/>
        <v/>
      </c>
      <c r="R122" s="19" t="str">
        <f t="shared" si="26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7"/>
        <v/>
      </c>
      <c r="M123" s="19" t="str">
        <f t="shared" si="26"/>
        <v/>
      </c>
      <c r="N123" s="19" t="str">
        <f t="shared" si="26"/>
        <v/>
      </c>
      <c r="O123" s="19" t="str">
        <f t="shared" si="21"/>
        <v/>
      </c>
      <c r="P123" s="19" t="str">
        <f t="shared" si="22"/>
        <v/>
      </c>
      <c r="Q123" s="19" t="str">
        <f t="shared" si="23"/>
        <v/>
      </c>
      <c r="R123" s="19" t="str">
        <f t="shared" si="26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7"/>
        <v/>
      </c>
      <c r="M124" s="19" t="str">
        <f t="shared" si="26"/>
        <v/>
      </c>
      <c r="N124" s="19" t="str">
        <f t="shared" si="26"/>
        <v/>
      </c>
      <c r="O124" s="19" t="str">
        <f t="shared" si="21"/>
        <v/>
      </c>
      <c r="P124" s="19" t="str">
        <f t="shared" si="22"/>
        <v/>
      </c>
      <c r="Q124" s="19" t="str">
        <f t="shared" si="23"/>
        <v/>
      </c>
      <c r="R124" s="19" t="str">
        <f t="shared" si="26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7"/>
        <v/>
      </c>
      <c r="M125" s="19" t="str">
        <f t="shared" si="26"/>
        <v/>
      </c>
      <c r="N125" s="19" t="str">
        <f t="shared" si="26"/>
        <v/>
      </c>
      <c r="O125" s="19" t="str">
        <f t="shared" si="21"/>
        <v/>
      </c>
      <c r="P125" s="19" t="str">
        <f t="shared" si="22"/>
        <v/>
      </c>
      <c r="Q125" s="19" t="str">
        <f t="shared" si="23"/>
        <v/>
      </c>
      <c r="R125" s="19" t="str">
        <f t="shared" si="26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7"/>
        <v/>
      </c>
      <c r="M126" s="19" t="str">
        <f t="shared" si="26"/>
        <v/>
      </c>
      <c r="N126" s="19" t="str">
        <f t="shared" si="26"/>
        <v/>
      </c>
      <c r="O126" s="19" t="str">
        <f t="shared" si="21"/>
        <v/>
      </c>
      <c r="P126" s="19" t="str">
        <f t="shared" si="22"/>
        <v/>
      </c>
      <c r="Q126" s="19" t="str">
        <f t="shared" si="23"/>
        <v/>
      </c>
      <c r="R126" s="19" t="str">
        <f t="shared" si="26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7"/>
        <v/>
      </c>
      <c r="M127" s="19" t="str">
        <f t="shared" si="26"/>
        <v/>
      </c>
      <c r="N127" s="19" t="str">
        <f t="shared" si="26"/>
        <v/>
      </c>
      <c r="O127" s="19" t="str">
        <f t="shared" si="21"/>
        <v/>
      </c>
      <c r="P127" s="19" t="str">
        <f t="shared" si="22"/>
        <v/>
      </c>
      <c r="Q127" s="19" t="str">
        <f t="shared" si="23"/>
        <v/>
      </c>
      <c r="R127" s="19" t="str">
        <f t="shared" si="26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7"/>
        <v/>
      </c>
      <c r="M128" s="19" t="str">
        <f t="shared" si="26"/>
        <v/>
      </c>
      <c r="N128" s="19" t="str">
        <f t="shared" si="26"/>
        <v/>
      </c>
      <c r="O128" s="19" t="str">
        <f t="shared" si="21"/>
        <v/>
      </c>
      <c r="P128" s="19" t="str">
        <f t="shared" si="22"/>
        <v/>
      </c>
      <c r="Q128" s="19" t="str">
        <f t="shared" si="23"/>
        <v/>
      </c>
      <c r="R128" s="19" t="str">
        <f t="shared" si="26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7"/>
        <v/>
      </c>
      <c r="M129" s="19" t="str">
        <f t="shared" si="26"/>
        <v/>
      </c>
      <c r="N129" s="19" t="str">
        <f t="shared" si="26"/>
        <v/>
      </c>
      <c r="O129" s="19" t="str">
        <f t="shared" si="21"/>
        <v/>
      </c>
      <c r="P129" s="19" t="str">
        <f t="shared" si="22"/>
        <v/>
      </c>
      <c r="Q129" s="19" t="str">
        <f t="shared" si="23"/>
        <v/>
      </c>
      <c r="R129" s="19" t="str">
        <f t="shared" si="26"/>
        <v/>
      </c>
      <c r="S129" s="27" t="str">
        <f t="shared" ref="S129:X144" si="28">IF(C129="","",((C129-C128)*1000)/($B129-$B128))</f>
        <v/>
      </c>
      <c r="T129" s="28" t="str">
        <f t="shared" si="28"/>
        <v/>
      </c>
      <c r="U129" s="28" t="str">
        <f t="shared" si="28"/>
        <v/>
      </c>
      <c r="V129" s="28" t="str">
        <f t="shared" si="28"/>
        <v/>
      </c>
      <c r="W129" s="28" t="str">
        <f t="shared" si="28"/>
        <v/>
      </c>
      <c r="X129" s="29" t="str">
        <f t="shared" si="2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7"/>
        <v/>
      </c>
      <c r="M130" s="19" t="str">
        <f t="shared" si="26"/>
        <v/>
      </c>
      <c r="N130" s="19" t="str">
        <f t="shared" si="26"/>
        <v/>
      </c>
      <c r="O130" s="19" t="str">
        <f t="shared" si="21"/>
        <v/>
      </c>
      <c r="P130" s="19" t="str">
        <f t="shared" si="22"/>
        <v/>
      </c>
      <c r="Q130" s="19" t="str">
        <f t="shared" si="23"/>
        <v/>
      </c>
      <c r="R130" s="19" t="str">
        <f t="shared" si="26"/>
        <v/>
      </c>
      <c r="S130" s="27" t="str">
        <f t="shared" si="28"/>
        <v/>
      </c>
      <c r="T130" s="28" t="str">
        <f t="shared" si="28"/>
        <v/>
      </c>
      <c r="U130" s="28" t="str">
        <f t="shared" si="28"/>
        <v/>
      </c>
      <c r="V130" s="28" t="str">
        <f t="shared" si="28"/>
        <v/>
      </c>
      <c r="W130" s="28" t="str">
        <f t="shared" si="28"/>
        <v/>
      </c>
      <c r="X130" s="29" t="str">
        <f t="shared" si="2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7"/>
        <v/>
      </c>
      <c r="M131" s="19" t="str">
        <f t="shared" si="26"/>
        <v/>
      </c>
      <c r="N131" s="19" t="str">
        <f t="shared" si="26"/>
        <v/>
      </c>
      <c r="O131" s="19" t="str">
        <f t="shared" si="21"/>
        <v/>
      </c>
      <c r="P131" s="19" t="str">
        <f t="shared" si="22"/>
        <v/>
      </c>
      <c r="Q131" s="19" t="str">
        <f t="shared" si="23"/>
        <v/>
      </c>
      <c r="R131" s="19" t="str">
        <f t="shared" si="26"/>
        <v/>
      </c>
      <c r="S131" s="27" t="str">
        <f t="shared" si="28"/>
        <v/>
      </c>
      <c r="T131" s="28" t="str">
        <f t="shared" si="28"/>
        <v/>
      </c>
      <c r="U131" s="28" t="str">
        <f t="shared" si="28"/>
        <v/>
      </c>
      <c r="V131" s="28" t="str">
        <f t="shared" si="28"/>
        <v/>
      </c>
      <c r="W131" s="28" t="str">
        <f t="shared" si="28"/>
        <v/>
      </c>
      <c r="X131" s="29" t="str">
        <f t="shared" si="2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7"/>
        <v/>
      </c>
      <c r="M132" s="19" t="str">
        <f t="shared" si="26"/>
        <v/>
      </c>
      <c r="N132" s="19" t="str">
        <f t="shared" si="26"/>
        <v/>
      </c>
      <c r="O132" s="19" t="str">
        <f t="shared" si="21"/>
        <v/>
      </c>
      <c r="P132" s="19" t="str">
        <f t="shared" si="22"/>
        <v/>
      </c>
      <c r="Q132" s="19" t="str">
        <f t="shared" si="23"/>
        <v/>
      </c>
      <c r="R132" s="19" t="str">
        <f t="shared" si="26"/>
        <v/>
      </c>
      <c r="S132" s="27" t="str">
        <f t="shared" si="28"/>
        <v/>
      </c>
      <c r="T132" s="28" t="str">
        <f t="shared" si="28"/>
        <v/>
      </c>
      <c r="U132" s="28" t="str">
        <f t="shared" si="28"/>
        <v/>
      </c>
      <c r="V132" s="28" t="str">
        <f t="shared" si="28"/>
        <v/>
      </c>
      <c r="W132" s="28" t="str">
        <f t="shared" si="28"/>
        <v/>
      </c>
      <c r="X132" s="29" t="str">
        <f t="shared" si="2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7"/>
        <v/>
      </c>
      <c r="M133" s="19" t="str">
        <f t="shared" si="26"/>
        <v/>
      </c>
      <c r="N133" s="19" t="str">
        <f t="shared" si="26"/>
        <v/>
      </c>
      <c r="O133" s="19" t="str">
        <f t="shared" si="21"/>
        <v/>
      </c>
      <c r="P133" s="19" t="str">
        <f t="shared" si="22"/>
        <v/>
      </c>
      <c r="Q133" s="19" t="str">
        <f t="shared" si="23"/>
        <v/>
      </c>
      <c r="R133" s="19" t="str">
        <f t="shared" si="26"/>
        <v/>
      </c>
      <c r="S133" s="27" t="str">
        <f t="shared" si="28"/>
        <v/>
      </c>
      <c r="T133" s="28" t="str">
        <f t="shared" si="28"/>
        <v/>
      </c>
      <c r="U133" s="28" t="str">
        <f t="shared" si="28"/>
        <v/>
      </c>
      <c r="V133" s="28" t="str">
        <f t="shared" si="28"/>
        <v/>
      </c>
      <c r="W133" s="28" t="str">
        <f t="shared" si="28"/>
        <v/>
      </c>
      <c r="X133" s="29" t="str">
        <f t="shared" si="2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7"/>
        <v/>
      </c>
      <c r="M134" s="19" t="str">
        <f t="shared" si="26"/>
        <v/>
      </c>
      <c r="N134" s="19" t="str">
        <f t="shared" si="26"/>
        <v/>
      </c>
      <c r="O134" s="19" t="str">
        <f t="shared" si="21"/>
        <v/>
      </c>
      <c r="P134" s="19" t="str">
        <f t="shared" si="22"/>
        <v/>
      </c>
      <c r="Q134" s="19" t="str">
        <f t="shared" si="23"/>
        <v/>
      </c>
      <c r="R134" s="19" t="str">
        <f t="shared" si="26"/>
        <v/>
      </c>
      <c r="S134" s="27" t="str">
        <f t="shared" si="28"/>
        <v/>
      </c>
      <c r="T134" s="28" t="str">
        <f t="shared" si="28"/>
        <v/>
      </c>
      <c r="U134" s="28" t="str">
        <f t="shared" si="28"/>
        <v/>
      </c>
      <c r="V134" s="28" t="str">
        <f t="shared" si="28"/>
        <v/>
      </c>
      <c r="W134" s="28" t="str">
        <f t="shared" si="28"/>
        <v/>
      </c>
      <c r="X134" s="29" t="str">
        <f t="shared" si="2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7"/>
        <v/>
      </c>
      <c r="M135" s="19" t="str">
        <f t="shared" si="26"/>
        <v/>
      </c>
      <c r="N135" s="19" t="str">
        <f t="shared" si="26"/>
        <v/>
      </c>
      <c r="O135" s="19" t="str">
        <f t="shared" si="21"/>
        <v/>
      </c>
      <c r="P135" s="19" t="str">
        <f t="shared" si="22"/>
        <v/>
      </c>
      <c r="Q135" s="19" t="str">
        <f t="shared" si="23"/>
        <v/>
      </c>
      <c r="R135" s="19" t="str">
        <f t="shared" si="26"/>
        <v/>
      </c>
      <c r="S135" s="27" t="str">
        <f t="shared" si="28"/>
        <v/>
      </c>
      <c r="T135" s="28" t="str">
        <f t="shared" si="28"/>
        <v/>
      </c>
      <c r="U135" s="28" t="str">
        <f t="shared" si="28"/>
        <v/>
      </c>
      <c r="V135" s="28" t="str">
        <f t="shared" si="28"/>
        <v/>
      </c>
      <c r="W135" s="28" t="str">
        <f t="shared" si="28"/>
        <v/>
      </c>
      <c r="X135" s="29" t="str">
        <f t="shared" si="2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7"/>
        <v/>
      </c>
      <c r="M136" s="19" t="str">
        <f t="shared" si="26"/>
        <v/>
      </c>
      <c r="N136" s="19" t="str">
        <f t="shared" si="26"/>
        <v/>
      </c>
      <c r="O136" s="19" t="str">
        <f t="shared" si="21"/>
        <v/>
      </c>
      <c r="P136" s="19" t="str">
        <f t="shared" si="22"/>
        <v/>
      </c>
      <c r="Q136" s="19" t="str">
        <f t="shared" si="23"/>
        <v/>
      </c>
      <c r="R136" s="19" t="str">
        <f t="shared" si="26"/>
        <v/>
      </c>
      <c r="S136" s="27" t="str">
        <f t="shared" si="28"/>
        <v/>
      </c>
      <c r="T136" s="28" t="str">
        <f t="shared" si="28"/>
        <v/>
      </c>
      <c r="U136" s="28" t="str">
        <f t="shared" si="28"/>
        <v/>
      </c>
      <c r="V136" s="28" t="str">
        <f t="shared" si="28"/>
        <v/>
      </c>
      <c r="W136" s="28" t="str">
        <f t="shared" si="28"/>
        <v/>
      </c>
      <c r="X136" s="29" t="str">
        <f t="shared" si="2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7"/>
        <v/>
      </c>
      <c r="M137" s="19" t="str">
        <f t="shared" si="26"/>
        <v/>
      </c>
      <c r="N137" s="19" t="str">
        <f t="shared" si="26"/>
        <v/>
      </c>
      <c r="O137" s="19" t="str">
        <f t="shared" si="21"/>
        <v/>
      </c>
      <c r="P137" s="19" t="str">
        <f t="shared" si="22"/>
        <v/>
      </c>
      <c r="Q137" s="19" t="str">
        <f t="shared" si="23"/>
        <v/>
      </c>
      <c r="R137" s="19" t="str">
        <f t="shared" si="26"/>
        <v/>
      </c>
      <c r="S137" s="27" t="str">
        <f t="shared" si="28"/>
        <v/>
      </c>
      <c r="T137" s="28" t="str">
        <f t="shared" si="28"/>
        <v/>
      </c>
      <c r="U137" s="28" t="str">
        <f t="shared" si="28"/>
        <v/>
      </c>
      <c r="V137" s="28" t="str">
        <f t="shared" si="28"/>
        <v/>
      </c>
      <c r="W137" s="28" t="str">
        <f t="shared" si="28"/>
        <v/>
      </c>
      <c r="X137" s="29" t="str">
        <f t="shared" si="2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7"/>
        <v/>
      </c>
      <c r="M138" s="19" t="str">
        <f t="shared" si="26"/>
        <v/>
      </c>
      <c r="N138" s="19" t="str">
        <f t="shared" si="26"/>
        <v/>
      </c>
      <c r="O138" s="19" t="str">
        <f t="shared" si="21"/>
        <v/>
      </c>
      <c r="P138" s="19" t="str">
        <f t="shared" si="22"/>
        <v/>
      </c>
      <c r="Q138" s="19" t="str">
        <f t="shared" si="23"/>
        <v/>
      </c>
      <c r="R138" s="19" t="str">
        <f t="shared" si="26"/>
        <v/>
      </c>
      <c r="S138" s="27" t="str">
        <f t="shared" si="28"/>
        <v/>
      </c>
      <c r="T138" s="28" t="str">
        <f t="shared" si="28"/>
        <v/>
      </c>
      <c r="U138" s="28" t="str">
        <f t="shared" si="28"/>
        <v/>
      </c>
      <c r="V138" s="28" t="str">
        <f t="shared" si="28"/>
        <v/>
      </c>
      <c r="W138" s="28" t="str">
        <f t="shared" si="28"/>
        <v/>
      </c>
      <c r="X138" s="29" t="str">
        <f t="shared" si="2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7"/>
        <v/>
      </c>
      <c r="M139" s="19" t="str">
        <f t="shared" si="26"/>
        <v/>
      </c>
      <c r="N139" s="19" t="str">
        <f t="shared" si="26"/>
        <v/>
      </c>
      <c r="O139" s="19" t="str">
        <f t="shared" si="21"/>
        <v/>
      </c>
      <c r="P139" s="19" t="str">
        <f t="shared" si="22"/>
        <v/>
      </c>
      <c r="Q139" s="19" t="str">
        <f t="shared" si="23"/>
        <v/>
      </c>
      <c r="R139" s="19" t="str">
        <f t="shared" si="26"/>
        <v/>
      </c>
      <c r="S139" s="27" t="str">
        <f t="shared" si="28"/>
        <v/>
      </c>
      <c r="T139" s="28" t="str">
        <f t="shared" si="28"/>
        <v/>
      </c>
      <c r="U139" s="28" t="str">
        <f t="shared" si="28"/>
        <v/>
      </c>
      <c r="V139" s="28" t="str">
        <f t="shared" si="28"/>
        <v/>
      </c>
      <c r="W139" s="28" t="str">
        <f t="shared" si="28"/>
        <v/>
      </c>
      <c r="X139" s="29" t="str">
        <f t="shared" si="2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7"/>
        <v/>
      </c>
      <c r="M140" s="19" t="str">
        <f t="shared" si="26"/>
        <v/>
      </c>
      <c r="N140" s="19" t="str">
        <f t="shared" si="26"/>
        <v/>
      </c>
      <c r="O140" s="19" t="str">
        <f t="shared" si="21"/>
        <v/>
      </c>
      <c r="P140" s="19" t="str">
        <f t="shared" si="22"/>
        <v/>
      </c>
      <c r="Q140" s="19" t="str">
        <f t="shared" si="23"/>
        <v/>
      </c>
      <c r="R140" s="19" t="str">
        <f t="shared" si="26"/>
        <v/>
      </c>
      <c r="S140" s="27" t="str">
        <f t="shared" si="28"/>
        <v/>
      </c>
      <c r="T140" s="28" t="str">
        <f t="shared" si="28"/>
        <v/>
      </c>
      <c r="U140" s="28" t="str">
        <f t="shared" si="28"/>
        <v/>
      </c>
      <c r="V140" s="28" t="str">
        <f t="shared" si="28"/>
        <v/>
      </c>
      <c r="W140" s="28" t="str">
        <f t="shared" si="28"/>
        <v/>
      </c>
      <c r="X140" s="29" t="str">
        <f t="shared" si="2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7"/>
        <v/>
      </c>
      <c r="M141" s="19" t="str">
        <f t="shared" si="26"/>
        <v/>
      </c>
      <c r="N141" s="19" t="str">
        <f t="shared" si="26"/>
        <v/>
      </c>
      <c r="O141" s="19" t="str">
        <f t="shared" si="21"/>
        <v/>
      </c>
      <c r="P141" s="19" t="str">
        <f t="shared" si="22"/>
        <v/>
      </c>
      <c r="Q141" s="19" t="str">
        <f t="shared" si="23"/>
        <v/>
      </c>
      <c r="R141" s="19" t="str">
        <f t="shared" si="26"/>
        <v/>
      </c>
      <c r="S141" s="27" t="str">
        <f t="shared" si="28"/>
        <v/>
      </c>
      <c r="T141" s="28" t="str">
        <f t="shared" si="28"/>
        <v/>
      </c>
      <c r="U141" s="28" t="str">
        <f t="shared" si="28"/>
        <v/>
      </c>
      <c r="V141" s="28" t="str">
        <f t="shared" si="28"/>
        <v/>
      </c>
      <c r="W141" s="28" t="str">
        <f t="shared" si="28"/>
        <v/>
      </c>
      <c r="X141" s="29" t="str">
        <f t="shared" si="2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7"/>
        <v/>
      </c>
      <c r="M142" s="19" t="str">
        <f t="shared" si="26"/>
        <v/>
      </c>
      <c r="N142" s="19" t="str">
        <f t="shared" si="26"/>
        <v/>
      </c>
      <c r="O142" s="19" t="str">
        <f t="shared" si="21"/>
        <v/>
      </c>
      <c r="P142" s="19" t="str">
        <f t="shared" si="22"/>
        <v/>
      </c>
      <c r="Q142" s="19" t="str">
        <f t="shared" si="23"/>
        <v/>
      </c>
      <c r="R142" s="19" t="str">
        <f t="shared" si="26"/>
        <v/>
      </c>
      <c r="S142" s="27" t="str">
        <f t="shared" si="28"/>
        <v/>
      </c>
      <c r="T142" s="28" t="str">
        <f t="shared" si="28"/>
        <v/>
      </c>
      <c r="U142" s="28" t="str">
        <f t="shared" si="28"/>
        <v/>
      </c>
      <c r="V142" s="28" t="str">
        <f t="shared" si="28"/>
        <v/>
      </c>
      <c r="W142" s="28" t="str">
        <f t="shared" si="28"/>
        <v/>
      </c>
      <c r="X142" s="29" t="str">
        <f t="shared" si="2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7"/>
        <v/>
      </c>
      <c r="M143" s="19" t="str">
        <f t="shared" si="26"/>
        <v/>
      </c>
      <c r="N143" s="19" t="str">
        <f t="shared" si="26"/>
        <v/>
      </c>
      <c r="O143" s="19" t="str">
        <f t="shared" si="21"/>
        <v/>
      </c>
      <c r="P143" s="19" t="str">
        <f t="shared" si="22"/>
        <v/>
      </c>
      <c r="Q143" s="19" t="str">
        <f t="shared" si="23"/>
        <v/>
      </c>
      <c r="R143" s="19" t="str">
        <f t="shared" si="26"/>
        <v/>
      </c>
      <c r="S143" s="27" t="str">
        <f t="shared" si="28"/>
        <v/>
      </c>
      <c r="T143" s="28" t="str">
        <f t="shared" si="28"/>
        <v/>
      </c>
      <c r="U143" s="28" t="str">
        <f t="shared" si="28"/>
        <v/>
      </c>
      <c r="V143" s="28" t="str">
        <f t="shared" si="28"/>
        <v/>
      </c>
      <c r="W143" s="28" t="str">
        <f t="shared" si="28"/>
        <v/>
      </c>
      <c r="X143" s="29" t="str">
        <f t="shared" si="2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7"/>
        <v/>
      </c>
      <c r="M144" s="19" t="str">
        <f t="shared" si="26"/>
        <v/>
      </c>
      <c r="N144" s="19" t="str">
        <f t="shared" si="26"/>
        <v/>
      </c>
      <c r="O144" s="19" t="str">
        <f t="shared" si="21"/>
        <v/>
      </c>
      <c r="P144" s="19" t="str">
        <f t="shared" si="22"/>
        <v/>
      </c>
      <c r="Q144" s="19" t="str">
        <f t="shared" si="23"/>
        <v/>
      </c>
      <c r="R144" s="19" t="str">
        <f t="shared" si="26"/>
        <v/>
      </c>
      <c r="S144" s="27" t="str">
        <f t="shared" si="28"/>
        <v/>
      </c>
      <c r="T144" s="28" t="str">
        <f t="shared" si="28"/>
        <v/>
      </c>
      <c r="U144" s="28" t="str">
        <f t="shared" si="28"/>
        <v/>
      </c>
      <c r="V144" s="28" t="str">
        <f t="shared" si="28"/>
        <v/>
      </c>
      <c r="W144" s="28" t="str">
        <f t="shared" si="28"/>
        <v/>
      </c>
      <c r="X144" s="29" t="str">
        <f t="shared" si="2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7"/>
        <v/>
      </c>
      <c r="M145" s="19" t="str">
        <f t="shared" si="26"/>
        <v/>
      </c>
      <c r="N145" s="19" t="str">
        <f t="shared" si="26"/>
        <v/>
      </c>
      <c r="O145" s="19" t="str">
        <f t="shared" si="21"/>
        <v/>
      </c>
      <c r="P145" s="19" t="str">
        <f t="shared" si="22"/>
        <v/>
      </c>
      <c r="Q145" s="19" t="str">
        <f t="shared" si="23"/>
        <v/>
      </c>
      <c r="R145" s="19" t="str">
        <f t="shared" si="26"/>
        <v/>
      </c>
      <c r="S145" s="27" t="str">
        <f t="shared" ref="S145:X153" si="29">IF(C145="","",((C145-C144)*1000)/($B145-$B144))</f>
        <v/>
      </c>
      <c r="T145" s="28" t="str">
        <f t="shared" si="29"/>
        <v/>
      </c>
      <c r="U145" s="28" t="str">
        <f t="shared" si="29"/>
        <v/>
      </c>
      <c r="V145" s="28" t="str">
        <f t="shared" si="29"/>
        <v/>
      </c>
      <c r="W145" s="28" t="str">
        <f t="shared" si="29"/>
        <v/>
      </c>
      <c r="X145" s="29" t="str">
        <f t="shared" si="29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7"/>
        <v/>
      </c>
      <c r="M146" s="19" t="str">
        <f t="shared" si="26"/>
        <v/>
      </c>
      <c r="N146" s="19" t="str">
        <f t="shared" si="26"/>
        <v/>
      </c>
      <c r="O146" s="19" t="str">
        <f t="shared" si="21"/>
        <v/>
      </c>
      <c r="P146" s="19" t="str">
        <f t="shared" si="22"/>
        <v/>
      </c>
      <c r="Q146" s="19" t="str">
        <f t="shared" si="23"/>
        <v/>
      </c>
      <c r="R146" s="19" t="str">
        <f t="shared" si="26"/>
        <v/>
      </c>
      <c r="S146" s="27" t="str">
        <f t="shared" si="29"/>
        <v/>
      </c>
      <c r="T146" s="28" t="str">
        <f t="shared" si="29"/>
        <v/>
      </c>
      <c r="U146" s="28" t="str">
        <f t="shared" si="29"/>
        <v/>
      </c>
      <c r="V146" s="28" t="str">
        <f t="shared" si="29"/>
        <v/>
      </c>
      <c r="W146" s="28" t="str">
        <f t="shared" si="29"/>
        <v/>
      </c>
      <c r="X146" s="29" t="str">
        <f t="shared" si="29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7"/>
        <v/>
      </c>
      <c r="M147" s="19" t="str">
        <f t="shared" si="26"/>
        <v/>
      </c>
      <c r="N147" s="19" t="str">
        <f t="shared" si="26"/>
        <v/>
      </c>
      <c r="O147" s="19" t="str">
        <f t="shared" si="21"/>
        <v/>
      </c>
      <c r="P147" s="19" t="str">
        <f t="shared" si="22"/>
        <v/>
      </c>
      <c r="Q147" s="19" t="str">
        <f t="shared" si="23"/>
        <v/>
      </c>
      <c r="R147" s="19" t="str">
        <f t="shared" si="26"/>
        <v/>
      </c>
      <c r="S147" s="27" t="str">
        <f t="shared" si="29"/>
        <v/>
      </c>
      <c r="T147" s="28" t="str">
        <f t="shared" si="29"/>
        <v/>
      </c>
      <c r="U147" s="28" t="str">
        <f t="shared" si="29"/>
        <v/>
      </c>
      <c r="V147" s="28" t="str">
        <f t="shared" si="29"/>
        <v/>
      </c>
      <c r="W147" s="28" t="str">
        <f t="shared" si="29"/>
        <v/>
      </c>
      <c r="X147" s="29" t="str">
        <f t="shared" si="29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7"/>
        <v/>
      </c>
      <c r="M148" s="19" t="str">
        <f t="shared" si="26"/>
        <v/>
      </c>
      <c r="N148" s="19" t="str">
        <f t="shared" si="26"/>
        <v/>
      </c>
      <c r="O148" s="19" t="str">
        <f t="shared" si="21"/>
        <v/>
      </c>
      <c r="P148" s="19" t="str">
        <f t="shared" si="22"/>
        <v/>
      </c>
      <c r="Q148" s="19" t="str">
        <f t="shared" si="23"/>
        <v/>
      </c>
      <c r="R148" s="19" t="str">
        <f t="shared" si="26"/>
        <v/>
      </c>
      <c r="S148" s="27" t="str">
        <f t="shared" si="29"/>
        <v/>
      </c>
      <c r="T148" s="28" t="str">
        <f t="shared" si="29"/>
        <v/>
      </c>
      <c r="U148" s="28" t="str">
        <f t="shared" si="29"/>
        <v/>
      </c>
      <c r="V148" s="28" t="str">
        <f t="shared" si="29"/>
        <v/>
      </c>
      <c r="W148" s="28" t="str">
        <f t="shared" si="29"/>
        <v/>
      </c>
      <c r="X148" s="29" t="str">
        <f t="shared" si="29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7"/>
        <v/>
      </c>
      <c r="M149" s="19" t="str">
        <f t="shared" si="26"/>
        <v/>
      </c>
      <c r="N149" s="19" t="str">
        <f t="shared" si="26"/>
        <v/>
      </c>
      <c r="O149" s="19" t="str">
        <f t="shared" si="21"/>
        <v/>
      </c>
      <c r="P149" s="19" t="str">
        <f t="shared" si="22"/>
        <v/>
      </c>
      <c r="Q149" s="19" t="str">
        <f t="shared" si="23"/>
        <v/>
      </c>
      <c r="R149" s="19" t="str">
        <f t="shared" si="26"/>
        <v/>
      </c>
      <c r="S149" s="27" t="str">
        <f t="shared" si="29"/>
        <v/>
      </c>
      <c r="T149" s="28" t="str">
        <f t="shared" si="29"/>
        <v/>
      </c>
      <c r="U149" s="28" t="str">
        <f t="shared" si="29"/>
        <v/>
      </c>
      <c r="V149" s="28" t="str">
        <f t="shared" si="29"/>
        <v/>
      </c>
      <c r="W149" s="28" t="str">
        <f t="shared" si="29"/>
        <v/>
      </c>
      <c r="X149" s="29" t="str">
        <f t="shared" si="29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7"/>
        <v/>
      </c>
      <c r="M150" s="19" t="str">
        <f t="shared" si="26"/>
        <v/>
      </c>
      <c r="N150" s="19" t="str">
        <f t="shared" si="26"/>
        <v/>
      </c>
      <c r="O150" s="19" t="str">
        <f t="shared" si="21"/>
        <v/>
      </c>
      <c r="P150" s="19" t="str">
        <f t="shared" si="22"/>
        <v/>
      </c>
      <c r="Q150" s="19" t="str">
        <f t="shared" si="23"/>
        <v/>
      </c>
      <c r="R150" s="19" t="str">
        <f t="shared" si="26"/>
        <v/>
      </c>
      <c r="S150" s="27" t="str">
        <f t="shared" si="29"/>
        <v/>
      </c>
      <c r="T150" s="28" t="str">
        <f t="shared" si="29"/>
        <v/>
      </c>
      <c r="U150" s="28" t="str">
        <f t="shared" si="29"/>
        <v/>
      </c>
      <c r="V150" s="28" t="str">
        <f t="shared" si="29"/>
        <v/>
      </c>
      <c r="W150" s="28" t="str">
        <f t="shared" si="29"/>
        <v/>
      </c>
      <c r="X150" s="29" t="str">
        <f t="shared" si="29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7"/>
        <v/>
      </c>
      <c r="M151" s="19" t="str">
        <f t="shared" si="26"/>
        <v/>
      </c>
      <c r="N151" s="19" t="str">
        <f t="shared" si="26"/>
        <v/>
      </c>
      <c r="O151" s="19" t="str">
        <f t="shared" si="21"/>
        <v/>
      </c>
      <c r="P151" s="19" t="str">
        <f t="shared" si="22"/>
        <v/>
      </c>
      <c r="Q151" s="19" t="str">
        <f t="shared" si="23"/>
        <v/>
      </c>
      <c r="R151" s="19" t="str">
        <f t="shared" si="26"/>
        <v/>
      </c>
      <c r="S151" s="27" t="str">
        <f t="shared" si="29"/>
        <v/>
      </c>
      <c r="T151" s="28" t="str">
        <f t="shared" si="29"/>
        <v/>
      </c>
      <c r="U151" s="28" t="str">
        <f t="shared" si="29"/>
        <v/>
      </c>
      <c r="V151" s="28" t="str">
        <f t="shared" si="29"/>
        <v/>
      </c>
      <c r="W151" s="28" t="str">
        <f t="shared" si="29"/>
        <v/>
      </c>
      <c r="X151" s="29" t="str">
        <f t="shared" si="29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7"/>
        <v/>
      </c>
      <c r="M152" s="19" t="str">
        <f t="shared" si="26"/>
        <v/>
      </c>
      <c r="N152" s="19" t="str">
        <f t="shared" si="26"/>
        <v/>
      </c>
      <c r="O152" s="19" t="str">
        <f t="shared" si="21"/>
        <v/>
      </c>
      <c r="P152" s="19" t="str">
        <f t="shared" si="22"/>
        <v/>
      </c>
      <c r="Q152" s="19" t="str">
        <f t="shared" si="23"/>
        <v/>
      </c>
      <c r="R152" s="19" t="str">
        <f t="shared" si="26"/>
        <v/>
      </c>
      <c r="S152" s="27" t="str">
        <f t="shared" si="29"/>
        <v/>
      </c>
      <c r="T152" s="28" t="str">
        <f t="shared" si="29"/>
        <v/>
      </c>
      <c r="U152" s="28" t="str">
        <f t="shared" si="29"/>
        <v/>
      </c>
      <c r="V152" s="28" t="str">
        <f t="shared" si="29"/>
        <v/>
      </c>
      <c r="W152" s="28" t="str">
        <f t="shared" si="29"/>
        <v/>
      </c>
      <c r="X152" s="29" t="str">
        <f t="shared" si="29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7"/>
        <v/>
      </c>
      <c r="M153" s="19" t="str">
        <f t="shared" si="26"/>
        <v/>
      </c>
      <c r="N153" s="19" t="str">
        <f t="shared" si="26"/>
        <v/>
      </c>
      <c r="O153" s="19" t="str">
        <f t="shared" si="21"/>
        <v/>
      </c>
      <c r="P153" s="19" t="str">
        <f t="shared" si="22"/>
        <v/>
      </c>
      <c r="Q153" s="19" t="str">
        <f t="shared" si="23"/>
        <v/>
      </c>
      <c r="R153" s="19" t="str">
        <f t="shared" si="26"/>
        <v/>
      </c>
      <c r="S153" s="27" t="str">
        <f t="shared" si="29"/>
        <v/>
      </c>
      <c r="T153" s="28" t="str">
        <f t="shared" si="29"/>
        <v/>
      </c>
      <c r="U153" s="28" t="str">
        <f t="shared" si="29"/>
        <v/>
      </c>
      <c r="V153" s="28" t="str">
        <f t="shared" si="29"/>
        <v/>
      </c>
      <c r="W153" s="28" t="str">
        <f t="shared" si="29"/>
        <v/>
      </c>
      <c r="X153" s="29" t="str">
        <f t="shared" si="29"/>
        <v/>
      </c>
      <c r="Y153" s="24"/>
    </row>
  </sheetData>
  <sheetProtection selectLockedCells="1"/>
  <mergeCells count="38"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J6:Q6"/>
    <mergeCell ref="R6:V6"/>
    <mergeCell ref="W6:Y6"/>
    <mergeCell ref="E7:I7"/>
    <mergeCell ref="J7:Q7"/>
    <mergeCell ref="R7:V7"/>
    <mergeCell ref="W7:Y7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8AD692-B4BF-415B-92CC-02770DB71C34}"/>
</file>

<file path=customXml/itemProps2.xml><?xml version="1.0" encoding="utf-8"?>
<ds:datastoreItem xmlns:ds="http://schemas.openxmlformats.org/officeDocument/2006/customXml" ds:itemID="{DED20FFB-EA11-4786-AE7A-FD5880E6EE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A4F0B6-1CC1-4577-9C7E-242201F5A866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42</vt:i4>
      </vt:variant>
    </vt:vector>
  </HeadingPairs>
  <TitlesOfParts>
    <vt:vector size="68" baseType="lpstr">
      <vt:lpstr>TZ-6</vt:lpstr>
      <vt:lpstr>TZ-8</vt:lpstr>
      <vt:lpstr>TZ-10</vt:lpstr>
      <vt:lpstr>TZ-12</vt:lpstr>
      <vt:lpstr>TZ-14</vt:lpstr>
      <vt:lpstr>TZ-16</vt:lpstr>
      <vt:lpstr>TZ-18</vt:lpstr>
      <vt:lpstr>TZ-20</vt:lpstr>
      <vt:lpstr>TZ-22</vt:lpstr>
      <vt:lpstr>TZ-24</vt:lpstr>
      <vt:lpstr>TZ-26</vt:lpstr>
      <vt:lpstr>TZ-28</vt:lpstr>
      <vt:lpstr>TZ-30</vt:lpstr>
      <vt:lpstr>TZ-32</vt:lpstr>
      <vt:lpstr>TZ-34</vt:lpstr>
      <vt:lpstr>TZ-36</vt:lpstr>
      <vt:lpstr>RGT.OLABARRIETA</vt:lpstr>
      <vt:lpstr>RGT.BENGOETXE</vt:lpstr>
      <vt:lpstr>RGT.GALDAKAO</vt:lpstr>
      <vt:lpstr>RGT.APARC.SUB</vt:lpstr>
      <vt:lpstr>RGT.ABUSU</vt:lpstr>
      <vt:lpstr>TZ-112</vt:lpstr>
      <vt:lpstr>TZ-114</vt:lpstr>
      <vt:lpstr>TZ-115</vt:lpstr>
      <vt:lpstr>TZ-116</vt:lpstr>
      <vt:lpstr>TZ-130</vt:lpstr>
      <vt:lpstr>'TZ-10'!Área_de_impresión</vt:lpstr>
      <vt:lpstr>'TZ-112'!Área_de_impresión</vt:lpstr>
      <vt:lpstr>'TZ-114'!Área_de_impresión</vt:lpstr>
      <vt:lpstr>'TZ-115'!Área_de_impresión</vt:lpstr>
      <vt:lpstr>'TZ-116'!Área_de_impresión</vt:lpstr>
      <vt:lpstr>'TZ-12'!Área_de_impresión</vt:lpstr>
      <vt:lpstr>'TZ-130'!Área_de_impresión</vt:lpstr>
      <vt:lpstr>'TZ-14'!Área_de_impresión</vt:lpstr>
      <vt:lpstr>'TZ-16'!Área_de_impresión</vt:lpstr>
      <vt:lpstr>'TZ-18'!Área_de_impresión</vt:lpstr>
      <vt:lpstr>'TZ-20'!Área_de_impresión</vt:lpstr>
      <vt:lpstr>'TZ-22'!Área_de_impresión</vt:lpstr>
      <vt:lpstr>'TZ-24'!Área_de_impresión</vt:lpstr>
      <vt:lpstr>'TZ-26'!Área_de_impresión</vt:lpstr>
      <vt:lpstr>'TZ-28'!Área_de_impresión</vt:lpstr>
      <vt:lpstr>'TZ-30'!Área_de_impresión</vt:lpstr>
      <vt:lpstr>'TZ-32'!Área_de_impresión</vt:lpstr>
      <vt:lpstr>'TZ-34'!Área_de_impresión</vt:lpstr>
      <vt:lpstr>'TZ-36'!Área_de_impresión</vt:lpstr>
      <vt:lpstr>'TZ-6'!Área_de_impresión</vt:lpstr>
      <vt:lpstr>'TZ-8'!Área_de_impresión</vt:lpstr>
      <vt:lpstr>'TZ-10'!Títulos_a_imprimir</vt:lpstr>
      <vt:lpstr>'TZ-112'!Títulos_a_imprimir</vt:lpstr>
      <vt:lpstr>'TZ-114'!Títulos_a_imprimir</vt:lpstr>
      <vt:lpstr>'TZ-115'!Títulos_a_imprimir</vt:lpstr>
      <vt:lpstr>'TZ-116'!Títulos_a_imprimir</vt:lpstr>
      <vt:lpstr>'TZ-12'!Títulos_a_imprimir</vt:lpstr>
      <vt:lpstr>'TZ-130'!Títulos_a_imprimir</vt:lpstr>
      <vt:lpstr>'TZ-14'!Títulos_a_imprimir</vt:lpstr>
      <vt:lpstr>'TZ-16'!Títulos_a_imprimir</vt:lpstr>
      <vt:lpstr>'TZ-18'!Títulos_a_imprimir</vt:lpstr>
      <vt:lpstr>'TZ-20'!Títulos_a_imprimir</vt:lpstr>
      <vt:lpstr>'TZ-22'!Títulos_a_imprimir</vt:lpstr>
      <vt:lpstr>'TZ-24'!Títulos_a_imprimir</vt:lpstr>
      <vt:lpstr>'TZ-26'!Títulos_a_imprimir</vt:lpstr>
      <vt:lpstr>'TZ-28'!Títulos_a_imprimir</vt:lpstr>
      <vt:lpstr>'TZ-30'!Títulos_a_imprimir</vt:lpstr>
      <vt:lpstr>'TZ-32'!Títulos_a_imprimir</vt:lpstr>
      <vt:lpstr>'TZ-34'!Títulos_a_imprimir</vt:lpstr>
      <vt:lpstr>'TZ-36'!Títulos_a_imprimir</vt:lpstr>
      <vt:lpstr>'TZ-6'!Títulos_a_imprimir</vt:lpstr>
      <vt:lpstr>'TZ-8'!Títulos_a_imprimir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METRO BENGOETXE</dc:creator>
  <cp:keywords/>
  <dc:description/>
  <cp:lastModifiedBy>Pablo Garcia Altarribas</cp:lastModifiedBy>
  <cp:revision/>
  <dcterms:created xsi:type="dcterms:W3CDTF">2014-01-15T17:47:48Z</dcterms:created>
  <dcterms:modified xsi:type="dcterms:W3CDTF">2026-06-18T09:14:07Z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